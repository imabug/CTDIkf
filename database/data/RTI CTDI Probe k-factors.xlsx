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workspace\CTDIkf\database\data\"/>
    </mc:Choice>
  </mc:AlternateContent>
  <xr:revisionPtr revIDLastSave="0" documentId="13_ncr:1_{3DBD6BFF-5D49-42CC-986B-787C9BC756AB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README" sheetId="1" r:id="rId1"/>
    <sheet name="Sheet9" sheetId="2" r:id="rId2"/>
    <sheet name="Sheet18" sheetId="3" r:id="rId3"/>
    <sheet name="Pro.Pulse" sheetId="4" r:id="rId4"/>
    <sheet name="Neurologica BodyTom" sheetId="5" r:id="rId5"/>
    <sheet name="Symbia Pro.specta Q3" sheetId="6" r:id="rId6"/>
    <sheet name="Intevo Bold" sheetId="7" r:id="rId7"/>
    <sheet name="Biograph Vision" sheetId="8" r:id="rId8"/>
    <sheet name="X.cite" sheetId="9" r:id="rId9"/>
    <sheet name="Confidence 20" sheetId="10" r:id="rId10"/>
    <sheet name="Confidence 64" sheetId="11" r:id="rId11"/>
    <sheet name="go.Top" sheetId="12" r:id="rId12"/>
    <sheet name="Definition Edge" sheetId="13" r:id="rId13"/>
    <sheet name="Somatom Drive" sheetId="14" r:id="rId14"/>
    <sheet name="Somatom Force" sheetId="15" r:id="rId15"/>
    <sheet name="Somatom Flash" sheetId="16" r:id="rId16"/>
    <sheet name="Definition AS 128" sheetId="17" r:id="rId17"/>
    <sheet name="Definition AS 64" sheetId="19" r:id="rId18"/>
    <sheet name="Definition AS Open 64" sheetId="20" r:id="rId19"/>
    <sheet name="Definition AS 40" sheetId="21" r:id="rId20"/>
    <sheet name="Definition AS 20" sheetId="22" r:id="rId21"/>
    <sheet name="Definition AS Open 20" sheetId="23" r:id="rId22"/>
    <sheet name="Naeotom Alpha" sheetId="18" r:id="rId2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B3451" i="3" l="1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3451" i="3"/>
  <c r="C3450" i="3"/>
  <c r="C3449" i="3"/>
  <c r="C3448" i="3"/>
  <c r="C3447" i="3"/>
  <c r="C3446" i="3"/>
  <c r="C3445" i="3"/>
  <c r="C3444" i="3"/>
  <c r="C3443" i="3"/>
  <c r="C3442" i="3"/>
  <c r="C3441" i="3"/>
  <c r="C3440" i="3"/>
  <c r="C3439" i="3"/>
  <c r="C3438" i="3"/>
  <c r="C3437" i="3"/>
  <c r="C3436" i="3"/>
  <c r="C3435" i="3"/>
  <c r="C3434" i="3"/>
  <c r="C3433" i="3"/>
  <c r="C3432" i="3"/>
  <c r="C3431" i="3"/>
  <c r="C3430" i="3"/>
  <c r="C3429" i="3"/>
  <c r="C3428" i="3"/>
  <c r="C3427" i="3"/>
  <c r="C3426" i="3"/>
  <c r="C3425" i="3"/>
  <c r="C3424" i="3"/>
  <c r="C3423" i="3"/>
  <c r="C3422" i="3"/>
  <c r="C3421" i="3"/>
  <c r="C3420" i="3"/>
  <c r="C3419" i="3"/>
  <c r="C3418" i="3"/>
  <c r="C3417" i="3"/>
  <c r="C3416" i="3"/>
  <c r="C3415" i="3"/>
  <c r="C3414" i="3"/>
  <c r="C3413" i="3"/>
  <c r="C3412" i="3"/>
  <c r="C3411" i="3"/>
  <c r="C3410" i="3"/>
  <c r="C3409" i="3"/>
  <c r="C3408" i="3"/>
  <c r="C3407" i="3"/>
  <c r="C3406" i="3"/>
  <c r="C3405" i="3"/>
  <c r="C3404" i="3"/>
  <c r="C3403" i="3"/>
  <c r="C3402" i="3"/>
  <c r="C3401" i="3"/>
  <c r="C3400" i="3"/>
  <c r="C3399" i="3"/>
  <c r="C3398" i="3"/>
  <c r="C3397" i="3"/>
  <c r="C3396" i="3"/>
  <c r="C3395" i="3"/>
  <c r="C3394" i="3"/>
  <c r="C3393" i="3"/>
  <c r="C3392" i="3"/>
  <c r="C3391" i="3"/>
  <c r="C3390" i="3"/>
  <c r="C3389" i="3"/>
  <c r="C3388" i="3"/>
  <c r="C3387" i="3"/>
  <c r="C3386" i="3"/>
  <c r="C3385" i="3"/>
  <c r="C3384" i="3"/>
  <c r="C3383" i="3"/>
  <c r="C3382" i="3"/>
  <c r="C3381" i="3"/>
  <c r="C3380" i="3"/>
  <c r="C3379" i="3"/>
  <c r="C3378" i="3"/>
  <c r="C3377" i="3"/>
  <c r="C3376" i="3"/>
  <c r="C3375" i="3"/>
  <c r="C3374" i="3"/>
  <c r="C3373" i="3"/>
  <c r="C3372" i="3"/>
  <c r="C3371" i="3"/>
  <c r="C3370" i="3"/>
  <c r="C3369" i="3"/>
  <c r="C3368" i="3"/>
  <c r="C3367" i="3"/>
  <c r="C3366" i="3"/>
  <c r="C3365" i="3"/>
  <c r="C3364" i="3"/>
  <c r="C3363" i="3"/>
  <c r="C3362" i="3"/>
  <c r="C3361" i="3"/>
  <c r="C3360" i="3"/>
  <c r="C3359" i="3"/>
  <c r="C3358" i="3"/>
  <c r="C3357" i="3"/>
  <c r="C3356" i="3"/>
  <c r="C3355" i="3"/>
  <c r="C3354" i="3"/>
  <c r="C3353" i="3"/>
  <c r="C3352" i="3"/>
  <c r="C3351" i="3"/>
  <c r="C3350" i="3"/>
  <c r="C3349" i="3"/>
  <c r="C3348" i="3"/>
  <c r="C3347" i="3"/>
  <c r="C3346" i="3"/>
  <c r="C3345" i="3"/>
  <c r="C3344" i="3"/>
  <c r="C3343" i="3"/>
  <c r="C3342" i="3"/>
  <c r="C3341" i="3"/>
  <c r="C3340" i="3"/>
  <c r="C3339" i="3"/>
  <c r="C3338" i="3"/>
  <c r="C3337" i="3"/>
  <c r="C3336" i="3"/>
  <c r="C3335" i="3"/>
  <c r="C3334" i="3"/>
  <c r="C3333" i="3"/>
  <c r="C3332" i="3"/>
  <c r="C3331" i="3"/>
  <c r="C3330" i="3"/>
  <c r="C3329" i="3"/>
  <c r="C3328" i="3"/>
  <c r="C3327" i="3"/>
  <c r="C3326" i="3"/>
  <c r="C3325" i="3"/>
  <c r="C3324" i="3"/>
  <c r="C3323" i="3"/>
  <c r="C3322" i="3"/>
  <c r="C3321" i="3"/>
  <c r="C3320" i="3"/>
  <c r="C3319" i="3"/>
  <c r="C3318" i="3"/>
  <c r="C3317" i="3"/>
  <c r="C3316" i="3"/>
  <c r="C3315" i="3"/>
  <c r="C3314" i="3"/>
  <c r="C3313" i="3"/>
  <c r="C3312" i="3"/>
  <c r="C3311" i="3"/>
  <c r="C3310" i="3"/>
  <c r="C3309" i="3"/>
  <c r="C3308" i="3"/>
  <c r="C3307" i="3"/>
  <c r="C3306" i="3"/>
  <c r="C3305" i="3"/>
  <c r="C3304" i="3"/>
  <c r="C3303" i="3"/>
  <c r="C3302" i="3"/>
  <c r="C3301" i="3"/>
  <c r="C3300" i="3"/>
  <c r="C3299" i="3"/>
  <c r="C3298" i="3"/>
  <c r="C3297" i="3"/>
  <c r="C3296" i="3"/>
  <c r="C3295" i="3"/>
  <c r="C3294" i="3"/>
  <c r="C3293" i="3"/>
  <c r="C3292" i="3"/>
  <c r="C3291" i="3"/>
  <c r="C3290" i="3"/>
  <c r="C3289" i="3"/>
  <c r="C3288" i="3"/>
  <c r="C3287" i="3"/>
  <c r="C3286" i="3"/>
  <c r="C3285" i="3"/>
  <c r="C3284" i="3"/>
  <c r="C3283" i="3"/>
  <c r="C3282" i="3"/>
  <c r="C3281" i="3"/>
  <c r="C3280" i="3"/>
  <c r="C3279" i="3"/>
  <c r="C3278" i="3"/>
  <c r="C3277" i="3"/>
  <c r="C3276" i="3"/>
  <c r="C3275" i="3"/>
  <c r="C3274" i="3"/>
  <c r="C3273" i="3"/>
  <c r="C3272" i="3"/>
  <c r="C3271" i="3"/>
  <c r="C3270" i="3"/>
  <c r="C3269" i="3"/>
  <c r="C3268" i="3"/>
  <c r="C3267" i="3"/>
  <c r="C3266" i="3"/>
  <c r="C3265" i="3"/>
  <c r="C3264" i="3"/>
  <c r="C3263" i="3"/>
  <c r="C3262" i="3"/>
  <c r="C3261" i="3"/>
  <c r="C3260" i="3"/>
  <c r="C3259" i="3"/>
  <c r="C3258" i="3"/>
  <c r="C3257" i="3"/>
  <c r="C3256" i="3"/>
  <c r="C3255" i="3"/>
  <c r="C3254" i="3"/>
  <c r="C3253" i="3"/>
  <c r="C3252" i="3"/>
  <c r="C3251" i="3"/>
  <c r="C3250" i="3"/>
  <c r="C3249" i="3"/>
  <c r="C3248" i="3"/>
  <c r="C3247" i="3"/>
  <c r="C3246" i="3"/>
  <c r="C3245" i="3"/>
  <c r="C3244" i="3"/>
  <c r="C3243" i="3"/>
  <c r="C3242" i="3"/>
  <c r="C3241" i="3"/>
  <c r="C3240" i="3"/>
  <c r="C3239" i="3"/>
  <c r="C3238" i="3"/>
  <c r="C3237" i="3"/>
  <c r="C3236" i="3"/>
  <c r="C3235" i="3"/>
  <c r="C3234" i="3"/>
  <c r="C3233" i="3"/>
  <c r="C3232" i="3"/>
  <c r="C3231" i="3"/>
  <c r="C3230" i="3"/>
  <c r="C3229" i="3"/>
  <c r="C3228" i="3"/>
  <c r="C3227" i="3"/>
  <c r="C3226" i="3"/>
  <c r="C3225" i="3"/>
  <c r="C3224" i="3"/>
  <c r="C3223" i="3"/>
  <c r="C3222" i="3"/>
  <c r="C3221" i="3"/>
  <c r="C3220" i="3"/>
  <c r="C3219" i="3"/>
  <c r="C3218" i="3"/>
  <c r="C3217" i="3"/>
  <c r="C3216" i="3"/>
  <c r="C3215" i="3"/>
  <c r="C3214" i="3"/>
  <c r="C3213" i="3"/>
  <c r="C3212" i="3"/>
  <c r="C3211" i="3"/>
  <c r="C3210" i="3"/>
  <c r="C3209" i="3"/>
  <c r="C3208" i="3"/>
  <c r="C3207" i="3"/>
  <c r="C3206" i="3"/>
  <c r="C3205" i="3"/>
  <c r="C3204" i="3"/>
  <c r="C3203" i="3"/>
  <c r="C3202" i="3"/>
  <c r="C3201" i="3"/>
  <c r="C3200" i="3"/>
  <c r="C3199" i="3"/>
  <c r="C3198" i="3"/>
  <c r="C3197" i="3"/>
  <c r="C3196" i="3"/>
  <c r="C3195" i="3"/>
  <c r="C3194" i="3"/>
  <c r="C3193" i="3"/>
  <c r="C3192" i="3"/>
  <c r="C3191" i="3"/>
  <c r="C3190" i="3"/>
  <c r="C3189" i="3"/>
  <c r="C3188" i="3"/>
  <c r="C3187" i="3"/>
  <c r="C3186" i="3"/>
  <c r="C3185" i="3"/>
  <c r="C3184" i="3"/>
  <c r="C3183" i="3"/>
  <c r="C3182" i="3"/>
  <c r="C3181" i="3"/>
  <c r="C3180" i="3"/>
  <c r="C3179" i="3"/>
  <c r="C3178" i="3"/>
  <c r="C3177" i="3"/>
  <c r="C3176" i="3"/>
  <c r="C3175" i="3"/>
  <c r="C3174" i="3"/>
  <c r="C3173" i="3"/>
  <c r="C3172" i="3"/>
  <c r="C3171" i="3"/>
  <c r="C3170" i="3"/>
  <c r="C3169" i="3"/>
  <c r="C3168" i="3"/>
  <c r="C3167" i="3"/>
  <c r="C3166" i="3"/>
  <c r="C3165" i="3"/>
  <c r="C3164" i="3"/>
  <c r="C3163" i="3"/>
  <c r="C3162" i="3"/>
  <c r="C3161" i="3"/>
  <c r="C3160" i="3"/>
  <c r="C3159" i="3"/>
  <c r="C3158" i="3"/>
  <c r="C3157" i="3"/>
  <c r="C3156" i="3"/>
  <c r="C3155" i="3"/>
  <c r="C3154" i="3"/>
  <c r="C3153" i="3"/>
  <c r="C3152" i="3"/>
  <c r="C3151" i="3"/>
  <c r="C3150" i="3"/>
  <c r="C3149" i="3"/>
  <c r="C3148" i="3"/>
  <c r="C3147" i="3"/>
  <c r="C3146" i="3"/>
  <c r="C3145" i="3"/>
  <c r="C3144" i="3"/>
  <c r="C3143" i="3"/>
  <c r="C3142" i="3"/>
  <c r="C3141" i="3"/>
  <c r="C3140" i="3"/>
  <c r="C3139" i="3"/>
  <c r="C3138" i="3"/>
  <c r="C3137" i="3"/>
  <c r="C3136" i="3"/>
  <c r="C3135" i="3"/>
  <c r="C3134" i="3"/>
  <c r="C3133" i="3"/>
  <c r="C3132" i="3"/>
  <c r="C3131" i="3"/>
  <c r="C3130" i="3"/>
  <c r="C3129" i="3"/>
  <c r="C3128" i="3"/>
  <c r="C3127" i="3"/>
  <c r="C3126" i="3"/>
  <c r="C3125" i="3"/>
  <c r="C3124" i="3"/>
  <c r="C3123" i="3"/>
  <c r="C3122" i="3"/>
  <c r="C3121" i="3"/>
  <c r="C3120" i="3"/>
  <c r="C3119" i="3"/>
  <c r="C3118" i="3"/>
  <c r="C3117" i="3"/>
  <c r="C3116" i="3"/>
  <c r="C3115" i="3"/>
  <c r="C3114" i="3"/>
  <c r="C3113" i="3"/>
  <c r="C3112" i="3"/>
  <c r="C3111" i="3"/>
  <c r="C3110" i="3"/>
  <c r="C3109" i="3"/>
  <c r="C3108" i="3"/>
  <c r="C3107" i="3"/>
  <c r="C3106" i="3"/>
  <c r="C3105" i="3"/>
  <c r="C3104" i="3"/>
  <c r="C3103" i="3"/>
  <c r="C3102" i="3"/>
  <c r="C3101" i="3"/>
  <c r="C3100" i="3"/>
  <c r="C3099" i="3"/>
  <c r="C3098" i="3"/>
  <c r="C3097" i="3"/>
  <c r="C3096" i="3"/>
  <c r="C3095" i="3"/>
  <c r="C3094" i="3"/>
  <c r="C3093" i="3"/>
  <c r="C3092" i="3"/>
  <c r="C3091" i="3"/>
  <c r="C3090" i="3"/>
  <c r="C3089" i="3"/>
  <c r="C3088" i="3"/>
  <c r="C3087" i="3"/>
  <c r="C3086" i="3"/>
  <c r="C3085" i="3"/>
  <c r="C3084" i="3"/>
  <c r="C3083" i="3"/>
  <c r="C3082" i="3"/>
  <c r="C3081" i="3"/>
  <c r="C3080" i="3"/>
  <c r="C3079" i="3"/>
  <c r="C3078" i="3"/>
  <c r="C3077" i="3"/>
  <c r="C3076" i="3"/>
  <c r="C3075" i="3"/>
  <c r="C3074" i="3"/>
  <c r="C3073" i="3"/>
  <c r="C3072" i="3"/>
  <c r="C3071" i="3"/>
  <c r="C3070" i="3"/>
  <c r="C3069" i="3"/>
  <c r="C3068" i="3"/>
  <c r="C3067" i="3"/>
  <c r="C3066" i="3"/>
  <c r="C3065" i="3"/>
  <c r="C3064" i="3"/>
  <c r="C3063" i="3"/>
  <c r="C3062" i="3"/>
  <c r="C3061" i="3"/>
  <c r="C3060" i="3"/>
  <c r="C3059" i="3"/>
  <c r="C3058" i="3"/>
  <c r="C3057" i="3"/>
  <c r="C3056" i="3"/>
  <c r="C3055" i="3"/>
  <c r="C3054" i="3"/>
  <c r="C3053" i="3"/>
  <c r="C3052" i="3"/>
  <c r="C3051" i="3"/>
  <c r="C3050" i="3"/>
  <c r="C3049" i="3"/>
  <c r="C3048" i="3"/>
  <c r="C3047" i="3"/>
  <c r="C3046" i="3"/>
  <c r="C3045" i="3"/>
  <c r="C3044" i="3"/>
  <c r="C3043" i="3"/>
  <c r="C3042" i="3"/>
  <c r="C3041" i="3"/>
  <c r="C3040" i="3"/>
  <c r="C3039" i="3"/>
  <c r="C3038" i="3"/>
  <c r="C3037" i="3"/>
  <c r="C3036" i="3"/>
  <c r="C3035" i="3"/>
  <c r="C3034" i="3"/>
  <c r="C3033" i="3"/>
  <c r="C3032" i="3"/>
  <c r="C3031" i="3"/>
  <c r="C3030" i="3"/>
  <c r="C3029" i="3"/>
  <c r="C3028" i="3"/>
  <c r="C3027" i="3"/>
  <c r="C3026" i="3"/>
  <c r="C3025" i="3"/>
  <c r="C3024" i="3"/>
  <c r="C3023" i="3"/>
  <c r="C3022" i="3"/>
  <c r="C3021" i="3"/>
  <c r="C3020" i="3"/>
  <c r="C3019" i="3"/>
  <c r="C3018" i="3"/>
  <c r="C3017" i="3"/>
  <c r="C3016" i="3"/>
  <c r="C3015" i="3"/>
  <c r="C3014" i="3"/>
  <c r="C3013" i="3"/>
  <c r="C3012" i="3"/>
  <c r="C3011" i="3"/>
  <c r="C3010" i="3"/>
  <c r="C3009" i="3"/>
  <c r="C3008" i="3"/>
  <c r="C3007" i="3"/>
  <c r="C3006" i="3"/>
  <c r="C3005" i="3"/>
  <c r="C3004" i="3"/>
  <c r="C3003" i="3"/>
  <c r="C3002" i="3"/>
  <c r="C3001" i="3"/>
  <c r="C3000" i="3"/>
  <c r="C2999" i="3"/>
  <c r="C2998" i="3"/>
  <c r="C2997" i="3"/>
  <c r="C2996" i="3"/>
  <c r="C2995" i="3"/>
  <c r="C2994" i="3"/>
  <c r="C2993" i="3"/>
  <c r="C2992" i="3"/>
  <c r="C2991" i="3"/>
  <c r="C2990" i="3"/>
  <c r="C2989" i="3"/>
  <c r="C2988" i="3"/>
  <c r="C2987" i="3"/>
  <c r="C2986" i="3"/>
  <c r="C2985" i="3"/>
  <c r="C2984" i="3"/>
  <c r="C2983" i="3"/>
  <c r="C2982" i="3"/>
  <c r="C2981" i="3"/>
  <c r="C2980" i="3"/>
  <c r="C2979" i="3"/>
  <c r="C2978" i="3"/>
  <c r="C2977" i="3"/>
  <c r="C2976" i="3"/>
  <c r="C2975" i="3"/>
  <c r="C2974" i="3"/>
  <c r="C2973" i="3"/>
  <c r="C2972" i="3"/>
  <c r="C2971" i="3"/>
  <c r="C2970" i="3"/>
  <c r="C2969" i="3"/>
  <c r="C2968" i="3"/>
  <c r="C2967" i="3"/>
  <c r="C2966" i="3"/>
  <c r="C2965" i="3"/>
  <c r="C2964" i="3"/>
  <c r="C2963" i="3"/>
  <c r="C2962" i="3"/>
  <c r="C2961" i="3"/>
  <c r="C2960" i="3"/>
  <c r="C2959" i="3"/>
  <c r="C2958" i="3"/>
  <c r="C2957" i="3"/>
  <c r="C2956" i="3"/>
  <c r="C2955" i="3"/>
  <c r="C2954" i="3"/>
  <c r="C2953" i="3"/>
  <c r="C2952" i="3"/>
  <c r="C2951" i="3"/>
  <c r="C2950" i="3"/>
  <c r="C2949" i="3"/>
  <c r="C2948" i="3"/>
  <c r="C2947" i="3"/>
  <c r="C2946" i="3"/>
  <c r="C2945" i="3"/>
  <c r="C2944" i="3"/>
  <c r="C2943" i="3"/>
  <c r="C2942" i="3"/>
  <c r="C2941" i="3"/>
  <c r="C2940" i="3"/>
  <c r="C2939" i="3"/>
  <c r="C2938" i="3"/>
  <c r="C2937" i="3"/>
  <c r="C2936" i="3"/>
  <c r="C2935" i="3"/>
  <c r="C2934" i="3"/>
  <c r="C2933" i="3"/>
  <c r="C2932" i="3"/>
  <c r="C2931" i="3"/>
  <c r="C2930" i="3"/>
  <c r="C2929" i="3"/>
  <c r="C2928" i="3"/>
  <c r="C2927" i="3"/>
  <c r="C2926" i="3"/>
  <c r="C2925" i="3"/>
  <c r="C2924" i="3"/>
  <c r="C2923" i="3"/>
  <c r="C2922" i="3"/>
  <c r="C2921" i="3"/>
  <c r="C2920" i="3"/>
  <c r="C2919" i="3"/>
  <c r="C2918" i="3"/>
  <c r="C2917" i="3"/>
  <c r="C2916" i="3"/>
  <c r="C2915" i="3"/>
  <c r="C2914" i="3"/>
  <c r="C2913" i="3"/>
  <c r="C2912" i="3"/>
  <c r="C2911" i="3"/>
  <c r="C2910" i="3"/>
  <c r="C2909" i="3"/>
  <c r="C2908" i="3"/>
  <c r="C2907" i="3"/>
  <c r="C2906" i="3"/>
  <c r="C2905" i="3"/>
  <c r="C2904" i="3"/>
  <c r="C2903" i="3"/>
  <c r="C2902" i="3"/>
  <c r="C2901" i="3"/>
  <c r="C2900" i="3"/>
  <c r="C2899" i="3"/>
  <c r="C2898" i="3"/>
  <c r="C2897" i="3"/>
  <c r="C2896" i="3"/>
  <c r="C2895" i="3"/>
  <c r="C2894" i="3"/>
  <c r="C2893" i="3"/>
  <c r="C2892" i="3"/>
  <c r="C2891" i="3"/>
  <c r="C2890" i="3"/>
  <c r="C2889" i="3"/>
  <c r="C2888" i="3"/>
  <c r="C2887" i="3"/>
  <c r="C2886" i="3"/>
  <c r="C2885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D155" i="23"/>
  <c r="C155" i="23"/>
  <c r="D147" i="23"/>
  <c r="C147" i="23"/>
  <c r="D139" i="23"/>
  <c r="C139" i="23"/>
  <c r="D131" i="23"/>
  <c r="C131" i="23"/>
  <c r="N123" i="23"/>
  <c r="M123" i="23"/>
  <c r="L123" i="23"/>
  <c r="K123" i="23"/>
  <c r="J123" i="23"/>
  <c r="I123" i="23"/>
  <c r="H123" i="23"/>
  <c r="G123" i="23"/>
  <c r="F123" i="23"/>
  <c r="E123" i="23"/>
  <c r="D123" i="23"/>
  <c r="C123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N114" i="23"/>
  <c r="M114" i="23"/>
  <c r="L114" i="23"/>
  <c r="K114" i="23"/>
  <c r="J114" i="23"/>
  <c r="I114" i="23"/>
  <c r="H114" i="23"/>
  <c r="G114" i="23"/>
  <c r="F114" i="23"/>
  <c r="E114" i="23"/>
  <c r="D114" i="23"/>
  <c r="C114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N102" i="23"/>
  <c r="M102" i="23"/>
  <c r="L102" i="23"/>
  <c r="K102" i="23"/>
  <c r="J102" i="23"/>
  <c r="I102" i="23"/>
  <c r="H102" i="23"/>
  <c r="G102" i="23"/>
  <c r="F102" i="23"/>
  <c r="E102" i="23"/>
  <c r="D102" i="23"/>
  <c r="C102" i="23"/>
  <c r="N92" i="23"/>
  <c r="M92" i="23"/>
  <c r="L92" i="23"/>
  <c r="K92" i="23"/>
  <c r="J92" i="23"/>
  <c r="I92" i="23"/>
  <c r="H92" i="23"/>
  <c r="G92" i="23"/>
  <c r="F92" i="23"/>
  <c r="E92" i="23"/>
  <c r="D92" i="23"/>
  <c r="C92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N80" i="23"/>
  <c r="M80" i="23"/>
  <c r="L80" i="23"/>
  <c r="K80" i="23"/>
  <c r="J80" i="23"/>
  <c r="I80" i="23"/>
  <c r="H80" i="23"/>
  <c r="G80" i="23"/>
  <c r="F80" i="23"/>
  <c r="E80" i="23"/>
  <c r="D80" i="23"/>
  <c r="C80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N58" i="23"/>
  <c r="M58" i="23"/>
  <c r="L58" i="23"/>
  <c r="K58" i="23"/>
  <c r="J58" i="23"/>
  <c r="I58" i="23"/>
  <c r="H58" i="23"/>
  <c r="G58" i="23"/>
  <c r="F58" i="23"/>
  <c r="E58" i="23"/>
  <c r="D58" i="23"/>
  <c r="C58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N46" i="23"/>
  <c r="M46" i="23"/>
  <c r="L46" i="23"/>
  <c r="K46" i="23"/>
  <c r="J46" i="23"/>
  <c r="I46" i="23"/>
  <c r="H46" i="23"/>
  <c r="G46" i="23"/>
  <c r="F46" i="23"/>
  <c r="E46" i="23"/>
  <c r="D46" i="23"/>
  <c r="C46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N9" i="23"/>
  <c r="M9" i="23"/>
  <c r="L9" i="23"/>
  <c r="K9" i="23"/>
  <c r="J9" i="23"/>
  <c r="I9" i="23"/>
  <c r="H9" i="23"/>
  <c r="G9" i="23"/>
  <c r="F9" i="23"/>
  <c r="E9" i="23"/>
  <c r="D9" i="23"/>
  <c r="C9" i="23"/>
  <c r="D155" i="22"/>
  <c r="C155" i="22"/>
  <c r="D147" i="22"/>
  <c r="C147" i="22"/>
  <c r="D139" i="22"/>
  <c r="C139" i="22"/>
  <c r="D131" i="22"/>
  <c r="C131" i="22"/>
  <c r="N123" i="22"/>
  <c r="M123" i="22"/>
  <c r="L123" i="22"/>
  <c r="K123" i="22"/>
  <c r="J123" i="22"/>
  <c r="I123" i="22"/>
  <c r="H123" i="22"/>
  <c r="G123" i="22"/>
  <c r="F123" i="22"/>
  <c r="E123" i="22"/>
  <c r="D123" i="22"/>
  <c r="C123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N114" i="22"/>
  <c r="M114" i="22"/>
  <c r="L114" i="22"/>
  <c r="K114" i="22"/>
  <c r="J114" i="22"/>
  <c r="I114" i="22"/>
  <c r="H114" i="22"/>
  <c r="G114" i="22"/>
  <c r="F114" i="22"/>
  <c r="E114" i="22"/>
  <c r="D114" i="22"/>
  <c r="C114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N102" i="22"/>
  <c r="M102" i="22"/>
  <c r="L102" i="22"/>
  <c r="K102" i="22"/>
  <c r="J102" i="22"/>
  <c r="I102" i="22"/>
  <c r="H102" i="22"/>
  <c r="G102" i="22"/>
  <c r="F102" i="22"/>
  <c r="E102" i="22"/>
  <c r="D102" i="22"/>
  <c r="C102" i="22"/>
  <c r="N92" i="22"/>
  <c r="M92" i="22"/>
  <c r="L92" i="22"/>
  <c r="K92" i="22"/>
  <c r="J92" i="22"/>
  <c r="I92" i="22"/>
  <c r="H92" i="22"/>
  <c r="G92" i="22"/>
  <c r="F92" i="22"/>
  <c r="E92" i="22"/>
  <c r="D92" i="22"/>
  <c r="C92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N80" i="22"/>
  <c r="M80" i="22"/>
  <c r="L80" i="22"/>
  <c r="K80" i="22"/>
  <c r="J80" i="22"/>
  <c r="I80" i="22"/>
  <c r="H80" i="22"/>
  <c r="G80" i="22"/>
  <c r="F80" i="22"/>
  <c r="E80" i="22"/>
  <c r="D80" i="22"/>
  <c r="C80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N61" i="22"/>
  <c r="M61" i="22"/>
  <c r="L61" i="22"/>
  <c r="K61" i="22"/>
  <c r="J61" i="22"/>
  <c r="I61" i="22"/>
  <c r="H61" i="22"/>
  <c r="G61" i="22"/>
  <c r="F61" i="22"/>
  <c r="E61" i="22"/>
  <c r="D61" i="22"/>
  <c r="C61" i="22"/>
  <c r="N58" i="22"/>
  <c r="M58" i="22"/>
  <c r="L58" i="22"/>
  <c r="K58" i="22"/>
  <c r="J58" i="22"/>
  <c r="I58" i="22"/>
  <c r="H58" i="22"/>
  <c r="G58" i="22"/>
  <c r="F58" i="22"/>
  <c r="E58" i="22"/>
  <c r="D58" i="22"/>
  <c r="C58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N46" i="22"/>
  <c r="M46" i="22"/>
  <c r="L46" i="22"/>
  <c r="K46" i="22"/>
  <c r="J46" i="22"/>
  <c r="I46" i="22"/>
  <c r="H46" i="22"/>
  <c r="G46" i="22"/>
  <c r="F46" i="22"/>
  <c r="E46" i="22"/>
  <c r="D46" i="22"/>
  <c r="C46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4" i="22"/>
  <c r="M24" i="22"/>
  <c r="L24" i="22"/>
  <c r="K24" i="22"/>
  <c r="J24" i="22"/>
  <c r="I24" i="22"/>
  <c r="H24" i="22"/>
  <c r="G24" i="22"/>
  <c r="F24" i="22"/>
  <c r="E24" i="22"/>
  <c r="D24" i="22"/>
  <c r="C24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N9" i="22"/>
  <c r="M9" i="22"/>
  <c r="L9" i="22"/>
  <c r="K9" i="22"/>
  <c r="J9" i="22"/>
  <c r="I9" i="22"/>
  <c r="H9" i="22"/>
  <c r="G9" i="22"/>
  <c r="F9" i="22"/>
  <c r="E9" i="22"/>
  <c r="D9" i="22"/>
  <c r="C9" i="22"/>
  <c r="D155" i="21"/>
  <c r="C155" i="21"/>
  <c r="D147" i="21"/>
  <c r="C147" i="21"/>
  <c r="D139" i="21"/>
  <c r="C139" i="21"/>
  <c r="D131" i="21"/>
  <c r="C131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N9" i="21"/>
  <c r="M9" i="21"/>
  <c r="L9" i="21"/>
  <c r="K9" i="21"/>
  <c r="J9" i="21"/>
  <c r="I9" i="21"/>
  <c r="H9" i="21"/>
  <c r="G9" i="21"/>
  <c r="F9" i="21"/>
  <c r="E9" i="21"/>
  <c r="D9" i="21"/>
  <c r="C9" i="21"/>
  <c r="D155" i="20"/>
  <c r="C155" i="20"/>
  <c r="D147" i="20"/>
  <c r="C147" i="20"/>
  <c r="D139" i="20"/>
  <c r="C139" i="20"/>
  <c r="D131" i="20"/>
  <c r="C131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9" i="20"/>
  <c r="M9" i="20"/>
  <c r="L9" i="20"/>
  <c r="K9" i="20"/>
  <c r="J9" i="20"/>
  <c r="I9" i="20"/>
  <c r="H9" i="20"/>
  <c r="G9" i="20"/>
  <c r="F9" i="20"/>
  <c r="E9" i="20"/>
  <c r="D9" i="20"/>
  <c r="C9" i="20"/>
  <c r="D155" i="17"/>
  <c r="C155" i="17"/>
  <c r="D147" i="17"/>
  <c r="C147" i="17"/>
  <c r="D139" i="17"/>
  <c r="C139" i="17"/>
  <c r="D131" i="17"/>
  <c r="C131" i="17"/>
  <c r="N123" i="19"/>
  <c r="M123" i="19"/>
  <c r="L123" i="19"/>
  <c r="K123" i="19"/>
  <c r="J123" i="19"/>
  <c r="I123" i="19"/>
  <c r="H123" i="19"/>
  <c r="G123" i="19"/>
  <c r="F123" i="19"/>
  <c r="E123" i="19"/>
  <c r="D123" i="19"/>
  <c r="C123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N114" i="19"/>
  <c r="M114" i="19"/>
  <c r="L114" i="19"/>
  <c r="K114" i="19"/>
  <c r="J114" i="19"/>
  <c r="I114" i="19"/>
  <c r="H114" i="19"/>
  <c r="G114" i="19"/>
  <c r="F114" i="19"/>
  <c r="E114" i="19"/>
  <c r="D114" i="19"/>
  <c r="C114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N102" i="19"/>
  <c r="M102" i="19"/>
  <c r="L102" i="19"/>
  <c r="K102" i="19"/>
  <c r="J102" i="19"/>
  <c r="I102" i="19"/>
  <c r="H102" i="19"/>
  <c r="G102" i="19"/>
  <c r="F102" i="19"/>
  <c r="E102" i="19"/>
  <c r="D102" i="19"/>
  <c r="C102" i="19"/>
  <c r="N92" i="19"/>
  <c r="M92" i="19"/>
  <c r="L92" i="19"/>
  <c r="K92" i="19"/>
  <c r="J92" i="19"/>
  <c r="I92" i="19"/>
  <c r="H92" i="19"/>
  <c r="G92" i="19"/>
  <c r="F92" i="19"/>
  <c r="E92" i="19"/>
  <c r="D92" i="19"/>
  <c r="C92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N80" i="19"/>
  <c r="M80" i="19"/>
  <c r="L80" i="19"/>
  <c r="K80" i="19"/>
  <c r="J80" i="19"/>
  <c r="I80" i="19"/>
  <c r="H80" i="19"/>
  <c r="G80" i="19"/>
  <c r="F80" i="19"/>
  <c r="E80" i="19"/>
  <c r="D80" i="19"/>
  <c r="C80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N46" i="19"/>
  <c r="M46" i="19"/>
  <c r="L46" i="19"/>
  <c r="K46" i="19"/>
  <c r="J46" i="19"/>
  <c r="I46" i="19"/>
  <c r="H46" i="19"/>
  <c r="G46" i="19"/>
  <c r="F46" i="19"/>
  <c r="E46" i="19"/>
  <c r="D46" i="19"/>
  <c r="C46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N15" i="19"/>
  <c r="M15" i="19"/>
  <c r="L15" i="19"/>
  <c r="K15" i="19"/>
  <c r="J15" i="19"/>
  <c r="I15" i="19"/>
  <c r="H15" i="19"/>
  <c r="G15" i="19"/>
  <c r="F15" i="19"/>
  <c r="E15" i="19"/>
  <c r="D15" i="19"/>
  <c r="C15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N9" i="19"/>
  <c r="M9" i="19"/>
  <c r="L9" i="19"/>
  <c r="K9" i="19"/>
  <c r="J9" i="19"/>
  <c r="I9" i="19"/>
  <c r="H9" i="19"/>
  <c r="G9" i="19"/>
  <c r="F9" i="19"/>
  <c r="E9" i="19"/>
  <c r="D9" i="19"/>
  <c r="C9" i="19"/>
  <c r="N123" i="17"/>
  <c r="M123" i="17"/>
  <c r="L123" i="17"/>
  <c r="K123" i="17"/>
  <c r="J123" i="17"/>
  <c r="I123" i="17"/>
  <c r="H123" i="17"/>
  <c r="G123" i="17"/>
  <c r="F123" i="17"/>
  <c r="E123" i="17"/>
  <c r="D123" i="17"/>
  <c r="C123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M121" i="16"/>
  <c r="M118" i="16"/>
  <c r="M115" i="16"/>
  <c r="M112" i="16"/>
  <c r="M109" i="16"/>
  <c r="L3" i="15"/>
  <c r="K3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O125" i="15"/>
  <c r="N125" i="15"/>
  <c r="M125" i="15"/>
  <c r="L125" i="15"/>
  <c r="K125" i="15"/>
  <c r="J125" i="15"/>
  <c r="I125" i="15"/>
  <c r="H125" i="15"/>
  <c r="G125" i="15"/>
  <c r="F125" i="15"/>
  <c r="E125" i="15"/>
  <c r="D125" i="15"/>
  <c r="C125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J1373" i="3"/>
  <c r="J1372" i="3"/>
  <c r="J1371" i="3"/>
  <c r="J1370" i="3"/>
  <c r="J1369" i="3"/>
  <c r="J1368" i="3"/>
  <c r="J1367" i="3"/>
  <c r="J1366" i="3"/>
  <c r="J1085" i="3"/>
  <c r="J1084" i="3"/>
  <c r="J1083" i="3"/>
  <c r="J1082" i="3"/>
  <c r="J1081" i="3"/>
  <c r="J1080" i="3"/>
  <c r="J1079" i="3"/>
  <c r="J1078" i="3"/>
  <c r="N111" i="18"/>
  <c r="M111" i="18"/>
  <c r="L111" i="18"/>
  <c r="K111" i="18"/>
  <c r="J111" i="18"/>
  <c r="I111" i="18"/>
  <c r="H111" i="18"/>
  <c r="G111" i="18"/>
  <c r="F111" i="18"/>
  <c r="E111" i="18"/>
  <c r="D111" i="18"/>
  <c r="N108" i="18"/>
  <c r="M108" i="18"/>
  <c r="L108" i="18"/>
  <c r="K108" i="18"/>
  <c r="J108" i="18"/>
  <c r="I108" i="18"/>
  <c r="H108" i="18"/>
  <c r="G108" i="18"/>
  <c r="F108" i="18"/>
  <c r="E108" i="18"/>
  <c r="D108" i="18"/>
  <c r="N105" i="18"/>
  <c r="M105" i="18"/>
  <c r="L105" i="18"/>
  <c r="K105" i="18"/>
  <c r="J105" i="18"/>
  <c r="I105" i="18"/>
  <c r="H105" i="18"/>
  <c r="G105" i="18"/>
  <c r="F105" i="18"/>
  <c r="E105" i="18"/>
  <c r="D105" i="18"/>
  <c r="N102" i="18"/>
  <c r="M102" i="18"/>
  <c r="L102" i="18"/>
  <c r="K102" i="18"/>
  <c r="J102" i="18"/>
  <c r="I102" i="18"/>
  <c r="H102" i="18"/>
  <c r="G102" i="18"/>
  <c r="F102" i="18"/>
  <c r="E102" i="18"/>
  <c r="D102" i="18"/>
  <c r="N99" i="18"/>
  <c r="M99" i="18"/>
  <c r="L99" i="18"/>
  <c r="K99" i="18"/>
  <c r="J99" i="18"/>
  <c r="I99" i="18"/>
  <c r="H99" i="18"/>
  <c r="G99" i="18"/>
  <c r="F99" i="18"/>
  <c r="E99" i="18"/>
  <c r="D99" i="18"/>
  <c r="N96" i="18"/>
  <c r="M96" i="18"/>
  <c r="L96" i="18"/>
  <c r="K96" i="18"/>
  <c r="J96" i="18"/>
  <c r="I96" i="18"/>
  <c r="H96" i="18"/>
  <c r="G96" i="18"/>
  <c r="F96" i="18"/>
  <c r="E96" i="18"/>
  <c r="D96" i="18"/>
  <c r="N93" i="18"/>
  <c r="M93" i="18"/>
  <c r="L93" i="18"/>
  <c r="K93" i="18"/>
  <c r="J93" i="18"/>
  <c r="I93" i="18"/>
  <c r="H93" i="18"/>
  <c r="G93" i="18"/>
  <c r="F93" i="18"/>
  <c r="E93" i="18"/>
  <c r="D93" i="18"/>
  <c r="N83" i="18"/>
  <c r="M83" i="18"/>
  <c r="L83" i="18"/>
  <c r="K83" i="18"/>
  <c r="J83" i="18"/>
  <c r="I83" i="18"/>
  <c r="H83" i="18"/>
  <c r="G83" i="18"/>
  <c r="F83" i="18"/>
  <c r="E83" i="18"/>
  <c r="D83" i="18"/>
  <c r="N80" i="18"/>
  <c r="M80" i="18"/>
  <c r="L80" i="18"/>
  <c r="K80" i="18"/>
  <c r="J80" i="18"/>
  <c r="I80" i="18"/>
  <c r="H80" i="18"/>
  <c r="G80" i="18"/>
  <c r="F80" i="18"/>
  <c r="E80" i="18"/>
  <c r="D80" i="18"/>
  <c r="N77" i="18"/>
  <c r="M77" i="18"/>
  <c r="L77" i="18"/>
  <c r="K77" i="18"/>
  <c r="J77" i="18"/>
  <c r="I77" i="18"/>
  <c r="H77" i="18"/>
  <c r="G77" i="18"/>
  <c r="F77" i="18"/>
  <c r="E77" i="18"/>
  <c r="D77" i="18"/>
  <c r="N74" i="18"/>
  <c r="M74" i="18"/>
  <c r="L74" i="18"/>
  <c r="K74" i="18"/>
  <c r="J74" i="18"/>
  <c r="I74" i="18"/>
  <c r="H74" i="18"/>
  <c r="G74" i="18"/>
  <c r="F74" i="18"/>
  <c r="E74" i="18"/>
  <c r="D74" i="18"/>
  <c r="N71" i="18"/>
  <c r="M71" i="18"/>
  <c r="L71" i="18"/>
  <c r="K71" i="18"/>
  <c r="J71" i="18"/>
  <c r="I71" i="18"/>
  <c r="H71" i="18"/>
  <c r="G71" i="18"/>
  <c r="F71" i="18"/>
  <c r="E71" i="18"/>
  <c r="D71" i="18"/>
  <c r="N68" i="18"/>
  <c r="M68" i="18"/>
  <c r="L68" i="18"/>
  <c r="K68" i="18"/>
  <c r="J68" i="18"/>
  <c r="I68" i="18"/>
  <c r="H68" i="18"/>
  <c r="G68" i="18"/>
  <c r="F68" i="18"/>
  <c r="E68" i="18"/>
  <c r="D68" i="18"/>
  <c r="N65" i="18"/>
  <c r="M65" i="18"/>
  <c r="L65" i="18"/>
  <c r="K65" i="18"/>
  <c r="J65" i="18"/>
  <c r="I65" i="18"/>
  <c r="H65" i="18"/>
  <c r="G65" i="18"/>
  <c r="F65" i="18"/>
  <c r="E65" i="18"/>
  <c r="D65" i="18"/>
  <c r="N55" i="18"/>
  <c r="M55" i="18"/>
  <c r="L55" i="18"/>
  <c r="K55" i="18"/>
  <c r="J55" i="18"/>
  <c r="I55" i="18"/>
  <c r="H55" i="18"/>
  <c r="G55" i="18"/>
  <c r="F55" i="18"/>
  <c r="E55" i="18"/>
  <c r="D55" i="18"/>
  <c r="N52" i="18"/>
  <c r="M52" i="18"/>
  <c r="L52" i="18"/>
  <c r="K52" i="18"/>
  <c r="J52" i="18"/>
  <c r="I52" i="18"/>
  <c r="H52" i="18"/>
  <c r="G52" i="18"/>
  <c r="F52" i="18"/>
  <c r="E52" i="18"/>
  <c r="D52" i="18"/>
  <c r="N49" i="18"/>
  <c r="M49" i="18"/>
  <c r="L49" i="18"/>
  <c r="K49" i="18"/>
  <c r="J49" i="18"/>
  <c r="I49" i="18"/>
  <c r="H49" i="18"/>
  <c r="G49" i="18"/>
  <c r="F49" i="18"/>
  <c r="E49" i="18"/>
  <c r="D49" i="18"/>
  <c r="N46" i="18"/>
  <c r="M46" i="18"/>
  <c r="L46" i="18"/>
  <c r="K46" i="18"/>
  <c r="J46" i="18"/>
  <c r="I46" i="18"/>
  <c r="H46" i="18"/>
  <c r="G46" i="18"/>
  <c r="F46" i="18"/>
  <c r="E46" i="18"/>
  <c r="D46" i="18"/>
  <c r="N43" i="18"/>
  <c r="M43" i="18"/>
  <c r="L43" i="18"/>
  <c r="K43" i="18"/>
  <c r="J43" i="18"/>
  <c r="I43" i="18"/>
  <c r="H43" i="18"/>
  <c r="G43" i="18"/>
  <c r="F43" i="18"/>
  <c r="E43" i="18"/>
  <c r="D43" i="18"/>
  <c r="N40" i="18"/>
  <c r="M40" i="18"/>
  <c r="L40" i="18"/>
  <c r="K40" i="18"/>
  <c r="J40" i="18"/>
  <c r="I40" i="18"/>
  <c r="H40" i="18"/>
  <c r="G40" i="18"/>
  <c r="F40" i="18"/>
  <c r="E40" i="18"/>
  <c r="D40" i="18"/>
  <c r="N37" i="18"/>
  <c r="M37" i="18"/>
  <c r="L37" i="18"/>
  <c r="K37" i="18"/>
  <c r="J37" i="18"/>
  <c r="I37" i="18"/>
  <c r="H37" i="18"/>
  <c r="G37" i="18"/>
  <c r="F37" i="18"/>
  <c r="E37" i="18"/>
  <c r="D37" i="18"/>
  <c r="N27" i="18"/>
  <c r="M27" i="18"/>
  <c r="L27" i="18"/>
  <c r="K27" i="18"/>
  <c r="J27" i="18"/>
  <c r="I27" i="18"/>
  <c r="H27" i="18"/>
  <c r="G27" i="18"/>
  <c r="F27" i="18"/>
  <c r="E27" i="18"/>
  <c r="D27" i="18"/>
  <c r="N24" i="18"/>
  <c r="M24" i="18"/>
  <c r="L24" i="18"/>
  <c r="K24" i="18"/>
  <c r="J24" i="18"/>
  <c r="I24" i="18"/>
  <c r="H24" i="18"/>
  <c r="G24" i="18"/>
  <c r="F24" i="18"/>
  <c r="E24" i="18"/>
  <c r="D24" i="18"/>
  <c r="N21" i="18"/>
  <c r="M21" i="18"/>
  <c r="L21" i="18"/>
  <c r="K21" i="18"/>
  <c r="J21" i="18"/>
  <c r="I21" i="18"/>
  <c r="H21" i="18"/>
  <c r="G21" i="18"/>
  <c r="F21" i="18"/>
  <c r="E21" i="18"/>
  <c r="D21" i="18"/>
  <c r="N18" i="18"/>
  <c r="M18" i="18"/>
  <c r="L18" i="18"/>
  <c r="K18" i="18"/>
  <c r="J18" i="18"/>
  <c r="I18" i="18"/>
  <c r="H18" i="18"/>
  <c r="G18" i="18"/>
  <c r="F18" i="18"/>
  <c r="E18" i="18"/>
  <c r="D18" i="18"/>
  <c r="N15" i="18"/>
  <c r="M15" i="18"/>
  <c r="L15" i="18"/>
  <c r="K15" i="18"/>
  <c r="J15" i="18"/>
  <c r="I15" i="18"/>
  <c r="H15" i="18"/>
  <c r="G15" i="18"/>
  <c r="F15" i="18"/>
  <c r="E15" i="18"/>
  <c r="D15" i="18"/>
  <c r="N12" i="18"/>
  <c r="M12" i="18"/>
  <c r="L12" i="18"/>
  <c r="K12" i="18"/>
  <c r="J12" i="18"/>
  <c r="I12" i="18"/>
  <c r="H12" i="18"/>
  <c r="G12" i="18"/>
  <c r="F12" i="18"/>
  <c r="E12" i="18"/>
  <c r="D12" i="18"/>
  <c r="N9" i="18"/>
  <c r="M9" i="18"/>
  <c r="L9" i="18"/>
  <c r="K9" i="18"/>
  <c r="J9" i="18"/>
  <c r="I9" i="18"/>
  <c r="H9" i="18"/>
  <c r="G9" i="18"/>
  <c r="F9" i="18"/>
  <c r="E9" i="18"/>
  <c r="D9" i="18"/>
  <c r="N114" i="17"/>
  <c r="M114" i="17"/>
  <c r="L114" i="17"/>
  <c r="K114" i="17"/>
  <c r="J114" i="17"/>
  <c r="I114" i="17"/>
  <c r="H114" i="17"/>
  <c r="G114" i="17"/>
  <c r="F114" i="17"/>
  <c r="E114" i="17"/>
  <c r="D114" i="17"/>
  <c r="C114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N102" i="17"/>
  <c r="M102" i="17"/>
  <c r="L102" i="17"/>
  <c r="K102" i="17"/>
  <c r="J102" i="17"/>
  <c r="I102" i="17"/>
  <c r="H102" i="17"/>
  <c r="G102" i="17"/>
  <c r="F102" i="17"/>
  <c r="E102" i="17"/>
  <c r="D102" i="17"/>
  <c r="C102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N9" i="17"/>
  <c r="M9" i="17"/>
  <c r="L9" i="17"/>
  <c r="K9" i="17"/>
  <c r="J9" i="17"/>
  <c r="I9" i="17"/>
  <c r="H9" i="17"/>
  <c r="G9" i="17"/>
  <c r="F9" i="17"/>
  <c r="E9" i="17"/>
  <c r="D9" i="17"/>
  <c r="C9" i="17"/>
  <c r="L121" i="16"/>
  <c r="K121" i="16"/>
  <c r="J121" i="16"/>
  <c r="I121" i="16"/>
  <c r="H121" i="16"/>
  <c r="G121" i="16"/>
  <c r="F121" i="16"/>
  <c r="E121" i="16"/>
  <c r="D121" i="16"/>
  <c r="C121" i="16"/>
  <c r="L118" i="16"/>
  <c r="K118" i="16"/>
  <c r="J118" i="16"/>
  <c r="I118" i="16"/>
  <c r="H118" i="16"/>
  <c r="G118" i="16"/>
  <c r="F118" i="16"/>
  <c r="E118" i="16"/>
  <c r="D118" i="16"/>
  <c r="C118" i="16"/>
  <c r="L115" i="16"/>
  <c r="K115" i="16"/>
  <c r="J115" i="16"/>
  <c r="I115" i="16"/>
  <c r="H115" i="16"/>
  <c r="G115" i="16"/>
  <c r="F115" i="16"/>
  <c r="E115" i="16"/>
  <c r="D115" i="16"/>
  <c r="C115" i="16"/>
  <c r="L112" i="16"/>
  <c r="K112" i="16"/>
  <c r="J112" i="16"/>
  <c r="I112" i="16"/>
  <c r="H112" i="16"/>
  <c r="G112" i="16"/>
  <c r="F112" i="16"/>
  <c r="E112" i="16"/>
  <c r="D112" i="16"/>
  <c r="C112" i="16"/>
  <c r="L109" i="16"/>
  <c r="K109" i="16"/>
  <c r="J109" i="16"/>
  <c r="I109" i="16"/>
  <c r="H109" i="16"/>
  <c r="G109" i="16"/>
  <c r="F109" i="16"/>
  <c r="E109" i="16"/>
  <c r="D109" i="16"/>
  <c r="C109" i="16"/>
  <c r="M106" i="16"/>
  <c r="L106" i="16"/>
  <c r="K106" i="16"/>
  <c r="J106" i="16"/>
  <c r="I106" i="16"/>
  <c r="H106" i="16"/>
  <c r="G106" i="16"/>
  <c r="F106" i="16"/>
  <c r="E106" i="16"/>
  <c r="D106" i="16"/>
  <c r="C106" i="16"/>
  <c r="M100" i="16"/>
  <c r="L100" i="16"/>
  <c r="K100" i="16"/>
  <c r="I100" i="16"/>
  <c r="M96" i="16"/>
  <c r="L96" i="16"/>
  <c r="K96" i="16"/>
  <c r="J96" i="16"/>
  <c r="I96" i="16"/>
  <c r="H96" i="16"/>
  <c r="G96" i="16"/>
  <c r="F96" i="16"/>
  <c r="E96" i="16"/>
  <c r="D96" i="16"/>
  <c r="C96" i="16"/>
  <c r="M93" i="16"/>
  <c r="L93" i="16"/>
  <c r="K93" i="16"/>
  <c r="J93" i="16"/>
  <c r="I93" i="16"/>
  <c r="H93" i="16"/>
  <c r="G93" i="16"/>
  <c r="F93" i="16"/>
  <c r="E93" i="16"/>
  <c r="D93" i="16"/>
  <c r="C93" i="16"/>
  <c r="M90" i="16"/>
  <c r="L90" i="16"/>
  <c r="K90" i="16"/>
  <c r="J90" i="16"/>
  <c r="I90" i="16"/>
  <c r="H90" i="16"/>
  <c r="G90" i="16"/>
  <c r="F90" i="16"/>
  <c r="E90" i="16"/>
  <c r="D90" i="16"/>
  <c r="C90" i="16"/>
  <c r="M87" i="16"/>
  <c r="L87" i="16"/>
  <c r="K87" i="16"/>
  <c r="J87" i="16"/>
  <c r="I87" i="16"/>
  <c r="H87" i="16"/>
  <c r="G87" i="16"/>
  <c r="F87" i="16"/>
  <c r="E87" i="16"/>
  <c r="D87" i="16"/>
  <c r="C87" i="16"/>
  <c r="M84" i="16"/>
  <c r="L84" i="16"/>
  <c r="K84" i="16"/>
  <c r="J84" i="16"/>
  <c r="I84" i="16"/>
  <c r="H84" i="16"/>
  <c r="G84" i="16"/>
  <c r="F84" i="16"/>
  <c r="E84" i="16"/>
  <c r="D84" i="16"/>
  <c r="C84" i="16"/>
  <c r="M81" i="16"/>
  <c r="L81" i="16"/>
  <c r="K81" i="16"/>
  <c r="J81" i="16"/>
  <c r="I81" i="16"/>
  <c r="H81" i="16"/>
  <c r="G81" i="16"/>
  <c r="F81" i="16"/>
  <c r="E81" i="16"/>
  <c r="D81" i="16"/>
  <c r="C81" i="16"/>
  <c r="M75" i="16"/>
  <c r="L75" i="16"/>
  <c r="K75" i="16"/>
  <c r="I75" i="16"/>
  <c r="M71" i="16"/>
  <c r="L71" i="16"/>
  <c r="K71" i="16"/>
  <c r="J71" i="16"/>
  <c r="I71" i="16"/>
  <c r="H71" i="16"/>
  <c r="G71" i="16"/>
  <c r="F71" i="16"/>
  <c r="E71" i="16"/>
  <c r="D71" i="16"/>
  <c r="C71" i="16"/>
  <c r="M68" i="16"/>
  <c r="L68" i="16"/>
  <c r="K68" i="16"/>
  <c r="J68" i="16"/>
  <c r="I68" i="16"/>
  <c r="H68" i="16"/>
  <c r="G68" i="16"/>
  <c r="F68" i="16"/>
  <c r="E68" i="16"/>
  <c r="D68" i="16"/>
  <c r="C68" i="16"/>
  <c r="M65" i="16"/>
  <c r="L65" i="16"/>
  <c r="K65" i="16"/>
  <c r="J65" i="16"/>
  <c r="I65" i="16"/>
  <c r="H65" i="16"/>
  <c r="G65" i="16"/>
  <c r="F65" i="16"/>
  <c r="E65" i="16"/>
  <c r="D65" i="16"/>
  <c r="C65" i="16"/>
  <c r="M62" i="16"/>
  <c r="L62" i="16"/>
  <c r="K62" i="16"/>
  <c r="J62" i="16"/>
  <c r="I62" i="16"/>
  <c r="H62" i="16"/>
  <c r="G62" i="16"/>
  <c r="F62" i="16"/>
  <c r="E62" i="16"/>
  <c r="D62" i="16"/>
  <c r="C62" i="16"/>
  <c r="M59" i="16"/>
  <c r="L59" i="16"/>
  <c r="K59" i="16"/>
  <c r="J59" i="16"/>
  <c r="I59" i="16"/>
  <c r="H59" i="16"/>
  <c r="G59" i="16"/>
  <c r="F59" i="16"/>
  <c r="E59" i="16"/>
  <c r="D59" i="16"/>
  <c r="C59" i="16"/>
  <c r="M53" i="16"/>
  <c r="L53" i="16"/>
  <c r="K53" i="16"/>
  <c r="I53" i="16"/>
  <c r="M49" i="16"/>
  <c r="L49" i="16"/>
  <c r="K49" i="16"/>
  <c r="J49" i="16"/>
  <c r="I49" i="16"/>
  <c r="H49" i="16"/>
  <c r="G49" i="16"/>
  <c r="F49" i="16"/>
  <c r="E49" i="16"/>
  <c r="D49" i="16"/>
  <c r="C49" i="16"/>
  <c r="M46" i="16"/>
  <c r="L46" i="16"/>
  <c r="K46" i="16"/>
  <c r="J46" i="16"/>
  <c r="I46" i="16"/>
  <c r="H46" i="16"/>
  <c r="G46" i="16"/>
  <c r="F46" i="16"/>
  <c r="E46" i="16"/>
  <c r="D46" i="16"/>
  <c r="C46" i="16"/>
  <c r="M43" i="16"/>
  <c r="L43" i="16"/>
  <c r="K43" i="16"/>
  <c r="J43" i="16"/>
  <c r="I43" i="16"/>
  <c r="H43" i="16"/>
  <c r="G43" i="16"/>
  <c r="F43" i="16"/>
  <c r="E43" i="16"/>
  <c r="D43" i="16"/>
  <c r="C43" i="16"/>
  <c r="M40" i="16"/>
  <c r="L40" i="16"/>
  <c r="K40" i="16"/>
  <c r="J40" i="16"/>
  <c r="I40" i="16"/>
  <c r="H40" i="16"/>
  <c r="G40" i="16"/>
  <c r="F40" i="16"/>
  <c r="E40" i="16"/>
  <c r="D40" i="16"/>
  <c r="C40" i="16"/>
  <c r="M37" i="16"/>
  <c r="L37" i="16"/>
  <c r="K37" i="16"/>
  <c r="J37" i="16"/>
  <c r="I37" i="16"/>
  <c r="H37" i="16"/>
  <c r="G37" i="16"/>
  <c r="F37" i="16"/>
  <c r="E37" i="16"/>
  <c r="D37" i="16"/>
  <c r="C37" i="16"/>
  <c r="M34" i="16"/>
  <c r="L34" i="16"/>
  <c r="K34" i="16"/>
  <c r="J34" i="16"/>
  <c r="I34" i="16"/>
  <c r="H34" i="16"/>
  <c r="G34" i="16"/>
  <c r="F34" i="16"/>
  <c r="E34" i="16"/>
  <c r="D34" i="16"/>
  <c r="C34" i="16"/>
  <c r="M28" i="16"/>
  <c r="L28" i="16"/>
  <c r="K28" i="16"/>
  <c r="I28" i="16"/>
  <c r="M24" i="16"/>
  <c r="L24" i="16"/>
  <c r="K24" i="16"/>
  <c r="J24" i="16"/>
  <c r="I24" i="16"/>
  <c r="H24" i="16"/>
  <c r="G24" i="16"/>
  <c r="F24" i="16"/>
  <c r="E24" i="16"/>
  <c r="D24" i="16"/>
  <c r="C24" i="16"/>
  <c r="M21" i="16"/>
  <c r="L21" i="16"/>
  <c r="K21" i="16"/>
  <c r="J21" i="16"/>
  <c r="I21" i="16"/>
  <c r="H21" i="16"/>
  <c r="G21" i="16"/>
  <c r="F21" i="16"/>
  <c r="E21" i="16"/>
  <c r="D21" i="16"/>
  <c r="C21" i="16"/>
  <c r="M18" i="16"/>
  <c r="L18" i="16"/>
  <c r="K18" i="16"/>
  <c r="J18" i="16"/>
  <c r="I18" i="16"/>
  <c r="H18" i="16"/>
  <c r="G18" i="16"/>
  <c r="F18" i="16"/>
  <c r="E18" i="16"/>
  <c r="D18" i="16"/>
  <c r="C18" i="16"/>
  <c r="M15" i="16"/>
  <c r="L15" i="16"/>
  <c r="K15" i="16"/>
  <c r="J15" i="16"/>
  <c r="I15" i="16"/>
  <c r="H15" i="16"/>
  <c r="G15" i="16"/>
  <c r="F15" i="16"/>
  <c r="E15" i="16"/>
  <c r="D15" i="16"/>
  <c r="C15" i="16"/>
  <c r="M12" i="16"/>
  <c r="L12" i="16"/>
  <c r="K12" i="16"/>
  <c r="J12" i="16"/>
  <c r="I12" i="16"/>
  <c r="H12" i="16"/>
  <c r="G12" i="16"/>
  <c r="F12" i="16"/>
  <c r="E12" i="16"/>
  <c r="D12" i="16"/>
  <c r="C12" i="16"/>
  <c r="M9" i="16"/>
  <c r="L9" i="16"/>
  <c r="K9" i="16"/>
  <c r="J9" i="16"/>
  <c r="I9" i="16"/>
  <c r="H9" i="16"/>
  <c r="G9" i="16"/>
  <c r="F9" i="16"/>
  <c r="E9" i="16"/>
  <c r="D9" i="16"/>
  <c r="C9" i="16"/>
  <c r="M3" i="16"/>
  <c r="L3" i="16"/>
  <c r="K3" i="16"/>
  <c r="I3" i="16"/>
  <c r="O171" i="15"/>
  <c r="N171" i="15"/>
  <c r="M171" i="15"/>
  <c r="L171" i="15"/>
  <c r="K171" i="15"/>
  <c r="J171" i="15"/>
  <c r="I171" i="15"/>
  <c r="H171" i="15"/>
  <c r="G171" i="15"/>
  <c r="F171" i="15"/>
  <c r="E171" i="15"/>
  <c r="D171" i="15"/>
  <c r="C171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O162" i="15"/>
  <c r="N162" i="15"/>
  <c r="M162" i="15"/>
  <c r="L162" i="15"/>
  <c r="K162" i="15"/>
  <c r="J162" i="15"/>
  <c r="I162" i="15"/>
  <c r="H162" i="15"/>
  <c r="G162" i="15"/>
  <c r="F162" i="15"/>
  <c r="E162" i="15"/>
  <c r="D162" i="15"/>
  <c r="C162" i="15"/>
  <c r="O159" i="15"/>
  <c r="N159" i="15"/>
  <c r="M159" i="15"/>
  <c r="L159" i="15"/>
  <c r="K159" i="15"/>
  <c r="J159" i="15"/>
  <c r="I159" i="15"/>
  <c r="H159" i="15"/>
  <c r="G159" i="15"/>
  <c r="F159" i="15"/>
  <c r="E159" i="15"/>
  <c r="D159" i="15"/>
  <c r="C159" i="15"/>
  <c r="O156" i="15"/>
  <c r="N156" i="15"/>
  <c r="M156" i="15"/>
  <c r="L156" i="15"/>
  <c r="K156" i="15"/>
  <c r="J156" i="15"/>
  <c r="I156" i="15"/>
  <c r="H156" i="15"/>
  <c r="G156" i="15"/>
  <c r="F156" i="15"/>
  <c r="E156" i="15"/>
  <c r="D156" i="15"/>
  <c r="C156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O147" i="15"/>
  <c r="N147" i="15"/>
  <c r="M147" i="15"/>
  <c r="L147" i="15"/>
  <c r="K147" i="15"/>
  <c r="J147" i="15"/>
  <c r="I147" i="15"/>
  <c r="H147" i="15"/>
  <c r="G147" i="15"/>
  <c r="F147" i="15"/>
  <c r="E147" i="15"/>
  <c r="D147" i="15"/>
  <c r="C147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O132" i="15"/>
  <c r="N132" i="15"/>
  <c r="M132" i="15"/>
  <c r="L132" i="15"/>
  <c r="K132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O113" i="15"/>
  <c r="N113" i="15"/>
  <c r="M113" i="15"/>
  <c r="L113" i="15"/>
  <c r="K113" i="15"/>
  <c r="J113" i="15"/>
  <c r="I113" i="15"/>
  <c r="H113" i="15"/>
  <c r="G113" i="15"/>
  <c r="F113" i="15"/>
  <c r="E113" i="15"/>
  <c r="D113" i="15"/>
  <c r="C113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O101" i="15"/>
  <c r="N101" i="15"/>
  <c r="M101" i="15"/>
  <c r="L101" i="15"/>
  <c r="K101" i="15"/>
  <c r="J101" i="15"/>
  <c r="I101" i="15"/>
  <c r="H101" i="15"/>
  <c r="G101" i="15"/>
  <c r="F101" i="15"/>
  <c r="E101" i="15"/>
  <c r="D101" i="15"/>
  <c r="C101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O89" i="15"/>
  <c r="N89" i="15"/>
  <c r="M89" i="15"/>
  <c r="L89" i="15"/>
  <c r="K89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O46" i="15"/>
  <c r="N46" i="15"/>
  <c r="M46" i="15"/>
  <c r="L46" i="15"/>
  <c r="K46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O3" i="15"/>
  <c r="N3" i="15"/>
  <c r="M3" i="15"/>
  <c r="M147" i="14"/>
  <c r="L147" i="14"/>
  <c r="K147" i="14"/>
  <c r="J147" i="14"/>
  <c r="I147" i="14"/>
  <c r="H147" i="14"/>
  <c r="G147" i="14"/>
  <c r="F147" i="14"/>
  <c r="E147" i="14"/>
  <c r="D147" i="14"/>
  <c r="C147" i="14"/>
  <c r="M144" i="14"/>
  <c r="L144" i="14"/>
  <c r="K144" i="14"/>
  <c r="J144" i="14"/>
  <c r="I144" i="14"/>
  <c r="H144" i="14"/>
  <c r="G144" i="14"/>
  <c r="F144" i="14"/>
  <c r="E144" i="14"/>
  <c r="D144" i="14"/>
  <c r="C144" i="14"/>
  <c r="M141" i="14"/>
  <c r="L141" i="14"/>
  <c r="K141" i="14"/>
  <c r="J141" i="14"/>
  <c r="I141" i="14"/>
  <c r="H141" i="14"/>
  <c r="G141" i="14"/>
  <c r="F141" i="14"/>
  <c r="E141" i="14"/>
  <c r="D141" i="14"/>
  <c r="C141" i="14"/>
  <c r="M138" i="14"/>
  <c r="L138" i="14"/>
  <c r="K138" i="14"/>
  <c r="J138" i="14"/>
  <c r="I138" i="14"/>
  <c r="H138" i="14"/>
  <c r="G138" i="14"/>
  <c r="F138" i="14"/>
  <c r="E138" i="14"/>
  <c r="D138" i="14"/>
  <c r="C138" i="14"/>
  <c r="M135" i="14"/>
  <c r="L135" i="14"/>
  <c r="K135" i="14"/>
  <c r="J135" i="14"/>
  <c r="I135" i="14"/>
  <c r="H135" i="14"/>
  <c r="G135" i="14"/>
  <c r="F135" i="14"/>
  <c r="E135" i="14"/>
  <c r="D135" i="14"/>
  <c r="C135" i="14"/>
  <c r="M132" i="14"/>
  <c r="L132" i="14"/>
  <c r="K132" i="14"/>
  <c r="J132" i="14"/>
  <c r="I132" i="14"/>
  <c r="H132" i="14"/>
  <c r="G132" i="14"/>
  <c r="F132" i="14"/>
  <c r="E132" i="14"/>
  <c r="D132" i="14"/>
  <c r="C132" i="14"/>
  <c r="M129" i="14"/>
  <c r="L129" i="14"/>
  <c r="K129" i="14"/>
  <c r="J129" i="14"/>
  <c r="I129" i="14"/>
  <c r="H129" i="14"/>
  <c r="G129" i="14"/>
  <c r="F129" i="14"/>
  <c r="E129" i="14"/>
  <c r="D129" i="14"/>
  <c r="C129" i="14"/>
  <c r="M126" i="14"/>
  <c r="L126" i="14"/>
  <c r="K126" i="14"/>
  <c r="J126" i="14"/>
  <c r="I126" i="14"/>
  <c r="H126" i="14"/>
  <c r="G126" i="14"/>
  <c r="F126" i="14"/>
  <c r="E126" i="14"/>
  <c r="D126" i="14"/>
  <c r="C126" i="14"/>
  <c r="M123" i="14"/>
  <c r="L123" i="14"/>
  <c r="K123" i="14"/>
  <c r="J123" i="14"/>
  <c r="I123" i="14"/>
  <c r="H123" i="14"/>
  <c r="G123" i="14"/>
  <c r="F123" i="14"/>
  <c r="E123" i="14"/>
  <c r="D123" i="14"/>
  <c r="C123" i="14"/>
  <c r="M120" i="14"/>
  <c r="L120" i="14"/>
  <c r="K120" i="14"/>
  <c r="J120" i="14"/>
  <c r="I120" i="14"/>
  <c r="H120" i="14"/>
  <c r="G120" i="14"/>
  <c r="F120" i="14"/>
  <c r="E120" i="14"/>
  <c r="D120" i="14"/>
  <c r="C120" i="14"/>
  <c r="M110" i="14"/>
  <c r="L110" i="14"/>
  <c r="K110" i="14"/>
  <c r="J110" i="14"/>
  <c r="I110" i="14"/>
  <c r="H110" i="14"/>
  <c r="G110" i="14"/>
  <c r="F110" i="14"/>
  <c r="E110" i="14"/>
  <c r="D110" i="14"/>
  <c r="C110" i="14"/>
  <c r="M107" i="14"/>
  <c r="L107" i="14"/>
  <c r="K107" i="14"/>
  <c r="J107" i="14"/>
  <c r="I107" i="14"/>
  <c r="H107" i="14"/>
  <c r="G107" i="14"/>
  <c r="F107" i="14"/>
  <c r="E107" i="14"/>
  <c r="D107" i="14"/>
  <c r="C107" i="14"/>
  <c r="M104" i="14"/>
  <c r="L104" i="14"/>
  <c r="K104" i="14"/>
  <c r="J104" i="14"/>
  <c r="I104" i="14"/>
  <c r="H104" i="14"/>
  <c r="G104" i="14"/>
  <c r="F104" i="14"/>
  <c r="E104" i="14"/>
  <c r="D104" i="14"/>
  <c r="C104" i="14"/>
  <c r="M101" i="14"/>
  <c r="L101" i="14"/>
  <c r="K101" i="14"/>
  <c r="J101" i="14"/>
  <c r="I101" i="14"/>
  <c r="H101" i="14"/>
  <c r="G101" i="14"/>
  <c r="F101" i="14"/>
  <c r="E101" i="14"/>
  <c r="D101" i="14"/>
  <c r="C101" i="14"/>
  <c r="M98" i="14"/>
  <c r="L98" i="14"/>
  <c r="K98" i="14"/>
  <c r="J98" i="14"/>
  <c r="I98" i="14"/>
  <c r="H98" i="14"/>
  <c r="G98" i="14"/>
  <c r="F98" i="14"/>
  <c r="E98" i="14"/>
  <c r="D98" i="14"/>
  <c r="C98" i="14"/>
  <c r="M95" i="14"/>
  <c r="L95" i="14"/>
  <c r="K95" i="14"/>
  <c r="J95" i="14"/>
  <c r="I95" i="14"/>
  <c r="H95" i="14"/>
  <c r="G95" i="14"/>
  <c r="F95" i="14"/>
  <c r="E95" i="14"/>
  <c r="D95" i="14"/>
  <c r="C95" i="14"/>
  <c r="M92" i="14"/>
  <c r="L92" i="14"/>
  <c r="K92" i="14"/>
  <c r="J92" i="14"/>
  <c r="I92" i="14"/>
  <c r="H92" i="14"/>
  <c r="G92" i="14"/>
  <c r="F92" i="14"/>
  <c r="E92" i="14"/>
  <c r="D92" i="14"/>
  <c r="C92" i="14"/>
  <c r="M89" i="14"/>
  <c r="L89" i="14"/>
  <c r="K89" i="14"/>
  <c r="J89" i="14"/>
  <c r="I89" i="14"/>
  <c r="H89" i="14"/>
  <c r="G89" i="14"/>
  <c r="F89" i="14"/>
  <c r="E89" i="14"/>
  <c r="D89" i="14"/>
  <c r="C89" i="14"/>
  <c r="M86" i="14"/>
  <c r="L86" i="14"/>
  <c r="K86" i="14"/>
  <c r="J86" i="14"/>
  <c r="I86" i="14"/>
  <c r="H86" i="14"/>
  <c r="G86" i="14"/>
  <c r="F86" i="14"/>
  <c r="E86" i="14"/>
  <c r="D86" i="14"/>
  <c r="C86" i="14"/>
  <c r="M83" i="14"/>
  <c r="L83" i="14"/>
  <c r="K83" i="14"/>
  <c r="J83" i="14"/>
  <c r="I83" i="14"/>
  <c r="H83" i="14"/>
  <c r="G83" i="14"/>
  <c r="F83" i="14"/>
  <c r="E83" i="14"/>
  <c r="D83" i="14"/>
  <c r="C83" i="14"/>
  <c r="M73" i="14"/>
  <c r="L73" i="14"/>
  <c r="K73" i="14"/>
  <c r="J73" i="14"/>
  <c r="I73" i="14"/>
  <c r="H73" i="14"/>
  <c r="G73" i="14"/>
  <c r="F73" i="14"/>
  <c r="E73" i="14"/>
  <c r="D73" i="14"/>
  <c r="C73" i="14"/>
  <c r="M70" i="14"/>
  <c r="L70" i="14"/>
  <c r="K70" i="14"/>
  <c r="J70" i="14"/>
  <c r="I70" i="14"/>
  <c r="H70" i="14"/>
  <c r="G70" i="14"/>
  <c r="F70" i="14"/>
  <c r="E70" i="14"/>
  <c r="D70" i="14"/>
  <c r="C70" i="14"/>
  <c r="M67" i="14"/>
  <c r="L67" i="14"/>
  <c r="K67" i="14"/>
  <c r="J67" i="14"/>
  <c r="I67" i="14"/>
  <c r="H67" i="14"/>
  <c r="G67" i="14"/>
  <c r="F67" i="14"/>
  <c r="E67" i="14"/>
  <c r="D67" i="14"/>
  <c r="C67" i="14"/>
  <c r="M64" i="14"/>
  <c r="L64" i="14"/>
  <c r="K64" i="14"/>
  <c r="J64" i="14"/>
  <c r="I64" i="14"/>
  <c r="H64" i="14"/>
  <c r="G64" i="14"/>
  <c r="F64" i="14"/>
  <c r="E64" i="14"/>
  <c r="D64" i="14"/>
  <c r="C64" i="14"/>
  <c r="M61" i="14"/>
  <c r="L61" i="14"/>
  <c r="K61" i="14"/>
  <c r="J61" i="14"/>
  <c r="I61" i="14"/>
  <c r="H61" i="14"/>
  <c r="G61" i="14"/>
  <c r="F61" i="14"/>
  <c r="E61" i="14"/>
  <c r="D61" i="14"/>
  <c r="C61" i="14"/>
  <c r="M58" i="14"/>
  <c r="L58" i="14"/>
  <c r="K58" i="14"/>
  <c r="J58" i="14"/>
  <c r="I58" i="14"/>
  <c r="H58" i="14"/>
  <c r="G58" i="14"/>
  <c r="F58" i="14"/>
  <c r="E58" i="14"/>
  <c r="D58" i="14"/>
  <c r="C58" i="14"/>
  <c r="M55" i="14"/>
  <c r="L55" i="14"/>
  <c r="K55" i="14"/>
  <c r="J55" i="14"/>
  <c r="I55" i="14"/>
  <c r="H55" i="14"/>
  <c r="G55" i="14"/>
  <c r="F55" i="14"/>
  <c r="E55" i="14"/>
  <c r="D55" i="14"/>
  <c r="C55" i="14"/>
  <c r="M52" i="14"/>
  <c r="L52" i="14"/>
  <c r="K52" i="14"/>
  <c r="J52" i="14"/>
  <c r="I52" i="14"/>
  <c r="H52" i="14"/>
  <c r="G52" i="14"/>
  <c r="F52" i="14"/>
  <c r="E52" i="14"/>
  <c r="D52" i="14"/>
  <c r="C52" i="14"/>
  <c r="M49" i="14"/>
  <c r="L49" i="14"/>
  <c r="K49" i="14"/>
  <c r="J49" i="14"/>
  <c r="I49" i="14"/>
  <c r="H49" i="14"/>
  <c r="G49" i="14"/>
  <c r="F49" i="14"/>
  <c r="E49" i="14"/>
  <c r="D49" i="14"/>
  <c r="C49" i="14"/>
  <c r="M46" i="14"/>
  <c r="L46" i="14"/>
  <c r="K46" i="14"/>
  <c r="J46" i="14"/>
  <c r="I46" i="14"/>
  <c r="H46" i="14"/>
  <c r="G46" i="14"/>
  <c r="F46" i="14"/>
  <c r="E46" i="14"/>
  <c r="D46" i="14"/>
  <c r="C46" i="14"/>
  <c r="M36" i="14"/>
  <c r="L36" i="14"/>
  <c r="K36" i="14"/>
  <c r="J36" i="14"/>
  <c r="I36" i="14"/>
  <c r="H36" i="14"/>
  <c r="G36" i="14"/>
  <c r="F36" i="14"/>
  <c r="E36" i="14"/>
  <c r="D36" i="14"/>
  <c r="C36" i="14"/>
  <c r="M33" i="14"/>
  <c r="L33" i="14"/>
  <c r="K33" i="14"/>
  <c r="J33" i="14"/>
  <c r="I33" i="14"/>
  <c r="H33" i="14"/>
  <c r="G33" i="14"/>
  <c r="F33" i="14"/>
  <c r="E33" i="14"/>
  <c r="D33" i="14"/>
  <c r="C33" i="14"/>
  <c r="M30" i="14"/>
  <c r="L30" i="14"/>
  <c r="K30" i="14"/>
  <c r="J30" i="14"/>
  <c r="I30" i="14"/>
  <c r="H30" i="14"/>
  <c r="G30" i="14"/>
  <c r="F30" i="14"/>
  <c r="E30" i="14"/>
  <c r="D30" i="14"/>
  <c r="C30" i="14"/>
  <c r="M27" i="14"/>
  <c r="L27" i="14"/>
  <c r="K27" i="14"/>
  <c r="J27" i="14"/>
  <c r="I27" i="14"/>
  <c r="H27" i="14"/>
  <c r="G27" i="14"/>
  <c r="F27" i="14"/>
  <c r="E27" i="14"/>
  <c r="D27" i="14"/>
  <c r="C27" i="14"/>
  <c r="M24" i="14"/>
  <c r="L24" i="14"/>
  <c r="K24" i="14"/>
  <c r="J24" i="14"/>
  <c r="I24" i="14"/>
  <c r="H24" i="14"/>
  <c r="G24" i="14"/>
  <c r="F24" i="14"/>
  <c r="E24" i="14"/>
  <c r="D24" i="14"/>
  <c r="C24" i="14"/>
  <c r="M21" i="14"/>
  <c r="L21" i="14"/>
  <c r="K21" i="14"/>
  <c r="J21" i="14"/>
  <c r="I21" i="14"/>
  <c r="H21" i="14"/>
  <c r="G21" i="14"/>
  <c r="F21" i="14"/>
  <c r="E21" i="14"/>
  <c r="D21" i="14"/>
  <c r="C21" i="14"/>
  <c r="M18" i="14"/>
  <c r="L18" i="14"/>
  <c r="K18" i="14"/>
  <c r="J18" i="14"/>
  <c r="I18" i="14"/>
  <c r="H18" i="14"/>
  <c r="G18" i="14"/>
  <c r="F18" i="14"/>
  <c r="E18" i="14"/>
  <c r="D18" i="14"/>
  <c r="C18" i="14"/>
  <c r="M15" i="14"/>
  <c r="L15" i="14"/>
  <c r="K15" i="14"/>
  <c r="J15" i="14"/>
  <c r="I15" i="14"/>
  <c r="H15" i="14"/>
  <c r="G15" i="14"/>
  <c r="F15" i="14"/>
  <c r="E15" i="14"/>
  <c r="D15" i="14"/>
  <c r="C15" i="14"/>
  <c r="M12" i="14"/>
  <c r="L12" i="14"/>
  <c r="K12" i="14"/>
  <c r="J12" i="14"/>
  <c r="I12" i="14"/>
  <c r="H12" i="14"/>
  <c r="G12" i="14"/>
  <c r="F12" i="14"/>
  <c r="E12" i="14"/>
  <c r="D12" i="14"/>
  <c r="C12" i="14"/>
  <c r="M9" i="14"/>
  <c r="L9" i="14"/>
  <c r="K9" i="14"/>
  <c r="J9" i="14"/>
  <c r="I9" i="14"/>
  <c r="H9" i="14"/>
  <c r="G9" i="14"/>
  <c r="F9" i="14"/>
  <c r="E9" i="14"/>
  <c r="D9" i="14"/>
  <c r="C9" i="14"/>
  <c r="N87" i="13"/>
  <c r="M87" i="13"/>
  <c r="L87" i="13"/>
  <c r="K87" i="13"/>
  <c r="J87" i="13"/>
  <c r="I87" i="13"/>
  <c r="H87" i="13"/>
  <c r="G87" i="13"/>
  <c r="F87" i="13"/>
  <c r="E87" i="13"/>
  <c r="D87" i="13"/>
  <c r="C87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N9" i="13"/>
  <c r="M9" i="13"/>
  <c r="L9" i="13"/>
  <c r="K9" i="13"/>
  <c r="J9" i="13"/>
  <c r="I9" i="13"/>
  <c r="H9" i="13"/>
  <c r="G9" i="13"/>
  <c r="F9" i="13"/>
  <c r="E9" i="13"/>
  <c r="D9" i="13"/>
  <c r="C9" i="13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Q46" i="12"/>
  <c r="P46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Q43" i="12"/>
  <c r="P43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M34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Q15" i="12"/>
  <c r="P15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D9" i="12"/>
  <c r="C9" i="12"/>
  <c r="M3" i="12"/>
  <c r="K83" i="11"/>
  <c r="J83" i="11"/>
  <c r="I83" i="11"/>
  <c r="H83" i="11"/>
  <c r="G83" i="11"/>
  <c r="F83" i="11"/>
  <c r="E83" i="11"/>
  <c r="D83" i="11"/>
  <c r="C83" i="11"/>
  <c r="K80" i="11"/>
  <c r="J80" i="11"/>
  <c r="I80" i="11"/>
  <c r="H80" i="11"/>
  <c r="G80" i="11"/>
  <c r="F80" i="11"/>
  <c r="E80" i="11"/>
  <c r="D80" i="11"/>
  <c r="C80" i="11"/>
  <c r="K77" i="11"/>
  <c r="J77" i="11"/>
  <c r="I77" i="11"/>
  <c r="H77" i="11"/>
  <c r="G77" i="11"/>
  <c r="F77" i="11"/>
  <c r="E77" i="11"/>
  <c r="D77" i="11"/>
  <c r="C77" i="11"/>
  <c r="K74" i="11"/>
  <c r="J74" i="11"/>
  <c r="I74" i="11"/>
  <c r="H74" i="11"/>
  <c r="G74" i="11"/>
  <c r="F74" i="11"/>
  <c r="E74" i="11"/>
  <c r="D74" i="11"/>
  <c r="C74" i="11"/>
  <c r="K71" i="11"/>
  <c r="J71" i="11"/>
  <c r="I71" i="11"/>
  <c r="H71" i="11"/>
  <c r="G71" i="11"/>
  <c r="F71" i="11"/>
  <c r="E71" i="11"/>
  <c r="D71" i="11"/>
  <c r="C71" i="11"/>
  <c r="K62" i="11"/>
  <c r="J62" i="11"/>
  <c r="I62" i="11"/>
  <c r="H62" i="11"/>
  <c r="G62" i="11"/>
  <c r="F62" i="11"/>
  <c r="E62" i="11"/>
  <c r="D62" i="11"/>
  <c r="C62" i="11"/>
  <c r="K59" i="11"/>
  <c r="J59" i="11"/>
  <c r="I59" i="11"/>
  <c r="H59" i="11"/>
  <c r="G59" i="11"/>
  <c r="F59" i="11"/>
  <c r="E59" i="11"/>
  <c r="D59" i="11"/>
  <c r="C59" i="11"/>
  <c r="K56" i="11"/>
  <c r="J56" i="11"/>
  <c r="I56" i="11"/>
  <c r="H56" i="11"/>
  <c r="G56" i="11"/>
  <c r="F56" i="11"/>
  <c r="E56" i="11"/>
  <c r="D56" i="11"/>
  <c r="C56" i="11"/>
  <c r="K53" i="11"/>
  <c r="J53" i="11"/>
  <c r="I53" i="11"/>
  <c r="H53" i="11"/>
  <c r="G53" i="11"/>
  <c r="F53" i="11"/>
  <c r="E53" i="11"/>
  <c r="D53" i="11"/>
  <c r="C53" i="11"/>
  <c r="K50" i="11"/>
  <c r="J50" i="11"/>
  <c r="I50" i="11"/>
  <c r="H50" i="11"/>
  <c r="G50" i="11"/>
  <c r="F50" i="11"/>
  <c r="E50" i="11"/>
  <c r="D50" i="11"/>
  <c r="C50" i="11"/>
  <c r="K41" i="11"/>
  <c r="J41" i="11"/>
  <c r="I41" i="11"/>
  <c r="H41" i="11"/>
  <c r="G41" i="11"/>
  <c r="F41" i="11"/>
  <c r="E41" i="11"/>
  <c r="D41" i="11"/>
  <c r="C41" i="11"/>
  <c r="K38" i="11"/>
  <c r="J38" i="11"/>
  <c r="I38" i="11"/>
  <c r="H38" i="11"/>
  <c r="G38" i="11"/>
  <c r="F38" i="11"/>
  <c r="E38" i="11"/>
  <c r="D38" i="11"/>
  <c r="C38" i="11"/>
  <c r="K35" i="11"/>
  <c r="J35" i="11"/>
  <c r="I35" i="11"/>
  <c r="H35" i="11"/>
  <c r="G35" i="11"/>
  <c r="F35" i="11"/>
  <c r="E35" i="11"/>
  <c r="D35" i="11"/>
  <c r="C35" i="11"/>
  <c r="K32" i="11"/>
  <c r="J32" i="11"/>
  <c r="I32" i="11"/>
  <c r="H32" i="11"/>
  <c r="G32" i="11"/>
  <c r="F32" i="11"/>
  <c r="E32" i="11"/>
  <c r="D32" i="11"/>
  <c r="C32" i="11"/>
  <c r="K29" i="11"/>
  <c r="J29" i="11"/>
  <c r="I29" i="11"/>
  <c r="H29" i="11"/>
  <c r="G29" i="11"/>
  <c r="F29" i="11"/>
  <c r="E29" i="11"/>
  <c r="D29" i="11"/>
  <c r="C29" i="11"/>
  <c r="K20" i="11"/>
  <c r="J20" i="11"/>
  <c r="I20" i="11"/>
  <c r="H20" i="11"/>
  <c r="G20" i="11"/>
  <c r="F20" i="11"/>
  <c r="E20" i="11"/>
  <c r="D20" i="11"/>
  <c r="C20" i="11"/>
  <c r="K17" i="11"/>
  <c r="J17" i="11"/>
  <c r="I17" i="11"/>
  <c r="H17" i="11"/>
  <c r="G17" i="11"/>
  <c r="F17" i="11"/>
  <c r="E17" i="11"/>
  <c r="D17" i="11"/>
  <c r="C17" i="11"/>
  <c r="K14" i="11"/>
  <c r="J14" i="11"/>
  <c r="I14" i="11"/>
  <c r="H14" i="11"/>
  <c r="G14" i="11"/>
  <c r="F14" i="11"/>
  <c r="E14" i="11"/>
  <c r="D14" i="11"/>
  <c r="C14" i="11"/>
  <c r="K11" i="11"/>
  <c r="J11" i="11"/>
  <c r="I11" i="11"/>
  <c r="H11" i="11"/>
  <c r="G11" i="11"/>
  <c r="F11" i="11"/>
  <c r="E11" i="11"/>
  <c r="D11" i="11"/>
  <c r="C11" i="11"/>
  <c r="K8" i="11"/>
  <c r="J8" i="11"/>
  <c r="I8" i="11"/>
  <c r="H8" i="11"/>
  <c r="G8" i="11"/>
  <c r="F8" i="11"/>
  <c r="E8" i="11"/>
  <c r="D8" i="11"/>
  <c r="C8" i="11"/>
  <c r="J83" i="10"/>
  <c r="I83" i="10"/>
  <c r="H83" i="10"/>
  <c r="G83" i="10"/>
  <c r="F83" i="10"/>
  <c r="E83" i="10"/>
  <c r="D83" i="10"/>
  <c r="C83" i="10"/>
  <c r="J80" i="10"/>
  <c r="I80" i="10"/>
  <c r="H80" i="10"/>
  <c r="G80" i="10"/>
  <c r="F80" i="10"/>
  <c r="E80" i="10"/>
  <c r="D80" i="10"/>
  <c r="C80" i="10"/>
  <c r="J77" i="10"/>
  <c r="I77" i="10"/>
  <c r="H77" i="10"/>
  <c r="G77" i="10"/>
  <c r="F77" i="10"/>
  <c r="E77" i="10"/>
  <c r="D77" i="10"/>
  <c r="C77" i="10"/>
  <c r="J74" i="10"/>
  <c r="I74" i="10"/>
  <c r="H74" i="10"/>
  <c r="G74" i="10"/>
  <c r="F74" i="10"/>
  <c r="E74" i="10"/>
  <c r="D74" i="10"/>
  <c r="C74" i="10"/>
  <c r="J71" i="10"/>
  <c r="I71" i="10"/>
  <c r="H71" i="10"/>
  <c r="G71" i="10"/>
  <c r="F71" i="10"/>
  <c r="E71" i="10"/>
  <c r="D71" i="10"/>
  <c r="C71" i="10"/>
  <c r="J62" i="10"/>
  <c r="I62" i="10"/>
  <c r="H62" i="10"/>
  <c r="G62" i="10"/>
  <c r="F62" i="10"/>
  <c r="E62" i="10"/>
  <c r="D62" i="10"/>
  <c r="C62" i="10"/>
  <c r="J59" i="10"/>
  <c r="I59" i="10"/>
  <c r="H59" i="10"/>
  <c r="G59" i="10"/>
  <c r="F59" i="10"/>
  <c r="E59" i="10"/>
  <c r="D59" i="10"/>
  <c r="C59" i="10"/>
  <c r="J56" i="10"/>
  <c r="I56" i="10"/>
  <c r="H56" i="10"/>
  <c r="G56" i="10"/>
  <c r="F56" i="10"/>
  <c r="E56" i="10"/>
  <c r="D56" i="10"/>
  <c r="C56" i="10"/>
  <c r="J53" i="10"/>
  <c r="I53" i="10"/>
  <c r="H53" i="10"/>
  <c r="G53" i="10"/>
  <c r="F53" i="10"/>
  <c r="E53" i="10"/>
  <c r="D53" i="10"/>
  <c r="C53" i="10"/>
  <c r="J50" i="10"/>
  <c r="I50" i="10"/>
  <c r="H50" i="10"/>
  <c r="G50" i="10"/>
  <c r="F50" i="10"/>
  <c r="E50" i="10"/>
  <c r="D50" i="10"/>
  <c r="C50" i="10"/>
  <c r="J41" i="10"/>
  <c r="I41" i="10"/>
  <c r="H41" i="10"/>
  <c r="G41" i="10"/>
  <c r="F41" i="10"/>
  <c r="E41" i="10"/>
  <c r="D41" i="10"/>
  <c r="C41" i="10"/>
  <c r="J38" i="10"/>
  <c r="I38" i="10"/>
  <c r="H38" i="10"/>
  <c r="G38" i="10"/>
  <c r="F38" i="10"/>
  <c r="E38" i="10"/>
  <c r="D38" i="10"/>
  <c r="C38" i="10"/>
  <c r="J35" i="10"/>
  <c r="I35" i="10"/>
  <c r="H35" i="10"/>
  <c r="G35" i="10"/>
  <c r="F35" i="10"/>
  <c r="E35" i="10"/>
  <c r="D35" i="10"/>
  <c r="C35" i="10"/>
  <c r="J32" i="10"/>
  <c r="I32" i="10"/>
  <c r="H32" i="10"/>
  <c r="G32" i="10"/>
  <c r="F32" i="10"/>
  <c r="E32" i="10"/>
  <c r="D32" i="10"/>
  <c r="C32" i="10"/>
  <c r="J29" i="10"/>
  <c r="I29" i="10"/>
  <c r="H29" i="10"/>
  <c r="G29" i="10"/>
  <c r="F29" i="10"/>
  <c r="E29" i="10"/>
  <c r="D29" i="10"/>
  <c r="C29" i="10"/>
  <c r="J20" i="10"/>
  <c r="I20" i="10"/>
  <c r="H20" i="10"/>
  <c r="G20" i="10"/>
  <c r="F20" i="10"/>
  <c r="E20" i="10"/>
  <c r="D20" i="10"/>
  <c r="C20" i="10"/>
  <c r="J17" i="10"/>
  <c r="I17" i="10"/>
  <c r="H17" i="10"/>
  <c r="G17" i="10"/>
  <c r="F17" i="10"/>
  <c r="E17" i="10"/>
  <c r="D17" i="10"/>
  <c r="C17" i="10"/>
  <c r="J14" i="10"/>
  <c r="I14" i="10"/>
  <c r="H14" i="10"/>
  <c r="G14" i="10"/>
  <c r="F14" i="10"/>
  <c r="E14" i="10"/>
  <c r="D14" i="10"/>
  <c r="C14" i="10"/>
  <c r="J11" i="10"/>
  <c r="I11" i="10"/>
  <c r="H11" i="10"/>
  <c r="G11" i="10"/>
  <c r="F11" i="10"/>
  <c r="E11" i="10"/>
  <c r="D11" i="10"/>
  <c r="C11" i="10"/>
  <c r="J8" i="10"/>
  <c r="I8" i="10"/>
  <c r="H8" i="10"/>
  <c r="G8" i="10"/>
  <c r="F8" i="10"/>
  <c r="E8" i="10"/>
  <c r="D8" i="10"/>
  <c r="C8" i="10"/>
  <c r="J235" i="9"/>
  <c r="I235" i="9"/>
  <c r="H235" i="9"/>
  <c r="G235" i="9"/>
  <c r="F235" i="9"/>
  <c r="E235" i="9"/>
  <c r="D235" i="9"/>
  <c r="C235" i="9"/>
  <c r="J232" i="9"/>
  <c r="I232" i="9"/>
  <c r="H232" i="9"/>
  <c r="G232" i="9"/>
  <c r="F232" i="9"/>
  <c r="E232" i="9"/>
  <c r="D232" i="9"/>
  <c r="C232" i="9"/>
  <c r="J229" i="9"/>
  <c r="I229" i="9"/>
  <c r="H229" i="9"/>
  <c r="G229" i="9"/>
  <c r="F229" i="9"/>
  <c r="E229" i="9"/>
  <c r="D229" i="9"/>
  <c r="C229" i="9"/>
  <c r="J226" i="9"/>
  <c r="I226" i="9"/>
  <c r="H226" i="9"/>
  <c r="G226" i="9"/>
  <c r="F226" i="9"/>
  <c r="E226" i="9"/>
  <c r="D226" i="9"/>
  <c r="C226" i="9"/>
  <c r="J223" i="9"/>
  <c r="I223" i="9"/>
  <c r="H223" i="9"/>
  <c r="G223" i="9"/>
  <c r="F223" i="9"/>
  <c r="E223" i="9"/>
  <c r="D223" i="9"/>
  <c r="C223" i="9"/>
  <c r="J220" i="9"/>
  <c r="I220" i="9"/>
  <c r="H220" i="9"/>
  <c r="G220" i="9"/>
  <c r="F220" i="9"/>
  <c r="E220" i="9"/>
  <c r="D220" i="9"/>
  <c r="C220" i="9"/>
  <c r="J217" i="9"/>
  <c r="I217" i="9"/>
  <c r="H217" i="9"/>
  <c r="G217" i="9"/>
  <c r="F217" i="9"/>
  <c r="E217" i="9"/>
  <c r="D217" i="9"/>
  <c r="C217" i="9"/>
  <c r="J214" i="9"/>
  <c r="I214" i="9"/>
  <c r="H214" i="9"/>
  <c r="G214" i="9"/>
  <c r="F214" i="9"/>
  <c r="E214" i="9"/>
  <c r="D214" i="9"/>
  <c r="C214" i="9"/>
  <c r="J211" i="9"/>
  <c r="I211" i="9"/>
  <c r="H211" i="9"/>
  <c r="G211" i="9"/>
  <c r="F211" i="9"/>
  <c r="E211" i="9"/>
  <c r="D211" i="9"/>
  <c r="C211" i="9"/>
  <c r="J208" i="9"/>
  <c r="I208" i="9"/>
  <c r="H208" i="9"/>
  <c r="G208" i="9"/>
  <c r="F208" i="9"/>
  <c r="E208" i="9"/>
  <c r="D208" i="9"/>
  <c r="C208" i="9"/>
  <c r="J205" i="9"/>
  <c r="I205" i="9"/>
  <c r="H205" i="9"/>
  <c r="G205" i="9"/>
  <c r="F205" i="9"/>
  <c r="E205" i="9"/>
  <c r="D205" i="9"/>
  <c r="C205" i="9"/>
  <c r="J202" i="9"/>
  <c r="I202" i="9"/>
  <c r="H202" i="9"/>
  <c r="G202" i="9"/>
  <c r="F202" i="9"/>
  <c r="E202" i="9"/>
  <c r="D202" i="9"/>
  <c r="C202" i="9"/>
  <c r="J199" i="9"/>
  <c r="I199" i="9"/>
  <c r="H199" i="9"/>
  <c r="G199" i="9"/>
  <c r="F199" i="9"/>
  <c r="E199" i="9"/>
  <c r="D199" i="9"/>
  <c r="C199" i="9"/>
  <c r="J196" i="9"/>
  <c r="I196" i="9"/>
  <c r="H196" i="9"/>
  <c r="G196" i="9"/>
  <c r="F196" i="9"/>
  <c r="E196" i="9"/>
  <c r="D196" i="9"/>
  <c r="C196" i="9"/>
  <c r="J193" i="9"/>
  <c r="I193" i="9"/>
  <c r="H193" i="9"/>
  <c r="G193" i="9"/>
  <c r="F193" i="9"/>
  <c r="E193" i="9"/>
  <c r="D193" i="9"/>
  <c r="C193" i="9"/>
  <c r="J190" i="9"/>
  <c r="I190" i="9"/>
  <c r="H190" i="9"/>
  <c r="G190" i="9"/>
  <c r="F190" i="9"/>
  <c r="E190" i="9"/>
  <c r="D190" i="9"/>
  <c r="C190" i="9"/>
  <c r="J187" i="9"/>
  <c r="I187" i="9"/>
  <c r="H187" i="9"/>
  <c r="G187" i="9"/>
  <c r="F187" i="9"/>
  <c r="E187" i="9"/>
  <c r="D187" i="9"/>
  <c r="C187" i="9"/>
  <c r="J184" i="9"/>
  <c r="I184" i="9"/>
  <c r="H184" i="9"/>
  <c r="G184" i="9"/>
  <c r="F184" i="9"/>
  <c r="E184" i="9"/>
  <c r="D184" i="9"/>
  <c r="C184" i="9"/>
  <c r="J176" i="9"/>
  <c r="I176" i="9"/>
  <c r="H176" i="9"/>
  <c r="G176" i="9"/>
  <c r="F176" i="9"/>
  <c r="E176" i="9"/>
  <c r="D176" i="9"/>
  <c r="C176" i="9"/>
  <c r="J173" i="9"/>
  <c r="I173" i="9"/>
  <c r="H173" i="9"/>
  <c r="G173" i="9"/>
  <c r="F173" i="9"/>
  <c r="E173" i="9"/>
  <c r="D173" i="9"/>
  <c r="C173" i="9"/>
  <c r="J170" i="9"/>
  <c r="I170" i="9"/>
  <c r="H170" i="9"/>
  <c r="G170" i="9"/>
  <c r="F170" i="9"/>
  <c r="E170" i="9"/>
  <c r="D170" i="9"/>
  <c r="C170" i="9"/>
  <c r="J167" i="9"/>
  <c r="I167" i="9"/>
  <c r="H167" i="9"/>
  <c r="G167" i="9"/>
  <c r="F167" i="9"/>
  <c r="E167" i="9"/>
  <c r="D167" i="9"/>
  <c r="C167" i="9"/>
  <c r="J164" i="9"/>
  <c r="I164" i="9"/>
  <c r="H164" i="9"/>
  <c r="G164" i="9"/>
  <c r="F164" i="9"/>
  <c r="E164" i="9"/>
  <c r="D164" i="9"/>
  <c r="C164" i="9"/>
  <c r="J161" i="9"/>
  <c r="I161" i="9"/>
  <c r="H161" i="9"/>
  <c r="G161" i="9"/>
  <c r="F161" i="9"/>
  <c r="E161" i="9"/>
  <c r="D161" i="9"/>
  <c r="C161" i="9"/>
  <c r="J158" i="9"/>
  <c r="I158" i="9"/>
  <c r="H158" i="9"/>
  <c r="G158" i="9"/>
  <c r="F158" i="9"/>
  <c r="E158" i="9"/>
  <c r="D158" i="9"/>
  <c r="C158" i="9"/>
  <c r="J155" i="9"/>
  <c r="I155" i="9"/>
  <c r="H155" i="9"/>
  <c r="G155" i="9"/>
  <c r="F155" i="9"/>
  <c r="E155" i="9"/>
  <c r="D155" i="9"/>
  <c r="C155" i="9"/>
  <c r="J152" i="9"/>
  <c r="I152" i="9"/>
  <c r="H152" i="9"/>
  <c r="G152" i="9"/>
  <c r="F152" i="9"/>
  <c r="E152" i="9"/>
  <c r="D152" i="9"/>
  <c r="C152" i="9"/>
  <c r="J149" i="9"/>
  <c r="I149" i="9"/>
  <c r="H149" i="9"/>
  <c r="G149" i="9"/>
  <c r="F149" i="9"/>
  <c r="E149" i="9"/>
  <c r="D149" i="9"/>
  <c r="C149" i="9"/>
  <c r="J146" i="9"/>
  <c r="I146" i="9"/>
  <c r="H146" i="9"/>
  <c r="G146" i="9"/>
  <c r="F146" i="9"/>
  <c r="E146" i="9"/>
  <c r="D146" i="9"/>
  <c r="C146" i="9"/>
  <c r="J143" i="9"/>
  <c r="I143" i="9"/>
  <c r="H143" i="9"/>
  <c r="G143" i="9"/>
  <c r="F143" i="9"/>
  <c r="E143" i="9"/>
  <c r="D143" i="9"/>
  <c r="C143" i="9"/>
  <c r="J140" i="9"/>
  <c r="I140" i="9"/>
  <c r="H140" i="9"/>
  <c r="G140" i="9"/>
  <c r="F140" i="9"/>
  <c r="E140" i="9"/>
  <c r="D140" i="9"/>
  <c r="C140" i="9"/>
  <c r="J137" i="9"/>
  <c r="I137" i="9"/>
  <c r="H137" i="9"/>
  <c r="G137" i="9"/>
  <c r="F137" i="9"/>
  <c r="E137" i="9"/>
  <c r="D137" i="9"/>
  <c r="C137" i="9"/>
  <c r="J134" i="9"/>
  <c r="I134" i="9"/>
  <c r="H134" i="9"/>
  <c r="G134" i="9"/>
  <c r="F134" i="9"/>
  <c r="E134" i="9"/>
  <c r="D134" i="9"/>
  <c r="C134" i="9"/>
  <c r="J131" i="9"/>
  <c r="I131" i="9"/>
  <c r="H131" i="9"/>
  <c r="G131" i="9"/>
  <c r="F131" i="9"/>
  <c r="E131" i="9"/>
  <c r="D131" i="9"/>
  <c r="C131" i="9"/>
  <c r="J128" i="9"/>
  <c r="I128" i="9"/>
  <c r="H128" i="9"/>
  <c r="G128" i="9"/>
  <c r="F128" i="9"/>
  <c r="E128" i="9"/>
  <c r="D128" i="9"/>
  <c r="C128" i="9"/>
  <c r="J125" i="9"/>
  <c r="I125" i="9"/>
  <c r="H125" i="9"/>
  <c r="G125" i="9"/>
  <c r="F125" i="9"/>
  <c r="E125" i="9"/>
  <c r="D125" i="9"/>
  <c r="C125" i="9"/>
  <c r="J117" i="9"/>
  <c r="I117" i="9"/>
  <c r="H117" i="9"/>
  <c r="G117" i="9"/>
  <c r="F117" i="9"/>
  <c r="E117" i="9"/>
  <c r="D117" i="9"/>
  <c r="C117" i="9"/>
  <c r="J114" i="9"/>
  <c r="I114" i="9"/>
  <c r="H114" i="9"/>
  <c r="G114" i="9"/>
  <c r="F114" i="9"/>
  <c r="E114" i="9"/>
  <c r="D114" i="9"/>
  <c r="C114" i="9"/>
  <c r="J111" i="9"/>
  <c r="I111" i="9"/>
  <c r="H111" i="9"/>
  <c r="G111" i="9"/>
  <c r="F111" i="9"/>
  <c r="E111" i="9"/>
  <c r="D111" i="9"/>
  <c r="C111" i="9"/>
  <c r="J108" i="9"/>
  <c r="I108" i="9"/>
  <c r="H108" i="9"/>
  <c r="G108" i="9"/>
  <c r="F108" i="9"/>
  <c r="E108" i="9"/>
  <c r="D108" i="9"/>
  <c r="C108" i="9"/>
  <c r="J105" i="9"/>
  <c r="I105" i="9"/>
  <c r="H105" i="9"/>
  <c r="G105" i="9"/>
  <c r="F105" i="9"/>
  <c r="E105" i="9"/>
  <c r="D105" i="9"/>
  <c r="C105" i="9"/>
  <c r="J102" i="9"/>
  <c r="I102" i="9"/>
  <c r="H102" i="9"/>
  <c r="G102" i="9"/>
  <c r="F102" i="9"/>
  <c r="E102" i="9"/>
  <c r="D102" i="9"/>
  <c r="C102" i="9"/>
  <c r="J99" i="9"/>
  <c r="I99" i="9"/>
  <c r="H99" i="9"/>
  <c r="G99" i="9"/>
  <c r="F99" i="9"/>
  <c r="E99" i="9"/>
  <c r="D99" i="9"/>
  <c r="C99" i="9"/>
  <c r="J96" i="9"/>
  <c r="I96" i="9"/>
  <c r="H96" i="9"/>
  <c r="G96" i="9"/>
  <c r="F96" i="9"/>
  <c r="E96" i="9"/>
  <c r="D96" i="9"/>
  <c r="C96" i="9"/>
  <c r="J93" i="9"/>
  <c r="I93" i="9"/>
  <c r="H93" i="9"/>
  <c r="G93" i="9"/>
  <c r="F93" i="9"/>
  <c r="E93" i="9"/>
  <c r="D93" i="9"/>
  <c r="C93" i="9"/>
  <c r="J90" i="9"/>
  <c r="I90" i="9"/>
  <c r="H90" i="9"/>
  <c r="G90" i="9"/>
  <c r="F90" i="9"/>
  <c r="E90" i="9"/>
  <c r="D90" i="9"/>
  <c r="C90" i="9"/>
  <c r="J87" i="9"/>
  <c r="I87" i="9"/>
  <c r="H87" i="9"/>
  <c r="G87" i="9"/>
  <c r="F87" i="9"/>
  <c r="E87" i="9"/>
  <c r="D87" i="9"/>
  <c r="C87" i="9"/>
  <c r="J84" i="9"/>
  <c r="I84" i="9"/>
  <c r="H84" i="9"/>
  <c r="G84" i="9"/>
  <c r="F84" i="9"/>
  <c r="E84" i="9"/>
  <c r="D84" i="9"/>
  <c r="C84" i="9"/>
  <c r="J81" i="9"/>
  <c r="I81" i="9"/>
  <c r="H81" i="9"/>
  <c r="G81" i="9"/>
  <c r="F81" i="9"/>
  <c r="E81" i="9"/>
  <c r="D81" i="9"/>
  <c r="C81" i="9"/>
  <c r="J78" i="9"/>
  <c r="I78" i="9"/>
  <c r="H78" i="9"/>
  <c r="G78" i="9"/>
  <c r="F78" i="9"/>
  <c r="E78" i="9"/>
  <c r="D78" i="9"/>
  <c r="C78" i="9"/>
  <c r="J75" i="9"/>
  <c r="I75" i="9"/>
  <c r="H75" i="9"/>
  <c r="G75" i="9"/>
  <c r="F75" i="9"/>
  <c r="E75" i="9"/>
  <c r="D75" i="9"/>
  <c r="C75" i="9"/>
  <c r="J72" i="9"/>
  <c r="I72" i="9"/>
  <c r="H72" i="9"/>
  <c r="G72" i="9"/>
  <c r="F72" i="9"/>
  <c r="E72" i="9"/>
  <c r="D72" i="9"/>
  <c r="C72" i="9"/>
  <c r="J69" i="9"/>
  <c r="I69" i="9"/>
  <c r="H69" i="9"/>
  <c r="G69" i="9"/>
  <c r="F69" i="9"/>
  <c r="E69" i="9"/>
  <c r="D69" i="9"/>
  <c r="C69" i="9"/>
  <c r="J66" i="9"/>
  <c r="I66" i="9"/>
  <c r="H66" i="9"/>
  <c r="G66" i="9"/>
  <c r="F66" i="9"/>
  <c r="E66" i="9"/>
  <c r="D66" i="9"/>
  <c r="C66" i="9"/>
  <c r="J58" i="9"/>
  <c r="I58" i="9"/>
  <c r="H58" i="9"/>
  <c r="G58" i="9"/>
  <c r="F58" i="9"/>
  <c r="E58" i="9"/>
  <c r="D58" i="9"/>
  <c r="C58" i="9"/>
  <c r="J55" i="9"/>
  <c r="I55" i="9"/>
  <c r="H55" i="9"/>
  <c r="G55" i="9"/>
  <c r="F55" i="9"/>
  <c r="E55" i="9"/>
  <c r="D55" i="9"/>
  <c r="C55" i="9"/>
  <c r="J52" i="9"/>
  <c r="I52" i="9"/>
  <c r="H52" i="9"/>
  <c r="G52" i="9"/>
  <c r="F52" i="9"/>
  <c r="E52" i="9"/>
  <c r="D52" i="9"/>
  <c r="C52" i="9"/>
  <c r="J49" i="9"/>
  <c r="I49" i="9"/>
  <c r="H49" i="9"/>
  <c r="G49" i="9"/>
  <c r="F49" i="9"/>
  <c r="E49" i="9"/>
  <c r="D49" i="9"/>
  <c r="C49" i="9"/>
  <c r="J46" i="9"/>
  <c r="I46" i="9"/>
  <c r="H46" i="9"/>
  <c r="G46" i="9"/>
  <c r="F46" i="9"/>
  <c r="E46" i="9"/>
  <c r="D46" i="9"/>
  <c r="C46" i="9"/>
  <c r="J43" i="9"/>
  <c r="I43" i="9"/>
  <c r="H43" i="9"/>
  <c r="G43" i="9"/>
  <c r="F43" i="9"/>
  <c r="E43" i="9"/>
  <c r="D43" i="9"/>
  <c r="C43" i="9"/>
  <c r="J40" i="9"/>
  <c r="I40" i="9"/>
  <c r="H40" i="9"/>
  <c r="G40" i="9"/>
  <c r="F40" i="9"/>
  <c r="E40" i="9"/>
  <c r="D40" i="9"/>
  <c r="C40" i="9"/>
  <c r="J37" i="9"/>
  <c r="I37" i="9"/>
  <c r="H37" i="9"/>
  <c r="G37" i="9"/>
  <c r="F37" i="9"/>
  <c r="E37" i="9"/>
  <c r="D37" i="9"/>
  <c r="C37" i="9"/>
  <c r="J34" i="9"/>
  <c r="I34" i="9"/>
  <c r="H34" i="9"/>
  <c r="G34" i="9"/>
  <c r="F34" i="9"/>
  <c r="E34" i="9"/>
  <c r="D34" i="9"/>
  <c r="C34" i="9"/>
  <c r="J31" i="9"/>
  <c r="I31" i="9"/>
  <c r="H31" i="9"/>
  <c r="G31" i="9"/>
  <c r="F31" i="9"/>
  <c r="E31" i="9"/>
  <c r="D31" i="9"/>
  <c r="C31" i="9"/>
  <c r="J28" i="9"/>
  <c r="I28" i="9"/>
  <c r="H28" i="9"/>
  <c r="G28" i="9"/>
  <c r="F28" i="9"/>
  <c r="E28" i="9"/>
  <c r="D28" i="9"/>
  <c r="C28" i="9"/>
  <c r="J25" i="9"/>
  <c r="I25" i="9"/>
  <c r="H25" i="9"/>
  <c r="G25" i="9"/>
  <c r="F25" i="9"/>
  <c r="E25" i="9"/>
  <c r="D25" i="9"/>
  <c r="C25" i="9"/>
  <c r="J22" i="9"/>
  <c r="I22" i="9"/>
  <c r="H22" i="9"/>
  <c r="G22" i="9"/>
  <c r="F22" i="9"/>
  <c r="E22" i="9"/>
  <c r="D22" i="9"/>
  <c r="C22" i="9"/>
  <c r="J19" i="9"/>
  <c r="I19" i="9"/>
  <c r="H19" i="9"/>
  <c r="G19" i="9"/>
  <c r="F19" i="9"/>
  <c r="E19" i="9"/>
  <c r="D19" i="9"/>
  <c r="C19" i="9"/>
  <c r="J16" i="9"/>
  <c r="I16" i="9"/>
  <c r="H16" i="9"/>
  <c r="G16" i="9"/>
  <c r="F16" i="9"/>
  <c r="E16" i="9"/>
  <c r="D16" i="9"/>
  <c r="C16" i="9"/>
  <c r="J13" i="9"/>
  <c r="I13" i="9"/>
  <c r="H13" i="9"/>
  <c r="G13" i="9"/>
  <c r="F13" i="9"/>
  <c r="E13" i="9"/>
  <c r="D13" i="9"/>
  <c r="C13" i="9"/>
  <c r="J10" i="9"/>
  <c r="I10" i="9"/>
  <c r="H10" i="9"/>
  <c r="G10" i="9"/>
  <c r="F10" i="9"/>
  <c r="E10" i="9"/>
  <c r="D10" i="9"/>
  <c r="C10" i="9"/>
  <c r="J7" i="9"/>
  <c r="I7" i="9"/>
  <c r="H7" i="9"/>
  <c r="G7" i="9"/>
  <c r="F7" i="9"/>
  <c r="E7" i="9"/>
  <c r="D7" i="9"/>
  <c r="C7" i="9"/>
  <c r="N87" i="8"/>
  <c r="M87" i="8"/>
  <c r="L87" i="8"/>
  <c r="K87" i="8"/>
  <c r="J87" i="8"/>
  <c r="I87" i="8"/>
  <c r="H87" i="8"/>
  <c r="G87" i="8"/>
  <c r="F87" i="8"/>
  <c r="E87" i="8"/>
  <c r="D87" i="8"/>
  <c r="C87" i="8"/>
  <c r="N84" i="8"/>
  <c r="M84" i="8"/>
  <c r="L84" i="8"/>
  <c r="K84" i="8"/>
  <c r="J84" i="8"/>
  <c r="I84" i="8"/>
  <c r="H84" i="8"/>
  <c r="G84" i="8"/>
  <c r="F84" i="8"/>
  <c r="E84" i="8"/>
  <c r="D84" i="8"/>
  <c r="C84" i="8"/>
  <c r="N81" i="8"/>
  <c r="M81" i="8"/>
  <c r="L81" i="8"/>
  <c r="K81" i="8"/>
  <c r="J81" i="8"/>
  <c r="I81" i="8"/>
  <c r="H81" i="8"/>
  <c r="G81" i="8"/>
  <c r="F81" i="8"/>
  <c r="E81" i="8"/>
  <c r="D81" i="8"/>
  <c r="C81" i="8"/>
  <c r="N78" i="8"/>
  <c r="M78" i="8"/>
  <c r="L78" i="8"/>
  <c r="K78" i="8"/>
  <c r="J78" i="8"/>
  <c r="I78" i="8"/>
  <c r="H78" i="8"/>
  <c r="G78" i="8"/>
  <c r="F78" i="8"/>
  <c r="E78" i="8"/>
  <c r="D78" i="8"/>
  <c r="C78" i="8"/>
  <c r="N75" i="8"/>
  <c r="M75" i="8"/>
  <c r="L75" i="8"/>
  <c r="K75" i="8"/>
  <c r="J75" i="8"/>
  <c r="I75" i="8"/>
  <c r="H75" i="8"/>
  <c r="G75" i="8"/>
  <c r="F75" i="8"/>
  <c r="E75" i="8"/>
  <c r="D75" i="8"/>
  <c r="C75" i="8"/>
  <c r="N65" i="8"/>
  <c r="M65" i="8"/>
  <c r="L65" i="8"/>
  <c r="K65" i="8"/>
  <c r="J65" i="8"/>
  <c r="I65" i="8"/>
  <c r="H65" i="8"/>
  <c r="G65" i="8"/>
  <c r="F65" i="8"/>
  <c r="E65" i="8"/>
  <c r="D65" i="8"/>
  <c r="C65" i="8"/>
  <c r="N62" i="8"/>
  <c r="M62" i="8"/>
  <c r="L62" i="8"/>
  <c r="K62" i="8"/>
  <c r="J62" i="8"/>
  <c r="I62" i="8"/>
  <c r="H62" i="8"/>
  <c r="G62" i="8"/>
  <c r="F62" i="8"/>
  <c r="E62" i="8"/>
  <c r="D62" i="8"/>
  <c r="C62" i="8"/>
  <c r="N59" i="8"/>
  <c r="M59" i="8"/>
  <c r="L59" i="8"/>
  <c r="K59" i="8"/>
  <c r="J59" i="8"/>
  <c r="I59" i="8"/>
  <c r="H59" i="8"/>
  <c r="G59" i="8"/>
  <c r="F59" i="8"/>
  <c r="E59" i="8"/>
  <c r="D59" i="8"/>
  <c r="C59" i="8"/>
  <c r="N56" i="8"/>
  <c r="M56" i="8"/>
  <c r="L56" i="8"/>
  <c r="K56" i="8"/>
  <c r="J56" i="8"/>
  <c r="I56" i="8"/>
  <c r="H56" i="8"/>
  <c r="G56" i="8"/>
  <c r="F56" i="8"/>
  <c r="E56" i="8"/>
  <c r="D56" i="8"/>
  <c r="C56" i="8"/>
  <c r="N53" i="8"/>
  <c r="M53" i="8"/>
  <c r="L53" i="8"/>
  <c r="K53" i="8"/>
  <c r="J53" i="8"/>
  <c r="I53" i="8"/>
  <c r="H53" i="8"/>
  <c r="G53" i="8"/>
  <c r="F53" i="8"/>
  <c r="E53" i="8"/>
  <c r="D53" i="8"/>
  <c r="C53" i="8"/>
  <c r="N43" i="8"/>
  <c r="M43" i="8"/>
  <c r="L43" i="8"/>
  <c r="K43" i="8"/>
  <c r="J43" i="8"/>
  <c r="I43" i="8"/>
  <c r="H43" i="8"/>
  <c r="G43" i="8"/>
  <c r="F43" i="8"/>
  <c r="E43" i="8"/>
  <c r="D43" i="8"/>
  <c r="C43" i="8"/>
  <c r="N40" i="8"/>
  <c r="M40" i="8"/>
  <c r="L40" i="8"/>
  <c r="K40" i="8"/>
  <c r="J40" i="8"/>
  <c r="I40" i="8"/>
  <c r="H40" i="8"/>
  <c r="G40" i="8"/>
  <c r="F40" i="8"/>
  <c r="E40" i="8"/>
  <c r="D40" i="8"/>
  <c r="C40" i="8"/>
  <c r="N37" i="8"/>
  <c r="M37" i="8"/>
  <c r="L37" i="8"/>
  <c r="K37" i="8"/>
  <c r="J37" i="8"/>
  <c r="I37" i="8"/>
  <c r="H37" i="8"/>
  <c r="G37" i="8"/>
  <c r="F37" i="8"/>
  <c r="E37" i="8"/>
  <c r="D37" i="8"/>
  <c r="C37" i="8"/>
  <c r="N34" i="8"/>
  <c r="M34" i="8"/>
  <c r="L34" i="8"/>
  <c r="K34" i="8"/>
  <c r="J34" i="8"/>
  <c r="I34" i="8"/>
  <c r="H34" i="8"/>
  <c r="G34" i="8"/>
  <c r="F34" i="8"/>
  <c r="E34" i="8"/>
  <c r="D34" i="8"/>
  <c r="C34" i="8"/>
  <c r="N31" i="8"/>
  <c r="M31" i="8"/>
  <c r="L31" i="8"/>
  <c r="K31" i="8"/>
  <c r="J31" i="8"/>
  <c r="I31" i="8"/>
  <c r="H31" i="8"/>
  <c r="G31" i="8"/>
  <c r="F31" i="8"/>
  <c r="E31" i="8"/>
  <c r="D31" i="8"/>
  <c r="C31" i="8"/>
  <c r="N21" i="8"/>
  <c r="M21" i="8"/>
  <c r="L21" i="8"/>
  <c r="K21" i="8"/>
  <c r="J21" i="8"/>
  <c r="I21" i="8"/>
  <c r="H21" i="8"/>
  <c r="G21" i="8"/>
  <c r="F21" i="8"/>
  <c r="E21" i="8"/>
  <c r="D21" i="8"/>
  <c r="C21" i="8"/>
  <c r="N18" i="8"/>
  <c r="M18" i="8"/>
  <c r="L18" i="8"/>
  <c r="K18" i="8"/>
  <c r="J18" i="8"/>
  <c r="I18" i="8"/>
  <c r="H18" i="8"/>
  <c r="G18" i="8"/>
  <c r="F18" i="8"/>
  <c r="E18" i="8"/>
  <c r="D18" i="8"/>
  <c r="C18" i="8"/>
  <c r="N15" i="8"/>
  <c r="M15" i="8"/>
  <c r="L15" i="8"/>
  <c r="K15" i="8"/>
  <c r="J15" i="8"/>
  <c r="I15" i="8"/>
  <c r="H15" i="8"/>
  <c r="G15" i="8"/>
  <c r="F15" i="8"/>
  <c r="E15" i="8"/>
  <c r="D15" i="8"/>
  <c r="C15" i="8"/>
  <c r="N12" i="8"/>
  <c r="M12" i="8"/>
  <c r="L12" i="8"/>
  <c r="K12" i="8"/>
  <c r="J12" i="8"/>
  <c r="I12" i="8"/>
  <c r="H12" i="8"/>
  <c r="G12" i="8"/>
  <c r="F12" i="8"/>
  <c r="E12" i="8"/>
  <c r="D12" i="8"/>
  <c r="C12" i="8"/>
  <c r="N9" i="8"/>
  <c r="M9" i="8"/>
  <c r="L9" i="8"/>
  <c r="K9" i="8"/>
  <c r="J9" i="8"/>
  <c r="I9" i="8"/>
  <c r="H9" i="8"/>
  <c r="G9" i="8"/>
  <c r="F9" i="8"/>
  <c r="E9" i="8"/>
  <c r="D9" i="8"/>
  <c r="C9" i="8"/>
  <c r="I31" i="7"/>
  <c r="H31" i="7"/>
  <c r="G31" i="7"/>
  <c r="F31" i="7"/>
  <c r="E31" i="7"/>
  <c r="D31" i="7"/>
  <c r="C31" i="7"/>
  <c r="I28" i="7"/>
  <c r="H28" i="7"/>
  <c r="G28" i="7"/>
  <c r="F28" i="7"/>
  <c r="E28" i="7"/>
  <c r="D28" i="7"/>
  <c r="C28" i="7"/>
  <c r="I25" i="7"/>
  <c r="H25" i="7"/>
  <c r="G25" i="7"/>
  <c r="F25" i="7"/>
  <c r="E25" i="7"/>
  <c r="D25" i="7"/>
  <c r="C25" i="7"/>
  <c r="I15" i="7"/>
  <c r="H15" i="7"/>
  <c r="G15" i="7"/>
  <c r="F15" i="7"/>
  <c r="E15" i="7"/>
  <c r="D15" i="7"/>
  <c r="C15" i="7"/>
  <c r="I12" i="7"/>
  <c r="H12" i="7"/>
  <c r="G12" i="7"/>
  <c r="F12" i="7"/>
  <c r="E12" i="7"/>
  <c r="D12" i="7"/>
  <c r="C12" i="7"/>
  <c r="I9" i="7"/>
  <c r="H9" i="7"/>
  <c r="G9" i="7"/>
  <c r="F9" i="7"/>
  <c r="E9" i="7"/>
  <c r="D9" i="7"/>
  <c r="C9" i="7"/>
  <c r="G31" i="6"/>
  <c r="F31" i="6"/>
  <c r="E31" i="6"/>
  <c r="D31" i="6"/>
  <c r="C31" i="6"/>
  <c r="G28" i="6"/>
  <c r="F28" i="6"/>
  <c r="E28" i="6"/>
  <c r="D28" i="6"/>
  <c r="C28" i="6"/>
  <c r="G25" i="6"/>
  <c r="F25" i="6"/>
  <c r="E25" i="6"/>
  <c r="D25" i="6"/>
  <c r="C25" i="6"/>
  <c r="G15" i="6"/>
  <c r="F15" i="6"/>
  <c r="E15" i="6"/>
  <c r="D15" i="6"/>
  <c r="C15" i="6"/>
  <c r="G12" i="6"/>
  <c r="F12" i="6"/>
  <c r="E12" i="6"/>
  <c r="D12" i="6"/>
  <c r="C12" i="6"/>
  <c r="G9" i="6"/>
  <c r="F9" i="6"/>
  <c r="E9" i="6"/>
  <c r="D9" i="6"/>
  <c r="C9" i="6"/>
  <c r="C37" i="5"/>
  <c r="C34" i="5"/>
  <c r="C31" i="5"/>
  <c r="C28" i="5"/>
  <c r="C18" i="5"/>
  <c r="C15" i="5"/>
  <c r="C12" i="5"/>
  <c r="C9" i="5"/>
  <c r="C3" i="5"/>
  <c r="J179" i="4"/>
  <c r="I179" i="4"/>
  <c r="H179" i="4"/>
  <c r="G179" i="4"/>
  <c r="F179" i="4"/>
  <c r="E179" i="4"/>
  <c r="D179" i="4"/>
  <c r="C179" i="4"/>
  <c r="I176" i="4"/>
  <c r="H176" i="4"/>
  <c r="G176" i="4"/>
  <c r="F176" i="4"/>
  <c r="E176" i="4"/>
  <c r="D176" i="4"/>
  <c r="C176" i="4"/>
  <c r="I173" i="4"/>
  <c r="H173" i="4"/>
  <c r="G173" i="4"/>
  <c r="F173" i="4"/>
  <c r="E173" i="4"/>
  <c r="D173" i="4"/>
  <c r="C173" i="4"/>
  <c r="J170" i="4"/>
  <c r="I170" i="4"/>
  <c r="H170" i="4"/>
  <c r="G170" i="4"/>
  <c r="F170" i="4"/>
  <c r="E170" i="4"/>
  <c r="D170" i="4"/>
  <c r="C170" i="4"/>
  <c r="J167" i="4"/>
  <c r="I167" i="4"/>
  <c r="H167" i="4"/>
  <c r="G167" i="4"/>
  <c r="F167" i="4"/>
  <c r="E167" i="4"/>
  <c r="D167" i="4"/>
  <c r="C167" i="4"/>
  <c r="J164" i="4"/>
  <c r="I164" i="4"/>
  <c r="H164" i="4"/>
  <c r="G164" i="4"/>
  <c r="F164" i="4"/>
  <c r="E164" i="4"/>
  <c r="D164" i="4"/>
  <c r="C164" i="4"/>
  <c r="J161" i="4"/>
  <c r="I161" i="4"/>
  <c r="H161" i="4"/>
  <c r="G161" i="4"/>
  <c r="F161" i="4"/>
  <c r="E161" i="4"/>
  <c r="D161" i="4"/>
  <c r="C161" i="4"/>
  <c r="J158" i="4"/>
  <c r="I158" i="4"/>
  <c r="H158" i="4"/>
  <c r="G158" i="4"/>
  <c r="F158" i="4"/>
  <c r="E158" i="4"/>
  <c r="D158" i="4"/>
  <c r="C158" i="4"/>
  <c r="J155" i="4"/>
  <c r="I155" i="4"/>
  <c r="H155" i="4"/>
  <c r="G155" i="4"/>
  <c r="F155" i="4"/>
  <c r="E155" i="4"/>
  <c r="D155" i="4"/>
  <c r="C155" i="4"/>
  <c r="J152" i="4"/>
  <c r="I152" i="4"/>
  <c r="H152" i="4"/>
  <c r="G152" i="4"/>
  <c r="F152" i="4"/>
  <c r="E152" i="4"/>
  <c r="D152" i="4"/>
  <c r="C152" i="4"/>
  <c r="J149" i="4"/>
  <c r="I149" i="4"/>
  <c r="H149" i="4"/>
  <c r="G149" i="4"/>
  <c r="F149" i="4"/>
  <c r="E149" i="4"/>
  <c r="D149" i="4"/>
  <c r="C149" i="4"/>
  <c r="J146" i="4"/>
  <c r="I146" i="4"/>
  <c r="H146" i="4"/>
  <c r="G146" i="4"/>
  <c r="F146" i="4"/>
  <c r="E146" i="4"/>
  <c r="D146" i="4"/>
  <c r="C146" i="4"/>
  <c r="J143" i="4"/>
  <c r="I143" i="4"/>
  <c r="H143" i="4"/>
  <c r="G143" i="4"/>
  <c r="F143" i="4"/>
  <c r="E143" i="4"/>
  <c r="D143" i="4"/>
  <c r="C143" i="4"/>
  <c r="J134" i="4"/>
  <c r="I134" i="4"/>
  <c r="H134" i="4"/>
  <c r="G134" i="4"/>
  <c r="F134" i="4"/>
  <c r="E134" i="4"/>
  <c r="D134" i="4"/>
  <c r="C134" i="4"/>
  <c r="J131" i="4"/>
  <c r="I131" i="4"/>
  <c r="H131" i="4"/>
  <c r="G131" i="4"/>
  <c r="F131" i="4"/>
  <c r="E131" i="4"/>
  <c r="D131" i="4"/>
  <c r="C131" i="4"/>
  <c r="J128" i="4"/>
  <c r="I128" i="4"/>
  <c r="H128" i="4"/>
  <c r="G128" i="4"/>
  <c r="F128" i="4"/>
  <c r="E128" i="4"/>
  <c r="D128" i="4"/>
  <c r="C128" i="4"/>
  <c r="J125" i="4"/>
  <c r="I125" i="4"/>
  <c r="H125" i="4"/>
  <c r="G125" i="4"/>
  <c r="F125" i="4"/>
  <c r="E125" i="4"/>
  <c r="D125" i="4"/>
  <c r="C125" i="4"/>
  <c r="J122" i="4"/>
  <c r="I122" i="4"/>
  <c r="H122" i="4"/>
  <c r="G122" i="4"/>
  <c r="F122" i="4"/>
  <c r="E122" i="4"/>
  <c r="D122" i="4"/>
  <c r="C122" i="4"/>
  <c r="J119" i="4"/>
  <c r="I119" i="4"/>
  <c r="H119" i="4"/>
  <c r="G119" i="4"/>
  <c r="F119" i="4"/>
  <c r="E119" i="4"/>
  <c r="D119" i="4"/>
  <c r="C119" i="4"/>
  <c r="J116" i="4"/>
  <c r="I116" i="4"/>
  <c r="H116" i="4"/>
  <c r="G116" i="4"/>
  <c r="F116" i="4"/>
  <c r="E116" i="4"/>
  <c r="D116" i="4"/>
  <c r="C116" i="4"/>
  <c r="J113" i="4"/>
  <c r="I113" i="4"/>
  <c r="H113" i="4"/>
  <c r="G113" i="4"/>
  <c r="F113" i="4"/>
  <c r="E113" i="4"/>
  <c r="D113" i="4"/>
  <c r="C113" i="4"/>
  <c r="J110" i="4"/>
  <c r="I110" i="4"/>
  <c r="H110" i="4"/>
  <c r="G110" i="4"/>
  <c r="F110" i="4"/>
  <c r="E110" i="4"/>
  <c r="D110" i="4"/>
  <c r="C110" i="4"/>
  <c r="J107" i="4"/>
  <c r="I107" i="4"/>
  <c r="H107" i="4"/>
  <c r="G107" i="4"/>
  <c r="F107" i="4"/>
  <c r="E107" i="4"/>
  <c r="D107" i="4"/>
  <c r="C107" i="4"/>
  <c r="J104" i="4"/>
  <c r="I104" i="4"/>
  <c r="H104" i="4"/>
  <c r="G104" i="4"/>
  <c r="F104" i="4"/>
  <c r="E104" i="4"/>
  <c r="D104" i="4"/>
  <c r="C104" i="4"/>
  <c r="J101" i="4"/>
  <c r="I101" i="4"/>
  <c r="H101" i="4"/>
  <c r="G101" i="4"/>
  <c r="F101" i="4"/>
  <c r="E101" i="4"/>
  <c r="D101" i="4"/>
  <c r="C101" i="4"/>
  <c r="J98" i="4"/>
  <c r="I98" i="4"/>
  <c r="H98" i="4"/>
  <c r="G98" i="4"/>
  <c r="F98" i="4"/>
  <c r="E98" i="4"/>
  <c r="D98" i="4"/>
  <c r="C98" i="4"/>
  <c r="J89" i="4"/>
  <c r="I89" i="4"/>
  <c r="H89" i="4"/>
  <c r="G89" i="4"/>
  <c r="F89" i="4"/>
  <c r="E89" i="4"/>
  <c r="D89" i="4"/>
  <c r="C89" i="4"/>
  <c r="J86" i="4"/>
  <c r="I86" i="4"/>
  <c r="H86" i="4"/>
  <c r="G86" i="4"/>
  <c r="F86" i="4"/>
  <c r="E86" i="4"/>
  <c r="D86" i="4"/>
  <c r="C86" i="4"/>
  <c r="J83" i="4"/>
  <c r="I83" i="4"/>
  <c r="H83" i="4"/>
  <c r="G83" i="4"/>
  <c r="F83" i="4"/>
  <c r="E83" i="4"/>
  <c r="D83" i="4"/>
  <c r="C83" i="4"/>
  <c r="J80" i="4"/>
  <c r="I80" i="4"/>
  <c r="H80" i="4"/>
  <c r="G80" i="4"/>
  <c r="F80" i="4"/>
  <c r="E80" i="4"/>
  <c r="D80" i="4"/>
  <c r="C80" i="4"/>
  <c r="J77" i="4"/>
  <c r="I77" i="4"/>
  <c r="H77" i="4"/>
  <c r="G77" i="4"/>
  <c r="F77" i="4"/>
  <c r="E77" i="4"/>
  <c r="D77" i="4"/>
  <c r="C77" i="4"/>
  <c r="J74" i="4"/>
  <c r="I74" i="4"/>
  <c r="H74" i="4"/>
  <c r="G74" i="4"/>
  <c r="F74" i="4"/>
  <c r="E74" i="4"/>
  <c r="D74" i="4"/>
  <c r="C74" i="4"/>
  <c r="J71" i="4"/>
  <c r="I71" i="4"/>
  <c r="H71" i="4"/>
  <c r="G71" i="4"/>
  <c r="F71" i="4"/>
  <c r="E71" i="4"/>
  <c r="D71" i="4"/>
  <c r="C71" i="4"/>
  <c r="J68" i="4"/>
  <c r="I68" i="4"/>
  <c r="H68" i="4"/>
  <c r="G68" i="4"/>
  <c r="F68" i="4"/>
  <c r="E68" i="4"/>
  <c r="D68" i="4"/>
  <c r="C68" i="4"/>
  <c r="J65" i="4"/>
  <c r="I65" i="4"/>
  <c r="H65" i="4"/>
  <c r="G65" i="4"/>
  <c r="F65" i="4"/>
  <c r="E65" i="4"/>
  <c r="D65" i="4"/>
  <c r="C65" i="4"/>
  <c r="J62" i="4"/>
  <c r="I62" i="4"/>
  <c r="H62" i="4"/>
  <c r="G62" i="4"/>
  <c r="F62" i="4"/>
  <c r="E62" i="4"/>
  <c r="D62" i="4"/>
  <c r="C62" i="4"/>
  <c r="J59" i="4"/>
  <c r="I59" i="4"/>
  <c r="H59" i="4"/>
  <c r="G59" i="4"/>
  <c r="F59" i="4"/>
  <c r="E59" i="4"/>
  <c r="D59" i="4"/>
  <c r="C59" i="4"/>
  <c r="J56" i="4"/>
  <c r="I56" i="4"/>
  <c r="H56" i="4"/>
  <c r="G56" i="4"/>
  <c r="F56" i="4"/>
  <c r="E56" i="4"/>
  <c r="D56" i="4"/>
  <c r="C56" i="4"/>
  <c r="J53" i="4"/>
  <c r="I53" i="4"/>
  <c r="H53" i="4"/>
  <c r="G53" i="4"/>
  <c r="F53" i="4"/>
  <c r="E53" i="4"/>
  <c r="D53" i="4"/>
  <c r="C53" i="4"/>
  <c r="J44" i="4"/>
  <c r="I44" i="4"/>
  <c r="H44" i="4"/>
  <c r="G44" i="4"/>
  <c r="F44" i="4"/>
  <c r="E44" i="4"/>
  <c r="D44" i="4"/>
  <c r="C44" i="4"/>
  <c r="J41" i="4"/>
  <c r="I41" i="4"/>
  <c r="H41" i="4"/>
  <c r="G41" i="4"/>
  <c r="F41" i="4"/>
  <c r="E41" i="4"/>
  <c r="D41" i="4"/>
  <c r="C41" i="4"/>
  <c r="J38" i="4"/>
  <c r="I38" i="4"/>
  <c r="H38" i="4"/>
  <c r="G38" i="4"/>
  <c r="F38" i="4"/>
  <c r="E38" i="4"/>
  <c r="D38" i="4"/>
  <c r="C38" i="4"/>
  <c r="J35" i="4"/>
  <c r="I35" i="4"/>
  <c r="H35" i="4"/>
  <c r="G35" i="4"/>
  <c r="F35" i="4"/>
  <c r="E35" i="4"/>
  <c r="D35" i="4"/>
  <c r="C35" i="4"/>
  <c r="J32" i="4"/>
  <c r="I32" i="4"/>
  <c r="H32" i="4"/>
  <c r="G32" i="4"/>
  <c r="F32" i="4"/>
  <c r="E32" i="4"/>
  <c r="D32" i="4"/>
  <c r="C32" i="4"/>
  <c r="J29" i="4"/>
  <c r="I29" i="4"/>
  <c r="H29" i="4"/>
  <c r="G29" i="4"/>
  <c r="F29" i="4"/>
  <c r="E29" i="4"/>
  <c r="D29" i="4"/>
  <c r="C29" i="4"/>
  <c r="J26" i="4"/>
  <c r="I26" i="4"/>
  <c r="H26" i="4"/>
  <c r="G26" i="4"/>
  <c r="F26" i="4"/>
  <c r="E26" i="4"/>
  <c r="D26" i="4"/>
  <c r="C26" i="4"/>
  <c r="J23" i="4"/>
  <c r="I23" i="4"/>
  <c r="H23" i="4"/>
  <c r="G23" i="4"/>
  <c r="F23" i="4"/>
  <c r="E23" i="4"/>
  <c r="D23" i="4"/>
  <c r="C23" i="4"/>
  <c r="J20" i="4"/>
  <c r="I20" i="4"/>
  <c r="H20" i="4"/>
  <c r="G20" i="4"/>
  <c r="F20" i="4"/>
  <c r="E20" i="4"/>
  <c r="D20" i="4"/>
  <c r="C20" i="4"/>
  <c r="J17" i="4"/>
  <c r="I17" i="4"/>
  <c r="H17" i="4"/>
  <c r="G17" i="4"/>
  <c r="F17" i="4"/>
  <c r="E17" i="4"/>
  <c r="D17" i="4"/>
  <c r="C17" i="4"/>
  <c r="J14" i="4"/>
  <c r="I14" i="4"/>
  <c r="H14" i="4"/>
  <c r="G14" i="4"/>
  <c r="F14" i="4"/>
  <c r="E14" i="4"/>
  <c r="D14" i="4"/>
  <c r="C14" i="4"/>
  <c r="J11" i="4"/>
  <c r="I11" i="4"/>
  <c r="H11" i="4"/>
  <c r="G11" i="4"/>
  <c r="F11" i="4"/>
  <c r="E11" i="4"/>
  <c r="D11" i="4"/>
  <c r="C11" i="4"/>
  <c r="J8" i="4"/>
  <c r="I8" i="4"/>
  <c r="H8" i="4"/>
  <c r="G8" i="4"/>
  <c r="F8" i="4"/>
  <c r="E8" i="4"/>
  <c r="D8" i="4"/>
  <c r="C8" i="4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H3" i="3"/>
  <c r="I2" i="3"/>
  <c r="H2" i="3"/>
  <c r="J2" i="3" l="1"/>
  <c r="J4" i="3"/>
  <c r="J6" i="3"/>
  <c r="J8" i="3"/>
  <c r="J32" i="3"/>
  <c r="J34" i="3"/>
  <c r="J36" i="3"/>
  <c r="J38" i="3"/>
  <c r="J42" i="3"/>
  <c r="J10" i="3"/>
  <c r="J27" i="3"/>
  <c r="J31" i="3"/>
  <c r="J39" i="3"/>
  <c r="J43" i="3"/>
  <c r="J5" i="3"/>
  <c r="J21" i="3"/>
  <c r="J16" i="3"/>
  <c r="J18" i="3"/>
  <c r="J20" i="3"/>
  <c r="J22" i="3"/>
  <c r="J24" i="3"/>
  <c r="J26" i="3"/>
  <c r="J30" i="3"/>
  <c r="J33" i="3"/>
  <c r="J37" i="3"/>
  <c r="J7" i="3"/>
  <c r="J14" i="3"/>
  <c r="J11" i="3"/>
  <c r="J15" i="3"/>
  <c r="J23" i="3"/>
  <c r="J25" i="3"/>
  <c r="J41" i="3"/>
  <c r="J13" i="3"/>
  <c r="J29" i="3"/>
  <c r="J40" i="3"/>
  <c r="J45" i="3"/>
  <c r="J9" i="3"/>
  <c r="J3" i="3"/>
  <c r="J12" i="3"/>
  <c r="J17" i="3"/>
  <c r="J19" i="3"/>
  <c r="J28" i="3"/>
  <c r="J35" i="3"/>
  <c r="J44" i="3"/>
  <c r="J46" i="3"/>
</calcChain>
</file>

<file path=xl/sharedStrings.xml><?xml version="1.0" encoding="utf-8"?>
<sst xmlns="http://schemas.openxmlformats.org/spreadsheetml/2006/main" count="20977" uniqueCount="182">
  <si>
    <t>CTDI k-factors are used by RTI Piranha and RTI Ocean software to calculate CTDI(vol) from measurements of CTDI100(center).</t>
  </si>
  <si>
    <t>k = CTDIw/CTDI100(center)</t>
  </si>
  <si>
    <t>k-factors for some common scanners are built into RTI Ocean, but for newer scanners that aren't on the list, need to either select a similar scanner or use an appropriate k-factor.</t>
  </si>
  <si>
    <t>See RTI Application Note AN-40</t>
  </si>
  <si>
    <t>Spreadsheet tabs contain k-factors derived from Siemens Dosimetry and Imaging performance reports for the scanner.</t>
  </si>
  <si>
    <t>Scanner</t>
  </si>
  <si>
    <t>kV</t>
  </si>
  <si>
    <t>Coll NxT</t>
  </si>
  <si>
    <t>Width (mm)</t>
  </si>
  <si>
    <t>Acq NxT</t>
  </si>
  <si>
    <t>k (16 cm)</t>
  </si>
  <si>
    <t>k (32 cm)</t>
  </si>
  <si>
    <t>Confidence 64</t>
  </si>
  <si>
    <t>2x1</t>
  </si>
  <si>
    <t>1x5</t>
  </si>
  <si>
    <t>10x0.6</t>
  </si>
  <si>
    <t>20x0.6</t>
  </si>
  <si>
    <t>6x1.2</t>
  </si>
  <si>
    <t>1x10</t>
  </si>
  <si>
    <t>40x0.6</t>
  </si>
  <si>
    <t>12x1.2</t>
  </si>
  <si>
    <t>32x0.6</t>
  </si>
  <si>
    <t>64x0.6</t>
  </si>
  <si>
    <t>16x1.2</t>
  </si>
  <si>
    <t>Confidence 20</t>
  </si>
  <si>
    <t>go.Top</t>
  </si>
  <si>
    <t>6x0.6</t>
  </si>
  <si>
    <t>3x5</t>
  </si>
  <si>
    <t>Intevo Bold</t>
  </si>
  <si>
    <t>4x0.6</t>
  </si>
  <si>
    <t>12x0.6</t>
  </si>
  <si>
    <t>16x0.6</t>
  </si>
  <si>
    <t>2x8</t>
  </si>
  <si>
    <t>Definition Edge</t>
  </si>
  <si>
    <t>8x0.6</t>
  </si>
  <si>
    <t>32x1.2</t>
  </si>
  <si>
    <t>28x0.6</t>
  </si>
  <si>
    <t>Somatom Force</t>
  </si>
  <si>
    <t>48x0.6</t>
  </si>
  <si>
    <t>96x0.6</t>
  </si>
  <si>
    <t>128x0.6</t>
  </si>
  <si>
    <t>192x0.6</t>
  </si>
  <si>
    <t>24x1.2</t>
  </si>
  <si>
    <t>48x1.2</t>
  </si>
  <si>
    <t>Sn100</t>
  </si>
  <si>
    <t>Sn150</t>
  </si>
  <si>
    <t>80/Sn150</t>
  </si>
  <si>
    <t>90/Sn150</t>
  </si>
  <si>
    <t>100/Sn150</t>
  </si>
  <si>
    <t>Somatom Flash (B)</t>
  </si>
  <si>
    <t>Sn140</t>
  </si>
  <si>
    <t>Somatom Flash (A)</t>
  </si>
  <si>
    <t>80/Sn140</t>
  </si>
  <si>
    <t>100/Sn140</t>
  </si>
  <si>
    <t>140/80</t>
  </si>
  <si>
    <t>Definition AS</t>
  </si>
  <si>
    <t>Naeotom Alpha</t>
  </si>
  <si>
    <t>36x0.2</t>
  </si>
  <si>
    <t>36x0.4</t>
  </si>
  <si>
    <t>48x0.4</t>
  </si>
  <si>
    <t>120x0.2</t>
  </si>
  <si>
    <t>72x0.4</t>
  </si>
  <si>
    <t>96x0.4</t>
  </si>
  <si>
    <t>144x0.4</t>
  </si>
  <si>
    <t>Somatom Drive</t>
  </si>
  <si>
    <t>Symbia Pro.specta Q3</t>
  </si>
  <si>
    <t>Symbia Pro.specta Q4</t>
  </si>
  <si>
    <t>Symbia Pro.specta Q5</t>
  </si>
  <si>
    <t>3x3</t>
  </si>
  <si>
    <t>Symbia Pro.specta Q6</t>
  </si>
  <si>
    <t>16x0.7</t>
  </si>
  <si>
    <t>Symbia Pro.specta Q7</t>
  </si>
  <si>
    <t>Symbia Pro.specta Q8</t>
  </si>
  <si>
    <t>Symbia Pro.specta Q9</t>
  </si>
  <si>
    <t>Symbia Pro.specta Q10</t>
  </si>
  <si>
    <t>Symbia Pro.specta Q11</t>
  </si>
  <si>
    <t>Sn110</t>
  </si>
  <si>
    <t>16x0.7 (Sn)</t>
  </si>
  <si>
    <t>Symbia Pro.specta Q12</t>
  </si>
  <si>
    <t>Symbia Pro.specta Q13</t>
  </si>
  <si>
    <t>Symbia Pro.specta Q14</t>
  </si>
  <si>
    <t>Sn130</t>
  </si>
  <si>
    <t>X.cite</t>
  </si>
  <si>
    <t>Model</t>
  </si>
  <si>
    <t>scanner_id</t>
  </si>
  <si>
    <t>manufacturer_id</t>
  </si>
  <si>
    <t>phantom_diameter</t>
  </si>
  <si>
    <t>shaped_filter</t>
  </si>
  <si>
    <t>kv</t>
  </si>
  <si>
    <t>spectral_filter</t>
  </si>
  <si>
    <t>coll_N</t>
  </si>
  <si>
    <t>coll_T</t>
  </si>
  <si>
    <t>coll_width</t>
  </si>
  <si>
    <t>ctdi100_center</t>
  </si>
  <si>
    <t>ctdi_w</t>
  </si>
  <si>
    <t>Standard</t>
  </si>
  <si>
    <t>Narrow</t>
  </si>
  <si>
    <t>16 cm phantom, Standard shaped filter (Routine head)</t>
  </si>
  <si>
    <t>Tube A</t>
  </si>
  <si>
    <t>Tube B</t>
  </si>
  <si>
    <t>Collimation</t>
  </si>
  <si>
    <t>Acquisition</t>
  </si>
  <si>
    <t>Center</t>
  </si>
  <si>
    <t>CTDIw</t>
  </si>
  <si>
    <t>k</t>
  </si>
  <si>
    <t>100Sn</t>
  </si>
  <si>
    <t>110Sn</t>
  </si>
  <si>
    <t>120Sn</t>
  </si>
  <si>
    <t>130Sn</t>
  </si>
  <si>
    <t>140Sn</t>
  </si>
  <si>
    <t>16 cm phantom, Narrow shaped filter</t>
  </si>
  <si>
    <t>32 cm phantom, Standard shaped filter (Routine body)</t>
  </si>
  <si>
    <t>32 cm phantom, Narrow shaped filter</t>
  </si>
  <si>
    <t>16 cm phantom (Adult head)</t>
  </si>
  <si>
    <t>Total</t>
  </si>
  <si>
    <t>Shaped filter</t>
  </si>
  <si>
    <t>32 cm phantom (Adult body)</t>
  </si>
  <si>
    <t>16 cm phantom (Routine head)</t>
  </si>
  <si>
    <t>Topogram</t>
  </si>
  <si>
    <t>UHR</t>
  </si>
  <si>
    <t>UHR, z-sharp</t>
  </si>
  <si>
    <t>z-sharp</t>
  </si>
  <si>
    <t>16 cm phantom, Narrow shaped filter (Pediatric body)</t>
  </si>
  <si>
    <t>28.x.6</t>
  </si>
  <si>
    <t>32 cm phantom, Standard shaped filter (Adult Body)</t>
  </si>
  <si>
    <t>32 cm phantom, Narrow shaped filter (Cardiac, Ped Body)</t>
  </si>
  <si>
    <t>100SnLD</t>
  </si>
  <si>
    <t>110SnLD</t>
  </si>
  <si>
    <t>120SnLD</t>
  </si>
  <si>
    <t>130SnLD</t>
  </si>
  <si>
    <t>140SnLD</t>
  </si>
  <si>
    <t>150SnLD</t>
  </si>
  <si>
    <t>150SnDE</t>
  </si>
  <si>
    <t>120AuSn</t>
  </si>
  <si>
    <t>140AuSn</t>
  </si>
  <si>
    <t>32 cm phantom, Standard shaped filter</t>
  </si>
  <si>
    <t>32 cm phantom, Standard shaped filter (Adult body)</t>
  </si>
  <si>
    <t>32 cm phantom, Narrow shaped filter (Cardiac)</t>
  </si>
  <si>
    <t>1X10</t>
  </si>
  <si>
    <t>Sn</t>
  </si>
  <si>
    <t>Narrow Sn</t>
  </si>
  <si>
    <t>AuSn</t>
  </si>
  <si>
    <t>32cm phantom, Standard shaped filter (Adult Body)</t>
  </si>
  <si>
    <t>16cm phantom, Narrow shaped filter (Pediatric Body)</t>
  </si>
  <si>
    <t>32cm phantom, Narrow shaped filter (Cardiac)</t>
  </si>
  <si>
    <t>Sn 100</t>
  </si>
  <si>
    <t>Sn 140</t>
  </si>
  <si>
    <t>16 cm phantom, Narrow shaped filter (Inner Ear)</t>
  </si>
  <si>
    <t>32 cm phantom, Narrow shaped filter (Cardiac, Ped Body, Flash)</t>
  </si>
  <si>
    <t>48*1.2</t>
  </si>
  <si>
    <t>sURH z-sharp</t>
  </si>
  <si>
    <t>Sn 150</t>
  </si>
  <si>
    <t>Sn 140 (Tube B only)</t>
  </si>
  <si>
    <t>32 cm phantom, Standard shaped filter (Adult Body) Tube A only</t>
  </si>
  <si>
    <t>96x0.2</t>
  </si>
  <si>
    <t>Spectral filter</t>
  </si>
  <si>
    <t>None</t>
  </si>
  <si>
    <t>Sn LD</t>
  </si>
  <si>
    <t>Sn DE</t>
  </si>
  <si>
    <t>Biograph Vision</t>
  </si>
  <si>
    <t>Symbia Pro.specta</t>
  </si>
  <si>
    <t>BodyTom</t>
  </si>
  <si>
    <t>Siemens</t>
  </si>
  <si>
    <t>Neurologica</t>
  </si>
  <si>
    <t>Pro.Pulse A tube</t>
  </si>
  <si>
    <t>Pro.Pulse B tube</t>
  </si>
  <si>
    <t>Pro.Specta</t>
  </si>
  <si>
    <t>Standard Z-sharp</t>
  </si>
  <si>
    <t>Narrow Z-sharp</t>
  </si>
  <si>
    <t>SnLD</t>
  </si>
  <si>
    <t>SnDE</t>
  </si>
  <si>
    <t>Sn 120</t>
  </si>
  <si>
    <t>64x1.2</t>
  </si>
  <si>
    <t>16 cm phantom, Wide shaped filter (Routine head)</t>
  </si>
  <si>
    <t>Wide</t>
  </si>
  <si>
    <t>32 cm phantom, Wide shaped filter (Adult Body) Tube B only</t>
  </si>
  <si>
    <t>Somatom Flash A tube</t>
  </si>
  <si>
    <t>Somatom Flash B tube</t>
  </si>
  <si>
    <t>16 cm phantom Standard shaped filter TwinBeam Dual Energy</t>
  </si>
  <si>
    <t>16 cm phantom Narrow shaped filter TwinBeam Dual Energy</t>
  </si>
  <si>
    <t>32 cm phantom Standard shaped filter TwinBeam Dual Energy</t>
  </si>
  <si>
    <t>32 cm phantom Narrow shaped filter TwinBeam Dual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</si>
</sst>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Calibri"/>
      <charset val="1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4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3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9" xfId="0" applyFill="1" applyBorder="1" applyAlignment="1">
      <alignment horizontal="center" vertical="center"/>
    </xf>
    <xf numFmtId="164" fontId="0" fillId="3" borderId="9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1" fillId="0" borderId="15" xfId="0" applyFont="1" applyBorder="1"/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0" fillId="3" borderId="11" xfId="0" applyFill="1" applyBorder="1" applyAlignment="1">
      <alignment horizontal="center" vertical="center"/>
    </xf>
    <xf numFmtId="164" fontId="1" fillId="0" borderId="0" xfId="0" applyNumberFormat="1" applyFont="1"/>
    <xf numFmtId="0" fontId="1" fillId="0" borderId="15" xfId="0" applyFont="1" applyBorder="1" applyAlignment="1">
      <alignment horizontal="center"/>
    </xf>
    <xf numFmtId="0" fontId="0" fillId="0" borderId="9" xfId="0" applyBorder="1" applyAlignment="1">
      <alignment horizontal="right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9" xfId="0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0" fillId="0" borderId="18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2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1" fillId="2" borderId="22" xfId="0" applyFont="1" applyFill="1" applyBorder="1"/>
    <xf numFmtId="0" fontId="1" fillId="2" borderId="23" xfId="0" applyFont="1" applyFill="1" applyBorder="1"/>
    <xf numFmtId="0" fontId="1" fillId="2" borderId="24" xfId="0" applyFont="1" applyFill="1" applyBorder="1"/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11" xfId="0" applyFont="1" applyFill="1" applyBorder="1"/>
    <xf numFmtId="0" fontId="1" fillId="2" borderId="10" xfId="0" applyFont="1" applyFill="1" applyBorder="1"/>
    <xf numFmtId="0" fontId="1" fillId="2" borderId="9" xfId="0" applyFont="1" applyFill="1" applyBorder="1"/>
    <xf numFmtId="0" fontId="0" fillId="3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" fillId="2" borderId="33" xfId="0" applyFont="1" applyFill="1" applyBorder="1"/>
    <xf numFmtId="0" fontId="1" fillId="2" borderId="34" xfId="0" applyFont="1" applyFill="1" applyBorder="1"/>
    <xf numFmtId="0" fontId="1" fillId="2" borderId="0" xfId="0" applyFont="1" applyFill="1"/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0" fillId="3" borderId="39" xfId="0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center" vertical="center"/>
    </xf>
    <xf numFmtId="164" fontId="0" fillId="3" borderId="39" xfId="0" applyNumberFormat="1" applyFill="1" applyBorder="1" applyAlignment="1">
      <alignment horizontal="center" vertical="center"/>
    </xf>
    <xf numFmtId="164" fontId="0" fillId="3" borderId="41" xfId="0" applyNumberFormat="1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22" xfId="0" applyBorder="1" applyAlignment="1">
      <alignment horizontal="right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2" borderId="18" xfId="0" applyFont="1" applyFill="1" applyBorder="1"/>
    <xf numFmtId="164" fontId="0" fillId="3" borderId="25" xfId="0" applyNumberForma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47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zoomScaleNormal="100" workbookViewId="0">
      <selection activeCellId="1" sqref="D93:D181 A1"/>
    </sheetView>
  </sheetViews>
  <sheetFormatPr defaultColWidth="11.19921875" defaultRowHeight="15" customHeight="1" x14ac:dyDescent="0.3"/>
  <cols>
    <col min="1" max="26" width="8.59765625" customWidth="1"/>
  </cols>
  <sheetData>
    <row r="1" spans="1:1" ht="15.75" customHeight="1" x14ac:dyDescent="0.3">
      <c r="A1" s="8" t="s">
        <v>0</v>
      </c>
    </row>
    <row r="2" spans="1:1" ht="15.75" customHeight="1" x14ac:dyDescent="0.3">
      <c r="A2" s="8" t="s">
        <v>1</v>
      </c>
    </row>
    <row r="3" spans="1:1" ht="15.75" customHeight="1" x14ac:dyDescent="0.3">
      <c r="A3" s="8" t="s">
        <v>2</v>
      </c>
    </row>
    <row r="4" spans="1:1" ht="15.75" customHeight="1" x14ac:dyDescent="0.3">
      <c r="A4" s="8" t="s">
        <v>3</v>
      </c>
    </row>
    <row r="5" spans="1:1" ht="15.75" customHeight="1" x14ac:dyDescent="0.3"/>
    <row r="6" spans="1:1" ht="15.75" customHeight="1" x14ac:dyDescent="0.3">
      <c r="A6" s="8" t="s">
        <v>4</v>
      </c>
    </row>
    <row r="7" spans="1:1" ht="15.75" customHeight="1" x14ac:dyDescent="0.3"/>
    <row r="8" spans="1:1" ht="15.75" customHeight="1" x14ac:dyDescent="0.3"/>
    <row r="9" spans="1:1" ht="15.75" customHeight="1" x14ac:dyDescent="0.3"/>
    <row r="10" spans="1:1" ht="15.75" customHeight="1" x14ac:dyDescent="0.3"/>
    <row r="11" spans="1:1" ht="15.75" customHeight="1" x14ac:dyDescent="0.3"/>
    <row r="12" spans="1:1" ht="15.75" customHeight="1" x14ac:dyDescent="0.3"/>
    <row r="13" spans="1:1" ht="15.75" customHeight="1" x14ac:dyDescent="0.3"/>
    <row r="14" spans="1:1" ht="15.75" customHeight="1" x14ac:dyDescent="0.3"/>
    <row r="15" spans="1:1" ht="15.75" customHeight="1" x14ac:dyDescent="0.3"/>
    <row r="16" spans="1:1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736"/>
  <sheetViews>
    <sheetView tabSelected="1" zoomScaleNormal="100" workbookViewId="0">
      <pane ySplit="1" topLeftCell="A2" activePane="bottomLeft" state="frozen"/>
      <selection pane="bottomLeft" activeCell="I18" sqref="I18"/>
    </sheetView>
  </sheetViews>
  <sheetFormatPr defaultColWidth="11.19921875" defaultRowHeight="15" customHeight="1" x14ac:dyDescent="0.3"/>
  <cols>
    <col min="1" max="1" width="16" customWidth="1"/>
    <col min="2" max="8" width="9.09765625" customWidth="1"/>
    <col min="9" max="9" width="16.19921875" customWidth="1"/>
    <col min="10" max="10" width="9.09765625" customWidth="1"/>
  </cols>
  <sheetData>
    <row r="1" spans="1:14" ht="15" customHeight="1" x14ac:dyDescent="0.3">
      <c r="A1" s="9" t="s">
        <v>5</v>
      </c>
      <c r="B1" s="10" t="s">
        <v>6</v>
      </c>
      <c r="C1" s="10" t="s">
        <v>7</v>
      </c>
      <c r="D1" s="10" t="s">
        <v>8</v>
      </c>
      <c r="E1" s="10" t="s">
        <v>9</v>
      </c>
      <c r="F1" s="11" t="s">
        <v>10</v>
      </c>
      <c r="G1" s="11" t="s">
        <v>11</v>
      </c>
      <c r="H1" s="10"/>
      <c r="I1" s="125" t="s">
        <v>56</v>
      </c>
      <c r="J1" s="10">
        <v>1</v>
      </c>
      <c r="M1" t="s">
        <v>162</v>
      </c>
      <c r="N1">
        <v>1</v>
      </c>
    </row>
    <row r="2" spans="1:14" ht="15" customHeight="1" x14ac:dyDescent="0.3">
      <c r="A2" s="9" t="s">
        <v>12</v>
      </c>
      <c r="B2" s="10">
        <v>70</v>
      </c>
      <c r="C2" s="10" t="s">
        <v>13</v>
      </c>
      <c r="D2" s="10">
        <v>2</v>
      </c>
      <c r="E2" s="10" t="s">
        <v>13</v>
      </c>
      <c r="F2" s="11">
        <v>1.0699300700000001</v>
      </c>
      <c r="G2" s="11">
        <v>1.741379</v>
      </c>
      <c r="H2" s="10"/>
      <c r="I2" s="125" t="s">
        <v>55</v>
      </c>
      <c r="J2" s="10">
        <v>2</v>
      </c>
      <c r="M2" t="s">
        <v>163</v>
      </c>
      <c r="N2">
        <v>2</v>
      </c>
    </row>
    <row r="3" spans="1:14" ht="15" customHeight="1" x14ac:dyDescent="0.3">
      <c r="A3" s="9" t="s">
        <v>12</v>
      </c>
      <c r="B3" s="10">
        <v>70</v>
      </c>
      <c r="C3" s="10" t="s">
        <v>14</v>
      </c>
      <c r="D3" s="10">
        <v>5</v>
      </c>
      <c r="E3" s="10" t="s">
        <v>14</v>
      </c>
      <c r="F3" s="11">
        <v>1.0661478600000001</v>
      </c>
      <c r="G3" s="11">
        <v>1.75</v>
      </c>
      <c r="H3" s="10"/>
      <c r="I3" s="125" t="s">
        <v>176</v>
      </c>
      <c r="J3" s="10">
        <v>3</v>
      </c>
    </row>
    <row r="4" spans="1:14" ht="15" customHeight="1" x14ac:dyDescent="0.3">
      <c r="A4" s="9" t="s">
        <v>12</v>
      </c>
      <c r="B4" s="10">
        <v>70</v>
      </c>
      <c r="C4" s="10" t="s">
        <v>15</v>
      </c>
      <c r="D4" s="10">
        <v>6</v>
      </c>
      <c r="E4" s="10" t="s">
        <v>16</v>
      </c>
      <c r="F4" s="11">
        <v>1.0645161299999999</v>
      </c>
      <c r="G4" s="11">
        <v>1.7246379999999999</v>
      </c>
      <c r="H4" s="10"/>
      <c r="I4" s="125" t="s">
        <v>37</v>
      </c>
      <c r="J4" s="10">
        <v>4</v>
      </c>
    </row>
    <row r="5" spans="1:14" ht="15" customHeight="1" x14ac:dyDescent="0.3">
      <c r="A5" s="9" t="s">
        <v>12</v>
      </c>
      <c r="B5" s="10">
        <v>70</v>
      </c>
      <c r="C5" s="10" t="s">
        <v>17</v>
      </c>
      <c r="D5" s="10">
        <v>7.2</v>
      </c>
      <c r="E5" s="10" t="s">
        <v>17</v>
      </c>
      <c r="F5" s="11">
        <v>1.0677506800000001</v>
      </c>
      <c r="G5" s="11">
        <v>1.733333</v>
      </c>
      <c r="H5" s="10"/>
      <c r="I5" s="125" t="s">
        <v>64</v>
      </c>
      <c r="J5" s="10">
        <v>5</v>
      </c>
    </row>
    <row r="6" spans="1:14" ht="15" customHeight="1" x14ac:dyDescent="0.3">
      <c r="A6" s="9" t="s">
        <v>12</v>
      </c>
      <c r="B6" s="10">
        <v>70</v>
      </c>
      <c r="C6" s="10" t="s">
        <v>18</v>
      </c>
      <c r="D6" s="10">
        <v>10</v>
      </c>
      <c r="E6" s="10" t="s">
        <v>18</v>
      </c>
      <c r="F6" s="11">
        <v>1.0661478600000001</v>
      </c>
      <c r="G6" s="11">
        <v>1.75</v>
      </c>
      <c r="H6" s="10"/>
      <c r="I6" s="125" t="s">
        <v>33</v>
      </c>
      <c r="J6" s="10">
        <v>6</v>
      </c>
    </row>
    <row r="7" spans="1:14" ht="15" customHeight="1" x14ac:dyDescent="0.3">
      <c r="A7" s="9" t="s">
        <v>12</v>
      </c>
      <c r="B7" s="10">
        <v>70</v>
      </c>
      <c r="C7" s="10" t="s">
        <v>16</v>
      </c>
      <c r="D7" s="10">
        <v>12</v>
      </c>
      <c r="E7" s="10" t="s">
        <v>19</v>
      </c>
      <c r="F7" s="11">
        <v>1.0632183900000001</v>
      </c>
      <c r="G7" s="11">
        <v>1.7428570000000001</v>
      </c>
      <c r="H7" s="10"/>
      <c r="I7" s="125" t="s">
        <v>25</v>
      </c>
      <c r="J7" s="10">
        <v>7</v>
      </c>
    </row>
    <row r="8" spans="1:14" ht="15" customHeight="1" x14ac:dyDescent="0.3">
      <c r="A8" s="9" t="s">
        <v>12</v>
      </c>
      <c r="B8" s="10">
        <v>70</v>
      </c>
      <c r="C8" s="10" t="s">
        <v>20</v>
      </c>
      <c r="D8" s="10">
        <v>14.4</v>
      </c>
      <c r="E8" s="10" t="s">
        <v>20</v>
      </c>
      <c r="F8" s="11">
        <v>1.06990881</v>
      </c>
      <c r="G8" s="11">
        <v>1.7313430000000001</v>
      </c>
      <c r="H8" s="10"/>
      <c r="I8" s="125" t="s">
        <v>12</v>
      </c>
      <c r="J8" s="10">
        <v>8</v>
      </c>
    </row>
    <row r="9" spans="1:14" ht="15" customHeight="1" x14ac:dyDescent="0.3">
      <c r="A9" s="9" t="s">
        <v>12</v>
      </c>
      <c r="B9" s="10">
        <v>70</v>
      </c>
      <c r="C9" s="10" t="s">
        <v>21</v>
      </c>
      <c r="D9" s="10">
        <v>19.2</v>
      </c>
      <c r="E9" s="10" t="s">
        <v>22</v>
      </c>
      <c r="F9" s="11">
        <v>1.0617284</v>
      </c>
      <c r="G9" s="11">
        <v>1.712121</v>
      </c>
      <c r="H9" s="10"/>
      <c r="I9" s="125" t="s">
        <v>24</v>
      </c>
      <c r="J9" s="10">
        <v>9</v>
      </c>
    </row>
    <row r="10" spans="1:14" ht="15" customHeight="1" x14ac:dyDescent="0.3">
      <c r="A10" s="9" t="s">
        <v>12</v>
      </c>
      <c r="B10" s="10">
        <v>70</v>
      </c>
      <c r="C10" s="10" t="s">
        <v>23</v>
      </c>
      <c r="D10" s="10">
        <v>19.2</v>
      </c>
      <c r="E10" s="10" t="s">
        <v>23</v>
      </c>
      <c r="F10" s="11">
        <v>1.06984127</v>
      </c>
      <c r="G10" s="11">
        <v>1.734375</v>
      </c>
      <c r="H10" s="10"/>
      <c r="I10" s="125" t="s">
        <v>82</v>
      </c>
      <c r="J10" s="10">
        <v>10</v>
      </c>
    </row>
    <row r="11" spans="1:14" ht="15" customHeight="1" x14ac:dyDescent="0.3">
      <c r="A11" s="9" t="s">
        <v>12</v>
      </c>
      <c r="B11" s="10">
        <v>80</v>
      </c>
      <c r="C11" s="10" t="s">
        <v>13</v>
      </c>
      <c r="D11" s="10">
        <v>2</v>
      </c>
      <c r="E11" s="10" t="s">
        <v>13</v>
      </c>
      <c r="F11" s="11">
        <v>1.0437636800000001</v>
      </c>
      <c r="G11" s="11">
        <v>1.61165</v>
      </c>
      <c r="H11" s="10"/>
      <c r="I11" s="125" t="s">
        <v>159</v>
      </c>
      <c r="J11" s="10">
        <v>11</v>
      </c>
    </row>
    <row r="12" spans="1:14" ht="15" customHeight="1" x14ac:dyDescent="0.3">
      <c r="A12" s="9" t="s">
        <v>12</v>
      </c>
      <c r="B12" s="10">
        <v>80</v>
      </c>
      <c r="C12" s="10" t="s">
        <v>14</v>
      </c>
      <c r="D12" s="10">
        <v>5</v>
      </c>
      <c r="E12" s="10" t="s">
        <v>14</v>
      </c>
      <c r="F12" s="11">
        <v>1.0439024400000001</v>
      </c>
      <c r="G12" s="11">
        <v>1.6195649999999999</v>
      </c>
      <c r="H12" s="10"/>
      <c r="I12" s="125" t="s">
        <v>28</v>
      </c>
      <c r="J12" s="10">
        <v>12</v>
      </c>
    </row>
    <row r="13" spans="1:14" ht="15" customHeight="1" x14ac:dyDescent="0.3">
      <c r="A13" s="9" t="s">
        <v>12</v>
      </c>
      <c r="B13" s="10">
        <v>80</v>
      </c>
      <c r="C13" s="10" t="s">
        <v>15</v>
      </c>
      <c r="D13" s="10">
        <v>6</v>
      </c>
      <c r="E13" s="10" t="s">
        <v>16</v>
      </c>
      <c r="F13" s="11">
        <v>1.0422794099999999</v>
      </c>
      <c r="G13" s="11">
        <v>1.606557</v>
      </c>
      <c r="H13" s="10"/>
      <c r="I13" s="125" t="s">
        <v>160</v>
      </c>
      <c r="J13" s="10">
        <v>13</v>
      </c>
    </row>
    <row r="14" spans="1:14" ht="15" customHeight="1" x14ac:dyDescent="0.3">
      <c r="A14" s="9" t="s">
        <v>12</v>
      </c>
      <c r="B14" s="10">
        <v>80</v>
      </c>
      <c r="C14" s="10" t="s">
        <v>17</v>
      </c>
      <c r="D14" s="10">
        <v>7.2</v>
      </c>
      <c r="E14" s="10" t="s">
        <v>17</v>
      </c>
      <c r="F14" s="11">
        <v>1.0458404100000001</v>
      </c>
      <c r="G14" s="11">
        <v>1.6090230000000001</v>
      </c>
      <c r="H14" s="10"/>
      <c r="I14" s="125" t="s">
        <v>164</v>
      </c>
      <c r="J14" s="10">
        <v>14</v>
      </c>
    </row>
    <row r="15" spans="1:14" ht="15" customHeight="1" x14ac:dyDescent="0.3">
      <c r="A15" s="9" t="s">
        <v>12</v>
      </c>
      <c r="B15" s="10">
        <v>80</v>
      </c>
      <c r="C15" s="10" t="s">
        <v>18</v>
      </c>
      <c r="D15" s="10">
        <v>10</v>
      </c>
      <c r="E15" s="10" t="s">
        <v>18</v>
      </c>
      <c r="F15" s="11">
        <v>1.0439024400000001</v>
      </c>
      <c r="G15" s="11">
        <v>1.6195649999999999</v>
      </c>
      <c r="H15" s="10"/>
      <c r="I15" s="125" t="s">
        <v>165</v>
      </c>
      <c r="J15" s="10">
        <v>15</v>
      </c>
    </row>
    <row r="16" spans="1:14" ht="15" customHeight="1" x14ac:dyDescent="0.3">
      <c r="A16" s="9" t="s">
        <v>12</v>
      </c>
      <c r="B16" s="10">
        <v>80</v>
      </c>
      <c r="C16" s="10" t="s">
        <v>16</v>
      </c>
      <c r="D16" s="10">
        <v>12</v>
      </c>
      <c r="E16" s="10" t="s">
        <v>19</v>
      </c>
      <c r="F16" s="11">
        <v>1.0414414400000001</v>
      </c>
      <c r="G16" s="11">
        <v>1.612903</v>
      </c>
      <c r="H16" s="10"/>
      <c r="I16" s="10" t="s">
        <v>161</v>
      </c>
      <c r="J16" s="10">
        <v>16</v>
      </c>
    </row>
    <row r="17" spans="1:10" ht="15" customHeight="1" x14ac:dyDescent="0.3">
      <c r="A17" s="9" t="s">
        <v>12</v>
      </c>
      <c r="B17" s="10">
        <v>80</v>
      </c>
      <c r="C17" s="10" t="s">
        <v>20</v>
      </c>
      <c r="D17" s="10">
        <v>14.4</v>
      </c>
      <c r="E17" s="10" t="s">
        <v>20</v>
      </c>
      <c r="F17" s="11">
        <v>1.04571429</v>
      </c>
      <c r="G17" s="11">
        <v>1.618644</v>
      </c>
      <c r="H17" s="10"/>
      <c r="I17" s="125" t="s">
        <v>177</v>
      </c>
      <c r="J17" s="10">
        <v>17</v>
      </c>
    </row>
    <row r="18" spans="1:10" ht="15" customHeight="1" x14ac:dyDescent="0.3">
      <c r="A18" s="9" t="s">
        <v>12</v>
      </c>
      <c r="B18" s="10">
        <v>80</v>
      </c>
      <c r="C18" s="10" t="s">
        <v>21</v>
      </c>
      <c r="D18" s="10">
        <v>19.2</v>
      </c>
      <c r="E18" s="10" t="s">
        <v>22</v>
      </c>
      <c r="F18" s="11">
        <v>1.04061896</v>
      </c>
      <c r="G18" s="11">
        <v>1.603448</v>
      </c>
      <c r="H18" s="10"/>
      <c r="I18" s="10"/>
      <c r="J18" s="10"/>
    </row>
    <row r="19" spans="1:10" ht="15" customHeight="1" x14ac:dyDescent="0.3">
      <c r="A19" s="9" t="s">
        <v>12</v>
      </c>
      <c r="B19" s="10">
        <v>80</v>
      </c>
      <c r="C19" s="10" t="s">
        <v>23</v>
      </c>
      <c r="D19" s="10">
        <v>19.2</v>
      </c>
      <c r="E19" s="10" t="s">
        <v>23</v>
      </c>
      <c r="F19" s="11">
        <v>1.0457256500000001</v>
      </c>
      <c r="G19" s="11">
        <v>1.619469</v>
      </c>
      <c r="H19" s="10"/>
      <c r="I19" s="10"/>
      <c r="J19" s="10"/>
    </row>
    <row r="20" spans="1:10" ht="15" customHeight="1" x14ac:dyDescent="0.3">
      <c r="A20" s="9" t="s">
        <v>12</v>
      </c>
      <c r="B20" s="10">
        <v>100</v>
      </c>
      <c r="C20" s="10" t="s">
        <v>13</v>
      </c>
      <c r="D20" s="10">
        <v>2</v>
      </c>
      <c r="E20" s="10" t="s">
        <v>13</v>
      </c>
      <c r="F20" s="11">
        <v>1.0203619900000001</v>
      </c>
      <c r="G20" s="11">
        <v>1.4888889999999999</v>
      </c>
      <c r="H20" s="10"/>
      <c r="I20" s="10"/>
      <c r="J20" s="10"/>
    </row>
    <row r="21" spans="1:10" ht="15" customHeight="1" x14ac:dyDescent="0.3">
      <c r="A21" s="9" t="s">
        <v>12</v>
      </c>
      <c r="B21" s="10">
        <v>100</v>
      </c>
      <c r="C21" s="10" t="s">
        <v>14</v>
      </c>
      <c r="D21" s="10">
        <v>5</v>
      </c>
      <c r="E21" s="10" t="s">
        <v>14</v>
      </c>
      <c r="F21" s="11">
        <v>1.02143758</v>
      </c>
      <c r="G21" s="11">
        <v>1.4900990000000001</v>
      </c>
      <c r="H21" s="10"/>
      <c r="I21" s="10"/>
      <c r="J21" s="10"/>
    </row>
    <row r="22" spans="1:10" ht="15" customHeight="1" x14ac:dyDescent="0.3">
      <c r="A22" s="9" t="s">
        <v>12</v>
      </c>
      <c r="B22" s="10">
        <v>100</v>
      </c>
      <c r="C22" s="10" t="s">
        <v>15</v>
      </c>
      <c r="D22" s="10">
        <v>6</v>
      </c>
      <c r="E22" s="10" t="s">
        <v>16</v>
      </c>
      <c r="F22" s="11">
        <v>1.01614435</v>
      </c>
      <c r="G22" s="11">
        <v>1.479401</v>
      </c>
      <c r="H22" s="10"/>
      <c r="I22" s="10"/>
      <c r="J22" s="10"/>
    </row>
    <row r="23" spans="1:10" ht="15" customHeight="1" x14ac:dyDescent="0.3">
      <c r="A23" s="9" t="s">
        <v>12</v>
      </c>
      <c r="B23" s="10">
        <v>100</v>
      </c>
      <c r="C23" s="10" t="s">
        <v>17</v>
      </c>
      <c r="D23" s="10">
        <v>7.2</v>
      </c>
      <c r="E23" s="10" t="s">
        <v>17</v>
      </c>
      <c r="F23" s="11">
        <v>1.02105263</v>
      </c>
      <c r="G23" s="11">
        <v>1.489655</v>
      </c>
      <c r="H23" s="10"/>
      <c r="I23" s="10"/>
      <c r="J23" s="10"/>
    </row>
    <row r="24" spans="1:10" ht="15" customHeight="1" x14ac:dyDescent="0.3">
      <c r="A24" s="9" t="s">
        <v>12</v>
      </c>
      <c r="B24" s="10">
        <v>100</v>
      </c>
      <c r="C24" s="10" t="s">
        <v>18</v>
      </c>
      <c r="D24" s="10">
        <v>10</v>
      </c>
      <c r="E24" s="10" t="s">
        <v>18</v>
      </c>
      <c r="F24" s="11">
        <v>1.02143758</v>
      </c>
      <c r="G24" s="11">
        <v>1.4900990000000001</v>
      </c>
      <c r="H24" s="10"/>
      <c r="I24" s="10"/>
      <c r="J24" s="10"/>
    </row>
    <row r="25" spans="1:10" ht="15" customHeight="1" x14ac:dyDescent="0.3">
      <c r="A25" s="9" t="s">
        <v>12</v>
      </c>
      <c r="B25" s="10">
        <v>100</v>
      </c>
      <c r="C25" s="10" t="s">
        <v>16</v>
      </c>
      <c r="D25" s="10">
        <v>12</v>
      </c>
      <c r="E25" s="10" t="s">
        <v>19</v>
      </c>
      <c r="F25" s="11">
        <v>1.0167754</v>
      </c>
      <c r="G25" s="11">
        <v>1.4816180000000001</v>
      </c>
      <c r="H25" s="10"/>
      <c r="I25" s="10"/>
      <c r="J25" s="10"/>
    </row>
    <row r="26" spans="1:10" ht="15" customHeight="1" x14ac:dyDescent="0.3">
      <c r="A26" s="9" t="s">
        <v>12</v>
      </c>
      <c r="B26" s="10">
        <v>100</v>
      </c>
      <c r="C26" s="10" t="s">
        <v>20</v>
      </c>
      <c r="D26" s="10">
        <v>14.4</v>
      </c>
      <c r="E26" s="10" t="s">
        <v>20</v>
      </c>
      <c r="F26" s="11">
        <v>1.0216322499999999</v>
      </c>
      <c r="G26" s="11">
        <v>1.4903470000000001</v>
      </c>
      <c r="H26" s="10"/>
      <c r="I26" s="10"/>
      <c r="J26" s="10"/>
    </row>
    <row r="27" spans="1:10" ht="15" customHeight="1" x14ac:dyDescent="0.3">
      <c r="A27" s="9" t="s">
        <v>12</v>
      </c>
      <c r="B27" s="10">
        <v>100</v>
      </c>
      <c r="C27" s="10" t="s">
        <v>21</v>
      </c>
      <c r="D27" s="10">
        <v>19.2</v>
      </c>
      <c r="E27" s="10" t="s">
        <v>22</v>
      </c>
      <c r="F27" s="11">
        <v>1.016</v>
      </c>
      <c r="G27" s="11">
        <v>1.476378</v>
      </c>
      <c r="H27" s="10"/>
      <c r="I27" s="10"/>
      <c r="J27" s="10"/>
    </row>
    <row r="28" spans="1:10" ht="15" customHeight="1" x14ac:dyDescent="0.3">
      <c r="A28" s="9" t="s">
        <v>12</v>
      </c>
      <c r="B28" s="10">
        <v>100</v>
      </c>
      <c r="C28" s="10" t="s">
        <v>23</v>
      </c>
      <c r="D28" s="10">
        <v>19.2</v>
      </c>
      <c r="E28" s="10" t="s">
        <v>23</v>
      </c>
      <c r="F28" s="11">
        <v>1.02158273</v>
      </c>
      <c r="G28" s="11">
        <v>1.493927</v>
      </c>
      <c r="H28" s="10"/>
      <c r="I28" s="10"/>
      <c r="J28" s="10"/>
    </row>
    <row r="29" spans="1:10" ht="15" customHeight="1" x14ac:dyDescent="0.3">
      <c r="A29" s="9" t="s">
        <v>12</v>
      </c>
      <c r="B29" s="10">
        <v>120</v>
      </c>
      <c r="C29" s="10" t="s">
        <v>13</v>
      </c>
      <c r="D29" s="10">
        <v>2</v>
      </c>
      <c r="E29" s="10" t="s">
        <v>13</v>
      </c>
      <c r="F29" s="11">
        <v>1.0120886499999999</v>
      </c>
      <c r="G29" s="11">
        <v>1.432763</v>
      </c>
      <c r="H29" s="10"/>
      <c r="I29" s="10"/>
      <c r="J29" s="10"/>
    </row>
    <row r="30" spans="1:10" ht="15" customHeight="1" x14ac:dyDescent="0.3">
      <c r="A30" s="9" t="s">
        <v>12</v>
      </c>
      <c r="B30" s="10">
        <v>120</v>
      </c>
      <c r="C30" s="10" t="s">
        <v>14</v>
      </c>
      <c r="D30" s="10">
        <v>5</v>
      </c>
      <c r="E30" s="10" t="s">
        <v>14</v>
      </c>
      <c r="F30" s="11">
        <v>1.0119760499999999</v>
      </c>
      <c r="G30" s="11">
        <v>1.433243</v>
      </c>
      <c r="H30" s="10"/>
      <c r="I30" s="10"/>
      <c r="J30" s="10"/>
    </row>
    <row r="31" spans="1:10" ht="15" customHeight="1" x14ac:dyDescent="0.3">
      <c r="A31" s="9" t="s">
        <v>12</v>
      </c>
      <c r="B31" s="10">
        <v>120</v>
      </c>
      <c r="C31" s="10" t="s">
        <v>15</v>
      </c>
      <c r="D31" s="10">
        <v>6</v>
      </c>
      <c r="E31" s="10" t="s">
        <v>16</v>
      </c>
      <c r="F31" s="11">
        <v>1.0084793700000001</v>
      </c>
      <c r="G31" s="11">
        <v>1.414784</v>
      </c>
      <c r="H31" s="10"/>
      <c r="I31" s="10"/>
      <c r="J31" s="10"/>
    </row>
    <row r="32" spans="1:10" ht="15.6" x14ac:dyDescent="0.3">
      <c r="A32" s="9" t="s">
        <v>12</v>
      </c>
      <c r="B32" s="10">
        <v>120</v>
      </c>
      <c r="C32" s="10" t="s">
        <v>17</v>
      </c>
      <c r="D32" s="10">
        <v>7.2</v>
      </c>
      <c r="E32" s="10" t="s">
        <v>17</v>
      </c>
      <c r="F32" s="11">
        <v>1.01145237</v>
      </c>
      <c r="G32" s="11">
        <v>1.431818</v>
      </c>
      <c r="H32" s="10"/>
      <c r="I32" s="10"/>
      <c r="J32" s="10"/>
    </row>
    <row r="33" spans="1:10" ht="15.6" x14ac:dyDescent="0.3">
      <c r="A33" s="9" t="s">
        <v>12</v>
      </c>
      <c r="B33" s="10">
        <v>120</v>
      </c>
      <c r="C33" s="10" t="s">
        <v>18</v>
      </c>
      <c r="D33" s="10">
        <v>10</v>
      </c>
      <c r="E33" s="10" t="s">
        <v>18</v>
      </c>
      <c r="F33" s="11">
        <v>1.0119760499999999</v>
      </c>
      <c r="G33" s="11">
        <v>1.433243</v>
      </c>
      <c r="H33" s="10"/>
      <c r="I33" s="10"/>
      <c r="J33" s="10"/>
    </row>
    <row r="34" spans="1:10" ht="15.6" x14ac:dyDescent="0.3">
      <c r="A34" s="9" t="s">
        <v>12</v>
      </c>
      <c r="B34" s="10">
        <v>120</v>
      </c>
      <c r="C34" s="10" t="s">
        <v>16</v>
      </c>
      <c r="D34" s="10">
        <v>12</v>
      </c>
      <c r="E34" s="10" t="s">
        <v>19</v>
      </c>
      <c r="F34" s="11">
        <v>1.00831947</v>
      </c>
      <c r="G34" s="11">
        <v>1.4153230000000001</v>
      </c>
      <c r="H34" s="10"/>
      <c r="I34" s="10"/>
      <c r="J34" s="10"/>
    </row>
    <row r="35" spans="1:10" ht="15.6" x14ac:dyDescent="0.3">
      <c r="A35" s="9" t="s">
        <v>12</v>
      </c>
      <c r="B35" s="10">
        <v>120</v>
      </c>
      <c r="C35" s="10" t="s">
        <v>20</v>
      </c>
      <c r="D35" s="10">
        <v>14.4</v>
      </c>
      <c r="E35" s="10" t="s">
        <v>20</v>
      </c>
      <c r="F35" s="11">
        <v>1.0116686100000001</v>
      </c>
      <c r="G35" s="11">
        <v>1.4331210000000001</v>
      </c>
      <c r="H35" s="10"/>
      <c r="I35" s="10"/>
      <c r="J35" s="10"/>
    </row>
    <row r="36" spans="1:10" ht="15.6" x14ac:dyDescent="0.3">
      <c r="A36" s="9" t="s">
        <v>12</v>
      </c>
      <c r="B36" s="10">
        <v>120</v>
      </c>
      <c r="C36" s="10" t="s">
        <v>21</v>
      </c>
      <c r="D36" s="10">
        <v>19.2</v>
      </c>
      <c r="E36" s="10" t="s">
        <v>22</v>
      </c>
      <c r="F36" s="11">
        <v>1.0083333299999999</v>
      </c>
      <c r="G36" s="11">
        <v>1.415584</v>
      </c>
      <c r="H36" s="10"/>
      <c r="I36" s="10"/>
      <c r="J36" s="10"/>
    </row>
    <row r="37" spans="1:10" ht="15.6" x14ac:dyDescent="0.3">
      <c r="A37" s="9" t="s">
        <v>12</v>
      </c>
      <c r="B37" s="10">
        <v>120</v>
      </c>
      <c r="C37" s="10" t="s">
        <v>23</v>
      </c>
      <c r="D37" s="10">
        <v>19.2</v>
      </c>
      <c r="E37" s="10" t="s">
        <v>23</v>
      </c>
      <c r="F37" s="11">
        <v>1.0115853699999999</v>
      </c>
      <c r="G37" s="11">
        <v>1.4323729999999999</v>
      </c>
      <c r="H37" s="10"/>
      <c r="I37" s="10"/>
      <c r="J37" s="10"/>
    </row>
    <row r="38" spans="1:10" ht="15.6" x14ac:dyDescent="0.3">
      <c r="A38" s="9" t="s">
        <v>12</v>
      </c>
      <c r="B38" s="10">
        <v>140</v>
      </c>
      <c r="C38" s="10" t="s">
        <v>13</v>
      </c>
      <c r="D38" s="10">
        <v>2</v>
      </c>
      <c r="E38" s="10" t="s">
        <v>13</v>
      </c>
      <c r="F38" s="11">
        <v>1.00754006</v>
      </c>
      <c r="G38" s="11">
        <v>1.396104</v>
      </c>
      <c r="H38" s="10"/>
      <c r="I38" s="10"/>
      <c r="J38" s="10"/>
    </row>
    <row r="39" spans="1:10" ht="15.6" x14ac:dyDescent="0.3">
      <c r="A39" s="9" t="s">
        <v>12</v>
      </c>
      <c r="B39" s="10">
        <v>140</v>
      </c>
      <c r="C39" s="10" t="s">
        <v>14</v>
      </c>
      <c r="D39" s="10">
        <v>5</v>
      </c>
      <c r="E39" s="10" t="s">
        <v>14</v>
      </c>
      <c r="F39" s="11">
        <v>1.0073529400000001</v>
      </c>
      <c r="G39" s="11">
        <v>1.396739</v>
      </c>
      <c r="H39" s="10"/>
      <c r="I39" s="10"/>
      <c r="J39" s="10"/>
    </row>
    <row r="40" spans="1:10" ht="15.6" x14ac:dyDescent="0.3">
      <c r="A40" s="9" t="s">
        <v>12</v>
      </c>
      <c r="B40" s="10">
        <v>140</v>
      </c>
      <c r="C40" s="10" t="s">
        <v>15</v>
      </c>
      <c r="D40" s="10">
        <v>6</v>
      </c>
      <c r="E40" s="10" t="s">
        <v>16</v>
      </c>
      <c r="F40" s="11">
        <v>1.0047562400000001</v>
      </c>
      <c r="G40" s="11">
        <v>1.3882030000000001</v>
      </c>
      <c r="H40" s="10"/>
      <c r="I40" s="10"/>
      <c r="J40" s="10"/>
    </row>
    <row r="41" spans="1:10" ht="15.6" x14ac:dyDescent="0.3">
      <c r="A41" s="9" t="s">
        <v>12</v>
      </c>
      <c r="B41" s="10">
        <v>140</v>
      </c>
      <c r="C41" s="10" t="s">
        <v>17</v>
      </c>
      <c r="D41" s="10">
        <v>7.2</v>
      </c>
      <c r="E41" s="10" t="s">
        <v>17</v>
      </c>
      <c r="F41" s="11">
        <v>1.0073072700000001</v>
      </c>
      <c r="G41" s="11">
        <v>1.396725</v>
      </c>
      <c r="H41" s="10"/>
      <c r="I41" s="10"/>
      <c r="J41" s="10"/>
    </row>
    <row r="42" spans="1:10" ht="15.6" x14ac:dyDescent="0.3">
      <c r="A42" s="9" t="s">
        <v>12</v>
      </c>
      <c r="B42" s="10">
        <v>140</v>
      </c>
      <c r="C42" s="10" t="s">
        <v>18</v>
      </c>
      <c r="D42" s="10">
        <v>10</v>
      </c>
      <c r="E42" s="10" t="s">
        <v>18</v>
      </c>
      <c r="F42" s="11">
        <v>1.0073529400000001</v>
      </c>
      <c r="G42" s="11">
        <v>1.396739</v>
      </c>
      <c r="H42" s="10"/>
      <c r="I42" s="10"/>
      <c r="J42" s="10"/>
    </row>
    <row r="43" spans="1:10" ht="15.6" x14ac:dyDescent="0.3">
      <c r="A43" s="9" t="s">
        <v>12</v>
      </c>
      <c r="B43" s="10">
        <v>140</v>
      </c>
      <c r="C43" s="10" t="s">
        <v>16</v>
      </c>
      <c r="D43" s="10">
        <v>12</v>
      </c>
      <c r="E43" s="10" t="s">
        <v>19</v>
      </c>
      <c r="F43" s="11">
        <v>1.00427683</v>
      </c>
      <c r="G43" s="11">
        <v>1.3889640000000001</v>
      </c>
      <c r="H43" s="10"/>
      <c r="I43" s="10"/>
      <c r="J43" s="10"/>
    </row>
    <row r="44" spans="1:10" ht="15.6" x14ac:dyDescent="0.3">
      <c r="A44" s="9" t="s">
        <v>12</v>
      </c>
      <c r="B44" s="10">
        <v>140</v>
      </c>
      <c r="C44" s="10" t="s">
        <v>20</v>
      </c>
      <c r="D44" s="10">
        <v>14.4</v>
      </c>
      <c r="E44" s="10" t="s">
        <v>20</v>
      </c>
      <c r="F44" s="11">
        <v>1.00737101</v>
      </c>
      <c r="G44" s="11">
        <v>1.394922</v>
      </c>
      <c r="H44" s="10"/>
      <c r="I44" s="10"/>
      <c r="J44" s="10"/>
    </row>
    <row r="45" spans="1:10" ht="15.6" x14ac:dyDescent="0.3">
      <c r="A45" s="9" t="s">
        <v>12</v>
      </c>
      <c r="B45" s="10">
        <v>140</v>
      </c>
      <c r="C45" s="10" t="s">
        <v>21</v>
      </c>
      <c r="D45" s="10">
        <v>19.2</v>
      </c>
      <c r="E45" s="10" t="s">
        <v>22</v>
      </c>
      <c r="F45" s="11">
        <v>1.0045909799999999</v>
      </c>
      <c r="G45" s="11">
        <v>1.388728</v>
      </c>
      <c r="H45" s="10"/>
      <c r="I45" s="10"/>
      <c r="J45" s="10"/>
    </row>
    <row r="46" spans="1:10" ht="15.6" x14ac:dyDescent="0.3">
      <c r="A46" s="9" t="s">
        <v>12</v>
      </c>
      <c r="B46" s="10">
        <v>140</v>
      </c>
      <c r="C46" s="10" t="s">
        <v>23</v>
      </c>
      <c r="D46" s="10">
        <v>19.2</v>
      </c>
      <c r="E46" s="10" t="s">
        <v>23</v>
      </c>
      <c r="F46" s="11">
        <v>1.0072742800000001</v>
      </c>
      <c r="G46" s="11">
        <v>1.396755</v>
      </c>
      <c r="H46" s="10"/>
      <c r="I46" s="10"/>
      <c r="J46" s="10"/>
    </row>
    <row r="47" spans="1:10" ht="15.6" x14ac:dyDescent="0.3">
      <c r="A47" s="9" t="s">
        <v>24</v>
      </c>
      <c r="B47" s="10">
        <v>70</v>
      </c>
      <c r="C47" s="10" t="s">
        <v>13</v>
      </c>
      <c r="D47" s="10">
        <v>2</v>
      </c>
      <c r="E47" s="10" t="s">
        <v>13</v>
      </c>
      <c r="F47" s="11">
        <v>1.0699300700000001</v>
      </c>
      <c r="G47" s="11">
        <v>2.0147059999999999</v>
      </c>
      <c r="H47" s="10"/>
      <c r="I47" s="10"/>
      <c r="J47" s="10"/>
    </row>
    <row r="48" spans="1:10" ht="15.6" x14ac:dyDescent="0.3">
      <c r="A48" s="9" t="s">
        <v>24</v>
      </c>
      <c r="B48" s="10">
        <v>70</v>
      </c>
      <c r="C48" s="10" t="s">
        <v>14</v>
      </c>
      <c r="D48" s="10">
        <v>5</v>
      </c>
      <c r="E48" s="10" t="s">
        <v>14</v>
      </c>
      <c r="F48" s="11">
        <v>1.0661478600000001</v>
      </c>
      <c r="G48" s="11">
        <v>2</v>
      </c>
      <c r="H48" s="10"/>
      <c r="I48" s="10"/>
      <c r="J48" s="10"/>
    </row>
    <row r="49" spans="1:10" ht="15.6" x14ac:dyDescent="0.3">
      <c r="A49" s="9" t="s">
        <v>24</v>
      </c>
      <c r="B49" s="10">
        <v>70</v>
      </c>
      <c r="C49" s="10" t="s">
        <v>15</v>
      </c>
      <c r="D49" s="10">
        <v>6</v>
      </c>
      <c r="E49" s="10" t="s">
        <v>15</v>
      </c>
      <c r="F49" s="11">
        <v>1.0706214700000001</v>
      </c>
      <c r="G49" s="11">
        <v>2.0119050000000001</v>
      </c>
      <c r="H49" s="10"/>
      <c r="I49" s="10"/>
      <c r="J49" s="10"/>
    </row>
    <row r="50" spans="1:10" ht="15.6" x14ac:dyDescent="0.3">
      <c r="A50" s="9" t="s">
        <v>24</v>
      </c>
      <c r="B50" s="10">
        <v>70</v>
      </c>
      <c r="C50" s="10" t="s">
        <v>17</v>
      </c>
      <c r="D50" s="10">
        <v>7.2</v>
      </c>
      <c r="E50" s="10" t="s">
        <v>17</v>
      </c>
      <c r="F50" s="11">
        <v>1.0677506800000001</v>
      </c>
      <c r="G50" s="11">
        <v>2</v>
      </c>
      <c r="H50" s="10"/>
      <c r="I50" s="10"/>
      <c r="J50" s="10"/>
    </row>
    <row r="51" spans="1:10" ht="15.6" x14ac:dyDescent="0.3">
      <c r="A51" s="9" t="s">
        <v>24</v>
      </c>
      <c r="B51" s="10">
        <v>70</v>
      </c>
      <c r="C51" s="10" t="s">
        <v>18</v>
      </c>
      <c r="D51" s="10">
        <v>10</v>
      </c>
      <c r="E51" s="10" t="s">
        <v>18</v>
      </c>
      <c r="F51" s="11">
        <v>1.0661478600000001</v>
      </c>
      <c r="G51" s="11">
        <v>2</v>
      </c>
      <c r="H51" s="10"/>
      <c r="I51" s="10"/>
      <c r="J51" s="10"/>
    </row>
    <row r="52" spans="1:10" ht="15.6" x14ac:dyDescent="0.3">
      <c r="A52" s="9" t="s">
        <v>24</v>
      </c>
      <c r="B52" s="10">
        <v>70</v>
      </c>
      <c r="C52" s="10" t="s">
        <v>16</v>
      </c>
      <c r="D52" s="10">
        <v>12</v>
      </c>
      <c r="E52" s="10" t="s">
        <v>16</v>
      </c>
      <c r="F52" s="11">
        <v>1.0660919499999999</v>
      </c>
      <c r="G52" s="11">
        <v>2</v>
      </c>
      <c r="H52" s="10"/>
      <c r="I52" s="10"/>
      <c r="J52" s="10"/>
    </row>
    <row r="53" spans="1:10" ht="15.6" x14ac:dyDescent="0.3">
      <c r="A53" s="9" t="s">
        <v>24</v>
      </c>
      <c r="B53" s="10">
        <v>70</v>
      </c>
      <c r="C53" s="10" t="s">
        <v>20</v>
      </c>
      <c r="D53" s="10">
        <v>14.4</v>
      </c>
      <c r="E53" s="10" t="s">
        <v>20</v>
      </c>
      <c r="F53" s="11">
        <v>1.06990881</v>
      </c>
      <c r="G53" s="11">
        <v>1.9873419999999999</v>
      </c>
      <c r="H53" s="10"/>
      <c r="I53" s="10"/>
      <c r="J53" s="10"/>
    </row>
    <row r="54" spans="1:10" ht="15.6" x14ac:dyDescent="0.3">
      <c r="A54" s="9" t="s">
        <v>24</v>
      </c>
      <c r="B54" s="10">
        <v>70</v>
      </c>
      <c r="C54" s="10" t="s">
        <v>23</v>
      </c>
      <c r="D54" s="10">
        <v>19.2</v>
      </c>
      <c r="E54" s="10" t="s">
        <v>23</v>
      </c>
      <c r="F54" s="11">
        <v>1.06984127</v>
      </c>
      <c r="G54" s="11">
        <v>2.12</v>
      </c>
      <c r="H54" s="10"/>
      <c r="I54" s="10"/>
      <c r="J54" s="10"/>
    </row>
    <row r="55" spans="1:10" ht="15.6" x14ac:dyDescent="0.3">
      <c r="A55" s="9" t="s">
        <v>24</v>
      </c>
      <c r="B55" s="10">
        <v>80</v>
      </c>
      <c r="C55" s="10" t="s">
        <v>13</v>
      </c>
      <c r="D55" s="10">
        <v>2</v>
      </c>
      <c r="E55" s="10" t="s">
        <v>13</v>
      </c>
      <c r="F55" s="11">
        <v>1.0437636800000001</v>
      </c>
      <c r="G55" s="11">
        <v>1.847458</v>
      </c>
      <c r="H55" s="10"/>
      <c r="I55" s="10"/>
      <c r="J55" s="10"/>
    </row>
    <row r="56" spans="1:10" ht="15.6" x14ac:dyDescent="0.3">
      <c r="A56" s="9" t="s">
        <v>24</v>
      </c>
      <c r="B56" s="10">
        <v>80</v>
      </c>
      <c r="C56" s="10" t="s">
        <v>14</v>
      </c>
      <c r="D56" s="10">
        <v>5</v>
      </c>
      <c r="E56" s="10" t="s">
        <v>14</v>
      </c>
      <c r="F56" s="11">
        <v>1.0439024400000001</v>
      </c>
      <c r="G56" s="11">
        <v>1.849057</v>
      </c>
      <c r="H56" s="10"/>
      <c r="I56" s="10"/>
      <c r="J56" s="10"/>
    </row>
    <row r="57" spans="1:10" ht="15.6" x14ac:dyDescent="0.3">
      <c r="A57" s="9" t="s">
        <v>24</v>
      </c>
      <c r="B57" s="10">
        <v>80</v>
      </c>
      <c r="C57" s="10" t="s">
        <v>15</v>
      </c>
      <c r="D57" s="10">
        <v>6</v>
      </c>
      <c r="E57" s="10" t="s">
        <v>15</v>
      </c>
      <c r="F57" s="11">
        <v>1.0460176999999999</v>
      </c>
      <c r="G57" s="11">
        <v>1.849315</v>
      </c>
      <c r="H57" s="10"/>
      <c r="I57" s="10"/>
      <c r="J57" s="10"/>
    </row>
    <row r="58" spans="1:10" ht="15.6" x14ac:dyDescent="0.3">
      <c r="A58" s="9" t="s">
        <v>24</v>
      </c>
      <c r="B58" s="10">
        <v>80</v>
      </c>
      <c r="C58" s="10" t="s">
        <v>17</v>
      </c>
      <c r="D58" s="10">
        <v>7.2</v>
      </c>
      <c r="E58" s="10" t="s">
        <v>17</v>
      </c>
      <c r="F58" s="11">
        <v>1.0458404100000001</v>
      </c>
      <c r="G58" s="11">
        <v>1.848684</v>
      </c>
      <c r="H58" s="10"/>
      <c r="I58" s="10"/>
      <c r="J58" s="10"/>
    </row>
    <row r="59" spans="1:10" ht="15.6" x14ac:dyDescent="0.3">
      <c r="A59" s="9" t="s">
        <v>24</v>
      </c>
      <c r="B59" s="10">
        <v>80</v>
      </c>
      <c r="C59" s="10" t="s">
        <v>18</v>
      </c>
      <c r="D59" s="10">
        <v>10</v>
      </c>
      <c r="E59" s="10" t="s">
        <v>18</v>
      </c>
      <c r="F59" s="11">
        <v>1.0439024400000001</v>
      </c>
      <c r="G59" s="11">
        <v>1.849057</v>
      </c>
      <c r="H59" s="10"/>
      <c r="I59" s="10"/>
      <c r="J59" s="10"/>
    </row>
    <row r="60" spans="1:10" ht="15.6" x14ac:dyDescent="0.3">
      <c r="A60" s="9" t="s">
        <v>24</v>
      </c>
      <c r="B60" s="10">
        <v>80</v>
      </c>
      <c r="C60" s="10" t="s">
        <v>16</v>
      </c>
      <c r="D60" s="10">
        <v>12</v>
      </c>
      <c r="E60" s="10" t="s">
        <v>16</v>
      </c>
      <c r="F60" s="11">
        <v>1.04693141</v>
      </c>
      <c r="G60" s="11">
        <v>1.8531470000000001</v>
      </c>
      <c r="H60" s="10"/>
      <c r="I60" s="10"/>
      <c r="J60" s="10"/>
    </row>
    <row r="61" spans="1:10" ht="15.6" x14ac:dyDescent="0.3">
      <c r="A61" s="9" t="s">
        <v>24</v>
      </c>
      <c r="B61" s="10">
        <v>80</v>
      </c>
      <c r="C61" s="10" t="s">
        <v>20</v>
      </c>
      <c r="D61" s="10">
        <v>14.4</v>
      </c>
      <c r="E61" s="10" t="s">
        <v>20</v>
      </c>
      <c r="F61" s="11">
        <v>1.04571429</v>
      </c>
      <c r="G61" s="11">
        <v>1.845588</v>
      </c>
      <c r="H61" s="10"/>
      <c r="I61" s="10"/>
      <c r="J61" s="10"/>
    </row>
    <row r="62" spans="1:10" ht="15.6" x14ac:dyDescent="0.3">
      <c r="A62" s="9" t="s">
        <v>24</v>
      </c>
      <c r="B62" s="10">
        <v>80</v>
      </c>
      <c r="C62" s="10" t="s">
        <v>23</v>
      </c>
      <c r="D62" s="10">
        <v>19.2</v>
      </c>
      <c r="E62" s="10" t="s">
        <v>23</v>
      </c>
      <c r="F62" s="11">
        <v>1.0457256500000001</v>
      </c>
      <c r="G62" s="11">
        <v>1.8461540000000001</v>
      </c>
      <c r="H62" s="10"/>
      <c r="I62" s="10"/>
      <c r="J62" s="10"/>
    </row>
    <row r="63" spans="1:10" ht="15.6" x14ac:dyDescent="0.3">
      <c r="A63" s="9" t="s">
        <v>24</v>
      </c>
      <c r="B63" s="10">
        <v>100</v>
      </c>
      <c r="C63" s="10" t="s">
        <v>13</v>
      </c>
      <c r="D63" s="10">
        <v>2</v>
      </c>
      <c r="E63" s="10" t="s">
        <v>13</v>
      </c>
      <c r="F63" s="11">
        <v>1.0203619900000001</v>
      </c>
      <c r="G63" s="11">
        <v>1.671875</v>
      </c>
      <c r="H63" s="10"/>
      <c r="I63" s="10"/>
      <c r="J63" s="10"/>
    </row>
    <row r="64" spans="1:10" ht="15.6" x14ac:dyDescent="0.3">
      <c r="A64" s="9" t="s">
        <v>24</v>
      </c>
      <c r="B64" s="10">
        <v>100</v>
      </c>
      <c r="C64" s="10" t="s">
        <v>14</v>
      </c>
      <c r="D64" s="10">
        <v>5</v>
      </c>
      <c r="E64" s="10" t="s">
        <v>14</v>
      </c>
      <c r="F64" s="11">
        <v>1.02143758</v>
      </c>
      <c r="G64" s="11">
        <v>1.6768559999999999</v>
      </c>
      <c r="H64" s="10"/>
      <c r="I64" s="10"/>
      <c r="J64" s="10"/>
    </row>
    <row r="65" spans="1:10" ht="15.6" x14ac:dyDescent="0.3">
      <c r="A65" s="9" t="s">
        <v>24</v>
      </c>
      <c r="B65" s="10">
        <v>100</v>
      </c>
      <c r="C65" s="10" t="s">
        <v>15</v>
      </c>
      <c r="D65" s="10">
        <v>6</v>
      </c>
      <c r="E65" s="10" t="s">
        <v>15</v>
      </c>
      <c r="F65" s="11">
        <v>1.02102377</v>
      </c>
      <c r="G65" s="11">
        <v>1.671924</v>
      </c>
      <c r="H65" s="10"/>
      <c r="I65" s="10"/>
      <c r="J65" s="10"/>
    </row>
    <row r="66" spans="1:10" ht="15.6" x14ac:dyDescent="0.3">
      <c r="A66" s="9" t="s">
        <v>24</v>
      </c>
      <c r="B66" s="10">
        <v>100</v>
      </c>
      <c r="C66" s="10" t="s">
        <v>17</v>
      </c>
      <c r="D66" s="10">
        <v>7.2</v>
      </c>
      <c r="E66" s="10" t="s">
        <v>17</v>
      </c>
      <c r="F66" s="11">
        <v>1.02105263</v>
      </c>
      <c r="G66" s="11">
        <v>1.6727270000000001</v>
      </c>
      <c r="H66" s="10"/>
      <c r="I66" s="10"/>
      <c r="J66" s="10"/>
    </row>
    <row r="67" spans="1:10" ht="15.6" x14ac:dyDescent="0.3">
      <c r="A67" s="9" t="s">
        <v>24</v>
      </c>
      <c r="B67" s="10">
        <v>100</v>
      </c>
      <c r="C67" s="10" t="s">
        <v>18</v>
      </c>
      <c r="D67" s="10">
        <v>10</v>
      </c>
      <c r="E67" s="10" t="s">
        <v>18</v>
      </c>
      <c r="F67" s="11">
        <v>1.02143758</v>
      </c>
      <c r="G67" s="11">
        <v>1.6768559999999999</v>
      </c>
      <c r="H67" s="10"/>
      <c r="I67" s="10"/>
      <c r="J67" s="10"/>
    </row>
    <row r="68" spans="1:10" ht="15.6" x14ac:dyDescent="0.3">
      <c r="A68" s="9" t="s">
        <v>24</v>
      </c>
      <c r="B68" s="10">
        <v>100</v>
      </c>
      <c r="C68" s="10" t="s">
        <v>16</v>
      </c>
      <c r="D68" s="10">
        <v>12</v>
      </c>
      <c r="E68" s="10" t="s">
        <v>16</v>
      </c>
      <c r="F68" s="11">
        <v>1.02143523</v>
      </c>
      <c r="G68" s="11">
        <v>1.674194</v>
      </c>
      <c r="H68" s="10"/>
      <c r="I68" s="10"/>
      <c r="J68" s="10"/>
    </row>
    <row r="69" spans="1:10" ht="15.6" x14ac:dyDescent="0.3">
      <c r="A69" s="9" t="s">
        <v>24</v>
      </c>
      <c r="B69" s="10">
        <v>100</v>
      </c>
      <c r="C69" s="10" t="s">
        <v>20</v>
      </c>
      <c r="D69" s="10">
        <v>14.4</v>
      </c>
      <c r="E69" s="10" t="s">
        <v>20</v>
      </c>
      <c r="F69" s="11">
        <v>1.0216322499999999</v>
      </c>
      <c r="G69" s="11">
        <v>1.6734690000000001</v>
      </c>
      <c r="H69" s="10"/>
      <c r="I69" s="10"/>
      <c r="J69" s="10"/>
    </row>
    <row r="70" spans="1:10" ht="15.6" x14ac:dyDescent="0.3">
      <c r="A70" s="9" t="s">
        <v>24</v>
      </c>
      <c r="B70" s="10">
        <v>100</v>
      </c>
      <c r="C70" s="10" t="s">
        <v>23</v>
      </c>
      <c r="D70" s="10">
        <v>19.2</v>
      </c>
      <c r="E70" s="10" t="s">
        <v>23</v>
      </c>
      <c r="F70" s="11">
        <v>1.02158273</v>
      </c>
      <c r="G70" s="11">
        <v>1.6702129999999999</v>
      </c>
      <c r="H70" s="10"/>
      <c r="I70" s="10"/>
      <c r="J70" s="10"/>
    </row>
    <row r="71" spans="1:10" ht="15.6" x14ac:dyDescent="0.3">
      <c r="A71" s="9" t="s">
        <v>24</v>
      </c>
      <c r="B71" s="10">
        <v>120</v>
      </c>
      <c r="C71" s="10" t="s">
        <v>13</v>
      </c>
      <c r="D71" s="10">
        <v>2</v>
      </c>
      <c r="E71" s="10" t="s">
        <v>13</v>
      </c>
      <c r="F71" s="11">
        <v>1.0120886499999999</v>
      </c>
      <c r="G71" s="11">
        <v>1.590022</v>
      </c>
      <c r="H71" s="10"/>
      <c r="I71" s="10"/>
      <c r="J71" s="10"/>
    </row>
    <row r="72" spans="1:10" ht="15.6" x14ac:dyDescent="0.3">
      <c r="A72" s="9" t="s">
        <v>24</v>
      </c>
      <c r="B72" s="10">
        <v>120</v>
      </c>
      <c r="C72" s="10" t="s">
        <v>14</v>
      </c>
      <c r="D72" s="10">
        <v>5</v>
      </c>
      <c r="E72" s="10" t="s">
        <v>14</v>
      </c>
      <c r="F72" s="11">
        <v>1.0119760499999999</v>
      </c>
      <c r="G72" s="11">
        <v>1.589372</v>
      </c>
      <c r="H72" s="10"/>
      <c r="I72" s="10"/>
      <c r="J72" s="10"/>
    </row>
    <row r="73" spans="1:10" ht="15.6" x14ac:dyDescent="0.3">
      <c r="A73" s="9" t="s">
        <v>24</v>
      </c>
      <c r="B73" s="10">
        <v>120</v>
      </c>
      <c r="C73" s="10" t="s">
        <v>15</v>
      </c>
      <c r="D73" s="10">
        <v>6</v>
      </c>
      <c r="E73" s="10" t="s">
        <v>15</v>
      </c>
      <c r="F73" s="11">
        <v>1.01193059</v>
      </c>
      <c r="G73" s="11">
        <v>1.590193</v>
      </c>
      <c r="H73" s="10"/>
      <c r="I73" s="10"/>
      <c r="J73" s="10"/>
    </row>
    <row r="74" spans="1:10" ht="15.6" x14ac:dyDescent="0.3">
      <c r="A74" s="9" t="s">
        <v>24</v>
      </c>
      <c r="B74" s="10">
        <v>120</v>
      </c>
      <c r="C74" s="10" t="s">
        <v>17</v>
      </c>
      <c r="D74" s="10">
        <v>7.2</v>
      </c>
      <c r="E74" s="10" t="s">
        <v>17</v>
      </c>
      <c r="F74" s="11">
        <v>1.01145237</v>
      </c>
      <c r="G74" s="11">
        <v>1.5899160000000001</v>
      </c>
      <c r="H74" s="10"/>
      <c r="I74" s="10"/>
      <c r="J74" s="10"/>
    </row>
    <row r="75" spans="1:10" ht="15.6" x14ac:dyDescent="0.3">
      <c r="A75" s="9" t="s">
        <v>24</v>
      </c>
      <c r="B75" s="10">
        <v>120</v>
      </c>
      <c r="C75" s="10" t="s">
        <v>18</v>
      </c>
      <c r="D75" s="10">
        <v>10</v>
      </c>
      <c r="E75" s="10" t="s">
        <v>18</v>
      </c>
      <c r="F75" s="11">
        <v>1.0119760499999999</v>
      </c>
      <c r="G75" s="11">
        <v>1.589372</v>
      </c>
      <c r="H75" s="10"/>
      <c r="I75" s="10"/>
      <c r="J75" s="10"/>
    </row>
    <row r="76" spans="1:10" ht="15.6" x14ac:dyDescent="0.3">
      <c r="A76" s="9" t="s">
        <v>24</v>
      </c>
      <c r="B76" s="10">
        <v>120</v>
      </c>
      <c r="C76" s="10" t="s">
        <v>16</v>
      </c>
      <c r="D76" s="10">
        <v>12</v>
      </c>
      <c r="E76" s="10" t="s">
        <v>16</v>
      </c>
      <c r="F76" s="11">
        <v>1.01216814</v>
      </c>
      <c r="G76" s="11">
        <v>1.5910709999999999</v>
      </c>
      <c r="H76" s="10"/>
      <c r="I76" s="10"/>
      <c r="J76" s="10"/>
    </row>
    <row r="77" spans="1:10" ht="15.6" x14ac:dyDescent="0.3">
      <c r="A77" s="9" t="s">
        <v>24</v>
      </c>
      <c r="B77" s="10">
        <v>120</v>
      </c>
      <c r="C77" s="10" t="s">
        <v>20</v>
      </c>
      <c r="D77" s="10">
        <v>14.4</v>
      </c>
      <c r="E77" s="10" t="s">
        <v>20</v>
      </c>
      <c r="F77" s="11">
        <v>1.0116686100000001</v>
      </c>
      <c r="G77" s="11">
        <v>1.5894539999999999</v>
      </c>
      <c r="H77" s="10"/>
      <c r="I77" s="10"/>
      <c r="J77" s="10"/>
    </row>
    <row r="78" spans="1:10" ht="15.6" x14ac:dyDescent="0.3">
      <c r="A78" s="9" t="s">
        <v>24</v>
      </c>
      <c r="B78" s="10">
        <v>120</v>
      </c>
      <c r="C78" s="10" t="s">
        <v>23</v>
      </c>
      <c r="D78" s="10">
        <v>19.2</v>
      </c>
      <c r="E78" s="10" t="s">
        <v>23</v>
      </c>
      <c r="F78" s="11">
        <v>1.0115853699999999</v>
      </c>
      <c r="G78" s="11">
        <v>1.590551</v>
      </c>
      <c r="H78" s="10"/>
      <c r="I78" s="10"/>
      <c r="J78" s="10"/>
    </row>
    <row r="79" spans="1:10" ht="15.6" x14ac:dyDescent="0.3">
      <c r="A79" s="9" t="s">
        <v>24</v>
      </c>
      <c r="B79" s="10">
        <v>140</v>
      </c>
      <c r="C79" s="10" t="s">
        <v>13</v>
      </c>
      <c r="D79" s="10">
        <v>2</v>
      </c>
      <c r="E79" s="10" t="s">
        <v>13</v>
      </c>
      <c r="F79" s="11">
        <v>1.00754006</v>
      </c>
      <c r="G79" s="11">
        <v>1.5392440000000001</v>
      </c>
      <c r="H79" s="10"/>
      <c r="I79" s="10"/>
      <c r="J79" s="10"/>
    </row>
    <row r="80" spans="1:10" ht="15.6" x14ac:dyDescent="0.3">
      <c r="A80" s="9" t="s">
        <v>24</v>
      </c>
      <c r="B80" s="10">
        <v>140</v>
      </c>
      <c r="C80" s="10" t="s">
        <v>14</v>
      </c>
      <c r="D80" s="10">
        <v>5</v>
      </c>
      <c r="E80" s="10" t="s">
        <v>14</v>
      </c>
      <c r="F80" s="11">
        <v>1.0073529400000001</v>
      </c>
      <c r="G80" s="11">
        <v>1.5397080000000001</v>
      </c>
      <c r="H80" s="10"/>
      <c r="I80" s="10"/>
      <c r="J80" s="10"/>
    </row>
    <row r="81" spans="1:10" ht="15.6" x14ac:dyDescent="0.3">
      <c r="A81" s="9" t="s">
        <v>24</v>
      </c>
      <c r="B81" s="10">
        <v>140</v>
      </c>
      <c r="C81" s="10" t="s">
        <v>15</v>
      </c>
      <c r="D81" s="10">
        <v>6</v>
      </c>
      <c r="E81" s="10" t="s">
        <v>15</v>
      </c>
      <c r="F81" s="11">
        <v>1.0076132499999999</v>
      </c>
      <c r="G81" s="11">
        <v>1.538732</v>
      </c>
      <c r="H81" s="10"/>
      <c r="I81" s="10"/>
      <c r="J81" s="10"/>
    </row>
    <row r="82" spans="1:10" ht="15.6" x14ac:dyDescent="0.3">
      <c r="A82" s="9" t="s">
        <v>24</v>
      </c>
      <c r="B82" s="10">
        <v>140</v>
      </c>
      <c r="C82" s="10" t="s">
        <v>17</v>
      </c>
      <c r="D82" s="10">
        <v>7.2</v>
      </c>
      <c r="E82" s="10" t="s">
        <v>17</v>
      </c>
      <c r="F82" s="11">
        <v>1.0073072700000001</v>
      </c>
      <c r="G82" s="11">
        <v>1.5400229999999999</v>
      </c>
      <c r="H82" s="10"/>
      <c r="I82" s="10"/>
      <c r="J82" s="10"/>
    </row>
    <row r="83" spans="1:10" ht="15.6" x14ac:dyDescent="0.3">
      <c r="A83" s="9" t="s">
        <v>24</v>
      </c>
      <c r="B83" s="10">
        <v>140</v>
      </c>
      <c r="C83" s="10" t="s">
        <v>18</v>
      </c>
      <c r="D83" s="10">
        <v>10</v>
      </c>
      <c r="E83" s="10" t="s">
        <v>18</v>
      </c>
      <c r="F83" s="11">
        <v>1.0073529400000001</v>
      </c>
      <c r="G83" s="11">
        <v>1.5397080000000001</v>
      </c>
      <c r="H83" s="10"/>
      <c r="I83" s="10"/>
      <c r="J83" s="10"/>
    </row>
    <row r="84" spans="1:10" ht="15.6" x14ac:dyDescent="0.3">
      <c r="A84" s="9" t="s">
        <v>24</v>
      </c>
      <c r="B84" s="10">
        <v>140</v>
      </c>
      <c r="C84" s="10" t="s">
        <v>16</v>
      </c>
      <c r="D84" s="10">
        <v>12</v>
      </c>
      <c r="E84" s="10" t="s">
        <v>16</v>
      </c>
      <c r="F84" s="11">
        <v>1.00737291</v>
      </c>
      <c r="G84" s="11">
        <v>1.538278</v>
      </c>
      <c r="H84" s="10"/>
      <c r="I84" s="10"/>
      <c r="J84" s="10"/>
    </row>
    <row r="85" spans="1:10" ht="15.6" x14ac:dyDescent="0.3">
      <c r="A85" s="9" t="s">
        <v>24</v>
      </c>
      <c r="B85" s="10">
        <v>140</v>
      </c>
      <c r="C85" s="10" t="s">
        <v>20</v>
      </c>
      <c r="D85" s="10">
        <v>14.4</v>
      </c>
      <c r="E85" s="10" t="s">
        <v>20</v>
      </c>
      <c r="F85" s="11">
        <v>1.00737101</v>
      </c>
      <c r="G85" s="11">
        <v>1.5391410000000001</v>
      </c>
      <c r="H85" s="10"/>
      <c r="I85" s="10"/>
      <c r="J85" s="10"/>
    </row>
    <row r="86" spans="1:10" ht="15.6" x14ac:dyDescent="0.3">
      <c r="A86" s="9" t="s">
        <v>24</v>
      </c>
      <c r="B86" s="10">
        <v>140</v>
      </c>
      <c r="C86" s="10" t="s">
        <v>23</v>
      </c>
      <c r="D86" s="10">
        <v>19.2</v>
      </c>
      <c r="E86" s="10" t="s">
        <v>23</v>
      </c>
      <c r="F86" s="11">
        <v>1.0072742800000001</v>
      </c>
      <c r="G86" s="11">
        <v>1.538259</v>
      </c>
      <c r="H86" s="10"/>
      <c r="I86" s="10"/>
      <c r="J86" s="10"/>
    </row>
    <row r="87" spans="1:10" ht="15.6" x14ac:dyDescent="0.3">
      <c r="A87" s="9" t="s">
        <v>25</v>
      </c>
      <c r="B87" s="10">
        <v>70</v>
      </c>
      <c r="C87" s="10" t="s">
        <v>26</v>
      </c>
      <c r="D87" s="10">
        <v>3.6</v>
      </c>
      <c r="E87" s="10" t="s">
        <v>26</v>
      </c>
      <c r="F87" s="11"/>
      <c r="G87" s="11"/>
      <c r="H87" s="10"/>
      <c r="I87" s="10"/>
      <c r="J87" s="10"/>
    </row>
    <row r="88" spans="1:10" ht="15.6" x14ac:dyDescent="0.3">
      <c r="A88" s="9" t="s">
        <v>25</v>
      </c>
      <c r="B88" s="10">
        <v>70</v>
      </c>
      <c r="C88" s="10" t="s">
        <v>14</v>
      </c>
      <c r="D88" s="10">
        <v>5</v>
      </c>
      <c r="E88" s="10" t="s">
        <v>14</v>
      </c>
      <c r="F88" s="11">
        <v>1.0810810799999999</v>
      </c>
      <c r="G88" s="11">
        <v>1.888889</v>
      </c>
      <c r="H88" s="10"/>
      <c r="I88" s="10"/>
      <c r="J88" s="10"/>
    </row>
    <row r="89" spans="1:10" ht="15.6" x14ac:dyDescent="0.3">
      <c r="A89" s="9" t="s">
        <v>25</v>
      </c>
      <c r="B89" s="10">
        <v>70</v>
      </c>
      <c r="C89" s="10" t="s">
        <v>18</v>
      </c>
      <c r="D89" s="10">
        <v>10</v>
      </c>
      <c r="E89" s="10" t="s">
        <v>18</v>
      </c>
      <c r="F89" s="11">
        <v>1.05405405</v>
      </c>
      <c r="G89" s="11">
        <v>2.125</v>
      </c>
      <c r="H89" s="10"/>
      <c r="I89" s="10"/>
      <c r="J89" s="10"/>
    </row>
    <row r="90" spans="1:10" ht="15.6" x14ac:dyDescent="0.3">
      <c r="A90" s="9" t="s">
        <v>25</v>
      </c>
      <c r="B90" s="10">
        <v>70</v>
      </c>
      <c r="C90" s="10" t="s">
        <v>27</v>
      </c>
      <c r="D90" s="10">
        <v>15</v>
      </c>
      <c r="E90" s="10" t="s">
        <v>27</v>
      </c>
      <c r="F90" s="11">
        <v>1.0810810799999999</v>
      </c>
      <c r="G90" s="11">
        <v>2.125</v>
      </c>
      <c r="H90" s="10"/>
      <c r="I90" s="10"/>
      <c r="J90" s="10"/>
    </row>
    <row r="91" spans="1:10" ht="15.6" x14ac:dyDescent="0.3">
      <c r="A91" s="9" t="s">
        <v>25</v>
      </c>
      <c r="B91" s="10">
        <v>70</v>
      </c>
      <c r="C91" s="10" t="s">
        <v>22</v>
      </c>
      <c r="D91" s="10">
        <v>38.4</v>
      </c>
      <c r="E91" s="10" t="s">
        <v>22</v>
      </c>
      <c r="F91" s="11">
        <v>1.0789473700000001</v>
      </c>
      <c r="G91" s="11">
        <v>1.888889</v>
      </c>
      <c r="H91" s="10"/>
      <c r="I91" s="10"/>
      <c r="J91" s="10"/>
    </row>
    <row r="92" spans="1:10" ht="15.6" x14ac:dyDescent="0.3">
      <c r="A92" s="9" t="s">
        <v>25</v>
      </c>
      <c r="B92" s="10">
        <v>80</v>
      </c>
      <c r="C92" s="10" t="s">
        <v>26</v>
      </c>
      <c r="D92" s="10">
        <v>3.6</v>
      </c>
      <c r="E92" s="10" t="s">
        <v>26</v>
      </c>
      <c r="F92" s="11"/>
      <c r="G92" s="11"/>
      <c r="H92" s="10"/>
      <c r="I92" s="10"/>
      <c r="J92" s="10"/>
    </row>
    <row r="93" spans="1:10" ht="15.6" x14ac:dyDescent="0.3">
      <c r="A93" s="9" t="s">
        <v>25</v>
      </c>
      <c r="B93" s="10">
        <v>80</v>
      </c>
      <c r="C93" s="10" t="s">
        <v>14</v>
      </c>
      <c r="D93" s="10">
        <v>5</v>
      </c>
      <c r="E93" s="10" t="s">
        <v>14</v>
      </c>
      <c r="F93" s="11">
        <v>1.0526315799999999</v>
      </c>
      <c r="G93" s="11">
        <v>1.928571</v>
      </c>
      <c r="H93" s="10"/>
      <c r="I93" s="10"/>
      <c r="J93" s="10"/>
    </row>
    <row r="94" spans="1:10" ht="15.6" x14ac:dyDescent="0.3">
      <c r="A94" s="9" t="s">
        <v>25</v>
      </c>
      <c r="B94" s="10">
        <v>80</v>
      </c>
      <c r="C94" s="10" t="s">
        <v>18</v>
      </c>
      <c r="D94" s="10">
        <v>10</v>
      </c>
      <c r="E94" s="10" t="s">
        <v>18</v>
      </c>
      <c r="F94" s="11">
        <v>1.0526315799999999</v>
      </c>
      <c r="G94" s="11">
        <v>1.857143</v>
      </c>
      <c r="H94" s="10"/>
      <c r="I94" s="10"/>
      <c r="J94" s="10"/>
    </row>
    <row r="95" spans="1:10" ht="15.6" x14ac:dyDescent="0.3">
      <c r="A95" s="9" t="s">
        <v>25</v>
      </c>
      <c r="B95" s="10">
        <v>80</v>
      </c>
      <c r="C95" s="10" t="s">
        <v>27</v>
      </c>
      <c r="D95" s="10">
        <v>15</v>
      </c>
      <c r="E95" s="10" t="s">
        <v>27</v>
      </c>
      <c r="F95" s="11">
        <v>1.0526315799999999</v>
      </c>
      <c r="G95" s="11">
        <v>1.857143</v>
      </c>
      <c r="H95" s="10"/>
      <c r="I95" s="10"/>
      <c r="J95" s="10"/>
    </row>
    <row r="96" spans="1:10" ht="15.6" x14ac:dyDescent="0.3">
      <c r="A96" s="9" t="s">
        <v>25</v>
      </c>
      <c r="B96" s="10">
        <v>80</v>
      </c>
      <c r="C96" s="10" t="s">
        <v>22</v>
      </c>
      <c r="D96" s="10">
        <v>38.4</v>
      </c>
      <c r="E96" s="10" t="s">
        <v>22</v>
      </c>
      <c r="F96" s="11">
        <v>1.05084746</v>
      </c>
      <c r="G96" s="11">
        <v>1.8</v>
      </c>
      <c r="H96" s="10"/>
      <c r="I96" s="10"/>
      <c r="J96" s="10"/>
    </row>
    <row r="97" spans="1:10" ht="15.6" x14ac:dyDescent="0.3">
      <c r="A97" s="9" t="s">
        <v>25</v>
      </c>
      <c r="B97" s="10">
        <v>90</v>
      </c>
      <c r="C97" s="10" t="s">
        <v>26</v>
      </c>
      <c r="D97" s="10">
        <v>3.6</v>
      </c>
      <c r="E97" s="10" t="s">
        <v>26</v>
      </c>
      <c r="F97" s="11"/>
      <c r="G97" s="11"/>
      <c r="H97" s="10"/>
      <c r="I97" s="10"/>
      <c r="J97" s="10"/>
    </row>
    <row r="98" spans="1:10" ht="15.6" x14ac:dyDescent="0.3">
      <c r="A98" s="9" t="s">
        <v>25</v>
      </c>
      <c r="B98" s="10">
        <v>90</v>
      </c>
      <c r="C98" s="10" t="s">
        <v>14</v>
      </c>
      <c r="D98" s="10">
        <v>5</v>
      </c>
      <c r="E98" s="10" t="s">
        <v>14</v>
      </c>
      <c r="F98" s="11">
        <v>1.0365853700000001</v>
      </c>
      <c r="G98" s="11">
        <v>1.7727269999999999</v>
      </c>
      <c r="H98" s="10"/>
      <c r="I98" s="10"/>
      <c r="J98" s="10"/>
    </row>
    <row r="99" spans="1:10" ht="15.6" x14ac:dyDescent="0.3">
      <c r="A99" s="9" t="s">
        <v>25</v>
      </c>
      <c r="B99" s="10">
        <v>90</v>
      </c>
      <c r="C99" s="10" t="s">
        <v>18</v>
      </c>
      <c r="D99" s="10">
        <v>10</v>
      </c>
      <c r="E99" s="10" t="s">
        <v>18</v>
      </c>
      <c r="F99" s="11">
        <v>1.03703704</v>
      </c>
      <c r="G99" s="11">
        <v>1.7272730000000001</v>
      </c>
      <c r="H99" s="10"/>
      <c r="I99" s="10"/>
      <c r="J99" s="10"/>
    </row>
    <row r="100" spans="1:10" ht="15.6" x14ac:dyDescent="0.3">
      <c r="A100" s="9" t="s">
        <v>25</v>
      </c>
      <c r="B100" s="10">
        <v>90</v>
      </c>
      <c r="C100" s="10" t="s">
        <v>27</v>
      </c>
      <c r="D100" s="10">
        <v>15</v>
      </c>
      <c r="E100" s="10" t="s">
        <v>27</v>
      </c>
      <c r="F100" s="11">
        <v>1.0365853700000001</v>
      </c>
      <c r="G100" s="11">
        <v>1.7272730000000001</v>
      </c>
      <c r="H100" s="10"/>
      <c r="I100" s="10"/>
      <c r="J100" s="10"/>
    </row>
    <row r="101" spans="1:10" ht="15.6" x14ac:dyDescent="0.3">
      <c r="A101" s="9" t="s">
        <v>25</v>
      </c>
      <c r="B101" s="10">
        <v>90</v>
      </c>
      <c r="C101" s="10" t="s">
        <v>22</v>
      </c>
      <c r="D101" s="10">
        <v>38.4</v>
      </c>
      <c r="E101" s="10" t="s">
        <v>22</v>
      </c>
      <c r="F101" s="11">
        <v>1.04761905</v>
      </c>
      <c r="G101" s="11">
        <v>1.7391300000000001</v>
      </c>
      <c r="H101" s="10"/>
      <c r="I101" s="10"/>
      <c r="J101" s="10"/>
    </row>
    <row r="102" spans="1:10" ht="15.6" x14ac:dyDescent="0.3">
      <c r="A102" s="9" t="s">
        <v>25</v>
      </c>
      <c r="B102" s="10">
        <v>100</v>
      </c>
      <c r="C102" s="10" t="s">
        <v>26</v>
      </c>
      <c r="D102" s="10">
        <v>3.6</v>
      </c>
      <c r="E102" s="10" t="s">
        <v>26</v>
      </c>
      <c r="F102" s="11">
        <v>1</v>
      </c>
      <c r="G102" s="11">
        <v>1.4</v>
      </c>
      <c r="H102" s="10"/>
      <c r="I102" s="10"/>
      <c r="J102" s="10"/>
    </row>
    <row r="103" spans="1:10" ht="15.6" x14ac:dyDescent="0.3">
      <c r="A103" s="9" t="s">
        <v>25</v>
      </c>
      <c r="B103" s="10">
        <v>100</v>
      </c>
      <c r="C103" s="10" t="s">
        <v>14</v>
      </c>
      <c r="D103" s="10">
        <v>5</v>
      </c>
      <c r="E103" s="10" t="s">
        <v>14</v>
      </c>
      <c r="F103" s="11">
        <v>1.0360360399999999</v>
      </c>
      <c r="G103" s="11">
        <v>1.6875</v>
      </c>
      <c r="H103" s="10"/>
      <c r="I103" s="10"/>
      <c r="J103" s="10"/>
    </row>
    <row r="104" spans="1:10" ht="15.6" x14ac:dyDescent="0.3">
      <c r="A104" s="9" t="s">
        <v>25</v>
      </c>
      <c r="B104" s="10">
        <v>100</v>
      </c>
      <c r="C104" s="10" t="s">
        <v>18</v>
      </c>
      <c r="D104" s="10">
        <v>10</v>
      </c>
      <c r="E104" s="10" t="s">
        <v>18</v>
      </c>
      <c r="F104" s="11">
        <v>1.02727273</v>
      </c>
      <c r="G104" s="11">
        <v>1.677419</v>
      </c>
      <c r="H104" s="10"/>
      <c r="I104" s="10"/>
      <c r="J104" s="10"/>
    </row>
    <row r="105" spans="1:10" ht="15.6" x14ac:dyDescent="0.3">
      <c r="A105" s="9" t="s">
        <v>25</v>
      </c>
      <c r="B105" s="10">
        <v>100</v>
      </c>
      <c r="C105" s="10" t="s">
        <v>27</v>
      </c>
      <c r="D105" s="10">
        <v>15</v>
      </c>
      <c r="E105" s="10" t="s">
        <v>27</v>
      </c>
      <c r="F105" s="11">
        <v>1.03636364</v>
      </c>
      <c r="G105" s="11">
        <v>1.7096769999999999</v>
      </c>
      <c r="H105" s="10"/>
      <c r="I105" s="10"/>
      <c r="J105" s="10"/>
    </row>
    <row r="106" spans="1:10" ht="15.6" x14ac:dyDescent="0.3">
      <c r="A106" s="9" t="s">
        <v>25</v>
      </c>
      <c r="B106" s="10">
        <v>100</v>
      </c>
      <c r="C106" s="10" t="s">
        <v>22</v>
      </c>
      <c r="D106" s="10">
        <v>38.4</v>
      </c>
      <c r="E106" s="10" t="s">
        <v>22</v>
      </c>
      <c r="F106" s="11">
        <v>1.0350877199999999</v>
      </c>
      <c r="G106" s="11">
        <v>1.6875</v>
      </c>
      <c r="H106" s="10"/>
      <c r="I106" s="10"/>
      <c r="J106" s="10"/>
    </row>
    <row r="107" spans="1:10" ht="15.6" x14ac:dyDescent="0.3">
      <c r="A107" s="9" t="s">
        <v>25</v>
      </c>
      <c r="B107" s="10">
        <v>110</v>
      </c>
      <c r="C107" s="10" t="s">
        <v>26</v>
      </c>
      <c r="D107" s="10">
        <v>3.6</v>
      </c>
      <c r="E107" s="10" t="s">
        <v>26</v>
      </c>
      <c r="F107" s="11"/>
      <c r="G107" s="11"/>
      <c r="H107" s="10"/>
      <c r="I107" s="10"/>
      <c r="J107" s="10"/>
    </row>
    <row r="108" spans="1:10" ht="15.6" x14ac:dyDescent="0.3">
      <c r="A108" s="9" t="s">
        <v>25</v>
      </c>
      <c r="B108" s="10">
        <v>110</v>
      </c>
      <c r="C108" s="10" t="s">
        <v>14</v>
      </c>
      <c r="D108" s="10">
        <v>5</v>
      </c>
      <c r="E108" s="10" t="s">
        <v>14</v>
      </c>
      <c r="F108" s="11">
        <v>1.03521127</v>
      </c>
      <c r="G108" s="11">
        <v>1.6666669999999999</v>
      </c>
      <c r="H108" s="10"/>
      <c r="I108" s="10"/>
      <c r="J108" s="10"/>
    </row>
    <row r="109" spans="1:10" ht="15.6" x14ac:dyDescent="0.3">
      <c r="A109" s="9" t="s">
        <v>25</v>
      </c>
      <c r="B109" s="10">
        <v>110</v>
      </c>
      <c r="C109" s="10" t="s">
        <v>18</v>
      </c>
      <c r="D109" s="10">
        <v>10</v>
      </c>
      <c r="E109" s="10" t="s">
        <v>18</v>
      </c>
      <c r="F109" s="11">
        <v>1.02836879</v>
      </c>
      <c r="G109" s="11">
        <v>1.642857</v>
      </c>
      <c r="H109" s="10"/>
      <c r="I109" s="10"/>
      <c r="J109" s="10"/>
    </row>
    <row r="110" spans="1:10" ht="15.6" x14ac:dyDescent="0.3">
      <c r="A110" s="9" t="s">
        <v>25</v>
      </c>
      <c r="B110" s="10">
        <v>110</v>
      </c>
      <c r="C110" s="10" t="s">
        <v>27</v>
      </c>
      <c r="D110" s="10">
        <v>15</v>
      </c>
      <c r="E110" s="10" t="s">
        <v>27</v>
      </c>
      <c r="F110" s="11">
        <v>1.02816901</v>
      </c>
      <c r="G110" s="11">
        <v>1.642857</v>
      </c>
      <c r="H110" s="10"/>
      <c r="I110" s="10"/>
      <c r="J110" s="10"/>
    </row>
    <row r="111" spans="1:10" ht="15.6" x14ac:dyDescent="0.3">
      <c r="A111" s="9" t="s">
        <v>25</v>
      </c>
      <c r="B111" s="10">
        <v>110</v>
      </c>
      <c r="C111" s="10" t="s">
        <v>22</v>
      </c>
      <c r="D111" s="10">
        <v>38.4</v>
      </c>
      <c r="E111" s="10" t="s">
        <v>22</v>
      </c>
      <c r="F111" s="11">
        <v>1.03424658</v>
      </c>
      <c r="G111" s="11">
        <v>1.6511629999999999</v>
      </c>
      <c r="H111" s="10"/>
      <c r="I111" s="10"/>
      <c r="J111" s="10"/>
    </row>
    <row r="112" spans="1:10" ht="15.6" x14ac:dyDescent="0.3">
      <c r="A112" s="9" t="s">
        <v>25</v>
      </c>
      <c r="B112" s="10">
        <v>120</v>
      </c>
      <c r="C112" s="10" t="s">
        <v>26</v>
      </c>
      <c r="D112" s="10">
        <v>3.6</v>
      </c>
      <c r="E112" s="10" t="s">
        <v>26</v>
      </c>
      <c r="F112" s="11"/>
      <c r="G112" s="11"/>
      <c r="H112" s="10"/>
      <c r="I112" s="10"/>
      <c r="J112" s="10"/>
    </row>
    <row r="113" spans="1:10" ht="15.6" x14ac:dyDescent="0.3">
      <c r="A113" s="9" t="s">
        <v>25</v>
      </c>
      <c r="B113" s="10">
        <v>120</v>
      </c>
      <c r="C113" s="10" t="s">
        <v>14</v>
      </c>
      <c r="D113" s="10">
        <v>5</v>
      </c>
      <c r="E113" s="10" t="s">
        <v>14</v>
      </c>
      <c r="F113" s="11">
        <v>1.0224719099999999</v>
      </c>
      <c r="G113" s="11">
        <v>1.6481479999999999</v>
      </c>
      <c r="H113" s="10"/>
      <c r="I113" s="10"/>
      <c r="J113" s="10"/>
    </row>
    <row r="114" spans="1:10" ht="15.6" x14ac:dyDescent="0.3">
      <c r="A114" s="9" t="s">
        <v>25</v>
      </c>
      <c r="B114" s="10">
        <v>120</v>
      </c>
      <c r="C114" s="10" t="s">
        <v>18</v>
      </c>
      <c r="D114" s="10">
        <v>10</v>
      </c>
      <c r="E114" s="10" t="s">
        <v>18</v>
      </c>
      <c r="F114" s="11">
        <v>1.0227272700000001</v>
      </c>
      <c r="G114" s="11">
        <v>1.6226419999999999</v>
      </c>
      <c r="H114" s="10"/>
      <c r="I114" s="10"/>
      <c r="J114" s="10"/>
    </row>
    <row r="115" spans="1:10" ht="15.6" x14ac:dyDescent="0.3">
      <c r="A115" s="9" t="s">
        <v>25</v>
      </c>
      <c r="B115" s="10">
        <v>120</v>
      </c>
      <c r="C115" s="10" t="s">
        <v>27</v>
      </c>
      <c r="D115" s="10">
        <v>15</v>
      </c>
      <c r="E115" s="10" t="s">
        <v>27</v>
      </c>
      <c r="F115" s="11">
        <v>1.0225988699999999</v>
      </c>
      <c r="G115" s="11">
        <v>1.611111</v>
      </c>
      <c r="H115" s="10"/>
      <c r="I115" s="10"/>
      <c r="J115" s="10"/>
    </row>
    <row r="116" spans="1:10" ht="15.6" x14ac:dyDescent="0.3">
      <c r="A116" s="9" t="s">
        <v>25</v>
      </c>
      <c r="B116" s="10">
        <v>120</v>
      </c>
      <c r="C116" s="10" t="s">
        <v>22</v>
      </c>
      <c r="D116" s="10">
        <v>38.4</v>
      </c>
      <c r="E116" s="10" t="s">
        <v>22</v>
      </c>
      <c r="F116" s="11">
        <v>1.0273224000000001</v>
      </c>
      <c r="G116" s="11">
        <v>1.607143</v>
      </c>
      <c r="H116" s="10"/>
      <c r="I116" s="10"/>
      <c r="J116" s="10"/>
    </row>
    <row r="117" spans="1:10" ht="15.6" x14ac:dyDescent="0.3">
      <c r="A117" s="9" t="s">
        <v>25</v>
      </c>
      <c r="B117" s="10">
        <v>130</v>
      </c>
      <c r="C117" s="10" t="s">
        <v>26</v>
      </c>
      <c r="D117" s="10">
        <v>3.6</v>
      </c>
      <c r="E117" s="10" t="s">
        <v>26</v>
      </c>
      <c r="F117" s="11"/>
      <c r="G117" s="11"/>
      <c r="H117" s="10"/>
      <c r="I117" s="10"/>
      <c r="J117" s="10"/>
    </row>
    <row r="118" spans="1:10" ht="15.6" x14ac:dyDescent="0.3">
      <c r="A118" s="9" t="s">
        <v>25</v>
      </c>
      <c r="B118" s="10">
        <v>130</v>
      </c>
      <c r="C118" s="10" t="s">
        <v>14</v>
      </c>
      <c r="D118" s="10">
        <v>5</v>
      </c>
      <c r="E118" s="10" t="s">
        <v>14</v>
      </c>
      <c r="F118" s="11">
        <v>1.02816901</v>
      </c>
      <c r="G118" s="11">
        <v>1.6119399999999999</v>
      </c>
      <c r="H118" s="10"/>
      <c r="I118" s="10"/>
      <c r="J118" s="10"/>
    </row>
    <row r="119" spans="1:10" ht="15.6" x14ac:dyDescent="0.3">
      <c r="A119" s="9" t="s">
        <v>25</v>
      </c>
      <c r="B119" s="10">
        <v>130</v>
      </c>
      <c r="C119" s="10" t="s">
        <v>18</v>
      </c>
      <c r="D119" s="10">
        <v>10</v>
      </c>
      <c r="E119" s="10" t="s">
        <v>18</v>
      </c>
      <c r="F119" s="11">
        <v>1.0238095199999999</v>
      </c>
      <c r="G119" s="11">
        <v>1.5909089999999999</v>
      </c>
      <c r="H119" s="10"/>
      <c r="I119" s="10"/>
      <c r="J119" s="10"/>
    </row>
    <row r="120" spans="1:10" ht="15.6" x14ac:dyDescent="0.3">
      <c r="A120" s="9" t="s">
        <v>25</v>
      </c>
      <c r="B120" s="10">
        <v>130</v>
      </c>
      <c r="C120" s="10" t="s">
        <v>27</v>
      </c>
      <c r="D120" s="10">
        <v>15</v>
      </c>
      <c r="E120" s="10" t="s">
        <v>27</v>
      </c>
      <c r="F120" s="11">
        <v>1.0235849100000001</v>
      </c>
      <c r="G120" s="11">
        <v>1.5909089999999999</v>
      </c>
      <c r="H120" s="10"/>
      <c r="I120" s="10"/>
      <c r="J120" s="10"/>
    </row>
    <row r="121" spans="1:10" ht="15.6" x14ac:dyDescent="0.3">
      <c r="A121" s="9" t="s">
        <v>25</v>
      </c>
      <c r="B121" s="10">
        <v>130</v>
      </c>
      <c r="C121" s="10" t="s">
        <v>22</v>
      </c>
      <c r="D121" s="10">
        <v>38.4</v>
      </c>
      <c r="E121" s="10" t="s">
        <v>22</v>
      </c>
      <c r="F121" s="11">
        <v>1.02283105</v>
      </c>
      <c r="G121" s="11">
        <v>1.6029409999999999</v>
      </c>
      <c r="H121" s="10"/>
      <c r="I121" s="10"/>
      <c r="J121" s="10"/>
    </row>
    <row r="122" spans="1:10" ht="15.6" x14ac:dyDescent="0.3">
      <c r="A122" s="9" t="s">
        <v>25</v>
      </c>
      <c r="B122" s="10">
        <v>140</v>
      </c>
      <c r="C122" s="10" t="s">
        <v>26</v>
      </c>
      <c r="D122" s="10">
        <v>3.6</v>
      </c>
      <c r="E122" s="10" t="s">
        <v>26</v>
      </c>
      <c r="F122" s="11">
        <v>1.015625</v>
      </c>
      <c r="G122" s="11">
        <v>1.48</v>
      </c>
      <c r="H122" s="10"/>
      <c r="I122" s="10"/>
      <c r="J122" s="10"/>
    </row>
    <row r="123" spans="1:10" ht="15.6" x14ac:dyDescent="0.3">
      <c r="A123" s="9" t="s">
        <v>25</v>
      </c>
      <c r="B123" s="10">
        <v>140</v>
      </c>
      <c r="C123" s="10" t="s">
        <v>14</v>
      </c>
      <c r="D123" s="10">
        <v>5</v>
      </c>
      <c r="E123" s="10" t="s">
        <v>14</v>
      </c>
      <c r="F123" s="11">
        <v>1.024</v>
      </c>
      <c r="G123" s="11">
        <v>1.5925929999999999</v>
      </c>
      <c r="H123" s="10"/>
      <c r="I123" s="10"/>
      <c r="J123" s="10"/>
    </row>
    <row r="124" spans="1:10" ht="15.6" x14ac:dyDescent="0.3">
      <c r="A124" s="9" t="s">
        <v>25</v>
      </c>
      <c r="B124" s="10">
        <v>140</v>
      </c>
      <c r="C124" s="10" t="s">
        <v>18</v>
      </c>
      <c r="D124" s="10">
        <v>10</v>
      </c>
      <c r="E124" s="10" t="s">
        <v>18</v>
      </c>
      <c r="F124" s="11">
        <v>1.0242914999999999</v>
      </c>
      <c r="G124" s="11">
        <v>1.5822780000000001</v>
      </c>
      <c r="H124" s="10"/>
      <c r="I124" s="10"/>
      <c r="J124" s="10"/>
    </row>
    <row r="125" spans="1:10" ht="15.6" x14ac:dyDescent="0.3">
      <c r="A125" s="9" t="s">
        <v>25</v>
      </c>
      <c r="B125" s="10">
        <v>140</v>
      </c>
      <c r="C125" s="10" t="s">
        <v>27</v>
      </c>
      <c r="D125" s="10">
        <v>15</v>
      </c>
      <c r="E125" s="10" t="s">
        <v>27</v>
      </c>
      <c r="F125" s="11">
        <v>1.0200803199999999</v>
      </c>
      <c r="G125" s="11">
        <v>1.5625</v>
      </c>
      <c r="H125" s="10"/>
      <c r="I125" s="10"/>
      <c r="J125" s="10"/>
    </row>
    <row r="126" spans="1:10" ht="15.6" x14ac:dyDescent="0.3">
      <c r="A126" s="9" t="s">
        <v>25</v>
      </c>
      <c r="B126" s="10">
        <v>140</v>
      </c>
      <c r="C126" s="10" t="s">
        <v>22</v>
      </c>
      <c r="D126" s="10">
        <v>38.4</v>
      </c>
      <c r="E126" s="10" t="s">
        <v>22</v>
      </c>
      <c r="F126" s="11">
        <v>1.01937984</v>
      </c>
      <c r="G126" s="11">
        <v>1.566265</v>
      </c>
      <c r="H126" s="10"/>
      <c r="I126" s="10"/>
      <c r="J126" s="10"/>
    </row>
    <row r="127" spans="1:10" ht="15.6" x14ac:dyDescent="0.3">
      <c r="A127" s="9" t="s">
        <v>28</v>
      </c>
      <c r="B127" s="10">
        <v>80</v>
      </c>
      <c r="C127" s="10" t="s">
        <v>29</v>
      </c>
      <c r="D127" s="10">
        <v>2.4</v>
      </c>
      <c r="E127" s="10" t="s">
        <v>29</v>
      </c>
      <c r="F127" s="11">
        <v>1.06842105</v>
      </c>
      <c r="G127" s="11">
        <v>1.8563829999999999</v>
      </c>
      <c r="H127" s="10"/>
      <c r="I127" s="10"/>
      <c r="J127" s="10"/>
    </row>
    <row r="128" spans="1:10" ht="15.6" x14ac:dyDescent="0.3">
      <c r="A128" s="9" t="s">
        <v>28</v>
      </c>
      <c r="B128" s="10">
        <v>80</v>
      </c>
      <c r="C128" s="10" t="s">
        <v>30</v>
      </c>
      <c r="D128" s="10">
        <v>7.2</v>
      </c>
      <c r="E128" s="10" t="s">
        <v>30</v>
      </c>
      <c r="F128" s="11">
        <v>1.06493506</v>
      </c>
      <c r="G128" s="11">
        <v>1.8631580000000001</v>
      </c>
      <c r="H128" s="10"/>
      <c r="I128" s="10"/>
      <c r="J128" s="10"/>
    </row>
    <row r="129" spans="1:10" ht="15.6" x14ac:dyDescent="0.3">
      <c r="A129" s="9" t="s">
        <v>28</v>
      </c>
      <c r="B129" s="10">
        <v>80</v>
      </c>
      <c r="C129" s="10" t="s">
        <v>31</v>
      </c>
      <c r="D129" s="10">
        <v>9.6</v>
      </c>
      <c r="E129" s="10" t="s">
        <v>31</v>
      </c>
      <c r="F129" s="11">
        <v>1.0828313300000001</v>
      </c>
      <c r="G129" s="11">
        <v>1.857143</v>
      </c>
      <c r="H129" s="10"/>
      <c r="I129" s="10"/>
      <c r="J129" s="10"/>
    </row>
    <row r="130" spans="1:10" ht="15.6" x14ac:dyDescent="0.3">
      <c r="A130" s="9" t="s">
        <v>28</v>
      </c>
      <c r="B130" s="10">
        <v>80</v>
      </c>
      <c r="C130" s="10" t="s">
        <v>18</v>
      </c>
      <c r="D130" s="10">
        <v>10</v>
      </c>
      <c r="E130" s="10" t="s">
        <v>18</v>
      </c>
      <c r="F130" s="11">
        <v>1.0630630599999999</v>
      </c>
      <c r="G130" s="11">
        <v>1.8613139999999999</v>
      </c>
      <c r="H130" s="10"/>
      <c r="I130" s="10"/>
      <c r="J130" s="10"/>
    </row>
    <row r="131" spans="1:10" ht="15.6" x14ac:dyDescent="0.3">
      <c r="A131" s="9" t="s">
        <v>28</v>
      </c>
      <c r="B131" s="10">
        <v>80</v>
      </c>
      <c r="C131" s="10" t="s">
        <v>20</v>
      </c>
      <c r="D131" s="10">
        <v>14.4</v>
      </c>
      <c r="E131" s="10" t="s">
        <v>20</v>
      </c>
      <c r="F131" s="11">
        <v>1.06788079</v>
      </c>
      <c r="G131" s="11">
        <v>1.8533329999999999</v>
      </c>
      <c r="H131" s="10"/>
      <c r="I131" s="10"/>
      <c r="J131" s="10"/>
    </row>
    <row r="132" spans="1:10" ht="15.6" x14ac:dyDescent="0.3">
      <c r="A132" s="9" t="s">
        <v>28</v>
      </c>
      <c r="B132" s="10">
        <v>80</v>
      </c>
      <c r="C132" s="10" t="s">
        <v>32</v>
      </c>
      <c r="D132" s="10">
        <v>16</v>
      </c>
      <c r="E132" s="10" t="s">
        <v>32</v>
      </c>
      <c r="F132" s="11">
        <v>1.0699815800000001</v>
      </c>
      <c r="G132" s="11">
        <v>1.8518520000000001</v>
      </c>
      <c r="H132" s="10"/>
      <c r="I132" s="10"/>
      <c r="J132" s="10"/>
    </row>
    <row r="133" spans="1:10" ht="15.6" x14ac:dyDescent="0.3">
      <c r="A133" s="9" t="s">
        <v>28</v>
      </c>
      <c r="B133" s="10">
        <v>80</v>
      </c>
      <c r="C133" s="10" t="s">
        <v>23</v>
      </c>
      <c r="D133" s="10">
        <v>19.2</v>
      </c>
      <c r="E133" s="10" t="s">
        <v>23</v>
      </c>
      <c r="F133" s="11">
        <v>1.0701468199999999</v>
      </c>
      <c r="G133" s="11">
        <v>1.9078949999999999</v>
      </c>
      <c r="H133" s="10"/>
      <c r="I133" s="10"/>
      <c r="J133" s="10"/>
    </row>
    <row r="134" spans="1:10" ht="15.6" x14ac:dyDescent="0.3">
      <c r="A134" s="9" t="s">
        <v>28</v>
      </c>
      <c r="B134" s="10">
        <v>110</v>
      </c>
      <c r="C134" s="10" t="s">
        <v>29</v>
      </c>
      <c r="D134" s="10">
        <v>2.4</v>
      </c>
      <c r="E134" s="10" t="s">
        <v>29</v>
      </c>
      <c r="F134" s="11">
        <v>1.03611111</v>
      </c>
      <c r="G134" s="11">
        <v>1.6469469999999999</v>
      </c>
      <c r="H134" s="10"/>
      <c r="I134" s="10"/>
      <c r="J134" s="10"/>
    </row>
    <row r="135" spans="1:10" ht="15.6" x14ac:dyDescent="0.3">
      <c r="A135" s="9" t="s">
        <v>28</v>
      </c>
      <c r="B135" s="10">
        <v>110</v>
      </c>
      <c r="C135" s="10" t="s">
        <v>30</v>
      </c>
      <c r="D135" s="10">
        <v>7.2</v>
      </c>
      <c r="E135" s="10" t="s">
        <v>30</v>
      </c>
      <c r="F135" s="11">
        <v>1.03857062</v>
      </c>
      <c r="G135" s="11">
        <v>1.660156</v>
      </c>
      <c r="H135" s="10"/>
      <c r="I135" s="10"/>
      <c r="J135" s="10"/>
    </row>
    <row r="136" spans="1:10" ht="15.6" x14ac:dyDescent="0.3">
      <c r="A136" s="9" t="s">
        <v>28</v>
      </c>
      <c r="B136" s="10">
        <v>110</v>
      </c>
      <c r="C136" s="10" t="s">
        <v>31</v>
      </c>
      <c r="D136" s="10">
        <v>9.6</v>
      </c>
      <c r="E136" s="10" t="s">
        <v>31</v>
      </c>
      <c r="F136" s="11">
        <v>1.03917791</v>
      </c>
      <c r="G136" s="11">
        <v>1.6615040000000001</v>
      </c>
      <c r="H136" s="10"/>
      <c r="I136" s="10"/>
      <c r="J136" s="10"/>
    </row>
    <row r="137" spans="1:10" ht="15.6" x14ac:dyDescent="0.3">
      <c r="A137" s="9" t="s">
        <v>28</v>
      </c>
      <c r="B137" s="10">
        <v>110</v>
      </c>
      <c r="C137" s="10" t="s">
        <v>18</v>
      </c>
      <c r="D137" s="10">
        <v>10</v>
      </c>
      <c r="E137" s="10" t="s">
        <v>18</v>
      </c>
      <c r="F137" s="11">
        <v>1.03861308</v>
      </c>
      <c r="G137" s="11">
        <v>1.663043</v>
      </c>
      <c r="H137" s="10"/>
      <c r="I137" s="10"/>
      <c r="J137" s="10"/>
    </row>
    <row r="138" spans="1:10" ht="15.6" x14ac:dyDescent="0.3">
      <c r="A138" s="9" t="s">
        <v>28</v>
      </c>
      <c r="B138" s="10">
        <v>110</v>
      </c>
      <c r="C138" s="10" t="s">
        <v>20</v>
      </c>
      <c r="D138" s="10">
        <v>14.4</v>
      </c>
      <c r="E138" s="10" t="s">
        <v>20</v>
      </c>
      <c r="F138" s="11">
        <v>1.0396253600000001</v>
      </c>
      <c r="G138" s="11">
        <v>1.6518520000000001</v>
      </c>
      <c r="H138" s="10"/>
      <c r="I138" s="10"/>
      <c r="J138" s="10"/>
    </row>
    <row r="139" spans="1:10" ht="15.6" x14ac:dyDescent="0.3">
      <c r="A139" s="9" t="s">
        <v>28</v>
      </c>
      <c r="B139" s="10">
        <v>110</v>
      </c>
      <c r="C139" s="10" t="s">
        <v>32</v>
      </c>
      <c r="D139" s="10">
        <v>16</v>
      </c>
      <c r="E139" s="10" t="s">
        <v>32</v>
      </c>
      <c r="F139" s="11">
        <v>1.0400320300000001</v>
      </c>
      <c r="G139" s="11">
        <v>1.6538459999999999</v>
      </c>
      <c r="H139" s="10"/>
      <c r="I139" s="10"/>
      <c r="J139" s="10"/>
    </row>
    <row r="140" spans="1:10" ht="15.6" x14ac:dyDescent="0.3">
      <c r="A140" s="9" t="s">
        <v>28</v>
      </c>
      <c r="B140" s="10">
        <v>110</v>
      </c>
      <c r="C140" s="10" t="s">
        <v>23</v>
      </c>
      <c r="D140" s="10">
        <v>19.2</v>
      </c>
      <c r="E140" s="10" t="s">
        <v>23</v>
      </c>
      <c r="F140" s="11">
        <v>1.03960396</v>
      </c>
      <c r="G140" s="11">
        <v>1.65534</v>
      </c>
      <c r="H140" s="10"/>
      <c r="I140" s="10"/>
      <c r="J140" s="10"/>
    </row>
    <row r="141" spans="1:10" ht="15.6" x14ac:dyDescent="0.3">
      <c r="A141" s="9" t="s">
        <v>28</v>
      </c>
      <c r="B141" s="10">
        <v>130</v>
      </c>
      <c r="C141" s="10" t="s">
        <v>29</v>
      </c>
      <c r="D141" s="10">
        <v>2.4</v>
      </c>
      <c r="E141" s="10" t="s">
        <v>29</v>
      </c>
      <c r="F141" s="11">
        <v>1.02870442</v>
      </c>
      <c r="G141" s="11">
        <v>1.588679</v>
      </c>
      <c r="H141" s="10"/>
      <c r="I141" s="10"/>
      <c r="J141" s="10"/>
    </row>
    <row r="142" spans="1:10" ht="15.6" x14ac:dyDescent="0.3">
      <c r="A142" s="9" t="s">
        <v>28</v>
      </c>
      <c r="B142" s="10">
        <v>130</v>
      </c>
      <c r="C142" s="10" t="s">
        <v>30</v>
      </c>
      <c r="D142" s="10">
        <v>7.2</v>
      </c>
      <c r="E142" s="10" t="s">
        <v>30</v>
      </c>
      <c r="F142" s="11">
        <v>1.03046664</v>
      </c>
      <c r="G142" s="11">
        <v>1.5947629999999999</v>
      </c>
      <c r="H142" s="10"/>
      <c r="I142" s="10"/>
      <c r="J142" s="10"/>
    </row>
    <row r="143" spans="1:10" ht="15.6" x14ac:dyDescent="0.3">
      <c r="A143" s="9" t="s">
        <v>28</v>
      </c>
      <c r="B143" s="10">
        <v>130</v>
      </c>
      <c r="C143" s="10" t="s">
        <v>31</v>
      </c>
      <c r="D143" s="10">
        <v>9.6</v>
      </c>
      <c r="E143" s="10" t="s">
        <v>31</v>
      </c>
      <c r="F143" s="11">
        <v>1.0309908299999999</v>
      </c>
      <c r="G143" s="11">
        <v>1.592384</v>
      </c>
      <c r="H143" s="10"/>
      <c r="I143" s="10"/>
      <c r="J143" s="10"/>
    </row>
    <row r="144" spans="1:10" ht="15.6" x14ac:dyDescent="0.3">
      <c r="A144" s="9" t="s">
        <v>28</v>
      </c>
      <c r="B144" s="10">
        <v>130</v>
      </c>
      <c r="C144" s="10" t="s">
        <v>18</v>
      </c>
      <c r="D144" s="10">
        <v>10</v>
      </c>
      <c r="E144" s="10" t="s">
        <v>18</v>
      </c>
      <c r="F144" s="11">
        <v>1.0305302599999999</v>
      </c>
      <c r="G144" s="11">
        <v>1.593426</v>
      </c>
      <c r="H144" s="10"/>
      <c r="I144" s="10"/>
      <c r="J144" s="10"/>
    </row>
    <row r="145" spans="1:10" ht="15.6" x14ac:dyDescent="0.3">
      <c r="A145" s="9" t="s">
        <v>28</v>
      </c>
      <c r="B145" s="10">
        <v>130</v>
      </c>
      <c r="C145" s="10" t="s">
        <v>20</v>
      </c>
      <c r="D145" s="10">
        <v>14.4</v>
      </c>
      <c r="E145" s="10" t="s">
        <v>20</v>
      </c>
      <c r="F145" s="11">
        <v>1.0308521100000001</v>
      </c>
      <c r="G145" s="11">
        <v>1.5911249999999999</v>
      </c>
      <c r="H145" s="10"/>
      <c r="I145" s="10"/>
      <c r="J145" s="10"/>
    </row>
    <row r="146" spans="1:10" ht="15.6" x14ac:dyDescent="0.3">
      <c r="A146" s="9" t="s">
        <v>28</v>
      </c>
      <c r="B146" s="10">
        <v>130</v>
      </c>
      <c r="C146" s="10" t="s">
        <v>32</v>
      </c>
      <c r="D146" s="10">
        <v>16</v>
      </c>
      <c r="E146" s="10" t="s">
        <v>32</v>
      </c>
      <c r="F146" s="11">
        <v>1.0304679000000001</v>
      </c>
      <c r="G146" s="11">
        <v>1.5915490000000001</v>
      </c>
      <c r="H146" s="10"/>
      <c r="I146" s="10"/>
      <c r="J146" s="10"/>
    </row>
    <row r="147" spans="1:10" ht="15.6" x14ac:dyDescent="0.3">
      <c r="A147" s="9" t="s">
        <v>28</v>
      </c>
      <c r="B147" s="10">
        <v>130</v>
      </c>
      <c r="C147" s="10" t="s">
        <v>23</v>
      </c>
      <c r="D147" s="10">
        <v>19.2</v>
      </c>
      <c r="E147" s="10" t="s">
        <v>23</v>
      </c>
      <c r="F147" s="11">
        <v>1.0307544399999999</v>
      </c>
      <c r="G147" s="11">
        <v>1.592824</v>
      </c>
      <c r="H147" s="10"/>
      <c r="I147" s="10"/>
      <c r="J147" s="10"/>
    </row>
    <row r="148" spans="1:10" ht="15.6" x14ac:dyDescent="0.3">
      <c r="A148" s="9" t="s">
        <v>33</v>
      </c>
      <c r="B148" s="10">
        <v>70</v>
      </c>
      <c r="C148" s="10" t="s">
        <v>13</v>
      </c>
      <c r="D148" s="10">
        <v>2</v>
      </c>
      <c r="E148" s="10" t="s">
        <v>13</v>
      </c>
      <c r="F148" s="11">
        <v>1.05384615</v>
      </c>
      <c r="G148" s="11">
        <v>1.8524590000000001</v>
      </c>
      <c r="H148" s="10"/>
      <c r="I148" s="10"/>
      <c r="J148" s="10"/>
    </row>
    <row r="149" spans="1:10" ht="15.6" x14ac:dyDescent="0.3">
      <c r="A149" s="9" t="s">
        <v>33</v>
      </c>
      <c r="B149" s="10">
        <v>70</v>
      </c>
      <c r="C149" s="10" t="s">
        <v>26</v>
      </c>
      <c r="D149" s="10">
        <v>3.6</v>
      </c>
      <c r="E149" s="10" t="s">
        <v>26</v>
      </c>
      <c r="F149" s="11">
        <v>1.04976303</v>
      </c>
      <c r="G149" s="11">
        <v>1.8484849999999999</v>
      </c>
      <c r="H149" s="10"/>
      <c r="I149" s="10"/>
      <c r="J149" s="10"/>
    </row>
    <row r="150" spans="1:10" ht="15.6" x14ac:dyDescent="0.3">
      <c r="A150" s="9" t="s">
        <v>33</v>
      </c>
      <c r="B150" s="10">
        <v>70</v>
      </c>
      <c r="C150" s="10" t="s">
        <v>34</v>
      </c>
      <c r="D150" s="10">
        <v>4.8</v>
      </c>
      <c r="E150" s="10" t="s">
        <v>34</v>
      </c>
      <c r="F150" s="11">
        <v>1.0489690700000001</v>
      </c>
      <c r="G150" s="11">
        <v>1.8461540000000001</v>
      </c>
      <c r="H150" s="10"/>
      <c r="I150" s="10"/>
      <c r="J150" s="10"/>
    </row>
    <row r="151" spans="1:10" ht="15.6" x14ac:dyDescent="0.3">
      <c r="A151" s="9" t="s">
        <v>33</v>
      </c>
      <c r="B151" s="10">
        <v>70</v>
      </c>
      <c r="C151" s="10" t="s">
        <v>34</v>
      </c>
      <c r="D151" s="10">
        <v>4.8</v>
      </c>
      <c r="E151" s="10" t="s">
        <v>31</v>
      </c>
      <c r="F151" s="11">
        <v>1.04366812</v>
      </c>
      <c r="G151" s="11">
        <v>1.841121</v>
      </c>
      <c r="H151" s="10"/>
      <c r="I151" s="10"/>
      <c r="J151" s="10"/>
    </row>
    <row r="152" spans="1:10" ht="15.6" x14ac:dyDescent="0.3">
      <c r="A152" s="9" t="s">
        <v>33</v>
      </c>
      <c r="B152" s="10">
        <v>70</v>
      </c>
      <c r="C152" s="10" t="s">
        <v>14</v>
      </c>
      <c r="D152" s="10">
        <v>5</v>
      </c>
      <c r="E152" s="10" t="s">
        <v>14</v>
      </c>
      <c r="F152" s="11">
        <v>1.05128205</v>
      </c>
      <c r="G152" s="11">
        <v>1.8363640000000001</v>
      </c>
      <c r="H152" s="10"/>
      <c r="I152" s="10"/>
      <c r="J152" s="10"/>
    </row>
    <row r="153" spans="1:10" ht="15.6" x14ac:dyDescent="0.3">
      <c r="A153" s="9" t="s">
        <v>33</v>
      </c>
      <c r="B153" s="10">
        <v>70</v>
      </c>
      <c r="C153" s="10" t="s">
        <v>15</v>
      </c>
      <c r="D153" s="10">
        <v>6</v>
      </c>
      <c r="E153" s="10" t="s">
        <v>16</v>
      </c>
      <c r="F153" s="11">
        <v>1.0441640400000001</v>
      </c>
      <c r="G153" s="11">
        <v>1.851351</v>
      </c>
      <c r="H153" s="10"/>
      <c r="I153" s="10"/>
      <c r="J153" s="10"/>
    </row>
    <row r="154" spans="1:10" ht="15.6" x14ac:dyDescent="0.3">
      <c r="A154" s="9" t="s">
        <v>33</v>
      </c>
      <c r="B154" s="10">
        <v>70</v>
      </c>
      <c r="C154" s="10" t="s">
        <v>17</v>
      </c>
      <c r="D154" s="10">
        <v>7.2</v>
      </c>
      <c r="E154" s="10" t="s">
        <v>17</v>
      </c>
      <c r="F154" s="11">
        <v>1.05059524</v>
      </c>
      <c r="G154" s="11">
        <v>1.848101</v>
      </c>
      <c r="H154" s="10"/>
      <c r="I154" s="10"/>
      <c r="J154" s="10"/>
    </row>
    <row r="155" spans="1:10" ht="15.6" x14ac:dyDescent="0.3">
      <c r="A155" s="9" t="s">
        <v>33</v>
      </c>
      <c r="B155" s="10">
        <v>70</v>
      </c>
      <c r="C155" s="10" t="s">
        <v>18</v>
      </c>
      <c r="D155" s="10">
        <v>10</v>
      </c>
      <c r="E155" s="10" t="s">
        <v>18</v>
      </c>
      <c r="F155" s="11">
        <v>1.05128205</v>
      </c>
      <c r="G155" s="11">
        <v>1.8363640000000001</v>
      </c>
      <c r="H155" s="10"/>
      <c r="I155" s="10"/>
      <c r="J155" s="10"/>
    </row>
    <row r="156" spans="1:10" ht="15.6" x14ac:dyDescent="0.3">
      <c r="A156" s="9" t="s">
        <v>33</v>
      </c>
      <c r="B156" s="10">
        <v>70</v>
      </c>
      <c r="C156" s="10" t="s">
        <v>16</v>
      </c>
      <c r="D156" s="10">
        <v>12</v>
      </c>
      <c r="E156" s="10" t="s">
        <v>19</v>
      </c>
      <c r="F156" s="11">
        <v>1.0464396300000001</v>
      </c>
      <c r="G156" s="11">
        <v>1.8666670000000001</v>
      </c>
      <c r="H156" s="10"/>
      <c r="I156" s="10"/>
      <c r="J156" s="10"/>
    </row>
    <row r="157" spans="1:10" ht="15.6" x14ac:dyDescent="0.3">
      <c r="A157" s="9" t="s">
        <v>33</v>
      </c>
      <c r="B157" s="10">
        <v>70</v>
      </c>
      <c r="C157" s="10" t="s">
        <v>20</v>
      </c>
      <c r="D157" s="10">
        <v>14.4</v>
      </c>
      <c r="E157" s="10" t="s">
        <v>20</v>
      </c>
      <c r="F157" s="11">
        <v>1.05</v>
      </c>
      <c r="G157" s="11">
        <v>1.857143</v>
      </c>
      <c r="H157" s="10"/>
      <c r="I157" s="10"/>
      <c r="J157" s="10"/>
    </row>
    <row r="158" spans="1:10" ht="15.6" x14ac:dyDescent="0.3">
      <c r="A158" s="9" t="s">
        <v>33</v>
      </c>
      <c r="B158" s="10">
        <v>70</v>
      </c>
      <c r="C158" s="10" t="s">
        <v>35</v>
      </c>
      <c r="D158" s="10">
        <v>38.4</v>
      </c>
      <c r="E158" s="10" t="s">
        <v>35</v>
      </c>
      <c r="F158" s="11">
        <v>1.04961832</v>
      </c>
      <c r="G158" s="11">
        <v>1.868852</v>
      </c>
      <c r="H158" s="10"/>
      <c r="I158" s="10"/>
      <c r="J158" s="10"/>
    </row>
    <row r="159" spans="1:10" ht="15.6" x14ac:dyDescent="0.3">
      <c r="A159" s="9" t="s">
        <v>33</v>
      </c>
      <c r="B159" s="10">
        <v>70</v>
      </c>
      <c r="C159" s="10" t="s">
        <v>22</v>
      </c>
      <c r="D159" s="10">
        <v>38.4</v>
      </c>
      <c r="E159" s="10" t="s">
        <v>36</v>
      </c>
      <c r="F159" s="11">
        <v>1.0449438200000001</v>
      </c>
      <c r="G159" s="11">
        <v>1.716418</v>
      </c>
      <c r="H159" s="10"/>
      <c r="I159" s="10"/>
      <c r="J159" s="10"/>
    </row>
    <row r="160" spans="1:10" ht="15.6" x14ac:dyDescent="0.3">
      <c r="A160" s="9" t="s">
        <v>33</v>
      </c>
      <c r="B160" s="10">
        <v>80</v>
      </c>
      <c r="C160" s="10" t="s">
        <v>13</v>
      </c>
      <c r="D160" s="10">
        <v>2</v>
      </c>
      <c r="E160" s="10" t="s">
        <v>13</v>
      </c>
      <c r="F160" s="11">
        <v>1.0430622000000001</v>
      </c>
      <c r="G160" s="11">
        <v>1.738318</v>
      </c>
      <c r="H160" s="10"/>
      <c r="I160" s="10"/>
      <c r="J160" s="10"/>
    </row>
    <row r="161" spans="1:10" ht="15.6" x14ac:dyDescent="0.3">
      <c r="A161" s="9" t="s">
        <v>33</v>
      </c>
      <c r="B161" s="10">
        <v>80</v>
      </c>
      <c r="C161" s="10" t="s">
        <v>26</v>
      </c>
      <c r="D161" s="10">
        <v>3.6</v>
      </c>
      <c r="E161" s="10" t="s">
        <v>26</v>
      </c>
      <c r="F161" s="11">
        <v>1.0443787</v>
      </c>
      <c r="G161" s="11">
        <v>1.739884</v>
      </c>
      <c r="H161" s="10"/>
      <c r="I161" s="10"/>
      <c r="J161" s="10"/>
    </row>
    <row r="162" spans="1:10" ht="15.6" x14ac:dyDescent="0.3">
      <c r="A162" s="9" t="s">
        <v>33</v>
      </c>
      <c r="B162" s="10">
        <v>80</v>
      </c>
      <c r="C162" s="10" t="s">
        <v>34</v>
      </c>
      <c r="D162" s="10">
        <v>4.8</v>
      </c>
      <c r="E162" s="10" t="s">
        <v>34</v>
      </c>
      <c r="F162" s="11">
        <v>1.0434083599999999</v>
      </c>
      <c r="G162" s="11">
        <v>1.742138</v>
      </c>
      <c r="H162" s="10"/>
      <c r="I162" s="10"/>
      <c r="J162" s="10"/>
    </row>
    <row r="163" spans="1:10" ht="15.6" x14ac:dyDescent="0.3">
      <c r="A163" s="9" t="s">
        <v>33</v>
      </c>
      <c r="B163" s="10">
        <v>80</v>
      </c>
      <c r="C163" s="10" t="s">
        <v>34</v>
      </c>
      <c r="D163" s="10">
        <v>4.8</v>
      </c>
      <c r="E163" s="10" t="s">
        <v>31</v>
      </c>
      <c r="F163" s="11">
        <v>1.03038674</v>
      </c>
      <c r="G163" s="11">
        <v>1.7377050000000001</v>
      </c>
      <c r="H163" s="10"/>
      <c r="I163" s="10"/>
      <c r="J163" s="10"/>
    </row>
    <row r="164" spans="1:10" ht="15.6" x14ac:dyDescent="0.3">
      <c r="A164" s="9" t="s">
        <v>33</v>
      </c>
      <c r="B164" s="10">
        <v>80</v>
      </c>
      <c r="C164" s="10" t="s">
        <v>14</v>
      </c>
      <c r="D164" s="10">
        <v>5</v>
      </c>
      <c r="E164" s="10" t="s">
        <v>14</v>
      </c>
      <c r="F164" s="11">
        <v>1.04266667</v>
      </c>
      <c r="G164" s="11">
        <v>1.7395830000000001</v>
      </c>
      <c r="H164" s="10"/>
      <c r="I164" s="10"/>
      <c r="J164" s="10"/>
    </row>
    <row r="165" spans="1:10" ht="15.6" x14ac:dyDescent="0.3">
      <c r="A165" s="9" t="s">
        <v>33</v>
      </c>
      <c r="B165" s="10">
        <v>80</v>
      </c>
      <c r="C165" s="10" t="s">
        <v>15</v>
      </c>
      <c r="D165" s="10">
        <v>6</v>
      </c>
      <c r="E165" s="10" t="s">
        <v>16</v>
      </c>
      <c r="F165" s="11">
        <v>1.0298804800000001</v>
      </c>
      <c r="G165" s="11">
        <v>1.740157</v>
      </c>
      <c r="H165" s="10"/>
      <c r="I165" s="10"/>
      <c r="J165" s="10"/>
    </row>
    <row r="166" spans="1:10" ht="15.6" x14ac:dyDescent="0.3">
      <c r="A166" s="9" t="s">
        <v>33</v>
      </c>
      <c r="B166" s="10">
        <v>80</v>
      </c>
      <c r="C166" s="10" t="s">
        <v>17</v>
      </c>
      <c r="D166" s="10">
        <v>7.2</v>
      </c>
      <c r="E166" s="10" t="s">
        <v>17</v>
      </c>
      <c r="F166" s="11">
        <v>1.04267161</v>
      </c>
      <c r="G166" s="11">
        <v>1.7391300000000001</v>
      </c>
      <c r="H166" s="10"/>
      <c r="I166" s="10"/>
      <c r="J166" s="10"/>
    </row>
    <row r="167" spans="1:10" ht="15.6" x14ac:dyDescent="0.3">
      <c r="A167" s="9" t="s">
        <v>33</v>
      </c>
      <c r="B167" s="10">
        <v>80</v>
      </c>
      <c r="C167" s="10" t="s">
        <v>18</v>
      </c>
      <c r="D167" s="10">
        <v>10</v>
      </c>
      <c r="E167" s="10" t="s">
        <v>18</v>
      </c>
      <c r="F167" s="11">
        <v>1.04266667</v>
      </c>
      <c r="G167" s="11">
        <v>1.7395830000000001</v>
      </c>
      <c r="H167" s="10"/>
      <c r="I167" s="10"/>
      <c r="J167" s="10"/>
    </row>
    <row r="168" spans="1:10" ht="15.6" x14ac:dyDescent="0.3">
      <c r="A168" s="9" t="s">
        <v>33</v>
      </c>
      <c r="B168" s="10">
        <v>80</v>
      </c>
      <c r="C168" s="10" t="s">
        <v>16</v>
      </c>
      <c r="D168" s="10">
        <v>12</v>
      </c>
      <c r="E168" s="10" t="s">
        <v>19</v>
      </c>
      <c r="F168" s="11">
        <v>1.02929688</v>
      </c>
      <c r="G168" s="11">
        <v>1.744186</v>
      </c>
      <c r="H168" s="10"/>
      <c r="I168" s="10"/>
      <c r="J168" s="10"/>
    </row>
    <row r="169" spans="1:10" ht="15.6" x14ac:dyDescent="0.3">
      <c r="A169" s="9" t="s">
        <v>33</v>
      </c>
      <c r="B169" s="10">
        <v>80</v>
      </c>
      <c r="C169" s="10" t="s">
        <v>20</v>
      </c>
      <c r="D169" s="10">
        <v>14.4</v>
      </c>
      <c r="E169" s="10" t="s">
        <v>20</v>
      </c>
      <c r="F169" s="11">
        <v>1.0436590400000001</v>
      </c>
      <c r="G169" s="11">
        <v>1.7398370000000001</v>
      </c>
      <c r="H169" s="10"/>
      <c r="I169" s="10"/>
      <c r="J169" s="10"/>
    </row>
    <row r="170" spans="1:10" ht="15.6" x14ac:dyDescent="0.3">
      <c r="A170" s="9" t="s">
        <v>33</v>
      </c>
      <c r="B170" s="10">
        <v>80</v>
      </c>
      <c r="C170" s="10" t="s">
        <v>35</v>
      </c>
      <c r="D170" s="10">
        <v>38.4</v>
      </c>
      <c r="E170" s="10" t="s">
        <v>35</v>
      </c>
      <c r="F170" s="11">
        <v>1.04285714</v>
      </c>
      <c r="G170" s="11">
        <v>1.731481</v>
      </c>
      <c r="H170" s="10"/>
      <c r="I170" s="10"/>
      <c r="J170" s="10"/>
    </row>
    <row r="171" spans="1:10" ht="15.6" x14ac:dyDescent="0.3">
      <c r="A171" s="9" t="s">
        <v>33</v>
      </c>
      <c r="B171" s="10">
        <v>80</v>
      </c>
      <c r="C171" s="10" t="s">
        <v>22</v>
      </c>
      <c r="D171" s="10">
        <v>38.4</v>
      </c>
      <c r="E171" s="10" t="s">
        <v>36</v>
      </c>
      <c r="F171" s="11">
        <v>1.02836879</v>
      </c>
      <c r="G171" s="11">
        <v>1.738318</v>
      </c>
      <c r="H171" s="10"/>
      <c r="I171" s="10"/>
      <c r="J171" s="10"/>
    </row>
    <row r="172" spans="1:10" ht="15.6" x14ac:dyDescent="0.3">
      <c r="A172" s="9" t="s">
        <v>33</v>
      </c>
      <c r="B172" s="10">
        <v>100</v>
      </c>
      <c r="C172" s="10" t="s">
        <v>13</v>
      </c>
      <c r="D172" s="10">
        <v>2</v>
      </c>
      <c r="E172" s="10" t="s">
        <v>13</v>
      </c>
      <c r="F172" s="11">
        <v>1.0248815200000001</v>
      </c>
      <c r="G172" s="11">
        <v>1.604938</v>
      </c>
      <c r="H172" s="10"/>
      <c r="I172" s="10"/>
      <c r="J172" s="10"/>
    </row>
    <row r="173" spans="1:10" ht="15.6" x14ac:dyDescent="0.3">
      <c r="A173" s="9" t="s">
        <v>33</v>
      </c>
      <c r="B173" s="10">
        <v>100</v>
      </c>
      <c r="C173" s="10" t="s">
        <v>26</v>
      </c>
      <c r="D173" s="10">
        <v>3.6</v>
      </c>
      <c r="E173" s="10" t="s">
        <v>26</v>
      </c>
      <c r="F173" s="11">
        <v>1.0248719799999999</v>
      </c>
      <c r="G173" s="11">
        <v>1.604061</v>
      </c>
      <c r="H173" s="10"/>
      <c r="I173" s="10"/>
      <c r="J173" s="10"/>
    </row>
    <row r="174" spans="1:10" ht="15.6" x14ac:dyDescent="0.3">
      <c r="A174" s="9" t="s">
        <v>33</v>
      </c>
      <c r="B174" s="10">
        <v>100</v>
      </c>
      <c r="C174" s="10" t="s">
        <v>34</v>
      </c>
      <c r="D174" s="10">
        <v>4.8</v>
      </c>
      <c r="E174" s="10" t="s">
        <v>34</v>
      </c>
      <c r="F174" s="11">
        <v>1.0254777100000001</v>
      </c>
      <c r="G174" s="11">
        <v>1.6049720000000001</v>
      </c>
      <c r="H174" s="10"/>
      <c r="I174" s="10"/>
      <c r="J174" s="10"/>
    </row>
    <row r="175" spans="1:10" ht="15.6" x14ac:dyDescent="0.3">
      <c r="A175" s="9" t="s">
        <v>33</v>
      </c>
      <c r="B175" s="10">
        <v>100</v>
      </c>
      <c r="C175" s="10" t="s">
        <v>34</v>
      </c>
      <c r="D175" s="10">
        <v>4.8</v>
      </c>
      <c r="E175" s="10" t="s">
        <v>31</v>
      </c>
      <c r="F175" s="11">
        <v>1.0163376399999999</v>
      </c>
      <c r="G175" s="11">
        <v>1.6109789999999999</v>
      </c>
      <c r="H175" s="10"/>
      <c r="I175" s="10"/>
      <c r="J175" s="10"/>
    </row>
    <row r="176" spans="1:10" ht="15.6" x14ac:dyDescent="0.3">
      <c r="A176" s="9" t="s">
        <v>33</v>
      </c>
      <c r="B176" s="10">
        <v>100</v>
      </c>
      <c r="C176" s="10" t="s">
        <v>14</v>
      </c>
      <c r="D176" s="10">
        <v>5</v>
      </c>
      <c r="E176" s="10" t="s">
        <v>14</v>
      </c>
      <c r="F176" s="11">
        <v>1.0250990799999999</v>
      </c>
      <c r="G176" s="11">
        <v>1.605505</v>
      </c>
      <c r="H176" s="10"/>
      <c r="I176" s="10"/>
      <c r="J176" s="10"/>
    </row>
    <row r="177" spans="1:10" ht="15.6" x14ac:dyDescent="0.3">
      <c r="A177" s="9" t="s">
        <v>33</v>
      </c>
      <c r="B177" s="10">
        <v>100</v>
      </c>
      <c r="C177" s="10" t="s">
        <v>15</v>
      </c>
      <c r="D177" s="10">
        <v>6</v>
      </c>
      <c r="E177" s="10" t="s">
        <v>16</v>
      </c>
      <c r="F177" s="11">
        <v>1.0157016699999999</v>
      </c>
      <c r="G177" s="11">
        <v>1.608247</v>
      </c>
      <c r="H177" s="10"/>
      <c r="I177" s="10"/>
      <c r="J177" s="10"/>
    </row>
    <row r="178" spans="1:10" ht="15.6" x14ac:dyDescent="0.3">
      <c r="A178" s="9" t="s">
        <v>33</v>
      </c>
      <c r="B178" s="10">
        <v>100</v>
      </c>
      <c r="C178" s="10" t="s">
        <v>17</v>
      </c>
      <c r="D178" s="10">
        <v>7.2</v>
      </c>
      <c r="E178" s="10" t="s">
        <v>17</v>
      </c>
      <c r="F178" s="11">
        <v>1.0247933899999999</v>
      </c>
      <c r="G178" s="11">
        <v>1.6019110000000001</v>
      </c>
      <c r="H178" s="10"/>
      <c r="I178" s="10"/>
      <c r="J178" s="10"/>
    </row>
    <row r="179" spans="1:10" ht="15.6" x14ac:dyDescent="0.3">
      <c r="A179" s="9" t="s">
        <v>33</v>
      </c>
      <c r="B179" s="10">
        <v>100</v>
      </c>
      <c r="C179" s="10" t="s">
        <v>18</v>
      </c>
      <c r="D179" s="10">
        <v>10</v>
      </c>
      <c r="E179" s="10" t="s">
        <v>18</v>
      </c>
      <c r="F179" s="11">
        <v>1.0250990799999999</v>
      </c>
      <c r="G179" s="11">
        <v>1.605505</v>
      </c>
      <c r="H179" s="10"/>
      <c r="I179" s="10"/>
      <c r="J179" s="10"/>
    </row>
    <row r="180" spans="1:10" ht="15.6" x14ac:dyDescent="0.3">
      <c r="A180" s="9" t="s">
        <v>33</v>
      </c>
      <c r="B180" s="10">
        <v>100</v>
      </c>
      <c r="C180" s="10" t="s">
        <v>16</v>
      </c>
      <c r="D180" s="10">
        <v>12</v>
      </c>
      <c r="E180" s="10" t="s">
        <v>19</v>
      </c>
      <c r="F180" s="11">
        <v>1.0163776499999999</v>
      </c>
      <c r="G180" s="11">
        <v>1.611486</v>
      </c>
      <c r="H180" s="10"/>
      <c r="I180" s="10"/>
      <c r="J180" s="10"/>
    </row>
    <row r="181" spans="1:10" ht="15.6" x14ac:dyDescent="0.3">
      <c r="A181" s="9" t="s">
        <v>33</v>
      </c>
      <c r="B181" s="10">
        <v>100</v>
      </c>
      <c r="C181" s="10" t="s">
        <v>20</v>
      </c>
      <c r="D181" s="10">
        <v>14.4</v>
      </c>
      <c r="E181" s="10" t="s">
        <v>20</v>
      </c>
      <c r="F181" s="11">
        <v>1.0257466500000001</v>
      </c>
      <c r="G181" s="11">
        <v>1.6035710000000001</v>
      </c>
      <c r="H181" s="10"/>
      <c r="I181" s="10"/>
      <c r="J181" s="10"/>
    </row>
    <row r="182" spans="1:10" ht="15.6" x14ac:dyDescent="0.3">
      <c r="A182" s="9" t="s">
        <v>33</v>
      </c>
      <c r="B182" s="10">
        <v>100</v>
      </c>
      <c r="C182" s="10" t="s">
        <v>35</v>
      </c>
      <c r="D182" s="10">
        <v>38.4</v>
      </c>
      <c r="E182" s="10" t="s">
        <v>35</v>
      </c>
      <c r="F182" s="11">
        <v>1.02476415</v>
      </c>
      <c r="G182" s="11">
        <v>1.606557</v>
      </c>
      <c r="H182" s="10"/>
      <c r="I182" s="10"/>
      <c r="J182" s="10"/>
    </row>
    <row r="183" spans="1:10" ht="15.6" x14ac:dyDescent="0.3">
      <c r="A183" s="9" t="s">
        <v>33</v>
      </c>
      <c r="B183" s="10">
        <v>100</v>
      </c>
      <c r="C183" s="10" t="s">
        <v>22</v>
      </c>
      <c r="D183" s="10">
        <v>38.4</v>
      </c>
      <c r="E183" s="10" t="s">
        <v>36</v>
      </c>
      <c r="F183" s="11">
        <v>1.01633606</v>
      </c>
      <c r="G183" s="11">
        <v>1.608163</v>
      </c>
      <c r="H183" s="10"/>
      <c r="I183" s="10"/>
      <c r="J183" s="10"/>
    </row>
    <row r="184" spans="1:10" ht="15.6" x14ac:dyDescent="0.3">
      <c r="A184" s="9" t="s">
        <v>33</v>
      </c>
      <c r="B184" s="10">
        <v>120</v>
      </c>
      <c r="C184" s="10" t="s">
        <v>13</v>
      </c>
      <c r="D184" s="10">
        <v>2</v>
      </c>
      <c r="E184" s="10" t="s">
        <v>13</v>
      </c>
      <c r="F184" s="11">
        <v>1.0187725599999999</v>
      </c>
      <c r="G184" s="11">
        <v>1.5443929999999999</v>
      </c>
      <c r="H184" s="10"/>
      <c r="I184" s="10"/>
      <c r="J184" s="10"/>
    </row>
    <row r="185" spans="1:10" ht="15.6" x14ac:dyDescent="0.3">
      <c r="A185" s="9" t="s">
        <v>33</v>
      </c>
      <c r="B185" s="10">
        <v>120</v>
      </c>
      <c r="C185" s="10" t="s">
        <v>26</v>
      </c>
      <c r="D185" s="10">
        <v>3.6</v>
      </c>
      <c r="E185" s="10" t="s">
        <v>26</v>
      </c>
      <c r="F185" s="11">
        <v>1.0191793</v>
      </c>
      <c r="G185" s="11">
        <v>1.5440119999999999</v>
      </c>
      <c r="H185" s="10"/>
      <c r="I185" s="10"/>
      <c r="J185" s="10"/>
    </row>
    <row r="186" spans="1:10" ht="15.6" x14ac:dyDescent="0.3">
      <c r="A186" s="9" t="s">
        <v>33</v>
      </c>
      <c r="B186" s="10">
        <v>120</v>
      </c>
      <c r="C186" s="10" t="s">
        <v>34</v>
      </c>
      <c r="D186" s="10">
        <v>4.8</v>
      </c>
      <c r="E186" s="10" t="s">
        <v>34</v>
      </c>
      <c r="F186" s="11">
        <v>1.01941748</v>
      </c>
      <c r="G186" s="11">
        <v>1.5447409999999999</v>
      </c>
      <c r="H186" s="10"/>
      <c r="I186" s="10"/>
      <c r="J186" s="10"/>
    </row>
    <row r="187" spans="1:10" ht="15.6" x14ac:dyDescent="0.3">
      <c r="A187" s="9" t="s">
        <v>33</v>
      </c>
      <c r="B187" s="10">
        <v>120</v>
      </c>
      <c r="C187" s="10" t="s">
        <v>34</v>
      </c>
      <c r="D187" s="10">
        <v>4.8</v>
      </c>
      <c r="E187" s="10" t="s">
        <v>31</v>
      </c>
      <c r="F187" s="11">
        <v>1.01233046</v>
      </c>
      <c r="G187" s="11">
        <v>1.54</v>
      </c>
      <c r="H187" s="10"/>
      <c r="I187" s="10"/>
      <c r="J187" s="10"/>
    </row>
    <row r="188" spans="1:10" ht="15.6" x14ac:dyDescent="0.3">
      <c r="A188" s="9" t="s">
        <v>33</v>
      </c>
      <c r="B188" s="10">
        <v>120</v>
      </c>
      <c r="C188" s="10" t="s">
        <v>14</v>
      </c>
      <c r="D188" s="10">
        <v>5</v>
      </c>
      <c r="E188" s="10" t="s">
        <v>14</v>
      </c>
      <c r="F188" s="11">
        <v>1.0193236699999999</v>
      </c>
      <c r="G188" s="11">
        <v>1.5442709999999999</v>
      </c>
      <c r="H188" s="10"/>
      <c r="I188" s="10"/>
      <c r="J188" s="10"/>
    </row>
    <row r="189" spans="1:10" ht="15.6" x14ac:dyDescent="0.3">
      <c r="A189" s="9" t="s">
        <v>33</v>
      </c>
      <c r="B189" s="10">
        <v>120</v>
      </c>
      <c r="C189" s="10" t="s">
        <v>15</v>
      </c>
      <c r="D189" s="10">
        <v>6</v>
      </c>
      <c r="E189" s="10" t="s">
        <v>16</v>
      </c>
      <c r="F189" s="11">
        <v>1.0124481299999999</v>
      </c>
      <c r="G189" s="11">
        <v>1.5403849999999999</v>
      </c>
      <c r="H189" s="10"/>
      <c r="I189" s="10"/>
      <c r="J189" s="10"/>
    </row>
    <row r="190" spans="1:10" ht="15.6" x14ac:dyDescent="0.3">
      <c r="A190" s="9" t="s">
        <v>33</v>
      </c>
      <c r="B190" s="10">
        <v>120</v>
      </c>
      <c r="C190" s="10" t="s">
        <v>17</v>
      </c>
      <c r="D190" s="10">
        <v>7.2</v>
      </c>
      <c r="E190" s="10" t="s">
        <v>17</v>
      </c>
      <c r="F190" s="11">
        <v>1.0190369500000001</v>
      </c>
      <c r="G190" s="11">
        <v>1.5452900000000001</v>
      </c>
      <c r="H190" s="10"/>
      <c r="I190" s="10"/>
      <c r="J190" s="10"/>
    </row>
    <row r="191" spans="1:10" ht="15.6" x14ac:dyDescent="0.3">
      <c r="A191" s="9" t="s">
        <v>33</v>
      </c>
      <c r="B191" s="10">
        <v>120</v>
      </c>
      <c r="C191" s="10" t="s">
        <v>18</v>
      </c>
      <c r="D191" s="10">
        <v>10</v>
      </c>
      <c r="E191" s="10" t="s">
        <v>18</v>
      </c>
      <c r="F191" s="11">
        <v>1.0193236699999999</v>
      </c>
      <c r="G191" s="11">
        <v>1.5442709999999999</v>
      </c>
      <c r="H191" s="10"/>
      <c r="I191" s="10"/>
      <c r="J191" s="10"/>
    </row>
    <row r="192" spans="1:10" ht="15.6" x14ac:dyDescent="0.3">
      <c r="A192" s="9" t="s">
        <v>33</v>
      </c>
      <c r="B192" s="10">
        <v>120</v>
      </c>
      <c r="C192" s="10" t="s">
        <v>16</v>
      </c>
      <c r="D192" s="10">
        <v>12</v>
      </c>
      <c r="E192" s="10" t="s">
        <v>19</v>
      </c>
      <c r="F192" s="11">
        <v>1.0127981399999999</v>
      </c>
      <c r="G192" s="11">
        <v>1.539623</v>
      </c>
      <c r="H192" s="10"/>
      <c r="I192" s="10"/>
      <c r="J192" s="10"/>
    </row>
    <row r="193" spans="1:10" ht="15.6" x14ac:dyDescent="0.3">
      <c r="A193" s="9" t="s">
        <v>33</v>
      </c>
      <c r="B193" s="10">
        <v>120</v>
      </c>
      <c r="C193" s="10" t="s">
        <v>20</v>
      </c>
      <c r="D193" s="10">
        <v>14.4</v>
      </c>
      <c r="E193" s="10" t="s">
        <v>20</v>
      </c>
      <c r="F193" s="11">
        <v>1.0194601400000001</v>
      </c>
      <c r="G193" s="11">
        <v>1.5436110000000001</v>
      </c>
      <c r="H193" s="10"/>
      <c r="I193" s="10"/>
      <c r="J193" s="10"/>
    </row>
    <row r="194" spans="1:10" ht="15.6" x14ac:dyDescent="0.3">
      <c r="A194" s="9" t="s">
        <v>33</v>
      </c>
      <c r="B194" s="10">
        <v>120</v>
      </c>
      <c r="C194" s="10" t="s">
        <v>35</v>
      </c>
      <c r="D194" s="10">
        <v>38.4</v>
      </c>
      <c r="E194" s="10" t="s">
        <v>35</v>
      </c>
      <c r="F194" s="11">
        <v>1.01869159</v>
      </c>
      <c r="G194" s="11">
        <v>1.5441860000000001</v>
      </c>
      <c r="H194" s="10"/>
      <c r="I194" s="10"/>
      <c r="J194" s="10"/>
    </row>
    <row r="195" spans="1:10" ht="15.6" x14ac:dyDescent="0.3">
      <c r="A195" s="9" t="s">
        <v>33</v>
      </c>
      <c r="B195" s="10">
        <v>120</v>
      </c>
      <c r="C195" s="10" t="s">
        <v>22</v>
      </c>
      <c r="D195" s="10">
        <v>38.4</v>
      </c>
      <c r="E195" s="10" t="s">
        <v>36</v>
      </c>
      <c r="F195" s="11">
        <v>1.0126849899999999</v>
      </c>
      <c r="G195" s="11">
        <v>1.5423340000000001</v>
      </c>
      <c r="H195" s="10"/>
      <c r="I195" s="10"/>
      <c r="J195" s="10"/>
    </row>
    <row r="196" spans="1:10" ht="15.6" x14ac:dyDescent="0.3">
      <c r="A196" s="9" t="s">
        <v>33</v>
      </c>
      <c r="B196" s="10">
        <v>140</v>
      </c>
      <c r="C196" s="10" t="s">
        <v>13</v>
      </c>
      <c r="D196" s="10">
        <v>2</v>
      </c>
      <c r="E196" s="10" t="s">
        <v>13</v>
      </c>
      <c r="F196" s="11">
        <v>1.01778656</v>
      </c>
      <c r="G196" s="11">
        <v>1.5129379999999999</v>
      </c>
      <c r="H196" s="10"/>
      <c r="I196" s="10"/>
      <c r="J196" s="10"/>
    </row>
    <row r="197" spans="1:10" ht="15.6" x14ac:dyDescent="0.3">
      <c r="A197" s="9" t="s">
        <v>33</v>
      </c>
      <c r="B197" s="10">
        <v>140</v>
      </c>
      <c r="C197" s="10" t="s">
        <v>26</v>
      </c>
      <c r="D197" s="10">
        <v>3.6</v>
      </c>
      <c r="E197" s="10" t="s">
        <v>26</v>
      </c>
      <c r="F197" s="11">
        <v>1.0176991200000001</v>
      </c>
      <c r="G197" s="11">
        <v>1.5122180000000001</v>
      </c>
      <c r="H197" s="10"/>
      <c r="I197" s="10"/>
      <c r="J197" s="10"/>
    </row>
    <row r="198" spans="1:10" ht="15.6" x14ac:dyDescent="0.3">
      <c r="A198" s="9" t="s">
        <v>33</v>
      </c>
      <c r="B198" s="10">
        <v>140</v>
      </c>
      <c r="C198" s="10" t="s">
        <v>34</v>
      </c>
      <c r="D198" s="10">
        <v>4.8</v>
      </c>
      <c r="E198" s="10" t="s">
        <v>34</v>
      </c>
      <c r="F198" s="11">
        <v>1.01759628</v>
      </c>
      <c r="G198" s="11">
        <v>1.51227</v>
      </c>
      <c r="H198" s="10"/>
      <c r="I198" s="10"/>
      <c r="J198" s="10"/>
    </row>
    <row r="199" spans="1:10" ht="15.6" x14ac:dyDescent="0.3">
      <c r="A199" s="9" t="s">
        <v>33</v>
      </c>
      <c r="B199" s="10">
        <v>140</v>
      </c>
      <c r="C199" s="10" t="s">
        <v>34</v>
      </c>
      <c r="D199" s="10">
        <v>4.8</v>
      </c>
      <c r="E199" s="10" t="s">
        <v>31</v>
      </c>
      <c r="F199" s="11">
        <v>1.0132743399999999</v>
      </c>
      <c r="G199" s="11">
        <v>1.520276</v>
      </c>
      <c r="H199" s="10"/>
      <c r="I199" s="10"/>
      <c r="J199" s="10"/>
    </row>
    <row r="200" spans="1:10" ht="15.6" x14ac:dyDescent="0.3">
      <c r="A200" s="9" t="s">
        <v>33</v>
      </c>
      <c r="B200" s="10">
        <v>140</v>
      </c>
      <c r="C200" s="10" t="s">
        <v>14</v>
      </c>
      <c r="D200" s="10">
        <v>5</v>
      </c>
      <c r="E200" s="10" t="s">
        <v>14</v>
      </c>
      <c r="F200" s="11">
        <v>1.0176211500000001</v>
      </c>
      <c r="G200" s="11">
        <v>1.5127330000000001</v>
      </c>
      <c r="H200" s="10"/>
      <c r="I200" s="10"/>
      <c r="J200" s="10"/>
    </row>
    <row r="201" spans="1:10" ht="15.6" x14ac:dyDescent="0.3">
      <c r="A201" s="9" t="s">
        <v>33</v>
      </c>
      <c r="B201" s="10">
        <v>140</v>
      </c>
      <c r="C201" s="10" t="s">
        <v>15</v>
      </c>
      <c r="D201" s="10">
        <v>6</v>
      </c>
      <c r="E201" s="10" t="s">
        <v>16</v>
      </c>
      <c r="F201" s="11">
        <v>1.0131631400000001</v>
      </c>
      <c r="G201" s="11">
        <v>1.521793</v>
      </c>
      <c r="H201" s="10"/>
      <c r="I201" s="10"/>
      <c r="J201" s="10"/>
    </row>
    <row r="202" spans="1:10" ht="15.6" x14ac:dyDescent="0.3">
      <c r="A202" s="9" t="s">
        <v>33</v>
      </c>
      <c r="B202" s="10">
        <v>140</v>
      </c>
      <c r="C202" s="10" t="s">
        <v>17</v>
      </c>
      <c r="D202" s="10">
        <v>7.2</v>
      </c>
      <c r="E202" s="10" t="s">
        <v>17</v>
      </c>
      <c r="F202" s="11">
        <v>1.0172347799999999</v>
      </c>
      <c r="G202" s="11">
        <v>1.512397</v>
      </c>
      <c r="H202" s="10"/>
      <c r="I202" s="10"/>
      <c r="J202" s="10"/>
    </row>
    <row r="203" spans="1:10" ht="15.6" x14ac:dyDescent="0.3">
      <c r="A203" s="9" t="s">
        <v>33</v>
      </c>
      <c r="B203" s="10">
        <v>140</v>
      </c>
      <c r="C203" s="10" t="s">
        <v>18</v>
      </c>
      <c r="D203" s="10">
        <v>10</v>
      </c>
      <c r="E203" s="10" t="s">
        <v>18</v>
      </c>
      <c r="F203" s="11">
        <v>1.0176211500000001</v>
      </c>
      <c r="G203" s="11">
        <v>1.5127330000000001</v>
      </c>
      <c r="H203" s="10"/>
      <c r="I203" s="10"/>
      <c r="J203" s="10"/>
    </row>
    <row r="204" spans="1:10" ht="15.6" x14ac:dyDescent="0.3">
      <c r="A204" s="9" t="s">
        <v>33</v>
      </c>
      <c r="B204" s="10">
        <v>140</v>
      </c>
      <c r="C204" s="10" t="s">
        <v>16</v>
      </c>
      <c r="D204" s="10">
        <v>12</v>
      </c>
      <c r="E204" s="10" t="s">
        <v>19</v>
      </c>
      <c r="F204" s="11">
        <v>1.0133072400000001</v>
      </c>
      <c r="G204" s="11">
        <v>1.5201469999999999</v>
      </c>
      <c r="H204" s="10"/>
      <c r="I204" s="10"/>
      <c r="J204" s="10"/>
    </row>
    <row r="205" spans="1:10" ht="15.6" x14ac:dyDescent="0.3">
      <c r="A205" s="9" t="s">
        <v>33</v>
      </c>
      <c r="B205" s="10">
        <v>140</v>
      </c>
      <c r="C205" s="10" t="s">
        <v>20</v>
      </c>
      <c r="D205" s="10">
        <v>14.4</v>
      </c>
      <c r="E205" s="10" t="s">
        <v>20</v>
      </c>
      <c r="F205" s="11">
        <v>1.0171673800000001</v>
      </c>
      <c r="G205" s="11">
        <v>1.5119050000000001</v>
      </c>
      <c r="H205" s="10"/>
      <c r="I205" s="10"/>
      <c r="J205" s="10"/>
    </row>
    <row r="206" spans="1:10" ht="15.6" x14ac:dyDescent="0.3">
      <c r="A206" s="9" t="s">
        <v>33</v>
      </c>
      <c r="B206" s="10">
        <v>140</v>
      </c>
      <c r="C206" s="10" t="s">
        <v>35</v>
      </c>
      <c r="D206" s="10">
        <v>38.4</v>
      </c>
      <c r="E206" s="10" t="s">
        <v>35</v>
      </c>
      <c r="F206" s="11">
        <v>1.01770782</v>
      </c>
      <c r="G206" s="11">
        <v>1.512121</v>
      </c>
      <c r="H206" s="10"/>
      <c r="I206" s="10"/>
      <c r="J206" s="10"/>
    </row>
    <row r="207" spans="1:10" ht="15.6" x14ac:dyDescent="0.3">
      <c r="A207" s="9" t="s">
        <v>33</v>
      </c>
      <c r="B207" s="10">
        <v>140</v>
      </c>
      <c r="C207" s="10" t="s">
        <v>22</v>
      </c>
      <c r="D207" s="10">
        <v>38.4</v>
      </c>
      <c r="E207" s="10" t="s">
        <v>36</v>
      </c>
      <c r="F207" s="11">
        <v>1.0132764299999999</v>
      </c>
      <c r="G207" s="11">
        <v>1.52071</v>
      </c>
      <c r="H207" s="10"/>
      <c r="I207" s="10"/>
      <c r="J207" s="10"/>
    </row>
    <row r="208" spans="1:10" ht="15.6" x14ac:dyDescent="0.3">
      <c r="A208" s="9" t="s">
        <v>37</v>
      </c>
      <c r="B208" s="10">
        <v>70</v>
      </c>
      <c r="C208" s="10" t="s">
        <v>13</v>
      </c>
      <c r="D208" s="10">
        <v>2</v>
      </c>
      <c r="E208" s="10" t="s">
        <v>13</v>
      </c>
      <c r="F208" s="11">
        <v>1.0750988100000001</v>
      </c>
      <c r="G208" s="11">
        <v>1.87931</v>
      </c>
      <c r="H208" s="10"/>
      <c r="I208" s="10"/>
      <c r="J208" s="10"/>
    </row>
    <row r="209" spans="1:10" ht="15.6" x14ac:dyDescent="0.3">
      <c r="A209" s="9" t="s">
        <v>37</v>
      </c>
      <c r="B209" s="10">
        <v>70</v>
      </c>
      <c r="C209" s="10" t="s">
        <v>26</v>
      </c>
      <c r="D209" s="10">
        <v>3.6</v>
      </c>
      <c r="E209" s="10" t="s">
        <v>26</v>
      </c>
      <c r="F209" s="11">
        <v>1.0760095000000001</v>
      </c>
      <c r="G209" s="11">
        <v>1.8659790000000001</v>
      </c>
      <c r="H209" s="10"/>
      <c r="I209" s="10"/>
      <c r="J209" s="10"/>
    </row>
    <row r="210" spans="1:10" ht="15.6" x14ac:dyDescent="0.3">
      <c r="A210" s="9" t="s">
        <v>37</v>
      </c>
      <c r="B210" s="10">
        <v>70</v>
      </c>
      <c r="C210" s="10" t="s">
        <v>14</v>
      </c>
      <c r="D210" s="10">
        <v>5</v>
      </c>
      <c r="E210" s="10" t="s">
        <v>14</v>
      </c>
      <c r="F210" s="11">
        <v>1.07786885</v>
      </c>
      <c r="G210" s="11">
        <v>1.875</v>
      </c>
      <c r="H210" s="10"/>
      <c r="I210" s="10"/>
      <c r="J210" s="10"/>
    </row>
    <row r="211" spans="1:10" ht="15.6" x14ac:dyDescent="0.3">
      <c r="A211" s="9" t="s">
        <v>37</v>
      </c>
      <c r="B211" s="10">
        <v>70</v>
      </c>
      <c r="C211" s="10" t="s">
        <v>18</v>
      </c>
      <c r="D211" s="10">
        <v>10</v>
      </c>
      <c r="E211" s="10" t="s">
        <v>18</v>
      </c>
      <c r="F211" s="11">
        <v>1.07786885</v>
      </c>
      <c r="G211" s="11">
        <v>1.875</v>
      </c>
      <c r="H211" s="10"/>
      <c r="I211" s="10"/>
      <c r="J211" s="10"/>
    </row>
    <row r="212" spans="1:10" ht="15.6" x14ac:dyDescent="0.3">
      <c r="A212" s="9" t="s">
        <v>37</v>
      </c>
      <c r="B212" s="10">
        <v>70</v>
      </c>
      <c r="C212" s="10" t="s">
        <v>20</v>
      </c>
      <c r="D212" s="10">
        <v>14.4</v>
      </c>
      <c r="E212" s="10" t="s">
        <v>20</v>
      </c>
      <c r="F212" s="11">
        <v>1.07758621</v>
      </c>
      <c r="G212" s="11">
        <v>1.875</v>
      </c>
      <c r="H212" s="10"/>
      <c r="I212" s="10"/>
      <c r="J212" s="10"/>
    </row>
    <row r="213" spans="1:10" ht="15.6" x14ac:dyDescent="0.3">
      <c r="A213" s="9" t="s">
        <v>37</v>
      </c>
      <c r="B213" s="10">
        <v>70</v>
      </c>
      <c r="C213" s="10" t="s">
        <v>21</v>
      </c>
      <c r="D213" s="10">
        <v>19.2</v>
      </c>
      <c r="E213" s="10" t="s">
        <v>21</v>
      </c>
      <c r="F213" s="11">
        <v>1.0763636400000001</v>
      </c>
      <c r="G213" s="11">
        <v>1.84375</v>
      </c>
      <c r="H213" s="10"/>
      <c r="I213" s="10"/>
      <c r="J213" s="10"/>
    </row>
    <row r="214" spans="1:10" ht="15.6" x14ac:dyDescent="0.3">
      <c r="A214" s="9" t="s">
        <v>37</v>
      </c>
      <c r="B214" s="10">
        <v>70</v>
      </c>
      <c r="C214" s="10" t="s">
        <v>21</v>
      </c>
      <c r="D214" s="10">
        <v>19.2</v>
      </c>
      <c r="E214" s="10" t="s">
        <v>22</v>
      </c>
      <c r="F214" s="11">
        <v>1.0743243200000001</v>
      </c>
      <c r="G214" s="11">
        <v>1.8676470000000001</v>
      </c>
      <c r="H214" s="10"/>
      <c r="I214" s="10"/>
      <c r="J214" s="10"/>
    </row>
    <row r="215" spans="1:10" ht="15.6" x14ac:dyDescent="0.3">
      <c r="A215" s="9" t="s">
        <v>37</v>
      </c>
      <c r="B215" s="10">
        <v>70</v>
      </c>
      <c r="C215" s="10" t="s">
        <v>21</v>
      </c>
      <c r="D215" s="10">
        <v>19.2</v>
      </c>
      <c r="E215" s="10" t="s">
        <v>22</v>
      </c>
      <c r="F215" s="11">
        <v>1.07738095</v>
      </c>
      <c r="G215" s="11">
        <v>1.8461540000000001</v>
      </c>
      <c r="H215" s="10"/>
      <c r="I215" s="10"/>
      <c r="J215" s="10"/>
    </row>
    <row r="216" spans="1:10" ht="15.6" x14ac:dyDescent="0.3">
      <c r="A216" s="9" t="s">
        <v>37</v>
      </c>
      <c r="B216" s="10">
        <v>70</v>
      </c>
      <c r="C216" s="10" t="s">
        <v>38</v>
      </c>
      <c r="D216" s="10">
        <v>28.8</v>
      </c>
      <c r="E216" s="10" t="s">
        <v>39</v>
      </c>
      <c r="F216" s="11">
        <v>1.0754098400000001</v>
      </c>
      <c r="G216" s="11">
        <v>1.871429</v>
      </c>
      <c r="H216" s="10"/>
      <c r="I216" s="10"/>
      <c r="J216" s="10"/>
    </row>
    <row r="217" spans="1:10" ht="15.6" x14ac:dyDescent="0.3">
      <c r="A217" s="9" t="s">
        <v>37</v>
      </c>
      <c r="B217" s="10">
        <v>70</v>
      </c>
      <c r="C217" s="10" t="s">
        <v>22</v>
      </c>
      <c r="D217" s="10">
        <v>38.4</v>
      </c>
      <c r="E217" s="10" t="s">
        <v>40</v>
      </c>
      <c r="F217" s="11">
        <v>1.0758620699999999</v>
      </c>
      <c r="G217" s="11">
        <v>1.850746</v>
      </c>
      <c r="H217" s="10"/>
      <c r="I217" s="10"/>
      <c r="J217" s="10"/>
    </row>
    <row r="218" spans="1:10" ht="15.6" x14ac:dyDescent="0.3">
      <c r="A218" s="9" t="s">
        <v>37</v>
      </c>
      <c r="B218" s="10">
        <v>70</v>
      </c>
      <c r="C218" s="10" t="s">
        <v>39</v>
      </c>
      <c r="D218" s="10">
        <v>57.6</v>
      </c>
      <c r="E218" s="10" t="s">
        <v>41</v>
      </c>
      <c r="F218" s="11">
        <v>1.0772058799999999</v>
      </c>
      <c r="G218" s="11">
        <v>1.857143</v>
      </c>
      <c r="H218" s="10"/>
      <c r="I218" s="10"/>
      <c r="J218" s="10"/>
    </row>
    <row r="219" spans="1:10" ht="15.6" x14ac:dyDescent="0.3">
      <c r="A219" s="9" t="s">
        <v>37</v>
      </c>
      <c r="B219" s="10">
        <v>70</v>
      </c>
      <c r="C219" s="10" t="s">
        <v>42</v>
      </c>
      <c r="D219" s="10">
        <v>28.8</v>
      </c>
      <c r="E219" s="10" t="s">
        <v>42</v>
      </c>
      <c r="F219" s="11">
        <v>1.07666667</v>
      </c>
      <c r="G219" s="11">
        <v>1.8695649999999999</v>
      </c>
      <c r="H219" s="10"/>
      <c r="I219" s="10"/>
      <c r="J219" s="10"/>
    </row>
    <row r="220" spans="1:10" ht="15.6" x14ac:dyDescent="0.3">
      <c r="A220" s="9" t="s">
        <v>37</v>
      </c>
      <c r="B220" s="10">
        <v>70</v>
      </c>
      <c r="C220" s="10" t="s">
        <v>43</v>
      </c>
      <c r="D220" s="10">
        <v>57.6</v>
      </c>
      <c r="E220" s="10" t="s">
        <v>43</v>
      </c>
      <c r="F220" s="11">
        <v>1.0732600699999999</v>
      </c>
      <c r="G220" s="11">
        <v>1.857143</v>
      </c>
      <c r="H220" s="10"/>
      <c r="I220" s="10"/>
      <c r="J220" s="10"/>
    </row>
    <row r="221" spans="1:10" ht="15.6" x14ac:dyDescent="0.3">
      <c r="A221" s="9" t="s">
        <v>37</v>
      </c>
      <c r="B221" s="10">
        <v>80</v>
      </c>
      <c r="C221" s="10" t="s">
        <v>13</v>
      </c>
      <c r="D221" s="10">
        <v>2</v>
      </c>
      <c r="E221" s="10" t="s">
        <v>13</v>
      </c>
      <c r="F221" s="11">
        <v>1.04950495</v>
      </c>
      <c r="G221" s="11">
        <v>1.7281550000000001</v>
      </c>
      <c r="H221" s="10"/>
      <c r="I221" s="10"/>
      <c r="J221" s="10"/>
    </row>
    <row r="222" spans="1:10" ht="15.6" x14ac:dyDescent="0.3">
      <c r="A222" s="9" t="s">
        <v>37</v>
      </c>
      <c r="B222" s="10">
        <v>80</v>
      </c>
      <c r="C222" s="10" t="s">
        <v>26</v>
      </c>
      <c r="D222" s="10">
        <v>3.6</v>
      </c>
      <c r="E222" s="10" t="s">
        <v>26</v>
      </c>
      <c r="F222" s="11">
        <v>1.05052006</v>
      </c>
      <c r="G222" s="11">
        <v>1.7267440000000001</v>
      </c>
      <c r="H222" s="10"/>
      <c r="I222" s="10"/>
      <c r="J222" s="10"/>
    </row>
    <row r="223" spans="1:10" ht="15.6" x14ac:dyDescent="0.3">
      <c r="A223" s="9" t="s">
        <v>37</v>
      </c>
      <c r="B223" s="10">
        <v>80</v>
      </c>
      <c r="C223" s="10" t="s">
        <v>14</v>
      </c>
      <c r="D223" s="10">
        <v>5</v>
      </c>
      <c r="E223" s="10" t="s">
        <v>14</v>
      </c>
      <c r="F223" s="11">
        <v>1.05128205</v>
      </c>
      <c r="G223" s="11">
        <v>1.72</v>
      </c>
      <c r="H223" s="10"/>
      <c r="I223" s="10"/>
      <c r="J223" s="10"/>
    </row>
    <row r="224" spans="1:10" ht="15.6" x14ac:dyDescent="0.3">
      <c r="A224" s="9" t="s">
        <v>37</v>
      </c>
      <c r="B224" s="10">
        <v>80</v>
      </c>
      <c r="C224" s="10" t="s">
        <v>18</v>
      </c>
      <c r="D224" s="10">
        <v>10</v>
      </c>
      <c r="E224" s="10" t="s">
        <v>18</v>
      </c>
      <c r="F224" s="11">
        <v>1.05128205</v>
      </c>
      <c r="G224" s="11">
        <v>1.72</v>
      </c>
      <c r="H224" s="10"/>
      <c r="I224" s="10"/>
      <c r="J224" s="10"/>
    </row>
    <row r="225" spans="1:10" ht="15.6" x14ac:dyDescent="0.3">
      <c r="A225" s="9" t="s">
        <v>37</v>
      </c>
      <c r="B225" s="10">
        <v>80</v>
      </c>
      <c r="C225" s="10" t="s">
        <v>20</v>
      </c>
      <c r="D225" s="10">
        <v>14.4</v>
      </c>
      <c r="E225" s="10" t="s">
        <v>20</v>
      </c>
      <c r="F225" s="11">
        <v>1.0521582700000001</v>
      </c>
      <c r="G225" s="11">
        <v>1.732394</v>
      </c>
      <c r="H225" s="10"/>
      <c r="I225" s="10"/>
      <c r="J225" s="10"/>
    </row>
    <row r="226" spans="1:10" ht="15.6" x14ac:dyDescent="0.3">
      <c r="A226" s="9" t="s">
        <v>37</v>
      </c>
      <c r="B226" s="10">
        <v>80</v>
      </c>
      <c r="C226" s="10" t="s">
        <v>21</v>
      </c>
      <c r="D226" s="10">
        <v>19.2</v>
      </c>
      <c r="E226" s="10" t="s">
        <v>21</v>
      </c>
      <c r="F226" s="11">
        <v>1.0522727300000001</v>
      </c>
      <c r="G226" s="11">
        <v>1.732143</v>
      </c>
      <c r="H226" s="10"/>
      <c r="I226" s="10"/>
      <c r="J226" s="10"/>
    </row>
    <row r="227" spans="1:10" ht="15.6" x14ac:dyDescent="0.3">
      <c r="A227" s="9" t="s">
        <v>37</v>
      </c>
      <c r="B227" s="10">
        <v>80</v>
      </c>
      <c r="C227" s="10" t="s">
        <v>21</v>
      </c>
      <c r="D227" s="10">
        <v>19.2</v>
      </c>
      <c r="E227" s="10" t="s">
        <v>22</v>
      </c>
      <c r="F227" s="11">
        <v>1.0529660999999999</v>
      </c>
      <c r="G227" s="11">
        <v>1.7190080000000001</v>
      </c>
      <c r="H227" s="10"/>
      <c r="I227" s="10"/>
      <c r="J227" s="10"/>
    </row>
    <row r="228" spans="1:10" ht="15.6" x14ac:dyDescent="0.3">
      <c r="A228" s="9" t="s">
        <v>37</v>
      </c>
      <c r="B228" s="10">
        <v>80</v>
      </c>
      <c r="C228" s="10" t="s">
        <v>21</v>
      </c>
      <c r="D228" s="10">
        <v>19.2</v>
      </c>
      <c r="E228" s="10" t="s">
        <v>22</v>
      </c>
      <c r="F228" s="11">
        <v>1.0521415300000001</v>
      </c>
      <c r="G228" s="11">
        <v>1.729927</v>
      </c>
      <c r="H228" s="10"/>
      <c r="I228" s="10"/>
      <c r="J228" s="10"/>
    </row>
    <row r="229" spans="1:10" ht="15.6" x14ac:dyDescent="0.3">
      <c r="A229" s="9" t="s">
        <v>37</v>
      </c>
      <c r="B229" s="10">
        <v>80</v>
      </c>
      <c r="C229" s="10" t="s">
        <v>38</v>
      </c>
      <c r="D229" s="10">
        <v>28.8</v>
      </c>
      <c r="E229" s="10" t="s">
        <v>39</v>
      </c>
      <c r="F229" s="11">
        <v>1.0513347</v>
      </c>
      <c r="G229" s="11">
        <v>1.7338709999999999</v>
      </c>
      <c r="H229" s="10"/>
      <c r="I229" s="10"/>
      <c r="J229" s="10"/>
    </row>
    <row r="230" spans="1:10" ht="15.6" x14ac:dyDescent="0.3">
      <c r="A230" s="9" t="s">
        <v>37</v>
      </c>
      <c r="B230" s="10">
        <v>80</v>
      </c>
      <c r="C230" s="10" t="s">
        <v>22</v>
      </c>
      <c r="D230" s="10">
        <v>38.4</v>
      </c>
      <c r="E230" s="10" t="s">
        <v>40</v>
      </c>
      <c r="F230" s="11">
        <v>1.05194805</v>
      </c>
      <c r="G230" s="11">
        <v>1.7288140000000001</v>
      </c>
      <c r="H230" s="10"/>
      <c r="I230" s="10"/>
      <c r="J230" s="10"/>
    </row>
    <row r="231" spans="1:10" ht="15.6" x14ac:dyDescent="0.3">
      <c r="A231" s="9" t="s">
        <v>37</v>
      </c>
      <c r="B231" s="10">
        <v>80</v>
      </c>
      <c r="C231" s="10" t="s">
        <v>39</v>
      </c>
      <c r="D231" s="10">
        <v>57.6</v>
      </c>
      <c r="E231" s="10" t="s">
        <v>41</v>
      </c>
      <c r="F231" s="11">
        <v>1.0528735600000001</v>
      </c>
      <c r="G231" s="11">
        <v>1.72973</v>
      </c>
      <c r="H231" s="10"/>
      <c r="I231" s="10"/>
      <c r="J231" s="10"/>
    </row>
    <row r="232" spans="1:10" ht="15.6" x14ac:dyDescent="0.3">
      <c r="A232" s="9" t="s">
        <v>37</v>
      </c>
      <c r="B232" s="10">
        <v>80</v>
      </c>
      <c r="C232" s="10" t="s">
        <v>42</v>
      </c>
      <c r="D232" s="10">
        <v>28.8</v>
      </c>
      <c r="E232" s="10" t="s">
        <v>42</v>
      </c>
      <c r="F232" s="11">
        <v>1.0501043800000001</v>
      </c>
      <c r="G232" s="11">
        <v>1.729508</v>
      </c>
      <c r="H232" s="10"/>
      <c r="I232" s="10"/>
      <c r="J232" s="10"/>
    </row>
    <row r="233" spans="1:10" ht="15.6" x14ac:dyDescent="0.3">
      <c r="A233" s="9" t="s">
        <v>37</v>
      </c>
      <c r="B233" s="10">
        <v>80</v>
      </c>
      <c r="C233" s="10" t="s">
        <v>43</v>
      </c>
      <c r="D233" s="10">
        <v>57.6</v>
      </c>
      <c r="E233" s="10" t="s">
        <v>43</v>
      </c>
      <c r="F233" s="11">
        <v>1.0528735600000001</v>
      </c>
      <c r="G233" s="11">
        <v>1.72973</v>
      </c>
      <c r="H233" s="10"/>
      <c r="I233" s="10"/>
      <c r="J233" s="10"/>
    </row>
    <row r="234" spans="1:10" ht="15.6" x14ac:dyDescent="0.3">
      <c r="A234" s="9" t="s">
        <v>37</v>
      </c>
      <c r="B234" s="10">
        <v>90</v>
      </c>
      <c r="C234" s="10" t="s">
        <v>13</v>
      </c>
      <c r="D234" s="10">
        <v>2</v>
      </c>
      <c r="E234" s="10" t="s">
        <v>13</v>
      </c>
      <c r="F234" s="11">
        <v>1.0252951100000001</v>
      </c>
      <c r="G234" s="11">
        <v>1.6543209999999999</v>
      </c>
      <c r="H234" s="10"/>
      <c r="I234" s="10"/>
      <c r="J234" s="10"/>
    </row>
    <row r="235" spans="1:10" ht="15.6" x14ac:dyDescent="0.3">
      <c r="A235" s="9" t="s">
        <v>37</v>
      </c>
      <c r="B235" s="10">
        <v>90</v>
      </c>
      <c r="C235" s="10" t="s">
        <v>26</v>
      </c>
      <c r="D235" s="10">
        <v>3.6</v>
      </c>
      <c r="E235" s="10" t="s">
        <v>26</v>
      </c>
      <c r="F235" s="11">
        <v>1.02530364</v>
      </c>
      <c r="G235" s="11">
        <v>1.6579930000000001</v>
      </c>
      <c r="H235" s="10"/>
      <c r="I235" s="10"/>
      <c r="J235" s="10"/>
    </row>
    <row r="236" spans="1:10" ht="15.6" x14ac:dyDescent="0.3">
      <c r="A236" s="9" t="s">
        <v>37</v>
      </c>
      <c r="B236" s="10">
        <v>90</v>
      </c>
      <c r="C236" s="10" t="s">
        <v>14</v>
      </c>
      <c r="D236" s="10">
        <v>5</v>
      </c>
      <c r="E236" s="10" t="s">
        <v>14</v>
      </c>
      <c r="F236" s="11">
        <v>1.02443281</v>
      </c>
      <c r="G236" s="11">
        <v>1.660256</v>
      </c>
      <c r="H236" s="10"/>
      <c r="I236" s="10"/>
      <c r="J236" s="10"/>
    </row>
    <row r="237" spans="1:10" ht="15.6" x14ac:dyDescent="0.3">
      <c r="A237" s="9" t="s">
        <v>37</v>
      </c>
      <c r="B237" s="10">
        <v>90</v>
      </c>
      <c r="C237" s="10" t="s">
        <v>18</v>
      </c>
      <c r="D237" s="10">
        <v>10</v>
      </c>
      <c r="E237" s="10" t="s">
        <v>18</v>
      </c>
      <c r="F237" s="11">
        <v>1.02443281</v>
      </c>
      <c r="G237" s="11">
        <v>1.660256</v>
      </c>
      <c r="H237" s="10"/>
      <c r="I237" s="10"/>
      <c r="J237" s="10"/>
    </row>
    <row r="238" spans="1:10" ht="15.6" x14ac:dyDescent="0.3">
      <c r="A238" s="9" t="s">
        <v>37</v>
      </c>
      <c r="B238" s="10">
        <v>90</v>
      </c>
      <c r="C238" s="10" t="s">
        <v>20</v>
      </c>
      <c r="D238" s="10">
        <v>14.4</v>
      </c>
      <c r="E238" s="10" t="s">
        <v>20</v>
      </c>
      <c r="F238" s="11">
        <v>1.0244797999999999</v>
      </c>
      <c r="G238" s="11">
        <v>1.654709</v>
      </c>
      <c r="H238" s="10"/>
      <c r="I238" s="10"/>
      <c r="J238" s="10"/>
    </row>
    <row r="239" spans="1:10" ht="15.6" x14ac:dyDescent="0.3">
      <c r="A239" s="9" t="s">
        <v>37</v>
      </c>
      <c r="B239" s="10">
        <v>90</v>
      </c>
      <c r="C239" s="10" t="s">
        <v>21</v>
      </c>
      <c r="D239" s="10">
        <v>19.2</v>
      </c>
      <c r="E239" s="10" t="s">
        <v>21</v>
      </c>
      <c r="F239" s="11">
        <v>1.0247678</v>
      </c>
      <c r="G239" s="11">
        <v>1.6590910000000001</v>
      </c>
      <c r="H239" s="10"/>
      <c r="I239" s="10"/>
      <c r="J239" s="10"/>
    </row>
    <row r="240" spans="1:10" ht="15.6" x14ac:dyDescent="0.3">
      <c r="A240" s="9" t="s">
        <v>37</v>
      </c>
      <c r="B240" s="10">
        <v>90</v>
      </c>
      <c r="C240" s="10" t="s">
        <v>21</v>
      </c>
      <c r="D240" s="10">
        <v>19.2</v>
      </c>
      <c r="E240" s="10" t="s">
        <v>22</v>
      </c>
      <c r="F240" s="11">
        <v>1.02449568</v>
      </c>
      <c r="G240" s="11">
        <v>1.656085</v>
      </c>
      <c r="H240" s="10"/>
      <c r="I240" s="10"/>
      <c r="J240" s="10"/>
    </row>
    <row r="241" spans="1:10" ht="15.6" x14ac:dyDescent="0.3">
      <c r="A241" s="9" t="s">
        <v>37</v>
      </c>
      <c r="B241" s="10">
        <v>90</v>
      </c>
      <c r="C241" s="10" t="s">
        <v>21</v>
      </c>
      <c r="D241" s="10">
        <v>19.2</v>
      </c>
      <c r="E241" s="10" t="s">
        <v>22</v>
      </c>
      <c r="F241" s="11">
        <v>1.02408112</v>
      </c>
      <c r="G241" s="11">
        <v>1.6558139999999999</v>
      </c>
      <c r="H241" s="10"/>
      <c r="I241" s="10"/>
      <c r="J241" s="10"/>
    </row>
    <row r="242" spans="1:10" ht="15.6" x14ac:dyDescent="0.3">
      <c r="A242" s="9" t="s">
        <v>37</v>
      </c>
      <c r="B242" s="10">
        <v>90</v>
      </c>
      <c r="C242" s="10" t="s">
        <v>38</v>
      </c>
      <c r="D242" s="10">
        <v>28.8</v>
      </c>
      <c r="E242" s="10" t="s">
        <v>39</v>
      </c>
      <c r="F242" s="11">
        <v>1.0237430199999999</v>
      </c>
      <c r="G242" s="11">
        <v>1.6564099999999999</v>
      </c>
      <c r="H242" s="10"/>
      <c r="I242" s="10"/>
      <c r="J242" s="10"/>
    </row>
    <row r="243" spans="1:10" ht="15.6" x14ac:dyDescent="0.3">
      <c r="A243" s="9" t="s">
        <v>37</v>
      </c>
      <c r="B243" s="10">
        <v>90</v>
      </c>
      <c r="C243" s="10" t="s">
        <v>22</v>
      </c>
      <c r="D243" s="10">
        <v>38.4</v>
      </c>
      <c r="E243" s="10" t="s">
        <v>40</v>
      </c>
      <c r="F243" s="11">
        <v>1.02503682</v>
      </c>
      <c r="G243" s="11">
        <v>1.659459</v>
      </c>
      <c r="H243" s="10"/>
      <c r="I243" s="10"/>
      <c r="J243" s="10"/>
    </row>
    <row r="244" spans="1:10" ht="15.6" x14ac:dyDescent="0.3">
      <c r="A244" s="9" t="s">
        <v>37</v>
      </c>
      <c r="B244" s="10">
        <v>90</v>
      </c>
      <c r="C244" s="10" t="s">
        <v>39</v>
      </c>
      <c r="D244" s="10">
        <v>57.6</v>
      </c>
      <c r="E244" s="10" t="s">
        <v>41</v>
      </c>
      <c r="F244" s="11">
        <v>1.02503912</v>
      </c>
      <c r="G244" s="11">
        <v>1.7</v>
      </c>
      <c r="H244" s="10"/>
      <c r="I244" s="10"/>
      <c r="J244" s="10"/>
    </row>
    <row r="245" spans="1:10" ht="15.6" x14ac:dyDescent="0.3">
      <c r="A245" s="9" t="s">
        <v>37</v>
      </c>
      <c r="B245" s="10">
        <v>90</v>
      </c>
      <c r="C245" s="10" t="s">
        <v>42</v>
      </c>
      <c r="D245" s="10">
        <v>28.8</v>
      </c>
      <c r="E245" s="10" t="s">
        <v>42</v>
      </c>
      <c r="F245" s="11">
        <v>1.0241820800000001</v>
      </c>
      <c r="G245" s="11">
        <v>1.65625</v>
      </c>
      <c r="H245" s="10"/>
      <c r="I245" s="10"/>
      <c r="J245" s="10"/>
    </row>
    <row r="246" spans="1:10" ht="15.6" x14ac:dyDescent="0.3">
      <c r="A246" s="9" t="s">
        <v>37</v>
      </c>
      <c r="B246" s="10">
        <v>90</v>
      </c>
      <c r="C246" s="10" t="s">
        <v>43</v>
      </c>
      <c r="D246" s="10">
        <v>57.6</v>
      </c>
      <c r="E246" s="10" t="s">
        <v>43</v>
      </c>
      <c r="F246" s="11">
        <v>1.0234375</v>
      </c>
      <c r="G246" s="11">
        <v>1.66092</v>
      </c>
      <c r="H246" s="10"/>
      <c r="I246" s="10"/>
      <c r="J246" s="10"/>
    </row>
    <row r="247" spans="1:10" ht="15.6" x14ac:dyDescent="0.3">
      <c r="A247" s="9" t="s">
        <v>37</v>
      </c>
      <c r="B247" s="10">
        <v>100</v>
      </c>
      <c r="C247" s="10" t="s">
        <v>13</v>
      </c>
      <c r="D247" s="10">
        <v>2</v>
      </c>
      <c r="E247" s="10" t="s">
        <v>13</v>
      </c>
      <c r="F247" s="11">
        <v>1.0185643600000001</v>
      </c>
      <c r="G247" s="11">
        <v>1.603448</v>
      </c>
      <c r="H247" s="10"/>
      <c r="I247" s="10"/>
      <c r="J247" s="10"/>
    </row>
    <row r="248" spans="1:10" ht="15.6" x14ac:dyDescent="0.3">
      <c r="A248" s="9" t="s">
        <v>37</v>
      </c>
      <c r="B248" s="10">
        <v>100</v>
      </c>
      <c r="C248" s="10" t="s">
        <v>26</v>
      </c>
      <c r="D248" s="10">
        <v>3.6</v>
      </c>
      <c r="E248" s="10" t="s">
        <v>26</v>
      </c>
      <c r="F248" s="11">
        <v>1.01855976</v>
      </c>
      <c r="G248" s="11">
        <v>1.6062179999999999</v>
      </c>
      <c r="H248" s="10"/>
      <c r="I248" s="10"/>
      <c r="J248" s="10"/>
    </row>
    <row r="249" spans="1:10" ht="15.6" x14ac:dyDescent="0.3">
      <c r="A249" s="9" t="s">
        <v>37</v>
      </c>
      <c r="B249" s="10">
        <v>100</v>
      </c>
      <c r="C249" s="10" t="s">
        <v>14</v>
      </c>
      <c r="D249" s="10">
        <v>5</v>
      </c>
      <c r="E249" s="10" t="s">
        <v>14</v>
      </c>
      <c r="F249" s="11">
        <v>1.0179257399999999</v>
      </c>
      <c r="G249" s="11">
        <v>1.602679</v>
      </c>
      <c r="H249" s="10"/>
      <c r="I249" s="10"/>
      <c r="J249" s="10"/>
    </row>
    <row r="250" spans="1:10" ht="15.6" x14ac:dyDescent="0.3">
      <c r="A250" s="9" t="s">
        <v>37</v>
      </c>
      <c r="B250" s="10">
        <v>100</v>
      </c>
      <c r="C250" s="10" t="s">
        <v>18</v>
      </c>
      <c r="D250" s="10">
        <v>10</v>
      </c>
      <c r="E250" s="10" t="s">
        <v>18</v>
      </c>
      <c r="F250" s="11">
        <v>1.0179257399999999</v>
      </c>
      <c r="G250" s="11">
        <v>1.602679</v>
      </c>
      <c r="H250" s="10"/>
      <c r="I250" s="10"/>
      <c r="J250" s="10"/>
    </row>
    <row r="251" spans="1:10" ht="15.6" x14ac:dyDescent="0.3">
      <c r="A251" s="9" t="s">
        <v>37</v>
      </c>
      <c r="B251" s="10">
        <v>100</v>
      </c>
      <c r="C251" s="10" t="s">
        <v>20</v>
      </c>
      <c r="D251" s="10">
        <v>14.4</v>
      </c>
      <c r="E251" s="10" t="s">
        <v>20</v>
      </c>
      <c r="F251" s="11">
        <v>1.0179533199999999</v>
      </c>
      <c r="G251" s="11">
        <v>1.60815</v>
      </c>
      <c r="H251" s="10"/>
      <c r="I251" s="10"/>
      <c r="J251" s="10"/>
    </row>
    <row r="252" spans="1:10" ht="15.6" x14ac:dyDescent="0.3">
      <c r="A252" s="9" t="s">
        <v>37</v>
      </c>
      <c r="B252" s="10">
        <v>100</v>
      </c>
      <c r="C252" s="10" t="s">
        <v>21</v>
      </c>
      <c r="D252" s="10">
        <v>19.2</v>
      </c>
      <c r="E252" s="10" t="s">
        <v>21</v>
      </c>
      <c r="F252" s="11">
        <v>1.0181611800000001</v>
      </c>
      <c r="G252" s="11">
        <v>1.607143</v>
      </c>
      <c r="H252" s="10"/>
      <c r="I252" s="10"/>
      <c r="J252" s="10"/>
    </row>
    <row r="253" spans="1:10" ht="15.6" x14ac:dyDescent="0.3">
      <c r="A253" s="9" t="s">
        <v>37</v>
      </c>
      <c r="B253" s="10">
        <v>100</v>
      </c>
      <c r="C253" s="10" t="s">
        <v>21</v>
      </c>
      <c r="D253" s="10">
        <v>19.2</v>
      </c>
      <c r="E253" s="10" t="s">
        <v>22</v>
      </c>
      <c r="F253" s="11">
        <v>1.01904762</v>
      </c>
      <c r="G253" s="11">
        <v>1.6051660000000001</v>
      </c>
      <c r="H253" s="10"/>
      <c r="I253" s="10"/>
      <c r="J253" s="10"/>
    </row>
    <row r="254" spans="1:10" ht="15.6" x14ac:dyDescent="0.3">
      <c r="A254" s="9" t="s">
        <v>37</v>
      </c>
      <c r="B254" s="10">
        <v>100</v>
      </c>
      <c r="C254" s="10" t="s">
        <v>21</v>
      </c>
      <c r="D254" s="10">
        <v>19.2</v>
      </c>
      <c r="E254" s="10" t="s">
        <v>22</v>
      </c>
      <c r="F254" s="11">
        <v>1.0186046499999999</v>
      </c>
      <c r="G254" s="11">
        <v>1.607143</v>
      </c>
      <c r="H254" s="10"/>
      <c r="I254" s="10"/>
      <c r="J254" s="10"/>
    </row>
    <row r="255" spans="1:10" ht="15.6" x14ac:dyDescent="0.3">
      <c r="A255" s="9" t="s">
        <v>37</v>
      </c>
      <c r="B255" s="10">
        <v>100</v>
      </c>
      <c r="C255" s="10" t="s">
        <v>38</v>
      </c>
      <c r="D255" s="10">
        <v>28.8</v>
      </c>
      <c r="E255" s="10" t="s">
        <v>39</v>
      </c>
      <c r="F255" s="11">
        <v>1.0184426200000001</v>
      </c>
      <c r="G255" s="11">
        <v>1.6035710000000001</v>
      </c>
      <c r="H255" s="10"/>
      <c r="I255" s="10"/>
      <c r="J255" s="10"/>
    </row>
    <row r="256" spans="1:10" ht="15.6" x14ac:dyDescent="0.3">
      <c r="A256" s="9" t="s">
        <v>37</v>
      </c>
      <c r="B256" s="10">
        <v>100</v>
      </c>
      <c r="C256" s="10" t="s">
        <v>22</v>
      </c>
      <c r="D256" s="10">
        <v>38.4</v>
      </c>
      <c r="E256" s="10" t="s">
        <v>40</v>
      </c>
      <c r="F256" s="11">
        <v>1.01835853</v>
      </c>
      <c r="G256" s="11">
        <v>1.6075470000000001</v>
      </c>
      <c r="H256" s="10"/>
      <c r="I256" s="10"/>
      <c r="J256" s="10"/>
    </row>
    <row r="257" spans="1:10" ht="15.6" x14ac:dyDescent="0.3">
      <c r="A257" s="9" t="s">
        <v>37</v>
      </c>
      <c r="B257" s="10">
        <v>100</v>
      </c>
      <c r="C257" s="10" t="s">
        <v>39</v>
      </c>
      <c r="D257" s="10">
        <v>57.6</v>
      </c>
      <c r="E257" s="10" t="s">
        <v>41</v>
      </c>
      <c r="F257" s="11">
        <v>1.0183696900000001</v>
      </c>
      <c r="G257" s="11">
        <v>1.6040000000000001</v>
      </c>
      <c r="H257" s="10"/>
      <c r="I257" s="10"/>
      <c r="J257" s="10"/>
    </row>
    <row r="258" spans="1:10" ht="15.6" x14ac:dyDescent="0.3">
      <c r="A258" s="9" t="s">
        <v>37</v>
      </c>
      <c r="B258" s="10">
        <v>100</v>
      </c>
      <c r="C258" s="10" t="s">
        <v>42</v>
      </c>
      <c r="D258" s="10">
        <v>28.8</v>
      </c>
      <c r="E258" s="10" t="s">
        <v>42</v>
      </c>
      <c r="F258" s="11">
        <v>1.01878914</v>
      </c>
      <c r="G258" s="11">
        <v>1.6036360000000001</v>
      </c>
      <c r="H258" s="10"/>
      <c r="I258" s="10"/>
      <c r="J258" s="10"/>
    </row>
    <row r="259" spans="1:10" ht="15.6" x14ac:dyDescent="0.3">
      <c r="A259" s="9" t="s">
        <v>37</v>
      </c>
      <c r="B259" s="10">
        <v>100</v>
      </c>
      <c r="C259" s="10" t="s">
        <v>43</v>
      </c>
      <c r="D259" s="10">
        <v>57.6</v>
      </c>
      <c r="E259" s="10" t="s">
        <v>43</v>
      </c>
      <c r="F259" s="11">
        <v>1.01834862</v>
      </c>
      <c r="G259" s="11">
        <v>1.6040000000000001</v>
      </c>
      <c r="H259" s="10"/>
      <c r="I259" s="10"/>
      <c r="J259" s="10"/>
    </row>
    <row r="260" spans="1:10" ht="15.6" x14ac:dyDescent="0.3">
      <c r="A260" s="9" t="s">
        <v>37</v>
      </c>
      <c r="B260" s="10">
        <v>110</v>
      </c>
      <c r="C260" s="10" t="s">
        <v>13</v>
      </c>
      <c r="D260" s="10">
        <v>2</v>
      </c>
      <c r="E260" s="10" t="s">
        <v>13</v>
      </c>
      <c r="F260" s="11">
        <v>1.0153110000000001</v>
      </c>
      <c r="G260" s="11">
        <v>1.55627</v>
      </c>
      <c r="H260" s="10"/>
      <c r="I260" s="10"/>
      <c r="J260" s="10"/>
    </row>
    <row r="261" spans="1:10" ht="15.6" x14ac:dyDescent="0.3">
      <c r="A261" s="9" t="s">
        <v>37</v>
      </c>
      <c r="B261" s="10">
        <v>110</v>
      </c>
      <c r="C261" s="10" t="s">
        <v>26</v>
      </c>
      <c r="D261" s="10">
        <v>3.6</v>
      </c>
      <c r="E261" s="10" t="s">
        <v>26</v>
      </c>
      <c r="F261" s="11">
        <v>1.01492537</v>
      </c>
      <c r="G261" s="11">
        <v>1.554913</v>
      </c>
      <c r="H261" s="10"/>
      <c r="I261" s="10"/>
      <c r="J261" s="10"/>
    </row>
    <row r="262" spans="1:10" ht="15.6" x14ac:dyDescent="0.3">
      <c r="A262" s="9" t="s">
        <v>37</v>
      </c>
      <c r="B262" s="10">
        <v>110</v>
      </c>
      <c r="C262" s="10" t="s">
        <v>14</v>
      </c>
      <c r="D262" s="10">
        <v>5</v>
      </c>
      <c r="E262" s="10" t="s">
        <v>14</v>
      </c>
      <c r="F262" s="11">
        <v>1.0148514900000001</v>
      </c>
      <c r="G262" s="11">
        <v>1.5548169999999999</v>
      </c>
      <c r="H262" s="10"/>
      <c r="I262" s="10"/>
      <c r="J262" s="10"/>
    </row>
    <row r="263" spans="1:10" ht="15.6" x14ac:dyDescent="0.3">
      <c r="A263" s="9" t="s">
        <v>37</v>
      </c>
      <c r="B263" s="10">
        <v>110</v>
      </c>
      <c r="C263" s="10" t="s">
        <v>18</v>
      </c>
      <c r="D263" s="10">
        <v>10</v>
      </c>
      <c r="E263" s="10" t="s">
        <v>18</v>
      </c>
      <c r="F263" s="11">
        <v>1.0148514900000001</v>
      </c>
      <c r="G263" s="11">
        <v>1.5548169999999999</v>
      </c>
      <c r="H263" s="10"/>
      <c r="I263" s="10"/>
      <c r="J263" s="10"/>
    </row>
    <row r="264" spans="1:10" ht="15.6" x14ac:dyDescent="0.3">
      <c r="A264" s="9" t="s">
        <v>37</v>
      </c>
      <c r="B264" s="10">
        <v>110</v>
      </c>
      <c r="C264" s="10" t="s">
        <v>20</v>
      </c>
      <c r="D264" s="10">
        <v>14.4</v>
      </c>
      <c r="E264" s="10" t="s">
        <v>20</v>
      </c>
      <c r="F264" s="11">
        <v>1.01457321</v>
      </c>
      <c r="G264" s="11">
        <v>1.5547789999999999</v>
      </c>
      <c r="H264" s="10"/>
      <c r="I264" s="10"/>
      <c r="J264" s="10"/>
    </row>
    <row r="265" spans="1:10" ht="15.6" x14ac:dyDescent="0.3">
      <c r="A265" s="9" t="s">
        <v>37</v>
      </c>
      <c r="B265" s="10">
        <v>110</v>
      </c>
      <c r="C265" s="10" t="s">
        <v>21</v>
      </c>
      <c r="D265" s="10">
        <v>19.2</v>
      </c>
      <c r="E265" s="10" t="s">
        <v>21</v>
      </c>
      <c r="F265" s="11">
        <v>1.01492537</v>
      </c>
      <c r="G265" s="11">
        <v>1.5575220000000001</v>
      </c>
      <c r="H265" s="10"/>
      <c r="I265" s="10"/>
      <c r="J265" s="10"/>
    </row>
    <row r="266" spans="1:10" ht="15.6" x14ac:dyDescent="0.3">
      <c r="A266" s="9" t="s">
        <v>37</v>
      </c>
      <c r="B266" s="10">
        <v>110</v>
      </c>
      <c r="C266" s="10" t="s">
        <v>21</v>
      </c>
      <c r="D266" s="10">
        <v>19.2</v>
      </c>
      <c r="E266" s="10" t="s">
        <v>22</v>
      </c>
      <c r="F266" s="11">
        <v>1.0147179099999999</v>
      </c>
      <c r="G266" s="11">
        <v>1.554945</v>
      </c>
      <c r="H266" s="10"/>
      <c r="I266" s="10"/>
      <c r="J266" s="10"/>
    </row>
    <row r="267" spans="1:10" ht="15.6" x14ac:dyDescent="0.3">
      <c r="A267" s="9" t="s">
        <v>37</v>
      </c>
      <c r="B267" s="10">
        <v>110</v>
      </c>
      <c r="C267" s="10" t="s">
        <v>21</v>
      </c>
      <c r="D267" s="10">
        <v>19.2</v>
      </c>
      <c r="E267" s="10" t="s">
        <v>22</v>
      </c>
      <c r="F267" s="11">
        <v>1.01437815</v>
      </c>
      <c r="G267" s="11">
        <v>1.5555559999999999</v>
      </c>
      <c r="H267" s="10"/>
      <c r="I267" s="10"/>
      <c r="J267" s="10"/>
    </row>
    <row r="268" spans="1:10" ht="15.6" x14ac:dyDescent="0.3">
      <c r="A268" s="9" t="s">
        <v>37</v>
      </c>
      <c r="B268" s="10">
        <v>110</v>
      </c>
      <c r="C268" s="10" t="s">
        <v>38</v>
      </c>
      <c r="D268" s="10">
        <v>28.8</v>
      </c>
      <c r="E268" s="10" t="s">
        <v>39</v>
      </c>
      <c r="F268" s="11">
        <v>1.0150554700000001</v>
      </c>
      <c r="G268" s="11">
        <v>1.5558510000000001</v>
      </c>
      <c r="H268" s="10"/>
      <c r="I268" s="10"/>
      <c r="J268" s="10"/>
    </row>
    <row r="269" spans="1:10" ht="15.6" x14ac:dyDescent="0.3">
      <c r="A269" s="9" t="s">
        <v>37</v>
      </c>
      <c r="B269" s="10">
        <v>110</v>
      </c>
      <c r="C269" s="10" t="s">
        <v>22</v>
      </c>
      <c r="D269" s="10">
        <v>38.4</v>
      </c>
      <c r="E269" s="10" t="s">
        <v>40</v>
      </c>
      <c r="F269" s="11">
        <v>1.01502504</v>
      </c>
      <c r="G269" s="11">
        <v>1.5546219999999999</v>
      </c>
      <c r="H269" s="10"/>
      <c r="I269" s="10"/>
      <c r="J269" s="10"/>
    </row>
    <row r="270" spans="1:10" ht="15.6" x14ac:dyDescent="0.3">
      <c r="A270" s="9" t="s">
        <v>37</v>
      </c>
      <c r="B270" s="10">
        <v>110</v>
      </c>
      <c r="C270" s="10" t="s">
        <v>39</v>
      </c>
      <c r="D270" s="10">
        <v>57.6</v>
      </c>
      <c r="E270" s="10" t="s">
        <v>41</v>
      </c>
      <c r="F270" s="11">
        <v>1.0150842899999999</v>
      </c>
      <c r="G270" s="11">
        <v>1.553571</v>
      </c>
      <c r="H270" s="10"/>
      <c r="I270" s="10"/>
      <c r="J270" s="10"/>
    </row>
    <row r="271" spans="1:10" ht="15.6" x14ac:dyDescent="0.3">
      <c r="A271" s="9" t="s">
        <v>37</v>
      </c>
      <c r="B271" s="10">
        <v>110</v>
      </c>
      <c r="C271" s="10" t="s">
        <v>42</v>
      </c>
      <c r="D271" s="10">
        <v>28.8</v>
      </c>
      <c r="E271" s="10" t="s">
        <v>42</v>
      </c>
      <c r="F271" s="11">
        <v>1.0145161300000001</v>
      </c>
      <c r="G271" s="11">
        <v>1.5555559999999999</v>
      </c>
      <c r="H271" s="10"/>
      <c r="I271" s="10"/>
      <c r="J271" s="10"/>
    </row>
    <row r="272" spans="1:10" ht="15.6" x14ac:dyDescent="0.3">
      <c r="A272" s="9" t="s">
        <v>37</v>
      </c>
      <c r="B272" s="10">
        <v>110</v>
      </c>
      <c r="C272" s="10" t="s">
        <v>43</v>
      </c>
      <c r="D272" s="10">
        <v>57.6</v>
      </c>
      <c r="E272" s="10" t="s">
        <v>43</v>
      </c>
      <c r="F272" s="11">
        <v>1.0150709200000001</v>
      </c>
      <c r="G272" s="11">
        <v>1.553571</v>
      </c>
      <c r="H272" s="10"/>
      <c r="I272" s="10"/>
      <c r="J272" s="10"/>
    </row>
    <row r="273" spans="1:10" ht="15.6" x14ac:dyDescent="0.3">
      <c r="A273" s="9" t="s">
        <v>37</v>
      </c>
      <c r="B273" s="10">
        <v>120</v>
      </c>
      <c r="C273" s="10" t="s">
        <v>13</v>
      </c>
      <c r="D273" s="10">
        <v>2</v>
      </c>
      <c r="E273" s="10" t="s">
        <v>13</v>
      </c>
      <c r="F273" s="11">
        <v>1.01225115</v>
      </c>
      <c r="G273" s="11">
        <v>1.542289</v>
      </c>
      <c r="H273" s="10"/>
      <c r="I273" s="10"/>
      <c r="J273" s="10"/>
    </row>
    <row r="274" spans="1:10" ht="15.6" x14ac:dyDescent="0.3">
      <c r="A274" s="9" t="s">
        <v>37</v>
      </c>
      <c r="B274" s="10">
        <v>120</v>
      </c>
      <c r="C274" s="10" t="s">
        <v>26</v>
      </c>
      <c r="D274" s="10">
        <v>3.6</v>
      </c>
      <c r="E274" s="10" t="s">
        <v>26</v>
      </c>
      <c r="F274" s="11">
        <v>1.01286765</v>
      </c>
      <c r="G274" s="11">
        <v>1.54559</v>
      </c>
      <c r="H274" s="10"/>
      <c r="I274" s="10"/>
      <c r="J274" s="10"/>
    </row>
    <row r="275" spans="1:10" ht="15.6" x14ac:dyDescent="0.3">
      <c r="A275" s="9" t="s">
        <v>37</v>
      </c>
      <c r="B275" s="10">
        <v>120</v>
      </c>
      <c r="C275" s="10" t="s">
        <v>14</v>
      </c>
      <c r="D275" s="10">
        <v>5</v>
      </c>
      <c r="E275" s="10" t="s">
        <v>14</v>
      </c>
      <c r="F275" s="11">
        <v>1.0118859</v>
      </c>
      <c r="G275" s="11">
        <v>1.543814</v>
      </c>
      <c r="H275" s="10"/>
      <c r="I275" s="10"/>
      <c r="J275" s="10"/>
    </row>
    <row r="276" spans="1:10" ht="15.6" x14ac:dyDescent="0.3">
      <c r="A276" s="9" t="s">
        <v>37</v>
      </c>
      <c r="B276" s="10">
        <v>120</v>
      </c>
      <c r="C276" s="10" t="s">
        <v>18</v>
      </c>
      <c r="D276" s="10">
        <v>10</v>
      </c>
      <c r="E276" s="10" t="s">
        <v>18</v>
      </c>
      <c r="F276" s="11">
        <v>1.0118859</v>
      </c>
      <c r="G276" s="11">
        <v>1.543814</v>
      </c>
      <c r="H276" s="10"/>
      <c r="I276" s="10"/>
      <c r="J276" s="10"/>
    </row>
    <row r="277" spans="1:10" ht="15.6" x14ac:dyDescent="0.3">
      <c r="A277" s="9" t="s">
        <v>37</v>
      </c>
      <c r="B277" s="10">
        <v>120</v>
      </c>
      <c r="C277" s="10" t="s">
        <v>20</v>
      </c>
      <c r="D277" s="10">
        <v>14.4</v>
      </c>
      <c r="E277" s="10" t="s">
        <v>20</v>
      </c>
      <c r="F277" s="11">
        <v>1.01222222</v>
      </c>
      <c r="G277" s="11">
        <v>1.5461119999999999</v>
      </c>
      <c r="H277" s="10"/>
      <c r="I277" s="10"/>
      <c r="J277" s="10"/>
    </row>
    <row r="278" spans="1:10" ht="15.6" x14ac:dyDescent="0.3">
      <c r="A278" s="9" t="s">
        <v>37</v>
      </c>
      <c r="B278" s="10">
        <v>120</v>
      </c>
      <c r="C278" s="10" t="s">
        <v>21</v>
      </c>
      <c r="D278" s="10">
        <v>19.2</v>
      </c>
      <c r="E278" s="10" t="s">
        <v>21</v>
      </c>
      <c r="F278" s="11">
        <v>1.0126493299999999</v>
      </c>
      <c r="G278" s="11">
        <v>1.5433790000000001</v>
      </c>
      <c r="H278" s="10"/>
      <c r="I278" s="10"/>
      <c r="J278" s="10"/>
    </row>
    <row r="279" spans="1:10" ht="15.6" x14ac:dyDescent="0.3">
      <c r="A279" s="9" t="s">
        <v>37</v>
      </c>
      <c r="B279" s="10">
        <v>120</v>
      </c>
      <c r="C279" s="10" t="s">
        <v>21</v>
      </c>
      <c r="D279" s="10">
        <v>19.2</v>
      </c>
      <c r="E279" s="10" t="s">
        <v>22</v>
      </c>
      <c r="F279" s="11">
        <v>1.01243455</v>
      </c>
      <c r="G279" s="11">
        <v>1.544681</v>
      </c>
      <c r="H279" s="10"/>
      <c r="I279" s="10"/>
      <c r="J279" s="10"/>
    </row>
    <row r="280" spans="1:10" ht="15.6" x14ac:dyDescent="0.3">
      <c r="A280" s="9" t="s">
        <v>37</v>
      </c>
      <c r="B280" s="10">
        <v>120</v>
      </c>
      <c r="C280" s="10" t="s">
        <v>21</v>
      </c>
      <c r="D280" s="10">
        <v>19.2</v>
      </c>
      <c r="E280" s="10" t="s">
        <v>22</v>
      </c>
      <c r="F280" s="11">
        <v>1.0126655200000001</v>
      </c>
      <c r="G280" s="11">
        <v>1.5449440000000001</v>
      </c>
      <c r="H280" s="10"/>
      <c r="I280" s="10"/>
      <c r="J280" s="10"/>
    </row>
    <row r="281" spans="1:10" ht="15.6" x14ac:dyDescent="0.3">
      <c r="A281" s="9" t="s">
        <v>37</v>
      </c>
      <c r="B281" s="10">
        <v>120</v>
      </c>
      <c r="C281" s="10" t="s">
        <v>38</v>
      </c>
      <c r="D281" s="10">
        <v>28.8</v>
      </c>
      <c r="E281" s="10" t="s">
        <v>39</v>
      </c>
      <c r="F281" s="11">
        <v>1.0126903599999999</v>
      </c>
      <c r="G281" s="11">
        <v>1.54433</v>
      </c>
      <c r="H281" s="10"/>
      <c r="I281" s="10"/>
      <c r="J281" s="10"/>
    </row>
    <row r="282" spans="1:10" ht="15.6" x14ac:dyDescent="0.3">
      <c r="A282" s="9" t="s">
        <v>37</v>
      </c>
      <c r="B282" s="10">
        <v>120</v>
      </c>
      <c r="C282" s="10" t="s">
        <v>22</v>
      </c>
      <c r="D282" s="10">
        <v>38.4</v>
      </c>
      <c r="E282" s="10" t="s">
        <v>40</v>
      </c>
      <c r="F282" s="11">
        <v>1.01270053</v>
      </c>
      <c r="G282" s="11">
        <v>1.545652</v>
      </c>
      <c r="H282" s="10"/>
      <c r="I282" s="10"/>
      <c r="J282" s="10"/>
    </row>
    <row r="283" spans="1:10" ht="15.6" x14ac:dyDescent="0.3">
      <c r="A283" s="9" t="s">
        <v>37</v>
      </c>
      <c r="B283" s="10">
        <v>120</v>
      </c>
      <c r="C283" s="10" t="s">
        <v>39</v>
      </c>
      <c r="D283" s="10">
        <v>57.6</v>
      </c>
      <c r="E283" s="10" t="s">
        <v>41</v>
      </c>
      <c r="F283" s="11">
        <v>1.0127931800000001</v>
      </c>
      <c r="G283" s="11">
        <v>1.5450349999999999</v>
      </c>
      <c r="H283" s="10"/>
      <c r="I283" s="10"/>
      <c r="J283" s="10"/>
    </row>
    <row r="284" spans="1:10" ht="15.6" x14ac:dyDescent="0.3">
      <c r="A284" s="9" t="s">
        <v>37</v>
      </c>
      <c r="B284" s="10">
        <v>120</v>
      </c>
      <c r="C284" s="10" t="s">
        <v>42</v>
      </c>
      <c r="D284" s="10">
        <v>28.8</v>
      </c>
      <c r="E284" s="10" t="s">
        <v>42</v>
      </c>
      <c r="F284" s="11">
        <v>1.01226598</v>
      </c>
      <c r="G284" s="11">
        <v>1.5462180000000001</v>
      </c>
      <c r="H284" s="10"/>
      <c r="I284" s="10"/>
      <c r="J284" s="10"/>
    </row>
    <row r="285" spans="1:10" ht="15.6" x14ac:dyDescent="0.3">
      <c r="A285" s="9" t="s">
        <v>37</v>
      </c>
      <c r="B285" s="10">
        <v>120</v>
      </c>
      <c r="C285" s="10" t="s">
        <v>43</v>
      </c>
      <c r="D285" s="10">
        <v>57.6</v>
      </c>
      <c r="E285" s="10" t="s">
        <v>43</v>
      </c>
      <c r="F285" s="11">
        <v>1.01206529</v>
      </c>
      <c r="G285" s="11">
        <v>1.5450349999999999</v>
      </c>
      <c r="H285" s="10"/>
      <c r="I285" s="10"/>
      <c r="J285" s="10"/>
    </row>
    <row r="286" spans="1:10" ht="15.6" x14ac:dyDescent="0.3">
      <c r="A286" s="9" t="s">
        <v>37</v>
      </c>
      <c r="B286" s="10">
        <v>130</v>
      </c>
      <c r="C286" s="10" t="s">
        <v>13</v>
      </c>
      <c r="D286" s="10">
        <v>2</v>
      </c>
      <c r="E286" s="10" t="s">
        <v>13</v>
      </c>
      <c r="F286" s="11">
        <v>1.0120788300000001</v>
      </c>
      <c r="G286" s="11">
        <v>1.5251509999999999</v>
      </c>
      <c r="H286" s="10"/>
      <c r="I286" s="10"/>
      <c r="J286" s="10"/>
    </row>
    <row r="287" spans="1:10" ht="15.6" x14ac:dyDescent="0.3">
      <c r="A287" s="9" t="s">
        <v>37</v>
      </c>
      <c r="B287" s="10">
        <v>130</v>
      </c>
      <c r="C287" s="10" t="s">
        <v>26</v>
      </c>
      <c r="D287" s="10">
        <v>3.6</v>
      </c>
      <c r="E287" s="10" t="s">
        <v>26</v>
      </c>
      <c r="F287" s="11">
        <v>1.0122090800000001</v>
      </c>
      <c r="G287" s="11">
        <v>1.5253620000000001</v>
      </c>
      <c r="H287" s="10"/>
      <c r="I287" s="10"/>
      <c r="J287" s="10"/>
    </row>
    <row r="288" spans="1:10" ht="15.6" x14ac:dyDescent="0.3">
      <c r="A288" s="9" t="s">
        <v>37</v>
      </c>
      <c r="B288" s="10">
        <v>130</v>
      </c>
      <c r="C288" s="10" t="s">
        <v>14</v>
      </c>
      <c r="D288" s="10">
        <v>5</v>
      </c>
      <c r="E288" s="10" t="s">
        <v>14</v>
      </c>
      <c r="F288" s="11">
        <v>1.0118421099999999</v>
      </c>
      <c r="G288" s="11">
        <v>1.5249999999999999</v>
      </c>
      <c r="H288" s="10"/>
      <c r="I288" s="10"/>
      <c r="J288" s="10"/>
    </row>
    <row r="289" spans="1:10" ht="15.6" x14ac:dyDescent="0.3">
      <c r="A289" s="9" t="s">
        <v>37</v>
      </c>
      <c r="B289" s="10">
        <v>130</v>
      </c>
      <c r="C289" s="10" t="s">
        <v>18</v>
      </c>
      <c r="D289" s="10">
        <v>10</v>
      </c>
      <c r="E289" s="10" t="s">
        <v>18</v>
      </c>
      <c r="F289" s="11">
        <v>1.0118421099999999</v>
      </c>
      <c r="G289" s="11">
        <v>1.5249999999999999</v>
      </c>
      <c r="H289" s="10"/>
      <c r="I289" s="10"/>
      <c r="J289" s="10"/>
    </row>
    <row r="290" spans="1:10" ht="15.6" x14ac:dyDescent="0.3">
      <c r="A290" s="9" t="s">
        <v>37</v>
      </c>
      <c r="B290" s="10">
        <v>130</v>
      </c>
      <c r="C290" s="10" t="s">
        <v>20</v>
      </c>
      <c r="D290" s="10">
        <v>14.4</v>
      </c>
      <c r="E290" s="10" t="s">
        <v>20</v>
      </c>
      <c r="F290" s="11">
        <v>1.0115313699999999</v>
      </c>
      <c r="G290" s="11">
        <v>1.526316</v>
      </c>
      <c r="H290" s="10"/>
      <c r="I290" s="10"/>
      <c r="J290" s="10"/>
    </row>
    <row r="291" spans="1:10" ht="15.6" x14ac:dyDescent="0.3">
      <c r="A291" s="9" t="s">
        <v>37</v>
      </c>
      <c r="B291" s="10">
        <v>130</v>
      </c>
      <c r="C291" s="10" t="s">
        <v>21</v>
      </c>
      <c r="D291" s="10">
        <v>19.2</v>
      </c>
      <c r="E291" s="10" t="s">
        <v>21</v>
      </c>
      <c r="F291" s="11">
        <v>1.0116686100000001</v>
      </c>
      <c r="G291" s="11">
        <v>1.526802</v>
      </c>
      <c r="H291" s="10"/>
      <c r="I291" s="10"/>
      <c r="J291" s="10"/>
    </row>
    <row r="292" spans="1:10" ht="15.6" x14ac:dyDescent="0.3">
      <c r="A292" s="9" t="s">
        <v>37</v>
      </c>
      <c r="B292" s="10">
        <v>130</v>
      </c>
      <c r="C292" s="10" t="s">
        <v>21</v>
      </c>
      <c r="D292" s="10">
        <v>19.2</v>
      </c>
      <c r="E292" s="10" t="s">
        <v>22</v>
      </c>
      <c r="F292" s="11">
        <v>1.01195652</v>
      </c>
      <c r="G292" s="11">
        <v>1.5249569999999999</v>
      </c>
      <c r="H292" s="10"/>
      <c r="I292" s="10"/>
      <c r="J292" s="10"/>
    </row>
    <row r="293" spans="1:10" ht="15.6" x14ac:dyDescent="0.3">
      <c r="A293" s="9" t="s">
        <v>37</v>
      </c>
      <c r="B293" s="10">
        <v>130</v>
      </c>
      <c r="C293" s="10" t="s">
        <v>21</v>
      </c>
      <c r="D293" s="10">
        <v>19.2</v>
      </c>
      <c r="E293" s="10" t="s">
        <v>22</v>
      </c>
      <c r="F293" s="11">
        <v>1.0119502899999999</v>
      </c>
      <c r="G293" s="11">
        <v>1.5272730000000001</v>
      </c>
      <c r="H293" s="10"/>
      <c r="I293" s="10"/>
      <c r="J293" s="10"/>
    </row>
    <row r="294" spans="1:10" ht="15.6" x14ac:dyDescent="0.3">
      <c r="A294" s="9" t="s">
        <v>37</v>
      </c>
      <c r="B294" s="10">
        <v>130</v>
      </c>
      <c r="C294" s="10" t="s">
        <v>38</v>
      </c>
      <c r="D294" s="10">
        <v>28.8</v>
      </c>
      <c r="E294" s="10" t="s">
        <v>39</v>
      </c>
      <c r="F294" s="11">
        <v>1.0115850399999999</v>
      </c>
      <c r="G294" s="11">
        <v>1.5275460000000001</v>
      </c>
      <c r="H294" s="10"/>
      <c r="I294" s="10"/>
      <c r="J294" s="10"/>
    </row>
    <row r="295" spans="1:10" ht="15.6" x14ac:dyDescent="0.3">
      <c r="A295" s="9" t="s">
        <v>37</v>
      </c>
      <c r="B295" s="10">
        <v>130</v>
      </c>
      <c r="C295" s="10" t="s">
        <v>22</v>
      </c>
      <c r="D295" s="10">
        <v>38.4</v>
      </c>
      <c r="E295" s="10" t="s">
        <v>40</v>
      </c>
      <c r="F295" s="11">
        <v>1.01220866</v>
      </c>
      <c r="G295" s="11">
        <v>1.5237259999999999</v>
      </c>
      <c r="H295" s="10"/>
      <c r="I295" s="10"/>
      <c r="J295" s="10"/>
    </row>
    <row r="296" spans="1:10" ht="15.6" x14ac:dyDescent="0.3">
      <c r="A296" s="9" t="s">
        <v>37</v>
      </c>
      <c r="B296" s="10">
        <v>130</v>
      </c>
      <c r="C296" s="10" t="s">
        <v>39</v>
      </c>
      <c r="D296" s="10">
        <v>57.6</v>
      </c>
      <c r="E296" s="10" t="s">
        <v>41</v>
      </c>
      <c r="F296" s="11">
        <v>1.0117994100000001</v>
      </c>
      <c r="G296" s="11">
        <v>1.5271030000000001</v>
      </c>
      <c r="H296" s="10"/>
      <c r="I296" s="10"/>
      <c r="J296" s="10"/>
    </row>
    <row r="297" spans="1:10" ht="15.6" x14ac:dyDescent="0.3">
      <c r="A297" s="9" t="s">
        <v>37</v>
      </c>
      <c r="B297" s="10">
        <v>130</v>
      </c>
      <c r="C297" s="10" t="s">
        <v>42</v>
      </c>
      <c r="D297" s="10">
        <v>28.8</v>
      </c>
      <c r="E297" s="10" t="s">
        <v>42</v>
      </c>
      <c r="F297" s="11">
        <v>1.01179625</v>
      </c>
      <c r="G297" s="11">
        <v>1.524618</v>
      </c>
      <c r="H297" s="10"/>
      <c r="I297" s="10"/>
      <c r="J297" s="10"/>
    </row>
    <row r="298" spans="1:10" ht="15.6" x14ac:dyDescent="0.3">
      <c r="A298" s="9" t="s">
        <v>37</v>
      </c>
      <c r="B298" s="10">
        <v>130</v>
      </c>
      <c r="C298" s="10" t="s">
        <v>43</v>
      </c>
      <c r="D298" s="10">
        <v>57.6</v>
      </c>
      <c r="E298" s="10" t="s">
        <v>43</v>
      </c>
      <c r="F298" s="11">
        <v>1.0117855</v>
      </c>
      <c r="G298" s="11">
        <v>1.524254</v>
      </c>
      <c r="H298" s="10"/>
      <c r="I298" s="10"/>
      <c r="J298" s="10"/>
    </row>
    <row r="299" spans="1:10" ht="15.6" x14ac:dyDescent="0.3">
      <c r="A299" s="9" t="s">
        <v>37</v>
      </c>
      <c r="B299" s="10">
        <v>140</v>
      </c>
      <c r="C299" s="10" t="s">
        <v>13</v>
      </c>
      <c r="D299" s="10">
        <v>2</v>
      </c>
      <c r="E299" s="10" t="s">
        <v>13</v>
      </c>
      <c r="F299" s="11">
        <v>1.0107816700000001</v>
      </c>
      <c r="G299" s="11">
        <v>1.5133779999999999</v>
      </c>
      <c r="H299" s="10"/>
      <c r="I299" s="10"/>
      <c r="J299" s="10"/>
    </row>
    <row r="300" spans="1:10" ht="15.6" x14ac:dyDescent="0.3">
      <c r="A300" s="9" t="s">
        <v>37</v>
      </c>
      <c r="B300" s="10">
        <v>140</v>
      </c>
      <c r="C300" s="10" t="s">
        <v>26</v>
      </c>
      <c r="D300" s="10">
        <v>3.6</v>
      </c>
      <c r="E300" s="10" t="s">
        <v>26</v>
      </c>
      <c r="F300" s="11">
        <v>1.0106727</v>
      </c>
      <c r="G300" s="11">
        <v>1.5125379999999999</v>
      </c>
      <c r="H300" s="10"/>
      <c r="I300" s="10"/>
      <c r="J300" s="10"/>
    </row>
    <row r="301" spans="1:10" ht="15.6" x14ac:dyDescent="0.3">
      <c r="A301" s="9" t="s">
        <v>37</v>
      </c>
      <c r="B301" s="10">
        <v>140</v>
      </c>
      <c r="C301" s="10" t="s">
        <v>14</v>
      </c>
      <c r="D301" s="10">
        <v>5</v>
      </c>
      <c r="E301" s="10" t="s">
        <v>14</v>
      </c>
      <c r="F301" s="11">
        <v>1.01059677</v>
      </c>
      <c r="G301" s="11">
        <v>1.512111</v>
      </c>
      <c r="H301" s="10"/>
      <c r="I301" s="10"/>
      <c r="J301" s="10"/>
    </row>
    <row r="302" spans="1:10" ht="15.6" x14ac:dyDescent="0.3">
      <c r="A302" s="9" t="s">
        <v>37</v>
      </c>
      <c r="B302" s="10">
        <v>140</v>
      </c>
      <c r="C302" s="10" t="s">
        <v>18</v>
      </c>
      <c r="D302" s="10">
        <v>10</v>
      </c>
      <c r="E302" s="10" t="s">
        <v>18</v>
      </c>
      <c r="F302" s="11">
        <v>1.01059677</v>
      </c>
      <c r="G302" s="11">
        <v>1.512111</v>
      </c>
      <c r="H302" s="10"/>
      <c r="I302" s="10"/>
      <c r="J302" s="10"/>
    </row>
    <row r="303" spans="1:10" ht="15.6" x14ac:dyDescent="0.3">
      <c r="A303" s="9" t="s">
        <v>37</v>
      </c>
      <c r="B303" s="10">
        <v>140</v>
      </c>
      <c r="C303" s="10" t="s">
        <v>20</v>
      </c>
      <c r="D303" s="10">
        <v>14.4</v>
      </c>
      <c r="E303" s="10" t="s">
        <v>20</v>
      </c>
      <c r="F303" s="11">
        <v>1.01055925</v>
      </c>
      <c r="G303" s="11">
        <v>1.5115149999999999</v>
      </c>
      <c r="H303" s="10"/>
      <c r="I303" s="10"/>
      <c r="J303" s="10"/>
    </row>
    <row r="304" spans="1:10" ht="15.6" x14ac:dyDescent="0.3">
      <c r="A304" s="9" t="s">
        <v>37</v>
      </c>
      <c r="B304" s="10">
        <v>140</v>
      </c>
      <c r="C304" s="10" t="s">
        <v>21</v>
      </c>
      <c r="D304" s="10">
        <v>19.2</v>
      </c>
      <c r="E304" s="10" t="s">
        <v>21</v>
      </c>
      <c r="F304" s="11">
        <v>1.0103857599999999</v>
      </c>
      <c r="G304" s="11">
        <v>1.51227</v>
      </c>
      <c r="H304" s="10"/>
      <c r="I304" s="10"/>
      <c r="J304" s="10"/>
    </row>
    <row r="305" spans="1:10" ht="15.6" x14ac:dyDescent="0.3">
      <c r="A305" s="9" t="s">
        <v>37</v>
      </c>
      <c r="B305" s="10">
        <v>140</v>
      </c>
      <c r="C305" s="10" t="s">
        <v>21</v>
      </c>
      <c r="D305" s="10">
        <v>19.2</v>
      </c>
      <c r="E305" s="10" t="s">
        <v>22</v>
      </c>
      <c r="F305" s="11">
        <v>1.01105991</v>
      </c>
      <c r="G305" s="11">
        <v>1.5114289999999999</v>
      </c>
      <c r="H305" s="10"/>
      <c r="I305" s="10"/>
      <c r="J305" s="10"/>
    </row>
    <row r="306" spans="1:10" ht="15.6" x14ac:dyDescent="0.3">
      <c r="A306" s="9" t="s">
        <v>37</v>
      </c>
      <c r="B306" s="10">
        <v>140</v>
      </c>
      <c r="C306" s="10" t="s">
        <v>21</v>
      </c>
      <c r="D306" s="10">
        <v>19.2</v>
      </c>
      <c r="E306" s="10" t="s">
        <v>22</v>
      </c>
      <c r="F306" s="11">
        <v>1.01053485</v>
      </c>
      <c r="G306" s="11">
        <v>1.511307</v>
      </c>
      <c r="H306" s="10"/>
      <c r="I306" s="10"/>
      <c r="J306" s="10"/>
    </row>
    <row r="307" spans="1:10" ht="15.6" x14ac:dyDescent="0.3">
      <c r="A307" s="9" t="s">
        <v>37</v>
      </c>
      <c r="B307" s="10">
        <v>140</v>
      </c>
      <c r="C307" s="10" t="s">
        <v>38</v>
      </c>
      <c r="D307" s="10">
        <v>28.8</v>
      </c>
      <c r="E307" s="10" t="s">
        <v>39</v>
      </c>
      <c r="F307" s="11">
        <v>1.0107142899999999</v>
      </c>
      <c r="G307" s="11">
        <v>1.510373</v>
      </c>
      <c r="H307" s="10"/>
      <c r="I307" s="10"/>
      <c r="J307" s="10"/>
    </row>
    <row r="308" spans="1:10" ht="15.6" x14ac:dyDescent="0.3">
      <c r="A308" s="9" t="s">
        <v>37</v>
      </c>
      <c r="B308" s="10">
        <v>140</v>
      </c>
      <c r="C308" s="10" t="s">
        <v>22</v>
      </c>
      <c r="D308" s="10">
        <v>38.4</v>
      </c>
      <c r="E308" s="10" t="s">
        <v>40</v>
      </c>
      <c r="F308" s="11">
        <v>1.01081844</v>
      </c>
      <c r="G308" s="11">
        <v>1.5102040000000001</v>
      </c>
      <c r="H308" s="10"/>
      <c r="I308" s="10"/>
      <c r="J308" s="10"/>
    </row>
    <row r="309" spans="1:10" ht="15.6" x14ac:dyDescent="0.3">
      <c r="A309" s="9" t="s">
        <v>37</v>
      </c>
      <c r="B309" s="10">
        <v>140</v>
      </c>
      <c r="C309" s="10" t="s">
        <v>39</v>
      </c>
      <c r="D309" s="10">
        <v>57.6</v>
      </c>
      <c r="E309" s="10" t="s">
        <v>41</v>
      </c>
      <c r="F309" s="11">
        <v>1.0105</v>
      </c>
      <c r="G309" s="11">
        <v>1.511628</v>
      </c>
      <c r="H309" s="10"/>
      <c r="I309" s="10"/>
      <c r="J309" s="10"/>
    </row>
    <row r="310" spans="1:10" ht="15.6" x14ac:dyDescent="0.3">
      <c r="A310" s="9" t="s">
        <v>37</v>
      </c>
      <c r="B310" s="10">
        <v>140</v>
      </c>
      <c r="C310" s="10" t="s">
        <v>42</v>
      </c>
      <c r="D310" s="10">
        <v>28.8</v>
      </c>
      <c r="E310" s="10" t="s">
        <v>42</v>
      </c>
      <c r="F310" s="11">
        <v>1.01090909</v>
      </c>
      <c r="G310" s="11">
        <v>1.5112680000000001</v>
      </c>
      <c r="H310" s="10"/>
      <c r="I310" s="10"/>
      <c r="J310" s="10"/>
    </row>
    <row r="311" spans="1:10" ht="15.6" x14ac:dyDescent="0.3">
      <c r="A311" s="9" t="s">
        <v>37</v>
      </c>
      <c r="B311" s="10">
        <v>140</v>
      </c>
      <c r="C311" s="10" t="s">
        <v>43</v>
      </c>
      <c r="D311" s="10">
        <v>57.6</v>
      </c>
      <c r="E311" s="10" t="s">
        <v>43</v>
      </c>
      <c r="F311" s="11">
        <v>1.0109945</v>
      </c>
      <c r="G311" s="11">
        <v>1.5108360000000001</v>
      </c>
      <c r="H311" s="10"/>
      <c r="I311" s="10"/>
      <c r="J311" s="10"/>
    </row>
    <row r="312" spans="1:10" ht="15.6" x14ac:dyDescent="0.3">
      <c r="A312" s="9" t="s">
        <v>37</v>
      </c>
      <c r="B312" s="10">
        <v>150</v>
      </c>
      <c r="C312" s="10" t="s">
        <v>13</v>
      </c>
      <c r="D312" s="10">
        <v>2</v>
      </c>
      <c r="E312" s="10" t="s">
        <v>13</v>
      </c>
      <c r="F312" s="11">
        <v>1.0111679899999999</v>
      </c>
      <c r="G312" s="11">
        <v>1.500707</v>
      </c>
      <c r="H312" s="10"/>
      <c r="I312" s="10"/>
      <c r="J312" s="10"/>
    </row>
    <row r="313" spans="1:10" ht="15.6" x14ac:dyDescent="0.3">
      <c r="A313" s="9" t="s">
        <v>37</v>
      </c>
      <c r="B313" s="10">
        <v>150</v>
      </c>
      <c r="C313" s="10" t="s">
        <v>26</v>
      </c>
      <c r="D313" s="10">
        <v>3.6</v>
      </c>
      <c r="E313" s="10" t="s">
        <v>26</v>
      </c>
      <c r="F313" s="11">
        <v>1.01116695</v>
      </c>
      <c r="G313" s="11">
        <v>1.499576</v>
      </c>
      <c r="H313" s="10"/>
      <c r="I313" s="10"/>
      <c r="J313" s="10"/>
    </row>
    <row r="314" spans="1:10" ht="15.6" x14ac:dyDescent="0.3">
      <c r="A314" s="9" t="s">
        <v>37</v>
      </c>
      <c r="B314" s="10">
        <v>150</v>
      </c>
      <c r="C314" s="10" t="s">
        <v>14</v>
      </c>
      <c r="D314" s="10">
        <v>5</v>
      </c>
      <c r="E314" s="10" t="s">
        <v>14</v>
      </c>
      <c r="F314" s="11">
        <v>1.0110736600000001</v>
      </c>
      <c r="G314" s="11">
        <v>1.500732</v>
      </c>
      <c r="H314" s="10"/>
      <c r="I314" s="10"/>
      <c r="J314" s="10"/>
    </row>
    <row r="315" spans="1:10" ht="15.6" x14ac:dyDescent="0.3">
      <c r="A315" s="9" t="s">
        <v>37</v>
      </c>
      <c r="B315" s="10">
        <v>150</v>
      </c>
      <c r="C315" s="10" t="s">
        <v>18</v>
      </c>
      <c r="D315" s="10">
        <v>10</v>
      </c>
      <c r="E315" s="10" t="s">
        <v>18</v>
      </c>
      <c r="F315" s="11">
        <v>1.0110736600000001</v>
      </c>
      <c r="G315" s="11">
        <v>1.500732</v>
      </c>
      <c r="H315" s="10"/>
      <c r="I315" s="10"/>
      <c r="J315" s="10"/>
    </row>
    <row r="316" spans="1:10" ht="15.6" x14ac:dyDescent="0.3">
      <c r="A316" s="9" t="s">
        <v>37</v>
      </c>
      <c r="B316" s="10">
        <v>150</v>
      </c>
      <c r="C316" s="10" t="s">
        <v>20</v>
      </c>
      <c r="D316" s="10">
        <v>14.4</v>
      </c>
      <c r="E316" s="10" t="s">
        <v>20</v>
      </c>
      <c r="F316" s="11">
        <v>1.01114112</v>
      </c>
      <c r="G316" s="11">
        <v>1.499487</v>
      </c>
      <c r="H316" s="10"/>
      <c r="I316" s="10"/>
      <c r="J316" s="10"/>
    </row>
    <row r="317" spans="1:10" ht="15.6" x14ac:dyDescent="0.3">
      <c r="A317" s="9" t="s">
        <v>37</v>
      </c>
      <c r="B317" s="10">
        <v>150</v>
      </c>
      <c r="C317" s="10" t="s">
        <v>21</v>
      </c>
      <c r="D317" s="10">
        <v>19.2</v>
      </c>
      <c r="E317" s="10" t="s">
        <v>21</v>
      </c>
      <c r="F317" s="11">
        <v>1.01110162</v>
      </c>
      <c r="G317" s="11">
        <v>1.4993510000000001</v>
      </c>
      <c r="H317" s="10"/>
      <c r="I317" s="10"/>
      <c r="J317" s="10"/>
    </row>
    <row r="318" spans="1:10" ht="15.6" x14ac:dyDescent="0.3">
      <c r="A318" s="9" t="s">
        <v>37</v>
      </c>
      <c r="B318" s="10">
        <v>150</v>
      </c>
      <c r="C318" s="10" t="s">
        <v>21</v>
      </c>
      <c r="D318" s="10">
        <v>19.2</v>
      </c>
      <c r="E318" s="10" t="s">
        <v>22</v>
      </c>
      <c r="F318" s="11">
        <v>1.0107355899999999</v>
      </c>
      <c r="G318" s="11">
        <v>1.5042420000000001</v>
      </c>
      <c r="H318" s="10"/>
      <c r="I318" s="10"/>
      <c r="J318" s="10"/>
    </row>
    <row r="319" spans="1:10" ht="15.6" x14ac:dyDescent="0.3">
      <c r="A319" s="9" t="s">
        <v>37</v>
      </c>
      <c r="B319" s="10">
        <v>150</v>
      </c>
      <c r="C319" s="10" t="s">
        <v>21</v>
      </c>
      <c r="D319" s="10">
        <v>19.2</v>
      </c>
      <c r="E319" s="10" t="s">
        <v>22</v>
      </c>
      <c r="F319" s="11">
        <v>1.0111927199999999</v>
      </c>
      <c r="G319" s="11">
        <v>1.4994689999999999</v>
      </c>
      <c r="H319" s="10"/>
      <c r="I319" s="10"/>
      <c r="J319" s="10"/>
    </row>
    <row r="320" spans="1:10" ht="15.6" x14ac:dyDescent="0.3">
      <c r="A320" s="9" t="s">
        <v>37</v>
      </c>
      <c r="B320" s="10">
        <v>150</v>
      </c>
      <c r="C320" s="10" t="s">
        <v>38</v>
      </c>
      <c r="D320" s="10">
        <v>28.8</v>
      </c>
      <c r="E320" s="10" t="s">
        <v>39</v>
      </c>
      <c r="F320" s="11">
        <v>1.0111753400000001</v>
      </c>
      <c r="G320" s="11">
        <v>1.5</v>
      </c>
      <c r="H320" s="10"/>
      <c r="I320" s="10"/>
      <c r="J320" s="10"/>
    </row>
    <row r="321" spans="1:10" ht="15.6" x14ac:dyDescent="0.3">
      <c r="A321" s="9" t="s">
        <v>37</v>
      </c>
      <c r="B321" s="10">
        <v>150</v>
      </c>
      <c r="C321" s="10" t="s">
        <v>22</v>
      </c>
      <c r="D321" s="10">
        <v>38.4</v>
      </c>
      <c r="E321" s="10" t="s">
        <v>40</v>
      </c>
      <c r="F321" s="11">
        <v>1.01096224</v>
      </c>
      <c r="G321" s="11">
        <v>1.4981500000000001</v>
      </c>
      <c r="H321" s="10"/>
      <c r="I321" s="10"/>
      <c r="J321" s="10"/>
    </row>
    <row r="322" spans="1:10" ht="15.6" x14ac:dyDescent="0.3">
      <c r="A322" s="9" t="s">
        <v>37</v>
      </c>
      <c r="B322" s="10">
        <v>150</v>
      </c>
      <c r="C322" s="10" t="s">
        <v>39</v>
      </c>
      <c r="D322" s="10">
        <v>57.6</v>
      </c>
      <c r="E322" s="10" t="s">
        <v>41</v>
      </c>
      <c r="F322" s="11">
        <v>1.0107898099999999</v>
      </c>
      <c r="G322" s="11">
        <v>1.3259860000000001</v>
      </c>
      <c r="H322" s="10"/>
      <c r="I322" s="10"/>
      <c r="J322" s="10"/>
    </row>
    <row r="323" spans="1:10" ht="15.6" x14ac:dyDescent="0.3">
      <c r="A323" s="9" t="s">
        <v>37</v>
      </c>
      <c r="B323" s="10">
        <v>150</v>
      </c>
      <c r="C323" s="10" t="s">
        <v>42</v>
      </c>
      <c r="D323" s="10">
        <v>28.8</v>
      </c>
      <c r="E323" s="10" t="s">
        <v>42</v>
      </c>
      <c r="F323" s="11">
        <v>1.0109847000000001</v>
      </c>
      <c r="G323" s="11">
        <v>1.499404</v>
      </c>
      <c r="H323" s="10"/>
      <c r="I323" s="10"/>
      <c r="J323" s="10"/>
    </row>
    <row r="324" spans="1:10" ht="15.6" x14ac:dyDescent="0.3">
      <c r="A324" s="9" t="s">
        <v>37</v>
      </c>
      <c r="B324" s="10">
        <v>150</v>
      </c>
      <c r="C324" s="10" t="s">
        <v>43</v>
      </c>
      <c r="D324" s="10">
        <v>57.6</v>
      </c>
      <c r="E324" s="10" t="s">
        <v>43</v>
      </c>
      <c r="F324" s="11">
        <v>1.01078051</v>
      </c>
      <c r="G324" s="11">
        <v>1.4993449999999999</v>
      </c>
      <c r="H324" s="10"/>
      <c r="I324" s="10"/>
      <c r="J324" s="10"/>
    </row>
    <row r="325" spans="1:10" ht="15.6" x14ac:dyDescent="0.3">
      <c r="A325" s="9" t="s">
        <v>37</v>
      </c>
      <c r="B325" s="10" t="s">
        <v>44</v>
      </c>
      <c r="C325" s="10" t="s">
        <v>13</v>
      </c>
      <c r="D325" s="10">
        <v>2</v>
      </c>
      <c r="E325" s="10" t="s">
        <v>13</v>
      </c>
      <c r="F325" s="11">
        <v>0.97468354000000001</v>
      </c>
      <c r="G325" s="11">
        <v>1.392857</v>
      </c>
      <c r="H325" s="10"/>
      <c r="I325" s="10"/>
      <c r="J325" s="10"/>
    </row>
    <row r="326" spans="1:10" ht="15.6" x14ac:dyDescent="0.3">
      <c r="A326" s="9" t="s">
        <v>37</v>
      </c>
      <c r="B326" s="10" t="s">
        <v>44</v>
      </c>
      <c r="C326" s="10" t="s">
        <v>26</v>
      </c>
      <c r="D326" s="10">
        <v>3.6</v>
      </c>
      <c r="E326" s="10" t="s">
        <v>26</v>
      </c>
      <c r="F326" s="11">
        <v>0.98473281999999995</v>
      </c>
      <c r="G326" s="11">
        <v>1.404255</v>
      </c>
      <c r="H326" s="10"/>
      <c r="I326" s="10"/>
      <c r="J326" s="10"/>
    </row>
    <row r="327" spans="1:10" ht="15.6" x14ac:dyDescent="0.3">
      <c r="A327" s="9" t="s">
        <v>37</v>
      </c>
      <c r="B327" s="10" t="s">
        <v>44</v>
      </c>
      <c r="C327" s="10" t="s">
        <v>14</v>
      </c>
      <c r="D327" s="10">
        <v>5</v>
      </c>
      <c r="E327" s="10" t="s">
        <v>14</v>
      </c>
      <c r="F327" s="11">
        <v>0.98684210999999999</v>
      </c>
      <c r="G327" s="11">
        <v>1.4074070000000001</v>
      </c>
      <c r="H327" s="10"/>
      <c r="I327" s="10"/>
      <c r="J327" s="10"/>
    </row>
    <row r="328" spans="1:10" ht="15.6" x14ac:dyDescent="0.3">
      <c r="A328" s="9" t="s">
        <v>37</v>
      </c>
      <c r="B328" s="10" t="s">
        <v>44</v>
      </c>
      <c r="C328" s="10" t="s">
        <v>18</v>
      </c>
      <c r="D328" s="10">
        <v>10</v>
      </c>
      <c r="E328" s="10" t="s">
        <v>18</v>
      </c>
      <c r="F328" s="11">
        <v>0.98684210999999999</v>
      </c>
      <c r="G328" s="11">
        <v>1.4074070000000001</v>
      </c>
      <c r="H328" s="10"/>
      <c r="I328" s="10"/>
      <c r="J328" s="10"/>
    </row>
    <row r="329" spans="1:10" ht="15.6" x14ac:dyDescent="0.3">
      <c r="A329" s="9" t="s">
        <v>37</v>
      </c>
      <c r="B329" s="10" t="s">
        <v>44</v>
      </c>
      <c r="C329" s="10" t="s">
        <v>20</v>
      </c>
      <c r="D329" s="10">
        <v>14.4</v>
      </c>
      <c r="E329" s="10" t="s">
        <v>20</v>
      </c>
      <c r="F329" s="11">
        <v>0.99074074000000001</v>
      </c>
      <c r="G329" s="11">
        <v>1.4210529999999999</v>
      </c>
      <c r="H329" s="10"/>
      <c r="I329" s="10"/>
      <c r="J329" s="10"/>
    </row>
    <row r="330" spans="1:10" ht="15.6" x14ac:dyDescent="0.3">
      <c r="A330" s="9" t="s">
        <v>37</v>
      </c>
      <c r="B330" s="10" t="s">
        <v>44</v>
      </c>
      <c r="C330" s="10" t="s">
        <v>21</v>
      </c>
      <c r="D330" s="10">
        <v>19.2</v>
      </c>
      <c r="E330" s="10" t="s">
        <v>21</v>
      </c>
      <c r="F330" s="11">
        <v>0.97674419000000001</v>
      </c>
      <c r="G330" s="11">
        <v>1.433333</v>
      </c>
      <c r="H330" s="10"/>
      <c r="I330" s="10"/>
      <c r="J330" s="10"/>
    </row>
    <row r="331" spans="1:10" ht="15.6" x14ac:dyDescent="0.3">
      <c r="A331" s="9" t="s">
        <v>37</v>
      </c>
      <c r="B331" s="10" t="s">
        <v>44</v>
      </c>
      <c r="C331" s="10" t="s">
        <v>21</v>
      </c>
      <c r="D331" s="10">
        <v>19.2</v>
      </c>
      <c r="E331" s="10" t="s">
        <v>22</v>
      </c>
      <c r="F331" s="11">
        <v>0.97826086999999995</v>
      </c>
      <c r="G331" s="11">
        <v>1.393939</v>
      </c>
      <c r="H331" s="10"/>
      <c r="I331" s="10"/>
      <c r="J331" s="10"/>
    </row>
    <row r="332" spans="1:10" ht="15.6" x14ac:dyDescent="0.3">
      <c r="A332" s="9" t="s">
        <v>37</v>
      </c>
      <c r="B332" s="10" t="s">
        <v>44</v>
      </c>
      <c r="C332" s="10" t="s">
        <v>21</v>
      </c>
      <c r="D332" s="10">
        <v>19.2</v>
      </c>
      <c r="E332" s="10" t="s">
        <v>22</v>
      </c>
      <c r="F332" s="11">
        <v>0.98095237999999996</v>
      </c>
      <c r="G332" s="11">
        <v>1.405405</v>
      </c>
      <c r="H332" s="10"/>
      <c r="I332" s="10"/>
      <c r="J332" s="10"/>
    </row>
    <row r="333" spans="1:10" ht="15.6" x14ac:dyDescent="0.3">
      <c r="A333" s="9" t="s">
        <v>37</v>
      </c>
      <c r="B333" s="10" t="s">
        <v>44</v>
      </c>
      <c r="C333" s="10" t="s">
        <v>38</v>
      </c>
      <c r="D333" s="10">
        <v>28.8</v>
      </c>
      <c r="E333" s="10" t="s">
        <v>39</v>
      </c>
      <c r="F333" s="11">
        <v>0.97894736999999998</v>
      </c>
      <c r="G333" s="11">
        <v>1.3823529999999999</v>
      </c>
      <c r="H333" s="10"/>
      <c r="I333" s="10"/>
      <c r="J333" s="10"/>
    </row>
    <row r="334" spans="1:10" ht="15.6" x14ac:dyDescent="0.3">
      <c r="A334" s="9" t="s">
        <v>37</v>
      </c>
      <c r="B334" s="10" t="s">
        <v>44</v>
      </c>
      <c r="C334" s="10" t="s">
        <v>22</v>
      </c>
      <c r="D334" s="10">
        <v>38.4</v>
      </c>
      <c r="E334" s="10" t="s">
        <v>40</v>
      </c>
      <c r="F334" s="11">
        <v>0.98888889000000002</v>
      </c>
      <c r="G334" s="11">
        <v>1.40625</v>
      </c>
      <c r="H334" s="10"/>
      <c r="I334" s="10"/>
      <c r="J334" s="10"/>
    </row>
    <row r="335" spans="1:10" ht="15.6" x14ac:dyDescent="0.3">
      <c r="A335" s="9" t="s">
        <v>37</v>
      </c>
      <c r="B335" s="10" t="s">
        <v>44</v>
      </c>
      <c r="C335" s="10" t="s">
        <v>39</v>
      </c>
      <c r="D335" s="10">
        <v>57.6</v>
      </c>
      <c r="E335" s="10" t="s">
        <v>41</v>
      </c>
      <c r="F335" s="11">
        <v>0.97647059000000003</v>
      </c>
      <c r="G335" s="11">
        <v>1.4</v>
      </c>
      <c r="H335" s="10"/>
      <c r="I335" s="10"/>
      <c r="J335" s="10"/>
    </row>
    <row r="336" spans="1:10" ht="15.6" x14ac:dyDescent="0.3">
      <c r="A336" s="9" t="s">
        <v>37</v>
      </c>
      <c r="B336" s="10" t="s">
        <v>44</v>
      </c>
      <c r="C336" s="10" t="s">
        <v>42</v>
      </c>
      <c r="D336" s="10">
        <v>28.8</v>
      </c>
      <c r="E336" s="10" t="s">
        <v>42</v>
      </c>
      <c r="F336" s="11">
        <v>0.98924730999999999</v>
      </c>
      <c r="G336" s="11">
        <v>1.424242</v>
      </c>
      <c r="H336" s="10"/>
      <c r="I336" s="10"/>
      <c r="J336" s="10"/>
    </row>
    <row r="337" spans="1:10" ht="15.6" x14ac:dyDescent="0.3">
      <c r="A337" s="9" t="s">
        <v>37</v>
      </c>
      <c r="B337" s="10" t="s">
        <v>44</v>
      </c>
      <c r="C337" s="10" t="s">
        <v>43</v>
      </c>
      <c r="D337" s="10">
        <v>57.6</v>
      </c>
      <c r="E337" s="10" t="s">
        <v>43</v>
      </c>
      <c r="F337" s="11">
        <v>0.97647059000000003</v>
      </c>
      <c r="G337" s="11">
        <v>1.4</v>
      </c>
      <c r="H337" s="10"/>
      <c r="I337" s="10"/>
      <c r="J337" s="10"/>
    </row>
    <row r="338" spans="1:10" ht="15.6" x14ac:dyDescent="0.3">
      <c r="A338" s="9" t="s">
        <v>37</v>
      </c>
      <c r="B338" s="10" t="s">
        <v>45</v>
      </c>
      <c r="C338" s="10" t="s">
        <v>13</v>
      </c>
      <c r="D338" s="10">
        <v>2</v>
      </c>
      <c r="E338" s="10" t="s">
        <v>13</v>
      </c>
      <c r="F338" s="11">
        <v>1.0040080199999999</v>
      </c>
      <c r="G338" s="11">
        <v>1.377551</v>
      </c>
      <c r="H338" s="10"/>
      <c r="I338" s="10"/>
      <c r="J338" s="10"/>
    </row>
    <row r="339" spans="1:10" ht="15.6" x14ac:dyDescent="0.3">
      <c r="A339" s="9" t="s">
        <v>37</v>
      </c>
      <c r="B339" s="10" t="s">
        <v>45</v>
      </c>
      <c r="C339" s="10" t="s">
        <v>26</v>
      </c>
      <c r="D339" s="10">
        <v>3.6</v>
      </c>
      <c r="E339" s="10" t="s">
        <v>26</v>
      </c>
      <c r="F339" s="11">
        <v>1.0048134799999999</v>
      </c>
      <c r="G339" s="11">
        <v>1.388379</v>
      </c>
      <c r="H339" s="10"/>
      <c r="I339" s="10"/>
      <c r="J339" s="10"/>
    </row>
    <row r="340" spans="1:10" ht="15.6" x14ac:dyDescent="0.3">
      <c r="A340" s="9" t="s">
        <v>37</v>
      </c>
      <c r="B340" s="10" t="s">
        <v>45</v>
      </c>
      <c r="C340" s="10" t="s">
        <v>14</v>
      </c>
      <c r="D340" s="10">
        <v>5</v>
      </c>
      <c r="E340" s="10" t="s">
        <v>14</v>
      </c>
      <c r="F340" s="11">
        <v>1.0041493800000001</v>
      </c>
      <c r="G340" s="11">
        <v>1.380952</v>
      </c>
      <c r="H340" s="10"/>
      <c r="I340" s="10"/>
      <c r="J340" s="10"/>
    </row>
    <row r="341" spans="1:10" ht="15.6" x14ac:dyDescent="0.3">
      <c r="A341" s="9" t="s">
        <v>37</v>
      </c>
      <c r="B341" s="10" t="s">
        <v>45</v>
      </c>
      <c r="C341" s="10" t="s">
        <v>18</v>
      </c>
      <c r="D341" s="10">
        <v>10</v>
      </c>
      <c r="E341" s="10" t="s">
        <v>18</v>
      </c>
      <c r="F341" s="11">
        <v>1.0041493800000001</v>
      </c>
      <c r="G341" s="11">
        <v>1.380952</v>
      </c>
      <c r="H341" s="10"/>
      <c r="I341" s="10"/>
      <c r="J341" s="10"/>
    </row>
    <row r="342" spans="1:10" ht="15.6" x14ac:dyDescent="0.3">
      <c r="A342" s="9" t="s">
        <v>37</v>
      </c>
      <c r="B342" s="10" t="s">
        <v>45</v>
      </c>
      <c r="C342" s="10" t="s">
        <v>20</v>
      </c>
      <c r="D342" s="10">
        <v>14.4</v>
      </c>
      <c r="E342" s="10" t="s">
        <v>20</v>
      </c>
      <c r="F342" s="11">
        <v>1.0043668100000001</v>
      </c>
      <c r="G342" s="11">
        <v>1.381481</v>
      </c>
      <c r="H342" s="10"/>
      <c r="I342" s="10"/>
      <c r="J342" s="10"/>
    </row>
    <row r="343" spans="1:10" ht="15.6" x14ac:dyDescent="0.3">
      <c r="A343" s="9" t="s">
        <v>37</v>
      </c>
      <c r="B343" s="10" t="s">
        <v>45</v>
      </c>
      <c r="C343" s="10" t="s">
        <v>21</v>
      </c>
      <c r="D343" s="10">
        <v>19.2</v>
      </c>
      <c r="E343" s="10" t="s">
        <v>21</v>
      </c>
      <c r="F343" s="11">
        <v>1.00552486</v>
      </c>
      <c r="G343" s="11">
        <v>1.3785050000000001</v>
      </c>
      <c r="H343" s="10"/>
      <c r="I343" s="10"/>
      <c r="J343" s="10"/>
    </row>
    <row r="344" spans="1:10" ht="15.6" x14ac:dyDescent="0.3">
      <c r="A344" s="9" t="s">
        <v>37</v>
      </c>
      <c r="B344" s="10" t="s">
        <v>45</v>
      </c>
      <c r="C344" s="10" t="s">
        <v>21</v>
      </c>
      <c r="D344" s="10">
        <v>19.2</v>
      </c>
      <c r="E344" s="10" t="s">
        <v>22</v>
      </c>
      <c r="F344" s="11">
        <v>1.0051458</v>
      </c>
      <c r="G344" s="11">
        <v>1.3799129999999999</v>
      </c>
      <c r="H344" s="10"/>
      <c r="I344" s="10"/>
      <c r="J344" s="10"/>
    </row>
    <row r="345" spans="1:10" ht="15.6" x14ac:dyDescent="0.3">
      <c r="A345" s="9" t="s">
        <v>37</v>
      </c>
      <c r="B345" s="10" t="s">
        <v>45</v>
      </c>
      <c r="C345" s="10" t="s">
        <v>21</v>
      </c>
      <c r="D345" s="10">
        <v>19.2</v>
      </c>
      <c r="E345" s="10" t="s">
        <v>22</v>
      </c>
      <c r="F345" s="11">
        <v>1.0045248899999999</v>
      </c>
      <c r="G345" s="11">
        <v>1.37931</v>
      </c>
      <c r="H345" s="10"/>
      <c r="I345" s="10"/>
      <c r="J345" s="10"/>
    </row>
    <row r="346" spans="1:10" ht="15.6" x14ac:dyDescent="0.3">
      <c r="A346" s="9" t="s">
        <v>37</v>
      </c>
      <c r="B346" s="10" t="s">
        <v>45</v>
      </c>
      <c r="C346" s="10" t="s">
        <v>38</v>
      </c>
      <c r="D346" s="10">
        <v>28.8</v>
      </c>
      <c r="E346" s="10" t="s">
        <v>39</v>
      </c>
      <c r="F346" s="11">
        <v>1.00498339</v>
      </c>
      <c r="G346" s="11">
        <v>1.3755269999999999</v>
      </c>
      <c r="H346" s="10"/>
      <c r="I346" s="10"/>
      <c r="J346" s="10"/>
    </row>
    <row r="347" spans="1:10" ht="15.6" x14ac:dyDescent="0.3">
      <c r="A347" s="9" t="s">
        <v>37</v>
      </c>
      <c r="B347" s="10" t="s">
        <v>45</v>
      </c>
      <c r="C347" s="10" t="s">
        <v>22</v>
      </c>
      <c r="D347" s="10">
        <v>38.4</v>
      </c>
      <c r="E347" s="10" t="s">
        <v>40</v>
      </c>
      <c r="F347" s="11">
        <v>1.00525394</v>
      </c>
      <c r="G347" s="11">
        <v>1.3777779999999999</v>
      </c>
      <c r="H347" s="10"/>
      <c r="I347" s="10"/>
      <c r="J347" s="10"/>
    </row>
    <row r="348" spans="1:10" ht="15.6" x14ac:dyDescent="0.3">
      <c r="A348" s="9" t="s">
        <v>37</v>
      </c>
      <c r="B348" s="10" t="s">
        <v>45</v>
      </c>
      <c r="C348" s="10" t="s">
        <v>39</v>
      </c>
      <c r="D348" s="10">
        <v>57.6</v>
      </c>
      <c r="E348" s="10" t="s">
        <v>41</v>
      </c>
      <c r="F348" s="11">
        <v>1.00371747</v>
      </c>
      <c r="G348" s="11">
        <v>1.3838859999999999</v>
      </c>
      <c r="H348" s="10"/>
      <c r="I348" s="10"/>
      <c r="J348" s="10"/>
    </row>
    <row r="349" spans="1:10" ht="15.6" x14ac:dyDescent="0.3">
      <c r="A349" s="9" t="s">
        <v>37</v>
      </c>
      <c r="B349" s="10" t="s">
        <v>45</v>
      </c>
      <c r="C349" s="10" t="s">
        <v>42</v>
      </c>
      <c r="D349" s="10">
        <v>28.8</v>
      </c>
      <c r="E349" s="10" t="s">
        <v>42</v>
      </c>
      <c r="F349" s="11">
        <v>1.0050761399999999</v>
      </c>
      <c r="G349" s="11">
        <v>1.383621</v>
      </c>
      <c r="H349" s="10"/>
      <c r="I349" s="10"/>
      <c r="J349" s="10"/>
    </row>
    <row r="350" spans="1:10" ht="15.6" x14ac:dyDescent="0.3">
      <c r="A350" s="9" t="s">
        <v>37</v>
      </c>
      <c r="B350" s="10" t="s">
        <v>45</v>
      </c>
      <c r="C350" s="10" t="s">
        <v>43</v>
      </c>
      <c r="D350" s="10">
        <v>57.6</v>
      </c>
      <c r="E350" s="10" t="s">
        <v>43</v>
      </c>
      <c r="F350" s="11">
        <v>1.00371747</v>
      </c>
      <c r="G350" s="11">
        <v>1.3838859999999999</v>
      </c>
      <c r="H350" s="10"/>
      <c r="I350" s="10"/>
      <c r="J350" s="10"/>
    </row>
    <row r="351" spans="1:10" ht="15.6" x14ac:dyDescent="0.3">
      <c r="A351" s="9" t="s">
        <v>37</v>
      </c>
      <c r="B351" s="10" t="s">
        <v>46</v>
      </c>
      <c r="C351" s="10" t="s">
        <v>21</v>
      </c>
      <c r="D351" s="10">
        <v>19.2</v>
      </c>
      <c r="E351" s="10" t="s">
        <v>22</v>
      </c>
      <c r="F351" s="11"/>
      <c r="G351" s="11">
        <v>1.699381</v>
      </c>
      <c r="H351" s="10"/>
      <c r="I351" s="10"/>
      <c r="J351" s="10"/>
    </row>
    <row r="352" spans="1:10" ht="15.6" x14ac:dyDescent="0.3">
      <c r="A352" s="9" t="s">
        <v>37</v>
      </c>
      <c r="B352" s="10" t="s">
        <v>46</v>
      </c>
      <c r="C352" s="10" t="s">
        <v>22</v>
      </c>
      <c r="D352" s="10">
        <v>38.4</v>
      </c>
      <c r="E352" s="10" t="s">
        <v>40</v>
      </c>
      <c r="F352" s="11"/>
      <c r="G352" s="11">
        <v>1.697495</v>
      </c>
      <c r="H352" s="10"/>
      <c r="I352" s="10"/>
      <c r="J352" s="10"/>
    </row>
    <row r="353" spans="1:10" ht="15.6" x14ac:dyDescent="0.3">
      <c r="A353" s="9" t="s">
        <v>37</v>
      </c>
      <c r="B353" s="10" t="s">
        <v>46</v>
      </c>
      <c r="C353" s="10" t="s">
        <v>39</v>
      </c>
      <c r="D353" s="10">
        <v>57.6</v>
      </c>
      <c r="E353" s="10" t="s">
        <v>41</v>
      </c>
      <c r="F353" s="11"/>
      <c r="G353" s="11">
        <v>1.737806</v>
      </c>
      <c r="H353" s="10"/>
      <c r="I353" s="10"/>
      <c r="J353" s="10"/>
    </row>
    <row r="354" spans="1:10" ht="15.6" x14ac:dyDescent="0.3">
      <c r="A354" s="9" t="s">
        <v>37</v>
      </c>
      <c r="B354" s="10" t="s">
        <v>47</v>
      </c>
      <c r="C354" s="10" t="s">
        <v>21</v>
      </c>
      <c r="D354" s="10">
        <v>19.2</v>
      </c>
      <c r="E354" s="10" t="s">
        <v>22</v>
      </c>
      <c r="F354" s="11"/>
      <c r="G354" s="11">
        <v>1.679189</v>
      </c>
      <c r="H354" s="10"/>
      <c r="I354" s="10"/>
      <c r="J354" s="10"/>
    </row>
    <row r="355" spans="1:10" ht="15.6" x14ac:dyDescent="0.3">
      <c r="A355" s="9" t="s">
        <v>37</v>
      </c>
      <c r="B355" s="10" t="s">
        <v>47</v>
      </c>
      <c r="C355" s="10" t="s">
        <v>22</v>
      </c>
      <c r="D355" s="10">
        <v>38.4</v>
      </c>
      <c r="E355" s="10" t="s">
        <v>40</v>
      </c>
      <c r="F355" s="11"/>
      <c r="G355" s="11">
        <v>1.657135</v>
      </c>
      <c r="H355" s="10"/>
      <c r="I355" s="10"/>
      <c r="J355" s="10"/>
    </row>
    <row r="356" spans="1:10" ht="15.6" x14ac:dyDescent="0.3">
      <c r="A356" s="9" t="s">
        <v>37</v>
      </c>
      <c r="B356" s="10" t="s">
        <v>47</v>
      </c>
      <c r="C356" s="10" t="s">
        <v>39</v>
      </c>
      <c r="D356" s="10">
        <v>57.6</v>
      </c>
      <c r="E356" s="10" t="s">
        <v>41</v>
      </c>
      <c r="F356" s="11"/>
      <c r="G356" s="11">
        <v>1.672563</v>
      </c>
      <c r="H356" s="10"/>
      <c r="I356" s="10"/>
      <c r="J356" s="10"/>
    </row>
    <row r="357" spans="1:10" ht="15.6" x14ac:dyDescent="0.3">
      <c r="A357" s="9" t="s">
        <v>37</v>
      </c>
      <c r="B357" s="10" t="s">
        <v>48</v>
      </c>
      <c r="C357" s="10" t="s">
        <v>21</v>
      </c>
      <c r="D357" s="10">
        <v>19.2</v>
      </c>
      <c r="E357" s="10" t="s">
        <v>22</v>
      </c>
      <c r="F357" s="11"/>
      <c r="G357" s="11">
        <v>1.6911929999999999</v>
      </c>
      <c r="H357" s="10"/>
      <c r="I357" s="10"/>
      <c r="J357" s="10"/>
    </row>
    <row r="358" spans="1:10" ht="15.6" x14ac:dyDescent="0.3">
      <c r="A358" s="9" t="s">
        <v>37</v>
      </c>
      <c r="B358" s="10" t="s">
        <v>48</v>
      </c>
      <c r="C358" s="10" t="s">
        <v>22</v>
      </c>
      <c r="D358" s="10">
        <v>38.4</v>
      </c>
      <c r="E358" s="10" t="s">
        <v>40</v>
      </c>
      <c r="F358" s="11"/>
      <c r="G358" s="11">
        <v>1.6095379999999999</v>
      </c>
      <c r="H358" s="10"/>
      <c r="I358" s="10"/>
      <c r="J358" s="10"/>
    </row>
    <row r="359" spans="1:10" ht="15.6" x14ac:dyDescent="0.3">
      <c r="A359" s="9" t="s">
        <v>37</v>
      </c>
      <c r="B359" s="10" t="s">
        <v>48</v>
      </c>
      <c r="C359" s="10" t="s">
        <v>39</v>
      </c>
      <c r="D359" s="10">
        <v>57.6</v>
      </c>
      <c r="E359" s="10" t="s">
        <v>41</v>
      </c>
      <c r="F359" s="11"/>
      <c r="G359" s="11">
        <v>1.6803410000000001</v>
      </c>
      <c r="H359" s="10"/>
      <c r="I359" s="10"/>
      <c r="J359" s="10"/>
    </row>
    <row r="360" spans="1:10" ht="15.6" x14ac:dyDescent="0.3">
      <c r="A360" s="9" t="s">
        <v>49</v>
      </c>
      <c r="B360" s="10">
        <v>70</v>
      </c>
      <c r="C360" s="10" t="s">
        <v>13</v>
      </c>
      <c r="D360" s="10">
        <v>2</v>
      </c>
      <c r="E360" s="10" t="s">
        <v>13</v>
      </c>
      <c r="F360" s="11"/>
      <c r="G360" s="11">
        <v>2.4285709999999998</v>
      </c>
      <c r="H360" s="10"/>
      <c r="I360" s="10"/>
      <c r="J360" s="10"/>
    </row>
    <row r="361" spans="1:10" ht="15.6" x14ac:dyDescent="0.3">
      <c r="A361" s="9" t="s">
        <v>49</v>
      </c>
      <c r="B361" s="10">
        <v>70</v>
      </c>
      <c r="C361" s="10" t="s">
        <v>26</v>
      </c>
      <c r="D361" s="10">
        <v>3.6</v>
      </c>
      <c r="E361" s="10" t="s">
        <v>26</v>
      </c>
      <c r="F361" s="11"/>
      <c r="G361" s="11">
        <v>2.25</v>
      </c>
      <c r="H361" s="10"/>
      <c r="I361" s="10"/>
      <c r="J361" s="10"/>
    </row>
    <row r="362" spans="1:10" ht="15.6" x14ac:dyDescent="0.3">
      <c r="A362" s="9" t="s">
        <v>49</v>
      </c>
      <c r="B362" s="10">
        <v>70</v>
      </c>
      <c r="C362" s="10" t="s">
        <v>34</v>
      </c>
      <c r="D362" s="10">
        <v>2.4</v>
      </c>
      <c r="E362" s="10" t="s">
        <v>31</v>
      </c>
      <c r="F362" s="11"/>
      <c r="G362" s="11">
        <v>2.4166669999999999</v>
      </c>
      <c r="H362" s="10"/>
      <c r="I362" s="10"/>
      <c r="J362" s="10"/>
    </row>
    <row r="363" spans="1:10" ht="15.6" x14ac:dyDescent="0.3">
      <c r="A363" s="9" t="s">
        <v>49</v>
      </c>
      <c r="B363" s="10">
        <v>70</v>
      </c>
      <c r="C363" s="10" t="s">
        <v>14</v>
      </c>
      <c r="D363" s="10">
        <v>5</v>
      </c>
      <c r="E363" s="10" t="s">
        <v>14</v>
      </c>
      <c r="F363" s="11"/>
      <c r="G363" s="11">
        <v>2.5</v>
      </c>
      <c r="H363" s="10"/>
      <c r="I363" s="10"/>
      <c r="J363" s="10"/>
    </row>
    <row r="364" spans="1:10" ht="15.6" x14ac:dyDescent="0.3">
      <c r="A364" s="9" t="s">
        <v>49</v>
      </c>
      <c r="B364" s="10">
        <v>70</v>
      </c>
      <c r="C364" s="10" t="s">
        <v>15</v>
      </c>
      <c r="D364" s="10">
        <v>6</v>
      </c>
      <c r="E364" s="10" t="s">
        <v>16</v>
      </c>
      <c r="F364" s="11"/>
      <c r="G364" s="11">
        <v>2.2222219999999999</v>
      </c>
      <c r="H364" s="10"/>
      <c r="I364" s="10"/>
      <c r="J364" s="10"/>
    </row>
    <row r="365" spans="1:10" ht="15.6" x14ac:dyDescent="0.3">
      <c r="A365" s="9" t="s">
        <v>49</v>
      </c>
      <c r="B365" s="10">
        <v>70</v>
      </c>
      <c r="C365" s="10" t="s">
        <v>18</v>
      </c>
      <c r="D365" s="10">
        <v>10</v>
      </c>
      <c r="E365" s="10" t="s">
        <v>18</v>
      </c>
      <c r="F365" s="11"/>
      <c r="G365" s="11">
        <v>2.5</v>
      </c>
      <c r="H365" s="10"/>
      <c r="I365" s="10"/>
      <c r="J365" s="10"/>
    </row>
    <row r="366" spans="1:10" ht="15.6" x14ac:dyDescent="0.3">
      <c r="A366" s="9" t="s">
        <v>49</v>
      </c>
      <c r="B366" s="10">
        <v>70</v>
      </c>
      <c r="C366" s="10" t="s">
        <v>20</v>
      </c>
      <c r="D366" s="10">
        <v>14.4</v>
      </c>
      <c r="E366" s="10" t="s">
        <v>20</v>
      </c>
      <c r="F366" s="11"/>
      <c r="G366" s="11">
        <v>2.5</v>
      </c>
      <c r="H366" s="10"/>
      <c r="I366" s="10"/>
      <c r="J366" s="10"/>
    </row>
    <row r="367" spans="1:10" ht="15.6" x14ac:dyDescent="0.3">
      <c r="A367" s="9" t="s">
        <v>49</v>
      </c>
      <c r="B367" s="10">
        <v>70</v>
      </c>
      <c r="C367" s="10" t="s">
        <v>16</v>
      </c>
      <c r="D367" s="10">
        <v>12</v>
      </c>
      <c r="E367" s="10" t="s">
        <v>19</v>
      </c>
      <c r="F367" s="11"/>
      <c r="G367" s="11">
        <v>2.3333330000000001</v>
      </c>
      <c r="H367" s="10"/>
      <c r="I367" s="10"/>
      <c r="J367" s="10"/>
    </row>
    <row r="368" spans="1:10" ht="15.6" x14ac:dyDescent="0.3">
      <c r="A368" s="9" t="s">
        <v>49</v>
      </c>
      <c r="B368" s="10">
        <v>70</v>
      </c>
      <c r="C368" s="10" t="s">
        <v>21</v>
      </c>
      <c r="D368" s="10">
        <v>19.2</v>
      </c>
      <c r="E368" s="10" t="s">
        <v>22</v>
      </c>
      <c r="F368" s="11"/>
      <c r="G368" s="11">
        <v>2.375</v>
      </c>
      <c r="H368" s="10"/>
      <c r="I368" s="10"/>
      <c r="J368" s="10"/>
    </row>
    <row r="369" spans="1:10" ht="15.6" x14ac:dyDescent="0.3">
      <c r="A369" s="9" t="s">
        <v>49</v>
      </c>
      <c r="B369" s="10">
        <v>70</v>
      </c>
      <c r="C369" s="10" t="s">
        <v>35</v>
      </c>
      <c r="D369" s="10">
        <v>38.4</v>
      </c>
      <c r="E369" s="10" t="s">
        <v>35</v>
      </c>
      <c r="F369" s="11"/>
      <c r="G369" s="11">
        <v>2.4285709999999998</v>
      </c>
      <c r="H369" s="10"/>
      <c r="I369" s="10"/>
      <c r="J369" s="10"/>
    </row>
    <row r="370" spans="1:10" ht="15.6" x14ac:dyDescent="0.3">
      <c r="A370" s="9" t="s">
        <v>49</v>
      </c>
      <c r="B370" s="10">
        <v>70</v>
      </c>
      <c r="C370" s="10" t="s">
        <v>22</v>
      </c>
      <c r="D370" s="10">
        <v>38.4</v>
      </c>
      <c r="E370" s="10" t="s">
        <v>40</v>
      </c>
      <c r="F370" s="11"/>
      <c r="G370" s="11">
        <v>2.4285709999999998</v>
      </c>
      <c r="H370" s="10"/>
      <c r="I370" s="10"/>
      <c r="J370" s="10"/>
    </row>
    <row r="371" spans="1:10" ht="15.6" x14ac:dyDescent="0.3">
      <c r="A371" s="9" t="s">
        <v>49</v>
      </c>
      <c r="B371" s="10">
        <v>80</v>
      </c>
      <c r="C371" s="10" t="s">
        <v>13</v>
      </c>
      <c r="D371" s="10">
        <v>2</v>
      </c>
      <c r="E371" s="10" t="s">
        <v>13</v>
      </c>
      <c r="F371" s="11"/>
      <c r="G371" s="11">
        <v>2.1666669999999999</v>
      </c>
      <c r="H371" s="10"/>
      <c r="I371" s="10"/>
      <c r="J371" s="10"/>
    </row>
    <row r="372" spans="1:10" ht="15.6" x14ac:dyDescent="0.3">
      <c r="A372" s="9" t="s">
        <v>49</v>
      </c>
      <c r="B372" s="10">
        <v>80</v>
      </c>
      <c r="C372" s="10" t="s">
        <v>26</v>
      </c>
      <c r="D372" s="10">
        <v>3.6</v>
      </c>
      <c r="E372" s="10" t="s">
        <v>26</v>
      </c>
      <c r="F372" s="11"/>
      <c r="G372" s="11">
        <v>2.15</v>
      </c>
      <c r="H372" s="10"/>
      <c r="I372" s="10"/>
      <c r="J372" s="10"/>
    </row>
    <row r="373" spans="1:10" ht="15.6" x14ac:dyDescent="0.3">
      <c r="A373" s="9" t="s">
        <v>49</v>
      </c>
      <c r="B373" s="10">
        <v>80</v>
      </c>
      <c r="C373" s="10" t="s">
        <v>34</v>
      </c>
      <c r="D373" s="10">
        <v>2.4</v>
      </c>
      <c r="E373" s="10" t="s">
        <v>31</v>
      </c>
      <c r="F373" s="11"/>
      <c r="G373" s="11">
        <v>2.1428569999999998</v>
      </c>
      <c r="H373" s="10"/>
      <c r="I373" s="10"/>
      <c r="J373" s="10"/>
    </row>
    <row r="374" spans="1:10" ht="15.6" x14ac:dyDescent="0.3">
      <c r="A374" s="9" t="s">
        <v>49</v>
      </c>
      <c r="B374" s="10">
        <v>80</v>
      </c>
      <c r="C374" s="10" t="s">
        <v>14</v>
      </c>
      <c r="D374" s="10">
        <v>5</v>
      </c>
      <c r="E374" s="10" t="s">
        <v>14</v>
      </c>
      <c r="F374" s="11"/>
      <c r="G374" s="11">
        <v>2.1818179999999998</v>
      </c>
      <c r="H374" s="10"/>
      <c r="I374" s="10"/>
      <c r="J374" s="10"/>
    </row>
    <row r="375" spans="1:10" ht="15.6" x14ac:dyDescent="0.3">
      <c r="A375" s="9" t="s">
        <v>49</v>
      </c>
      <c r="B375" s="10">
        <v>80</v>
      </c>
      <c r="C375" s="10" t="s">
        <v>15</v>
      </c>
      <c r="D375" s="10">
        <v>6</v>
      </c>
      <c r="E375" s="10" t="s">
        <v>16</v>
      </c>
      <c r="F375" s="11"/>
      <c r="G375" s="11">
        <v>2.0666669999999998</v>
      </c>
      <c r="H375" s="10"/>
      <c r="I375" s="10"/>
      <c r="J375" s="10"/>
    </row>
    <row r="376" spans="1:10" ht="15.6" x14ac:dyDescent="0.3">
      <c r="A376" s="9" t="s">
        <v>49</v>
      </c>
      <c r="B376" s="10">
        <v>80</v>
      </c>
      <c r="C376" s="10" t="s">
        <v>18</v>
      </c>
      <c r="D376" s="10">
        <v>10</v>
      </c>
      <c r="E376" s="10" t="s">
        <v>18</v>
      </c>
      <c r="F376" s="11"/>
      <c r="G376" s="11">
        <v>2.1818179999999998</v>
      </c>
      <c r="H376" s="10"/>
      <c r="I376" s="10"/>
      <c r="J376" s="10"/>
    </row>
    <row r="377" spans="1:10" ht="15.6" x14ac:dyDescent="0.3">
      <c r="A377" s="9" t="s">
        <v>49</v>
      </c>
      <c r="B377" s="10">
        <v>80</v>
      </c>
      <c r="C377" s="10" t="s">
        <v>20</v>
      </c>
      <c r="D377" s="10">
        <v>14.4</v>
      </c>
      <c r="E377" s="10" t="s">
        <v>20</v>
      </c>
      <c r="F377" s="11"/>
      <c r="G377" s="11">
        <v>2.1428569999999998</v>
      </c>
      <c r="H377" s="10"/>
      <c r="I377" s="10"/>
      <c r="J377" s="10"/>
    </row>
    <row r="378" spans="1:10" ht="15.6" x14ac:dyDescent="0.3">
      <c r="A378" s="9" t="s">
        <v>49</v>
      </c>
      <c r="B378" s="10">
        <v>80</v>
      </c>
      <c r="C378" s="10" t="s">
        <v>16</v>
      </c>
      <c r="D378" s="10">
        <v>12</v>
      </c>
      <c r="E378" s="10" t="s">
        <v>19</v>
      </c>
      <c r="F378" s="11"/>
      <c r="G378" s="11">
        <v>2.1333329999999999</v>
      </c>
      <c r="H378" s="10"/>
      <c r="I378" s="10"/>
      <c r="J378" s="10"/>
    </row>
    <row r="379" spans="1:10" ht="15.6" x14ac:dyDescent="0.3">
      <c r="A379" s="9" t="s">
        <v>49</v>
      </c>
      <c r="B379" s="10">
        <v>80</v>
      </c>
      <c r="C379" s="10" t="s">
        <v>21</v>
      </c>
      <c r="D379" s="10">
        <v>19.2</v>
      </c>
      <c r="E379" s="10" t="s">
        <v>22</v>
      </c>
      <c r="F379" s="11"/>
      <c r="G379" s="11">
        <v>2.0714290000000002</v>
      </c>
      <c r="H379" s="10"/>
      <c r="I379" s="10"/>
      <c r="J379" s="10"/>
    </row>
    <row r="380" spans="1:10" ht="15.6" x14ac:dyDescent="0.3">
      <c r="A380" s="9" t="s">
        <v>49</v>
      </c>
      <c r="B380" s="10">
        <v>80</v>
      </c>
      <c r="C380" s="10" t="s">
        <v>35</v>
      </c>
      <c r="D380" s="10">
        <v>38.4</v>
      </c>
      <c r="E380" s="10" t="s">
        <v>35</v>
      </c>
      <c r="F380" s="11"/>
      <c r="G380" s="11">
        <v>2.1666669999999999</v>
      </c>
      <c r="H380" s="10"/>
      <c r="I380" s="10"/>
      <c r="J380" s="10"/>
    </row>
    <row r="381" spans="1:10" ht="15.6" x14ac:dyDescent="0.3">
      <c r="A381" s="9" t="s">
        <v>49</v>
      </c>
      <c r="B381" s="10">
        <v>80</v>
      </c>
      <c r="C381" s="10" t="s">
        <v>22</v>
      </c>
      <c r="D381" s="10">
        <v>38.4</v>
      </c>
      <c r="E381" s="10" t="s">
        <v>40</v>
      </c>
      <c r="F381" s="11"/>
      <c r="G381" s="11">
        <v>2.1666669999999999</v>
      </c>
      <c r="H381" s="10"/>
      <c r="I381" s="10"/>
      <c r="J381" s="10"/>
    </row>
    <row r="382" spans="1:10" ht="15.6" x14ac:dyDescent="0.3">
      <c r="A382" s="9" t="s">
        <v>49</v>
      </c>
      <c r="B382" s="10">
        <v>100</v>
      </c>
      <c r="C382" s="10" t="s">
        <v>13</v>
      </c>
      <c r="D382" s="10">
        <v>2</v>
      </c>
      <c r="E382" s="10" t="s">
        <v>13</v>
      </c>
      <c r="F382" s="11"/>
      <c r="G382" s="11">
        <v>1.925926</v>
      </c>
      <c r="H382" s="10"/>
      <c r="I382" s="10"/>
      <c r="J382" s="10"/>
    </row>
    <row r="383" spans="1:10" ht="15.6" x14ac:dyDescent="0.3">
      <c r="A383" s="9" t="s">
        <v>49</v>
      </c>
      <c r="B383" s="10">
        <v>100</v>
      </c>
      <c r="C383" s="10" t="s">
        <v>26</v>
      </c>
      <c r="D383" s="10">
        <v>3.6</v>
      </c>
      <c r="E383" s="10" t="s">
        <v>26</v>
      </c>
      <c r="F383" s="11"/>
      <c r="G383" s="11">
        <v>1.9090910000000001</v>
      </c>
      <c r="H383" s="10"/>
      <c r="I383" s="10"/>
      <c r="J383" s="10"/>
    </row>
    <row r="384" spans="1:10" ht="15.6" x14ac:dyDescent="0.3">
      <c r="A384" s="9" t="s">
        <v>49</v>
      </c>
      <c r="B384" s="10">
        <v>100</v>
      </c>
      <c r="C384" s="10" t="s">
        <v>34</v>
      </c>
      <c r="D384" s="10">
        <v>2.4</v>
      </c>
      <c r="E384" s="10" t="s">
        <v>31</v>
      </c>
      <c r="F384" s="11"/>
      <c r="G384" s="11">
        <v>1.8936170000000001</v>
      </c>
      <c r="H384" s="10"/>
      <c r="I384" s="10"/>
      <c r="J384" s="10"/>
    </row>
    <row r="385" spans="1:10" ht="15.6" x14ac:dyDescent="0.3">
      <c r="A385" s="9" t="s">
        <v>49</v>
      </c>
      <c r="B385" s="10">
        <v>100</v>
      </c>
      <c r="C385" s="10" t="s">
        <v>14</v>
      </c>
      <c r="D385" s="10">
        <v>5</v>
      </c>
      <c r="E385" s="10" t="s">
        <v>14</v>
      </c>
      <c r="F385" s="11"/>
      <c r="G385" s="11">
        <v>1.84</v>
      </c>
      <c r="H385" s="10"/>
      <c r="I385" s="10"/>
      <c r="J385" s="10"/>
    </row>
    <row r="386" spans="1:10" ht="15.6" x14ac:dyDescent="0.3">
      <c r="A386" s="9" t="s">
        <v>49</v>
      </c>
      <c r="B386" s="10">
        <v>100</v>
      </c>
      <c r="C386" s="10" t="s">
        <v>15</v>
      </c>
      <c r="D386" s="10">
        <v>6</v>
      </c>
      <c r="E386" s="10" t="s">
        <v>16</v>
      </c>
      <c r="F386" s="11"/>
      <c r="G386" s="11">
        <v>1.8484849999999999</v>
      </c>
      <c r="H386" s="10"/>
      <c r="I386" s="10"/>
      <c r="J386" s="10"/>
    </row>
    <row r="387" spans="1:10" ht="15.6" x14ac:dyDescent="0.3">
      <c r="A387" s="9" t="s">
        <v>49</v>
      </c>
      <c r="B387" s="10">
        <v>100</v>
      </c>
      <c r="C387" s="10" t="s">
        <v>18</v>
      </c>
      <c r="D387" s="10">
        <v>10</v>
      </c>
      <c r="E387" s="10" t="s">
        <v>18</v>
      </c>
      <c r="F387" s="11"/>
      <c r="G387" s="11">
        <v>1.84</v>
      </c>
      <c r="H387" s="10"/>
      <c r="I387" s="10"/>
      <c r="J387" s="10"/>
    </row>
    <row r="388" spans="1:10" ht="15.6" x14ac:dyDescent="0.3">
      <c r="A388" s="9" t="s">
        <v>49</v>
      </c>
      <c r="B388" s="10">
        <v>100</v>
      </c>
      <c r="C388" s="10" t="s">
        <v>20</v>
      </c>
      <c r="D388" s="10">
        <v>14.4</v>
      </c>
      <c r="E388" s="10" t="s">
        <v>20</v>
      </c>
      <c r="F388" s="11"/>
      <c r="G388" s="11">
        <v>1.875</v>
      </c>
      <c r="H388" s="10"/>
      <c r="I388" s="10"/>
      <c r="J388" s="10"/>
    </row>
    <row r="389" spans="1:10" ht="15.6" x14ac:dyDescent="0.3">
      <c r="A389" s="9" t="s">
        <v>49</v>
      </c>
      <c r="B389" s="10">
        <v>100</v>
      </c>
      <c r="C389" s="10" t="s">
        <v>16</v>
      </c>
      <c r="D389" s="10">
        <v>12</v>
      </c>
      <c r="E389" s="10" t="s">
        <v>19</v>
      </c>
      <c r="F389" s="11"/>
      <c r="G389" s="11">
        <v>1.9090910000000001</v>
      </c>
      <c r="H389" s="10"/>
      <c r="I389" s="10"/>
      <c r="J389" s="10"/>
    </row>
    <row r="390" spans="1:10" ht="15.6" x14ac:dyDescent="0.3">
      <c r="A390" s="9" t="s">
        <v>49</v>
      </c>
      <c r="B390" s="10">
        <v>100</v>
      </c>
      <c r="C390" s="10" t="s">
        <v>21</v>
      </c>
      <c r="D390" s="10">
        <v>19.2</v>
      </c>
      <c r="E390" s="10" t="s">
        <v>22</v>
      </c>
      <c r="F390" s="11"/>
      <c r="G390" s="11">
        <v>1.870968</v>
      </c>
      <c r="H390" s="10"/>
      <c r="I390" s="10"/>
      <c r="J390" s="10"/>
    </row>
    <row r="391" spans="1:10" ht="15.6" x14ac:dyDescent="0.3">
      <c r="A391" s="9" t="s">
        <v>49</v>
      </c>
      <c r="B391" s="10">
        <v>100</v>
      </c>
      <c r="C391" s="10" t="s">
        <v>35</v>
      </c>
      <c r="D391" s="10">
        <v>38.4</v>
      </c>
      <c r="E391" s="10" t="s">
        <v>35</v>
      </c>
      <c r="F391" s="11"/>
      <c r="G391" s="11">
        <v>1.857143</v>
      </c>
      <c r="H391" s="10"/>
      <c r="I391" s="10"/>
      <c r="J391" s="10"/>
    </row>
    <row r="392" spans="1:10" ht="15.6" x14ac:dyDescent="0.3">
      <c r="A392" s="9" t="s">
        <v>49</v>
      </c>
      <c r="B392" s="10">
        <v>100</v>
      </c>
      <c r="C392" s="10" t="s">
        <v>22</v>
      </c>
      <c r="D392" s="10">
        <v>38.4</v>
      </c>
      <c r="E392" s="10" t="s">
        <v>40</v>
      </c>
      <c r="F392" s="11"/>
      <c r="G392" s="11">
        <v>1.888889</v>
      </c>
      <c r="H392" s="10"/>
      <c r="I392" s="10"/>
      <c r="J392" s="10"/>
    </row>
    <row r="393" spans="1:10" ht="15.6" x14ac:dyDescent="0.3">
      <c r="A393" s="9" t="s">
        <v>49</v>
      </c>
      <c r="B393" s="10">
        <v>120</v>
      </c>
      <c r="C393" s="10" t="s">
        <v>13</v>
      </c>
      <c r="D393" s="10">
        <v>2</v>
      </c>
      <c r="E393" s="10" t="s">
        <v>13</v>
      </c>
      <c r="F393" s="11"/>
      <c r="G393" s="11">
        <v>1.765957</v>
      </c>
      <c r="H393" s="10"/>
      <c r="I393" s="10"/>
      <c r="J393" s="10"/>
    </row>
    <row r="394" spans="1:10" ht="15.6" x14ac:dyDescent="0.3">
      <c r="A394" s="9" t="s">
        <v>49</v>
      </c>
      <c r="B394" s="10">
        <v>120</v>
      </c>
      <c r="C394" s="10" t="s">
        <v>26</v>
      </c>
      <c r="D394" s="10">
        <v>3.6</v>
      </c>
      <c r="E394" s="10" t="s">
        <v>26</v>
      </c>
      <c r="F394" s="11"/>
      <c r="G394" s="11">
        <v>1.763158</v>
      </c>
      <c r="H394" s="10"/>
      <c r="I394" s="10"/>
      <c r="J394" s="10"/>
    </row>
    <row r="395" spans="1:10" ht="15.6" x14ac:dyDescent="0.3">
      <c r="A395" s="9" t="s">
        <v>49</v>
      </c>
      <c r="B395" s="10">
        <v>120</v>
      </c>
      <c r="C395" s="10" t="s">
        <v>34</v>
      </c>
      <c r="D395" s="10">
        <v>2.4</v>
      </c>
      <c r="E395" s="10" t="s">
        <v>31</v>
      </c>
      <c r="F395" s="11"/>
      <c r="G395" s="11">
        <v>1.7749999999999999</v>
      </c>
      <c r="H395" s="10"/>
      <c r="I395" s="10"/>
      <c r="J395" s="10"/>
    </row>
    <row r="396" spans="1:10" ht="15.6" x14ac:dyDescent="0.3">
      <c r="A396" s="9" t="s">
        <v>49</v>
      </c>
      <c r="B396" s="10">
        <v>120</v>
      </c>
      <c r="C396" s="10" t="s">
        <v>14</v>
      </c>
      <c r="D396" s="10">
        <v>5</v>
      </c>
      <c r="E396" s="10" t="s">
        <v>14</v>
      </c>
      <c r="F396" s="11"/>
      <c r="G396" s="11">
        <v>1.7619050000000001</v>
      </c>
      <c r="H396" s="10"/>
      <c r="I396" s="10"/>
      <c r="J396" s="10"/>
    </row>
    <row r="397" spans="1:10" ht="15.6" x14ac:dyDescent="0.3">
      <c r="A397" s="9" t="s">
        <v>49</v>
      </c>
      <c r="B397" s="10">
        <v>120</v>
      </c>
      <c r="C397" s="10" t="s">
        <v>15</v>
      </c>
      <c r="D397" s="10">
        <v>6</v>
      </c>
      <c r="E397" s="10" t="s">
        <v>16</v>
      </c>
      <c r="F397" s="11"/>
      <c r="G397" s="11">
        <v>1.767857</v>
      </c>
      <c r="H397" s="10"/>
      <c r="I397" s="10"/>
      <c r="J397" s="10"/>
    </row>
    <row r="398" spans="1:10" ht="15.6" x14ac:dyDescent="0.3">
      <c r="A398" s="9" t="s">
        <v>49</v>
      </c>
      <c r="B398" s="10">
        <v>120</v>
      </c>
      <c r="C398" s="10" t="s">
        <v>18</v>
      </c>
      <c r="D398" s="10">
        <v>10</v>
      </c>
      <c r="E398" s="10" t="s">
        <v>18</v>
      </c>
      <c r="F398" s="11"/>
      <c r="G398" s="11">
        <v>1.7619050000000001</v>
      </c>
      <c r="H398" s="10"/>
      <c r="I398" s="10"/>
      <c r="J398" s="10"/>
    </row>
    <row r="399" spans="1:10" ht="15.6" x14ac:dyDescent="0.3">
      <c r="A399" s="9" t="s">
        <v>49</v>
      </c>
      <c r="B399" s="10">
        <v>120</v>
      </c>
      <c r="C399" s="10" t="s">
        <v>20</v>
      </c>
      <c r="D399" s="10">
        <v>14.4</v>
      </c>
      <c r="E399" s="10" t="s">
        <v>20</v>
      </c>
      <c r="F399" s="11"/>
      <c r="G399" s="11">
        <v>1.7777780000000001</v>
      </c>
      <c r="H399" s="10"/>
      <c r="I399" s="10"/>
      <c r="J399" s="10"/>
    </row>
    <row r="400" spans="1:10" ht="15.6" x14ac:dyDescent="0.3">
      <c r="A400" s="9" t="s">
        <v>49</v>
      </c>
      <c r="B400" s="10">
        <v>120</v>
      </c>
      <c r="C400" s="10" t="s">
        <v>16</v>
      </c>
      <c r="D400" s="10">
        <v>12</v>
      </c>
      <c r="E400" s="10" t="s">
        <v>19</v>
      </c>
      <c r="F400" s="11"/>
      <c r="G400" s="11">
        <v>1.754386</v>
      </c>
      <c r="H400" s="10"/>
      <c r="I400" s="10"/>
      <c r="J400" s="10"/>
    </row>
    <row r="401" spans="1:10" ht="15.6" x14ac:dyDescent="0.3">
      <c r="A401" s="9" t="s">
        <v>49</v>
      </c>
      <c r="B401" s="10">
        <v>120</v>
      </c>
      <c r="C401" s="10" t="s">
        <v>21</v>
      </c>
      <c r="D401" s="10">
        <v>19.2</v>
      </c>
      <c r="E401" s="10" t="s">
        <v>22</v>
      </c>
      <c r="F401" s="11"/>
      <c r="G401" s="11">
        <v>1.773585</v>
      </c>
      <c r="H401" s="10"/>
      <c r="I401" s="10"/>
      <c r="J401" s="10"/>
    </row>
    <row r="402" spans="1:10" ht="15.6" x14ac:dyDescent="0.3">
      <c r="A402" s="9" t="s">
        <v>49</v>
      </c>
      <c r="B402" s="10">
        <v>120</v>
      </c>
      <c r="C402" s="10" t="s">
        <v>35</v>
      </c>
      <c r="D402" s="10">
        <v>38.4</v>
      </c>
      <c r="E402" s="10" t="s">
        <v>35</v>
      </c>
      <c r="F402" s="11"/>
      <c r="G402" s="11">
        <v>1.765957</v>
      </c>
      <c r="H402" s="10"/>
      <c r="I402" s="10"/>
      <c r="J402" s="10"/>
    </row>
    <row r="403" spans="1:10" ht="15.6" x14ac:dyDescent="0.3">
      <c r="A403" s="9" t="s">
        <v>49</v>
      </c>
      <c r="B403" s="10">
        <v>120</v>
      </c>
      <c r="C403" s="10" t="s">
        <v>22</v>
      </c>
      <c r="D403" s="10">
        <v>38.4</v>
      </c>
      <c r="E403" s="10" t="s">
        <v>40</v>
      </c>
      <c r="F403" s="11"/>
      <c r="G403" s="11">
        <v>1.7826090000000001</v>
      </c>
      <c r="H403" s="10"/>
      <c r="I403" s="10"/>
      <c r="J403" s="10"/>
    </row>
    <row r="404" spans="1:10" ht="15.6" x14ac:dyDescent="0.3">
      <c r="A404" s="9" t="s">
        <v>49</v>
      </c>
      <c r="B404" s="10">
        <v>140</v>
      </c>
      <c r="C404" s="10" t="s">
        <v>13</v>
      </c>
      <c r="D404" s="10">
        <v>2</v>
      </c>
      <c r="E404" s="10" t="s">
        <v>13</v>
      </c>
      <c r="F404" s="11"/>
      <c r="G404" s="11">
        <v>1.6986300000000001</v>
      </c>
      <c r="H404" s="10"/>
      <c r="I404" s="10"/>
      <c r="J404" s="10"/>
    </row>
    <row r="405" spans="1:10" ht="15.6" x14ac:dyDescent="0.3">
      <c r="A405" s="9" t="s">
        <v>49</v>
      </c>
      <c r="B405" s="10">
        <v>140</v>
      </c>
      <c r="C405" s="10" t="s">
        <v>26</v>
      </c>
      <c r="D405" s="10">
        <v>3.6</v>
      </c>
      <c r="E405" s="10" t="s">
        <v>26</v>
      </c>
      <c r="F405" s="11"/>
      <c r="G405" s="11">
        <v>1.70339</v>
      </c>
      <c r="H405" s="10"/>
      <c r="I405" s="10"/>
      <c r="J405" s="10"/>
    </row>
    <row r="406" spans="1:10" ht="15.6" x14ac:dyDescent="0.3">
      <c r="A406" s="9" t="s">
        <v>49</v>
      </c>
      <c r="B406" s="10">
        <v>140</v>
      </c>
      <c r="C406" s="10" t="s">
        <v>34</v>
      </c>
      <c r="D406" s="10">
        <v>2.4</v>
      </c>
      <c r="E406" s="10" t="s">
        <v>31</v>
      </c>
      <c r="F406" s="11"/>
      <c r="G406" s="11">
        <v>1.6825399999999999</v>
      </c>
      <c r="H406" s="10"/>
      <c r="I406" s="10"/>
      <c r="J406" s="10"/>
    </row>
    <row r="407" spans="1:10" ht="15.6" x14ac:dyDescent="0.3">
      <c r="A407" s="9" t="s">
        <v>49</v>
      </c>
      <c r="B407" s="10">
        <v>140</v>
      </c>
      <c r="C407" s="10" t="s">
        <v>14</v>
      </c>
      <c r="D407" s="10">
        <v>5</v>
      </c>
      <c r="E407" s="10" t="s">
        <v>14</v>
      </c>
      <c r="F407" s="11"/>
      <c r="G407" s="11">
        <v>1.681818</v>
      </c>
      <c r="H407" s="10"/>
      <c r="I407" s="10"/>
      <c r="J407" s="10"/>
    </row>
    <row r="408" spans="1:10" ht="15.6" x14ac:dyDescent="0.3">
      <c r="A408" s="9" t="s">
        <v>49</v>
      </c>
      <c r="B408" s="10">
        <v>140</v>
      </c>
      <c r="C408" s="10" t="s">
        <v>15</v>
      </c>
      <c r="D408" s="10">
        <v>6</v>
      </c>
      <c r="E408" s="10" t="s">
        <v>16</v>
      </c>
      <c r="F408" s="11"/>
      <c r="G408" s="11">
        <v>1.6896549999999999</v>
      </c>
      <c r="H408" s="10"/>
      <c r="I408" s="10"/>
      <c r="J408" s="10"/>
    </row>
    <row r="409" spans="1:10" ht="15.6" x14ac:dyDescent="0.3">
      <c r="A409" s="9" t="s">
        <v>49</v>
      </c>
      <c r="B409" s="10">
        <v>140</v>
      </c>
      <c r="C409" s="10" t="s">
        <v>18</v>
      </c>
      <c r="D409" s="10">
        <v>10</v>
      </c>
      <c r="E409" s="10" t="s">
        <v>18</v>
      </c>
      <c r="F409" s="11"/>
      <c r="G409" s="11">
        <v>1.681818</v>
      </c>
      <c r="H409" s="10"/>
      <c r="I409" s="10"/>
      <c r="J409" s="10"/>
    </row>
    <row r="410" spans="1:10" ht="15.6" x14ac:dyDescent="0.3">
      <c r="A410" s="9" t="s">
        <v>49</v>
      </c>
      <c r="B410" s="10">
        <v>140</v>
      </c>
      <c r="C410" s="10" t="s">
        <v>20</v>
      </c>
      <c r="D410" s="10">
        <v>14.4</v>
      </c>
      <c r="E410" s="10" t="s">
        <v>20</v>
      </c>
      <c r="F410" s="11"/>
      <c r="G410" s="11">
        <v>1.7023809999999999</v>
      </c>
      <c r="H410" s="10"/>
      <c r="I410" s="10"/>
      <c r="J410" s="10"/>
    </row>
    <row r="411" spans="1:10" ht="15.6" x14ac:dyDescent="0.3">
      <c r="A411" s="9" t="s">
        <v>49</v>
      </c>
      <c r="B411" s="10">
        <v>140</v>
      </c>
      <c r="C411" s="10" t="s">
        <v>16</v>
      </c>
      <c r="D411" s="10">
        <v>12</v>
      </c>
      <c r="E411" s="10" t="s">
        <v>19</v>
      </c>
      <c r="F411" s="11"/>
      <c r="G411" s="11">
        <v>1.6853929999999999</v>
      </c>
      <c r="H411" s="10"/>
      <c r="I411" s="10"/>
      <c r="J411" s="10"/>
    </row>
    <row r="412" spans="1:10" ht="15.6" x14ac:dyDescent="0.3">
      <c r="A412" s="9" t="s">
        <v>49</v>
      </c>
      <c r="B412" s="10">
        <v>140</v>
      </c>
      <c r="C412" s="10" t="s">
        <v>21</v>
      </c>
      <c r="D412" s="10">
        <v>19.2</v>
      </c>
      <c r="E412" s="10" t="s">
        <v>22</v>
      </c>
      <c r="F412" s="11"/>
      <c r="G412" s="11">
        <v>1.686747</v>
      </c>
      <c r="H412" s="10"/>
      <c r="I412" s="10"/>
      <c r="J412" s="10"/>
    </row>
    <row r="413" spans="1:10" ht="15.6" x14ac:dyDescent="0.3">
      <c r="A413" s="9" t="s">
        <v>49</v>
      </c>
      <c r="B413" s="10">
        <v>140</v>
      </c>
      <c r="C413" s="10" t="s">
        <v>35</v>
      </c>
      <c r="D413" s="10">
        <v>38.4</v>
      </c>
      <c r="E413" s="10" t="s">
        <v>35</v>
      </c>
      <c r="F413" s="11"/>
      <c r="G413" s="11">
        <v>1.712329</v>
      </c>
      <c r="H413" s="10"/>
      <c r="I413" s="10"/>
      <c r="J413" s="10"/>
    </row>
    <row r="414" spans="1:10" ht="15.6" x14ac:dyDescent="0.3">
      <c r="A414" s="9" t="s">
        <v>49</v>
      </c>
      <c r="B414" s="10">
        <v>140</v>
      </c>
      <c r="C414" s="10" t="s">
        <v>22</v>
      </c>
      <c r="D414" s="10">
        <v>38.4</v>
      </c>
      <c r="E414" s="10" t="s">
        <v>40</v>
      </c>
      <c r="F414" s="11"/>
      <c r="G414" s="11">
        <v>1.6944440000000001</v>
      </c>
      <c r="H414" s="10"/>
      <c r="I414" s="10"/>
      <c r="J414" s="10"/>
    </row>
    <row r="415" spans="1:10" ht="15.6" x14ac:dyDescent="0.3">
      <c r="A415" s="9" t="s">
        <v>49</v>
      </c>
      <c r="B415" s="10" t="s">
        <v>50</v>
      </c>
      <c r="C415" s="10" t="s">
        <v>13</v>
      </c>
      <c r="D415" s="10">
        <v>2</v>
      </c>
      <c r="E415" s="10" t="s">
        <v>13</v>
      </c>
      <c r="F415" s="11"/>
      <c r="G415" s="11">
        <v>1.48</v>
      </c>
      <c r="H415" s="10"/>
      <c r="I415" s="10"/>
      <c r="J415" s="10"/>
    </row>
    <row r="416" spans="1:10" ht="15.6" x14ac:dyDescent="0.3">
      <c r="A416" s="9" t="s">
        <v>49</v>
      </c>
      <c r="B416" s="10" t="s">
        <v>50</v>
      </c>
      <c r="C416" s="10" t="s">
        <v>26</v>
      </c>
      <c r="D416" s="10">
        <v>3.6</v>
      </c>
      <c r="E416" s="10" t="s">
        <v>26</v>
      </c>
      <c r="F416" s="11"/>
      <c r="G416" s="11">
        <v>1.4634149999999999</v>
      </c>
      <c r="H416" s="10"/>
      <c r="I416" s="10"/>
      <c r="J416" s="10"/>
    </row>
    <row r="417" spans="1:10" ht="15.6" x14ac:dyDescent="0.3">
      <c r="A417" s="9" t="s">
        <v>49</v>
      </c>
      <c r="B417" s="10" t="s">
        <v>50</v>
      </c>
      <c r="C417" s="10" t="s">
        <v>34</v>
      </c>
      <c r="D417" s="10">
        <v>2.4</v>
      </c>
      <c r="E417" s="10" t="s">
        <v>31</v>
      </c>
      <c r="F417" s="11"/>
      <c r="G417" s="11">
        <v>1.4651160000000001</v>
      </c>
      <c r="H417" s="10"/>
      <c r="I417" s="10"/>
      <c r="J417" s="10"/>
    </row>
    <row r="418" spans="1:10" ht="15.6" x14ac:dyDescent="0.3">
      <c r="A418" s="9" t="s">
        <v>49</v>
      </c>
      <c r="B418" s="10" t="s">
        <v>50</v>
      </c>
      <c r="C418" s="10" t="s">
        <v>14</v>
      </c>
      <c r="D418" s="10">
        <v>5</v>
      </c>
      <c r="E418" s="10" t="s">
        <v>14</v>
      </c>
      <c r="F418" s="11"/>
      <c r="G418" s="11">
        <v>1.4347829999999999</v>
      </c>
      <c r="H418" s="10"/>
      <c r="I418" s="10"/>
      <c r="J418" s="10"/>
    </row>
    <row r="419" spans="1:10" ht="15.6" x14ac:dyDescent="0.3">
      <c r="A419" s="9" t="s">
        <v>49</v>
      </c>
      <c r="B419" s="10" t="s">
        <v>50</v>
      </c>
      <c r="C419" s="10" t="s">
        <v>15</v>
      </c>
      <c r="D419" s="10">
        <v>6</v>
      </c>
      <c r="E419" s="10" t="s">
        <v>16</v>
      </c>
      <c r="F419" s="11"/>
      <c r="G419" s="11">
        <v>1.4666669999999999</v>
      </c>
      <c r="H419" s="10"/>
      <c r="I419" s="10"/>
      <c r="J419" s="10"/>
    </row>
    <row r="420" spans="1:10" ht="15.6" x14ac:dyDescent="0.3">
      <c r="A420" s="9" t="s">
        <v>49</v>
      </c>
      <c r="B420" s="10" t="s">
        <v>50</v>
      </c>
      <c r="C420" s="10" t="s">
        <v>18</v>
      </c>
      <c r="D420" s="10">
        <v>10</v>
      </c>
      <c r="E420" s="10" t="s">
        <v>18</v>
      </c>
      <c r="F420" s="11"/>
      <c r="G420" s="11">
        <v>1.4347829999999999</v>
      </c>
      <c r="H420" s="10"/>
      <c r="I420" s="10"/>
      <c r="J420" s="10"/>
    </row>
    <row r="421" spans="1:10" ht="15.6" x14ac:dyDescent="0.3">
      <c r="A421" s="9" t="s">
        <v>49</v>
      </c>
      <c r="B421" s="10" t="s">
        <v>50</v>
      </c>
      <c r="C421" s="10" t="s">
        <v>20</v>
      </c>
      <c r="D421" s="10">
        <v>14.4</v>
      </c>
      <c r="E421" s="10" t="s">
        <v>20</v>
      </c>
      <c r="F421" s="11"/>
      <c r="G421" s="11">
        <v>1.4482759999999999</v>
      </c>
      <c r="H421" s="10"/>
      <c r="I421" s="10"/>
      <c r="J421" s="10"/>
    </row>
    <row r="422" spans="1:10" ht="15.6" x14ac:dyDescent="0.3">
      <c r="A422" s="9" t="s">
        <v>49</v>
      </c>
      <c r="B422" s="10" t="s">
        <v>50</v>
      </c>
      <c r="C422" s="10" t="s">
        <v>16</v>
      </c>
      <c r="D422" s="10">
        <v>12</v>
      </c>
      <c r="E422" s="10" t="s">
        <v>19</v>
      </c>
      <c r="F422" s="11"/>
      <c r="G422" s="11">
        <v>1.451613</v>
      </c>
      <c r="H422" s="10"/>
      <c r="I422" s="10"/>
      <c r="J422" s="10"/>
    </row>
    <row r="423" spans="1:10" ht="15.6" x14ac:dyDescent="0.3">
      <c r="A423" s="9" t="s">
        <v>49</v>
      </c>
      <c r="B423" s="10" t="s">
        <v>50</v>
      </c>
      <c r="C423" s="10" t="s">
        <v>21</v>
      </c>
      <c r="D423" s="10">
        <v>19.2</v>
      </c>
      <c r="E423" s="10" t="s">
        <v>22</v>
      </c>
      <c r="F423" s="11"/>
      <c r="G423" s="11">
        <v>1.464286</v>
      </c>
      <c r="H423" s="10"/>
      <c r="I423" s="10"/>
      <c r="J423" s="10"/>
    </row>
    <row r="424" spans="1:10" ht="15.6" x14ac:dyDescent="0.3">
      <c r="A424" s="9" t="s">
        <v>49</v>
      </c>
      <c r="B424" s="10" t="s">
        <v>50</v>
      </c>
      <c r="C424" s="10" t="s">
        <v>35</v>
      </c>
      <c r="D424" s="10">
        <v>38.4</v>
      </c>
      <c r="E424" s="10" t="s">
        <v>35</v>
      </c>
      <c r="F424" s="11"/>
      <c r="G424" s="11">
        <v>1.48</v>
      </c>
      <c r="H424" s="10"/>
      <c r="I424" s="10"/>
      <c r="J424" s="10"/>
    </row>
    <row r="425" spans="1:10" ht="15.6" x14ac:dyDescent="0.3">
      <c r="A425" s="9" t="s">
        <v>49</v>
      </c>
      <c r="B425" s="10" t="s">
        <v>50</v>
      </c>
      <c r="C425" s="10" t="s">
        <v>22</v>
      </c>
      <c r="D425" s="10">
        <v>38.4</v>
      </c>
      <c r="E425" s="10" t="s">
        <v>40</v>
      </c>
      <c r="F425" s="11"/>
      <c r="G425" s="11">
        <v>1.44</v>
      </c>
      <c r="H425" s="10"/>
      <c r="I425" s="10"/>
      <c r="J425" s="10"/>
    </row>
    <row r="426" spans="1:10" ht="15.6" x14ac:dyDescent="0.3">
      <c r="A426" s="9" t="s">
        <v>51</v>
      </c>
      <c r="B426" s="10">
        <v>70</v>
      </c>
      <c r="C426" s="10" t="s">
        <v>13</v>
      </c>
      <c r="D426" s="10">
        <v>2</v>
      </c>
      <c r="E426" s="10" t="s">
        <v>13</v>
      </c>
      <c r="F426" s="11">
        <v>1.1379310300000001</v>
      </c>
      <c r="G426" s="11">
        <v>2.1666669999999999</v>
      </c>
      <c r="H426" s="10"/>
      <c r="I426" s="10"/>
      <c r="J426" s="10"/>
    </row>
    <row r="427" spans="1:10" ht="15.6" x14ac:dyDescent="0.3">
      <c r="A427" s="9" t="s">
        <v>51</v>
      </c>
      <c r="B427" s="10">
        <v>70</v>
      </c>
      <c r="C427" s="10" t="s">
        <v>26</v>
      </c>
      <c r="D427" s="10">
        <v>3.6</v>
      </c>
      <c r="E427" s="10" t="s">
        <v>26</v>
      </c>
      <c r="F427" s="11">
        <v>1.1276595700000001</v>
      </c>
      <c r="G427" s="11">
        <v>2.1</v>
      </c>
      <c r="H427" s="10"/>
      <c r="I427" s="10"/>
      <c r="J427" s="10"/>
    </row>
    <row r="428" spans="1:10" ht="15.6" x14ac:dyDescent="0.3">
      <c r="A428" s="9" t="s">
        <v>51</v>
      </c>
      <c r="B428" s="10">
        <v>70</v>
      </c>
      <c r="C428" s="10" t="s">
        <v>34</v>
      </c>
      <c r="D428" s="10">
        <v>2.4</v>
      </c>
      <c r="E428" s="10" t="s">
        <v>31</v>
      </c>
      <c r="F428" s="11">
        <v>1.1200000000000001</v>
      </c>
      <c r="G428" s="11">
        <v>2</v>
      </c>
      <c r="H428" s="10"/>
      <c r="I428" s="10"/>
      <c r="J428" s="10"/>
    </row>
    <row r="429" spans="1:10" ht="15.6" x14ac:dyDescent="0.3">
      <c r="A429" s="9" t="s">
        <v>51</v>
      </c>
      <c r="B429" s="10">
        <v>70</v>
      </c>
      <c r="C429" s="10" t="s">
        <v>14</v>
      </c>
      <c r="D429" s="10">
        <v>5</v>
      </c>
      <c r="E429" s="10" t="s">
        <v>14</v>
      </c>
      <c r="F429" s="11">
        <v>1.1153846199999999</v>
      </c>
      <c r="G429" s="11">
        <v>1.8333330000000001</v>
      </c>
      <c r="H429" s="10"/>
      <c r="I429" s="10"/>
      <c r="J429" s="10"/>
    </row>
    <row r="430" spans="1:10" ht="15.6" x14ac:dyDescent="0.3">
      <c r="A430" s="9" t="s">
        <v>51</v>
      </c>
      <c r="B430" s="10">
        <v>70</v>
      </c>
      <c r="C430" s="10" t="s">
        <v>15</v>
      </c>
      <c r="D430" s="10">
        <v>6</v>
      </c>
      <c r="E430" s="10" t="s">
        <v>16</v>
      </c>
      <c r="F430" s="11">
        <v>1.14705882</v>
      </c>
      <c r="G430" s="11">
        <v>1.875</v>
      </c>
      <c r="H430" s="10"/>
      <c r="I430" s="10"/>
      <c r="J430" s="10"/>
    </row>
    <row r="431" spans="1:10" ht="15.6" x14ac:dyDescent="0.3">
      <c r="A431" s="9" t="s">
        <v>51</v>
      </c>
      <c r="B431" s="10">
        <v>70</v>
      </c>
      <c r="C431" s="10" t="s">
        <v>18</v>
      </c>
      <c r="D431" s="10">
        <v>10</v>
      </c>
      <c r="E431" s="10" t="s">
        <v>18</v>
      </c>
      <c r="F431" s="11">
        <v>1.1153846199999999</v>
      </c>
      <c r="G431" s="11">
        <v>1.8333330000000001</v>
      </c>
      <c r="H431" s="10"/>
      <c r="I431" s="10"/>
      <c r="J431" s="10"/>
    </row>
    <row r="432" spans="1:10" ht="15.6" x14ac:dyDescent="0.3">
      <c r="A432" s="9" t="s">
        <v>51</v>
      </c>
      <c r="B432" s="10">
        <v>70</v>
      </c>
      <c r="C432" s="10" t="s">
        <v>20</v>
      </c>
      <c r="D432" s="10">
        <v>14.4</v>
      </c>
      <c r="E432" s="10" t="s">
        <v>20</v>
      </c>
      <c r="F432" s="11">
        <v>1.15151515</v>
      </c>
      <c r="G432" s="11">
        <v>2.1428569999999998</v>
      </c>
      <c r="H432" s="10"/>
      <c r="I432" s="10"/>
      <c r="J432" s="10"/>
    </row>
    <row r="433" spans="1:10" ht="15.6" x14ac:dyDescent="0.3">
      <c r="A433" s="9" t="s">
        <v>51</v>
      </c>
      <c r="B433" s="10">
        <v>70</v>
      </c>
      <c r="C433" s="10" t="s">
        <v>16</v>
      </c>
      <c r="D433" s="10">
        <v>12</v>
      </c>
      <c r="E433" s="10" t="s">
        <v>19</v>
      </c>
      <c r="F433" s="11">
        <v>1.14285714</v>
      </c>
      <c r="G433" s="11">
        <v>1.875</v>
      </c>
      <c r="H433" s="10"/>
      <c r="I433" s="10"/>
      <c r="J433" s="10"/>
    </row>
    <row r="434" spans="1:10" ht="15.6" x14ac:dyDescent="0.3">
      <c r="A434" s="9" t="s">
        <v>51</v>
      </c>
      <c r="B434" s="10">
        <v>70</v>
      </c>
      <c r="C434" s="10" t="s">
        <v>21</v>
      </c>
      <c r="D434" s="10">
        <v>19.2</v>
      </c>
      <c r="E434" s="10" t="s">
        <v>22</v>
      </c>
      <c r="F434" s="11">
        <v>1.12121212</v>
      </c>
      <c r="G434" s="11">
        <v>2</v>
      </c>
      <c r="H434" s="10"/>
      <c r="I434" s="10"/>
      <c r="J434" s="10"/>
    </row>
    <row r="435" spans="1:10" ht="15.6" x14ac:dyDescent="0.3">
      <c r="A435" s="9" t="s">
        <v>51</v>
      </c>
      <c r="B435" s="10">
        <v>70</v>
      </c>
      <c r="C435" s="10" t="s">
        <v>35</v>
      </c>
      <c r="D435" s="10">
        <v>38.4</v>
      </c>
      <c r="E435" s="10" t="s">
        <v>35</v>
      </c>
      <c r="F435" s="11">
        <v>1.1379310300000001</v>
      </c>
      <c r="G435" s="11">
        <v>2.1666669999999999</v>
      </c>
      <c r="H435" s="10"/>
      <c r="I435" s="10"/>
      <c r="J435" s="10"/>
    </row>
    <row r="436" spans="1:10" ht="15.6" x14ac:dyDescent="0.3">
      <c r="A436" s="9" t="s">
        <v>51</v>
      </c>
      <c r="B436" s="10">
        <v>70</v>
      </c>
      <c r="C436" s="10" t="s">
        <v>22</v>
      </c>
      <c r="D436" s="10">
        <v>38.4</v>
      </c>
      <c r="E436" s="10" t="s">
        <v>40</v>
      </c>
      <c r="F436" s="11">
        <v>1.14285714</v>
      </c>
      <c r="G436" s="11">
        <v>2</v>
      </c>
      <c r="H436" s="10"/>
      <c r="I436" s="10"/>
      <c r="J436" s="10"/>
    </row>
    <row r="437" spans="1:10" ht="15.6" x14ac:dyDescent="0.3">
      <c r="A437" s="9" t="s">
        <v>51</v>
      </c>
      <c r="B437" s="10">
        <v>80</v>
      </c>
      <c r="C437" s="10" t="s">
        <v>13</v>
      </c>
      <c r="D437" s="10">
        <v>2</v>
      </c>
      <c r="E437" s="10" t="s">
        <v>13</v>
      </c>
      <c r="F437" s="11">
        <v>1.08695652</v>
      </c>
      <c r="G437" s="11">
        <v>1.818182</v>
      </c>
      <c r="H437" s="10"/>
      <c r="I437" s="10"/>
      <c r="J437" s="10"/>
    </row>
    <row r="438" spans="1:10" ht="15.6" x14ac:dyDescent="0.3">
      <c r="A438" s="9" t="s">
        <v>51</v>
      </c>
      <c r="B438" s="10">
        <v>80</v>
      </c>
      <c r="C438" s="10" t="s">
        <v>26</v>
      </c>
      <c r="D438" s="10">
        <v>3.6</v>
      </c>
      <c r="E438" s="10" t="s">
        <v>26</v>
      </c>
      <c r="F438" s="11">
        <v>1.1081081100000001</v>
      </c>
      <c r="G438" s="11">
        <v>1.7777780000000001</v>
      </c>
      <c r="H438" s="10"/>
      <c r="I438" s="10"/>
      <c r="J438" s="10"/>
    </row>
    <row r="439" spans="1:10" ht="15.6" x14ac:dyDescent="0.3">
      <c r="A439" s="9" t="s">
        <v>51</v>
      </c>
      <c r="B439" s="10">
        <v>80</v>
      </c>
      <c r="C439" s="10" t="s">
        <v>34</v>
      </c>
      <c r="D439" s="10">
        <v>2.4</v>
      </c>
      <c r="E439" s="10" t="s">
        <v>31</v>
      </c>
      <c r="F439" s="11">
        <v>1.0886075900000001</v>
      </c>
      <c r="G439" s="11">
        <v>1.789474</v>
      </c>
      <c r="H439" s="10"/>
      <c r="I439" s="10"/>
      <c r="J439" s="10"/>
    </row>
    <row r="440" spans="1:10" ht="15.6" x14ac:dyDescent="0.3">
      <c r="A440" s="9" t="s">
        <v>51</v>
      </c>
      <c r="B440" s="10">
        <v>80</v>
      </c>
      <c r="C440" s="10" t="s">
        <v>14</v>
      </c>
      <c r="D440" s="10">
        <v>5</v>
      </c>
      <c r="E440" s="10" t="s">
        <v>14</v>
      </c>
      <c r="F440" s="11">
        <v>1.0975609799999999</v>
      </c>
      <c r="G440" s="11">
        <v>1.8</v>
      </c>
      <c r="H440" s="10"/>
      <c r="I440" s="10"/>
      <c r="J440" s="10"/>
    </row>
    <row r="441" spans="1:10" ht="15.6" x14ac:dyDescent="0.3">
      <c r="A441" s="9" t="s">
        <v>51</v>
      </c>
      <c r="B441" s="10">
        <v>80</v>
      </c>
      <c r="C441" s="10" t="s">
        <v>15</v>
      </c>
      <c r="D441" s="10">
        <v>6</v>
      </c>
      <c r="E441" s="10" t="s">
        <v>16</v>
      </c>
      <c r="F441" s="11">
        <v>1.11111111</v>
      </c>
      <c r="G441" s="11">
        <v>1.8461540000000001</v>
      </c>
      <c r="H441" s="10"/>
      <c r="I441" s="10"/>
      <c r="J441" s="10"/>
    </row>
    <row r="442" spans="1:10" ht="15.6" x14ac:dyDescent="0.3">
      <c r="A442" s="9" t="s">
        <v>51</v>
      </c>
      <c r="B442" s="10">
        <v>80</v>
      </c>
      <c r="C442" s="10" t="s">
        <v>18</v>
      </c>
      <c r="D442" s="10">
        <v>10</v>
      </c>
      <c r="E442" s="10" t="s">
        <v>18</v>
      </c>
      <c r="F442" s="11">
        <v>1.0975609799999999</v>
      </c>
      <c r="G442" s="11">
        <v>1.8</v>
      </c>
      <c r="H442" s="10"/>
      <c r="I442" s="10"/>
      <c r="J442" s="10"/>
    </row>
    <row r="443" spans="1:10" ht="15.6" x14ac:dyDescent="0.3">
      <c r="A443" s="9" t="s">
        <v>51</v>
      </c>
      <c r="B443" s="10">
        <v>80</v>
      </c>
      <c r="C443" s="10" t="s">
        <v>20</v>
      </c>
      <c r="D443" s="10">
        <v>14.4</v>
      </c>
      <c r="E443" s="10" t="s">
        <v>20</v>
      </c>
      <c r="F443" s="11">
        <v>1.09433962</v>
      </c>
      <c r="G443" s="11">
        <v>1.769231</v>
      </c>
      <c r="H443" s="10"/>
      <c r="I443" s="10"/>
      <c r="J443" s="10"/>
    </row>
    <row r="444" spans="1:10" ht="15.6" x14ac:dyDescent="0.3">
      <c r="A444" s="9" t="s">
        <v>51</v>
      </c>
      <c r="B444" s="10">
        <v>80</v>
      </c>
      <c r="C444" s="10" t="s">
        <v>16</v>
      </c>
      <c r="D444" s="10">
        <v>12</v>
      </c>
      <c r="E444" s="10" t="s">
        <v>19</v>
      </c>
      <c r="F444" s="11">
        <v>1.08928571</v>
      </c>
      <c r="G444" s="11">
        <v>1.8461540000000001</v>
      </c>
      <c r="H444" s="10"/>
      <c r="I444" s="10"/>
      <c r="J444" s="10"/>
    </row>
    <row r="445" spans="1:10" ht="15.6" x14ac:dyDescent="0.3">
      <c r="A445" s="9" t="s">
        <v>51</v>
      </c>
      <c r="B445" s="10">
        <v>80</v>
      </c>
      <c r="C445" s="10" t="s">
        <v>21</v>
      </c>
      <c r="D445" s="10">
        <v>19.2</v>
      </c>
      <c r="E445" s="10" t="s">
        <v>22</v>
      </c>
      <c r="F445" s="11">
        <v>1.0961538500000001</v>
      </c>
      <c r="G445" s="11">
        <v>1.8333330000000001</v>
      </c>
      <c r="H445" s="10"/>
      <c r="I445" s="10"/>
      <c r="J445" s="10"/>
    </row>
    <row r="446" spans="1:10" ht="15.6" x14ac:dyDescent="0.3">
      <c r="A446" s="9" t="s">
        <v>51</v>
      </c>
      <c r="B446" s="10">
        <v>80</v>
      </c>
      <c r="C446" s="10" t="s">
        <v>35</v>
      </c>
      <c r="D446" s="10">
        <v>38.4</v>
      </c>
      <c r="E446" s="10" t="s">
        <v>35</v>
      </c>
      <c r="F446" s="11">
        <v>1.10869565</v>
      </c>
      <c r="G446" s="11">
        <v>1.818182</v>
      </c>
      <c r="H446" s="10"/>
      <c r="I446" s="10"/>
      <c r="J446" s="10"/>
    </row>
    <row r="447" spans="1:10" ht="15.6" x14ac:dyDescent="0.3">
      <c r="A447" s="9" t="s">
        <v>51</v>
      </c>
      <c r="B447" s="10">
        <v>80</v>
      </c>
      <c r="C447" s="10" t="s">
        <v>22</v>
      </c>
      <c r="D447" s="10">
        <v>38.4</v>
      </c>
      <c r="E447" s="10" t="s">
        <v>40</v>
      </c>
      <c r="F447" s="11">
        <v>1.11111111</v>
      </c>
      <c r="G447" s="11">
        <v>1.818182</v>
      </c>
      <c r="H447" s="10"/>
      <c r="I447" s="10"/>
      <c r="J447" s="10"/>
    </row>
    <row r="448" spans="1:10" ht="15.6" x14ac:dyDescent="0.3">
      <c r="A448" s="9" t="s">
        <v>51</v>
      </c>
      <c r="B448" s="10">
        <v>100</v>
      </c>
      <c r="C448" s="10" t="s">
        <v>13</v>
      </c>
      <c r="D448" s="10">
        <v>2</v>
      </c>
      <c r="E448" s="10" t="s">
        <v>13</v>
      </c>
      <c r="F448" s="11">
        <v>1.0652173899999999</v>
      </c>
      <c r="G448" s="11">
        <v>1.68</v>
      </c>
      <c r="H448" s="10"/>
      <c r="I448" s="10"/>
      <c r="J448" s="10"/>
    </row>
    <row r="449" spans="1:10" ht="15.6" x14ac:dyDescent="0.3">
      <c r="A449" s="9" t="s">
        <v>51</v>
      </c>
      <c r="B449" s="10">
        <v>100</v>
      </c>
      <c r="C449" s="10" t="s">
        <v>26</v>
      </c>
      <c r="D449" s="10">
        <v>3.6</v>
      </c>
      <c r="E449" s="10" t="s">
        <v>26</v>
      </c>
      <c r="F449" s="11">
        <v>1.06711409</v>
      </c>
      <c r="G449" s="11">
        <v>1.6585369999999999</v>
      </c>
      <c r="H449" s="10"/>
      <c r="I449" s="10"/>
      <c r="J449" s="10"/>
    </row>
    <row r="450" spans="1:10" ht="15.6" x14ac:dyDescent="0.3">
      <c r="A450" s="9" t="s">
        <v>51</v>
      </c>
      <c r="B450" s="10">
        <v>100</v>
      </c>
      <c r="C450" s="10" t="s">
        <v>34</v>
      </c>
      <c r="D450" s="10">
        <v>2.4</v>
      </c>
      <c r="E450" s="10" t="s">
        <v>31</v>
      </c>
      <c r="F450" s="11">
        <v>1.06329114</v>
      </c>
      <c r="G450" s="11">
        <v>1.6744190000000001</v>
      </c>
      <c r="H450" s="10"/>
      <c r="I450" s="10"/>
      <c r="J450" s="10"/>
    </row>
    <row r="451" spans="1:10" ht="15.6" x14ac:dyDescent="0.3">
      <c r="A451" s="9" t="s">
        <v>51</v>
      </c>
      <c r="B451" s="10">
        <v>100</v>
      </c>
      <c r="C451" s="10" t="s">
        <v>14</v>
      </c>
      <c r="D451" s="10">
        <v>5</v>
      </c>
      <c r="E451" s="10" t="s">
        <v>14</v>
      </c>
      <c r="F451" s="11">
        <v>1.07317073</v>
      </c>
      <c r="G451" s="11">
        <v>1.652174</v>
      </c>
      <c r="H451" s="10"/>
      <c r="I451" s="10"/>
      <c r="J451" s="10"/>
    </row>
    <row r="452" spans="1:10" ht="15.6" x14ac:dyDescent="0.3">
      <c r="A452" s="9" t="s">
        <v>51</v>
      </c>
      <c r="B452" s="10">
        <v>100</v>
      </c>
      <c r="C452" s="10" t="s">
        <v>15</v>
      </c>
      <c r="D452" s="10">
        <v>6</v>
      </c>
      <c r="E452" s="10" t="s">
        <v>16</v>
      </c>
      <c r="F452" s="11">
        <v>1.06422018</v>
      </c>
      <c r="G452" s="11">
        <v>1.6666669999999999</v>
      </c>
      <c r="H452" s="10"/>
      <c r="I452" s="10"/>
      <c r="J452" s="10"/>
    </row>
    <row r="453" spans="1:10" ht="15.6" x14ac:dyDescent="0.3">
      <c r="A453" s="9" t="s">
        <v>51</v>
      </c>
      <c r="B453" s="10">
        <v>100</v>
      </c>
      <c r="C453" s="10" t="s">
        <v>18</v>
      </c>
      <c r="D453" s="10">
        <v>10</v>
      </c>
      <c r="E453" s="10" t="s">
        <v>18</v>
      </c>
      <c r="F453" s="11">
        <v>1.07317073</v>
      </c>
      <c r="G453" s="11">
        <v>1.652174</v>
      </c>
      <c r="H453" s="10"/>
      <c r="I453" s="10"/>
      <c r="J453" s="10"/>
    </row>
    <row r="454" spans="1:10" ht="15.6" x14ac:dyDescent="0.3">
      <c r="A454" s="9" t="s">
        <v>51</v>
      </c>
      <c r="B454" s="10">
        <v>100</v>
      </c>
      <c r="C454" s="10" t="s">
        <v>20</v>
      </c>
      <c r="D454" s="10">
        <v>14.4</v>
      </c>
      <c r="E454" s="10" t="s">
        <v>20</v>
      </c>
      <c r="F454" s="11">
        <v>1.0660377400000001</v>
      </c>
      <c r="G454" s="11">
        <v>1.6551720000000001</v>
      </c>
      <c r="H454" s="10"/>
      <c r="I454" s="10"/>
      <c r="J454" s="10"/>
    </row>
    <row r="455" spans="1:10" ht="15.6" x14ac:dyDescent="0.3">
      <c r="A455" s="9" t="s">
        <v>51</v>
      </c>
      <c r="B455" s="10">
        <v>100</v>
      </c>
      <c r="C455" s="10" t="s">
        <v>16</v>
      </c>
      <c r="D455" s="10">
        <v>12</v>
      </c>
      <c r="E455" s="10" t="s">
        <v>19</v>
      </c>
      <c r="F455" s="11">
        <v>1.0625</v>
      </c>
      <c r="G455" s="11">
        <v>1.6451610000000001</v>
      </c>
      <c r="H455" s="10"/>
      <c r="I455" s="10"/>
      <c r="J455" s="10"/>
    </row>
    <row r="456" spans="1:10" ht="15.6" x14ac:dyDescent="0.3">
      <c r="A456" s="9" t="s">
        <v>51</v>
      </c>
      <c r="B456" s="10">
        <v>100</v>
      </c>
      <c r="C456" s="10" t="s">
        <v>21</v>
      </c>
      <c r="D456" s="10">
        <v>19.2</v>
      </c>
      <c r="E456" s="10" t="s">
        <v>22</v>
      </c>
      <c r="F456" s="11">
        <v>1.05769231</v>
      </c>
      <c r="G456" s="11">
        <v>1.62069</v>
      </c>
      <c r="H456" s="10"/>
      <c r="I456" s="10"/>
      <c r="J456" s="10"/>
    </row>
    <row r="457" spans="1:10" ht="15.6" x14ac:dyDescent="0.3">
      <c r="A457" s="9" t="s">
        <v>51</v>
      </c>
      <c r="B457" s="10">
        <v>100</v>
      </c>
      <c r="C457" s="10" t="s">
        <v>35</v>
      </c>
      <c r="D457" s="10">
        <v>38.4</v>
      </c>
      <c r="E457" s="10" t="s">
        <v>35</v>
      </c>
      <c r="F457" s="11">
        <v>1.0652173899999999</v>
      </c>
      <c r="G457" s="11">
        <v>1.68</v>
      </c>
      <c r="H457" s="10"/>
      <c r="I457" s="10"/>
      <c r="J457" s="10"/>
    </row>
    <row r="458" spans="1:10" ht="15.6" x14ac:dyDescent="0.3">
      <c r="A458" s="9" t="s">
        <v>51</v>
      </c>
      <c r="B458" s="10">
        <v>100</v>
      </c>
      <c r="C458" s="10" t="s">
        <v>22</v>
      </c>
      <c r="D458" s="10">
        <v>38.4</v>
      </c>
      <c r="E458" s="10" t="s">
        <v>40</v>
      </c>
      <c r="F458" s="11">
        <v>1.0549450499999999</v>
      </c>
      <c r="G458" s="11">
        <v>1.64</v>
      </c>
      <c r="H458" s="10"/>
      <c r="I458" s="10"/>
      <c r="J458" s="10"/>
    </row>
    <row r="459" spans="1:10" ht="15.6" x14ac:dyDescent="0.3">
      <c r="A459" s="9" t="s">
        <v>51</v>
      </c>
      <c r="B459" s="10">
        <v>120</v>
      </c>
      <c r="C459" s="10" t="s">
        <v>13</v>
      </c>
      <c r="D459" s="10">
        <v>2</v>
      </c>
      <c r="E459" s="10" t="s">
        <v>13</v>
      </c>
      <c r="F459" s="11">
        <v>1.0472973000000001</v>
      </c>
      <c r="G459" s="11">
        <v>1.568182</v>
      </c>
      <c r="H459" s="10"/>
      <c r="I459" s="10"/>
      <c r="J459" s="10"/>
    </row>
    <row r="460" spans="1:10" ht="15.6" x14ac:dyDescent="0.3">
      <c r="A460" s="9" t="s">
        <v>51</v>
      </c>
      <c r="B460" s="10">
        <v>120</v>
      </c>
      <c r="C460" s="10" t="s">
        <v>26</v>
      </c>
      <c r="D460" s="10">
        <v>3.6</v>
      </c>
      <c r="E460" s="10" t="s">
        <v>26</v>
      </c>
      <c r="F460" s="11">
        <v>1.05020921</v>
      </c>
      <c r="G460" s="11">
        <v>1.56338</v>
      </c>
      <c r="H460" s="10"/>
      <c r="I460" s="10"/>
      <c r="J460" s="10"/>
    </row>
    <row r="461" spans="1:10" ht="15.6" x14ac:dyDescent="0.3">
      <c r="A461" s="9" t="s">
        <v>51</v>
      </c>
      <c r="B461" s="10">
        <v>120</v>
      </c>
      <c r="C461" s="10" t="s">
        <v>34</v>
      </c>
      <c r="D461" s="10">
        <v>2.4</v>
      </c>
      <c r="E461" s="10" t="s">
        <v>31</v>
      </c>
      <c r="F461" s="11">
        <v>1.04724409</v>
      </c>
      <c r="G461" s="11">
        <v>1.56</v>
      </c>
      <c r="H461" s="10"/>
      <c r="I461" s="10"/>
      <c r="J461" s="10"/>
    </row>
    <row r="462" spans="1:10" ht="15.6" x14ac:dyDescent="0.3">
      <c r="A462" s="9" t="s">
        <v>51</v>
      </c>
      <c r="B462" s="10">
        <v>120</v>
      </c>
      <c r="C462" s="10" t="s">
        <v>14</v>
      </c>
      <c r="D462" s="10">
        <v>5</v>
      </c>
      <c r="E462" s="10" t="s">
        <v>14</v>
      </c>
      <c r="F462" s="11">
        <v>1.04511278</v>
      </c>
      <c r="G462" s="11">
        <v>1.589744</v>
      </c>
      <c r="H462" s="10"/>
      <c r="I462" s="10"/>
      <c r="J462" s="10"/>
    </row>
    <row r="463" spans="1:10" ht="15.6" x14ac:dyDescent="0.3">
      <c r="A463" s="9" t="s">
        <v>51</v>
      </c>
      <c r="B463" s="10">
        <v>120</v>
      </c>
      <c r="C463" s="10" t="s">
        <v>15</v>
      </c>
      <c r="D463" s="10">
        <v>6</v>
      </c>
      <c r="E463" s="10" t="s">
        <v>16</v>
      </c>
      <c r="F463" s="11">
        <v>1.0454545500000001</v>
      </c>
      <c r="G463" s="11">
        <v>1.5576920000000001</v>
      </c>
      <c r="H463" s="10"/>
      <c r="I463" s="10"/>
      <c r="J463" s="10"/>
    </row>
    <row r="464" spans="1:10" ht="15.6" x14ac:dyDescent="0.3">
      <c r="A464" s="9" t="s">
        <v>51</v>
      </c>
      <c r="B464" s="10">
        <v>120</v>
      </c>
      <c r="C464" s="10" t="s">
        <v>18</v>
      </c>
      <c r="D464" s="10">
        <v>10</v>
      </c>
      <c r="E464" s="10" t="s">
        <v>18</v>
      </c>
      <c r="F464" s="11">
        <v>1.04511278</v>
      </c>
      <c r="G464" s="11">
        <v>1.589744</v>
      </c>
      <c r="H464" s="10"/>
      <c r="I464" s="10"/>
      <c r="J464" s="10"/>
    </row>
    <row r="465" spans="1:10" ht="15.6" x14ac:dyDescent="0.3">
      <c r="A465" s="9" t="s">
        <v>51</v>
      </c>
      <c r="B465" s="10">
        <v>120</v>
      </c>
      <c r="C465" s="10" t="s">
        <v>20</v>
      </c>
      <c r="D465" s="10">
        <v>14.4</v>
      </c>
      <c r="E465" s="10" t="s">
        <v>20</v>
      </c>
      <c r="F465" s="11">
        <v>1.0470588199999999</v>
      </c>
      <c r="G465" s="11">
        <v>1.58</v>
      </c>
      <c r="H465" s="10"/>
      <c r="I465" s="10"/>
      <c r="J465" s="10"/>
    </row>
    <row r="466" spans="1:10" ht="15.6" x14ac:dyDescent="0.3">
      <c r="A466" s="9" t="s">
        <v>51</v>
      </c>
      <c r="B466" s="10">
        <v>120</v>
      </c>
      <c r="C466" s="10" t="s">
        <v>16</v>
      </c>
      <c r="D466" s="10">
        <v>12</v>
      </c>
      <c r="E466" s="10" t="s">
        <v>19</v>
      </c>
      <c r="F466" s="11">
        <v>1.05027933</v>
      </c>
      <c r="G466" s="11">
        <v>1.566038</v>
      </c>
      <c r="H466" s="10"/>
      <c r="I466" s="10"/>
      <c r="J466" s="10"/>
    </row>
    <row r="467" spans="1:10" ht="15.6" x14ac:dyDescent="0.3">
      <c r="A467" s="9" t="s">
        <v>51</v>
      </c>
      <c r="B467" s="10">
        <v>120</v>
      </c>
      <c r="C467" s="10" t="s">
        <v>21</v>
      </c>
      <c r="D467" s="10">
        <v>19.2</v>
      </c>
      <c r="E467" s="10" t="s">
        <v>22</v>
      </c>
      <c r="F467" s="11">
        <v>1.0479041899999999</v>
      </c>
      <c r="G467" s="11">
        <v>1.571429</v>
      </c>
      <c r="H467" s="10"/>
      <c r="I467" s="10"/>
      <c r="J467" s="10"/>
    </row>
    <row r="468" spans="1:10" ht="15.6" x14ac:dyDescent="0.3">
      <c r="A468" s="9" t="s">
        <v>51</v>
      </c>
      <c r="B468" s="10">
        <v>120</v>
      </c>
      <c r="C468" s="10" t="s">
        <v>35</v>
      </c>
      <c r="D468" s="10">
        <v>38.4</v>
      </c>
      <c r="E468" s="10" t="s">
        <v>35</v>
      </c>
      <c r="F468" s="11">
        <v>1.05405405</v>
      </c>
      <c r="G468" s="11">
        <v>1.568182</v>
      </c>
      <c r="H468" s="10"/>
      <c r="I468" s="10"/>
      <c r="J468" s="10"/>
    </row>
    <row r="469" spans="1:10" ht="15.6" x14ac:dyDescent="0.3">
      <c r="A469" s="9" t="s">
        <v>51</v>
      </c>
      <c r="B469" s="10">
        <v>120</v>
      </c>
      <c r="C469" s="10" t="s">
        <v>22</v>
      </c>
      <c r="D469" s="10">
        <v>38.4</v>
      </c>
      <c r="E469" s="10" t="s">
        <v>40</v>
      </c>
      <c r="F469" s="11">
        <v>1.04794521</v>
      </c>
      <c r="G469" s="11">
        <v>1.5581400000000001</v>
      </c>
      <c r="H469" s="10"/>
      <c r="I469" s="10"/>
      <c r="J469" s="10"/>
    </row>
    <row r="470" spans="1:10" ht="15.6" x14ac:dyDescent="0.3">
      <c r="A470" s="9" t="s">
        <v>51</v>
      </c>
      <c r="B470" s="10">
        <v>140</v>
      </c>
      <c r="C470" s="10" t="s">
        <v>13</v>
      </c>
      <c r="D470" s="10">
        <v>2</v>
      </c>
      <c r="E470" s="10" t="s">
        <v>13</v>
      </c>
      <c r="F470" s="11">
        <v>1.04090909</v>
      </c>
      <c r="G470" s="11">
        <v>1.538462</v>
      </c>
      <c r="H470" s="10"/>
      <c r="I470" s="10"/>
      <c r="J470" s="10"/>
    </row>
    <row r="471" spans="1:10" ht="15.6" x14ac:dyDescent="0.3">
      <c r="A471" s="9" t="s">
        <v>51</v>
      </c>
      <c r="B471" s="10">
        <v>140</v>
      </c>
      <c r="C471" s="10" t="s">
        <v>26</v>
      </c>
      <c r="D471" s="10">
        <v>3.6</v>
      </c>
      <c r="E471" s="10" t="s">
        <v>26</v>
      </c>
      <c r="F471" s="11">
        <v>1.04213483</v>
      </c>
      <c r="G471" s="11">
        <v>1.528302</v>
      </c>
      <c r="H471" s="10"/>
      <c r="I471" s="10"/>
      <c r="J471" s="10"/>
    </row>
    <row r="472" spans="1:10" ht="15.6" x14ac:dyDescent="0.3">
      <c r="A472" s="9" t="s">
        <v>51</v>
      </c>
      <c r="B472" s="10">
        <v>140</v>
      </c>
      <c r="C472" s="10" t="s">
        <v>34</v>
      </c>
      <c r="D472" s="10">
        <v>2.4</v>
      </c>
      <c r="E472" s="10" t="s">
        <v>31</v>
      </c>
      <c r="F472" s="11">
        <v>1.03968254</v>
      </c>
      <c r="G472" s="11">
        <v>1.526786</v>
      </c>
      <c r="H472" s="10"/>
      <c r="I472" s="10"/>
      <c r="J472" s="10"/>
    </row>
    <row r="473" spans="1:10" ht="15.6" x14ac:dyDescent="0.3">
      <c r="A473" s="9" t="s">
        <v>51</v>
      </c>
      <c r="B473" s="10">
        <v>140</v>
      </c>
      <c r="C473" s="10" t="s">
        <v>14</v>
      </c>
      <c r="D473" s="10">
        <v>5</v>
      </c>
      <c r="E473" s="10" t="s">
        <v>14</v>
      </c>
      <c r="F473" s="11">
        <v>1.0406091399999999</v>
      </c>
      <c r="G473" s="11">
        <v>1.5254239999999999</v>
      </c>
      <c r="H473" s="10"/>
      <c r="I473" s="10"/>
      <c r="J473" s="10"/>
    </row>
    <row r="474" spans="1:10" ht="15.6" x14ac:dyDescent="0.3">
      <c r="A474" s="9" t="s">
        <v>51</v>
      </c>
      <c r="B474" s="10">
        <v>140</v>
      </c>
      <c r="C474" s="10" t="s">
        <v>15</v>
      </c>
      <c r="D474" s="10">
        <v>6</v>
      </c>
      <c r="E474" s="10" t="s">
        <v>16</v>
      </c>
      <c r="F474" s="11">
        <v>1.0381679399999999</v>
      </c>
      <c r="G474" s="11">
        <v>1.512821</v>
      </c>
      <c r="H474" s="10"/>
      <c r="I474" s="10"/>
      <c r="J474" s="10"/>
    </row>
    <row r="475" spans="1:10" ht="15.6" x14ac:dyDescent="0.3">
      <c r="A475" s="9" t="s">
        <v>51</v>
      </c>
      <c r="B475" s="10">
        <v>140</v>
      </c>
      <c r="C475" s="10" t="s">
        <v>18</v>
      </c>
      <c r="D475" s="10">
        <v>10</v>
      </c>
      <c r="E475" s="10" t="s">
        <v>18</v>
      </c>
      <c r="F475" s="11">
        <v>1.0406091399999999</v>
      </c>
      <c r="G475" s="11">
        <v>1.5254239999999999</v>
      </c>
      <c r="H475" s="10"/>
      <c r="I475" s="10"/>
      <c r="J475" s="10"/>
    </row>
    <row r="476" spans="1:10" ht="15.6" x14ac:dyDescent="0.3">
      <c r="A476" s="9" t="s">
        <v>51</v>
      </c>
      <c r="B476" s="10">
        <v>140</v>
      </c>
      <c r="C476" s="10" t="s">
        <v>20</v>
      </c>
      <c r="D476" s="10">
        <v>14.4</v>
      </c>
      <c r="E476" s="10" t="s">
        <v>20</v>
      </c>
      <c r="F476" s="11">
        <v>1.0395256900000001</v>
      </c>
      <c r="G476" s="11">
        <v>1.5333330000000001</v>
      </c>
      <c r="H476" s="10"/>
      <c r="I476" s="10"/>
      <c r="J476" s="10"/>
    </row>
    <row r="477" spans="1:10" ht="15.6" x14ac:dyDescent="0.3">
      <c r="A477" s="9" t="s">
        <v>51</v>
      </c>
      <c r="B477" s="10">
        <v>140</v>
      </c>
      <c r="C477" s="10" t="s">
        <v>16</v>
      </c>
      <c r="D477" s="10">
        <v>12</v>
      </c>
      <c r="E477" s="10" t="s">
        <v>19</v>
      </c>
      <c r="F477" s="11">
        <v>1.0411984999999999</v>
      </c>
      <c r="G477" s="11">
        <v>1.5316460000000001</v>
      </c>
      <c r="H477" s="10"/>
      <c r="I477" s="10"/>
      <c r="J477" s="10"/>
    </row>
    <row r="478" spans="1:10" ht="15.6" x14ac:dyDescent="0.3">
      <c r="A478" s="9" t="s">
        <v>51</v>
      </c>
      <c r="B478" s="10">
        <v>140</v>
      </c>
      <c r="C478" s="10" t="s">
        <v>21</v>
      </c>
      <c r="D478" s="10">
        <v>19.2</v>
      </c>
      <c r="E478" s="10" t="s">
        <v>22</v>
      </c>
      <c r="F478" s="11">
        <v>1.0401606400000001</v>
      </c>
      <c r="G478" s="11">
        <v>1.513514</v>
      </c>
      <c r="H478" s="10"/>
      <c r="I478" s="10"/>
      <c r="J478" s="10"/>
    </row>
    <row r="479" spans="1:10" ht="15.6" x14ac:dyDescent="0.3">
      <c r="A479" s="9" t="s">
        <v>51</v>
      </c>
      <c r="B479" s="10">
        <v>140</v>
      </c>
      <c r="C479" s="10" t="s">
        <v>35</v>
      </c>
      <c r="D479" s="10">
        <v>38.4</v>
      </c>
      <c r="E479" s="10" t="s">
        <v>35</v>
      </c>
      <c r="F479" s="11">
        <v>1.0407239800000001</v>
      </c>
      <c r="G479" s="11">
        <v>1.5151520000000001</v>
      </c>
      <c r="H479" s="10"/>
      <c r="I479" s="10"/>
      <c r="J479" s="10"/>
    </row>
    <row r="480" spans="1:10" ht="15.6" x14ac:dyDescent="0.3">
      <c r="A480" s="9" t="s">
        <v>51</v>
      </c>
      <c r="B480" s="10">
        <v>140</v>
      </c>
      <c r="C480" s="10" t="s">
        <v>22</v>
      </c>
      <c r="D480" s="10">
        <v>38.4</v>
      </c>
      <c r="E480" s="10" t="s">
        <v>40</v>
      </c>
      <c r="F480" s="11">
        <v>1.03669725</v>
      </c>
      <c r="G480" s="11">
        <v>1.507692</v>
      </c>
      <c r="H480" s="10"/>
      <c r="I480" s="10"/>
      <c r="J480" s="10"/>
    </row>
    <row r="481" spans="1:10" ht="15.6" x14ac:dyDescent="0.3">
      <c r="A481" s="9" t="s">
        <v>51</v>
      </c>
      <c r="B481" s="10" t="s">
        <v>52</v>
      </c>
      <c r="C481" s="10" t="s">
        <v>21</v>
      </c>
      <c r="D481" s="10">
        <v>19.2</v>
      </c>
      <c r="E481" s="10" t="s">
        <v>22</v>
      </c>
      <c r="F481" s="11"/>
      <c r="G481" s="11">
        <v>1.718259</v>
      </c>
      <c r="H481" s="10"/>
      <c r="I481" s="10"/>
      <c r="J481" s="10"/>
    </row>
    <row r="482" spans="1:10" ht="15.6" x14ac:dyDescent="0.3">
      <c r="A482" s="9" t="s">
        <v>51</v>
      </c>
      <c r="B482" s="10" t="s">
        <v>53</v>
      </c>
      <c r="C482" s="10" t="s">
        <v>21</v>
      </c>
      <c r="D482" s="10">
        <v>19.2</v>
      </c>
      <c r="E482" s="10" t="s">
        <v>22</v>
      </c>
      <c r="F482" s="11"/>
      <c r="G482" s="11">
        <v>1.6565129999999999</v>
      </c>
      <c r="H482" s="10"/>
      <c r="I482" s="10"/>
      <c r="J482" s="10"/>
    </row>
    <row r="483" spans="1:10" ht="15.6" x14ac:dyDescent="0.3">
      <c r="A483" s="9" t="s">
        <v>51</v>
      </c>
      <c r="B483" s="10" t="s">
        <v>54</v>
      </c>
      <c r="C483" s="10" t="s">
        <v>21</v>
      </c>
      <c r="D483" s="10">
        <v>19.2</v>
      </c>
      <c r="E483" s="10" t="s">
        <v>22</v>
      </c>
      <c r="F483" s="11"/>
      <c r="G483" s="11">
        <v>1.8719190000000001</v>
      </c>
      <c r="H483" s="10"/>
      <c r="I483" s="10"/>
      <c r="J483" s="10"/>
    </row>
    <row r="484" spans="1:10" ht="15.6" x14ac:dyDescent="0.3">
      <c r="A484" s="9" t="s">
        <v>49</v>
      </c>
      <c r="B484" s="10" t="s">
        <v>50</v>
      </c>
      <c r="C484" s="10" t="s">
        <v>13</v>
      </c>
      <c r="D484" s="10">
        <v>2</v>
      </c>
      <c r="E484" s="10" t="s">
        <v>13</v>
      </c>
      <c r="F484" s="11">
        <v>1</v>
      </c>
      <c r="G484" s="11"/>
      <c r="H484" s="10"/>
      <c r="I484" s="10"/>
      <c r="J484" s="10"/>
    </row>
    <row r="485" spans="1:10" ht="15.6" x14ac:dyDescent="0.3">
      <c r="A485" s="9" t="s">
        <v>49</v>
      </c>
      <c r="B485" s="10" t="s">
        <v>50</v>
      </c>
      <c r="C485" s="10" t="s">
        <v>26</v>
      </c>
      <c r="D485" s="10">
        <v>3.6</v>
      </c>
      <c r="E485" s="10" t="s">
        <v>26</v>
      </c>
      <c r="F485" s="11">
        <v>1.00943396</v>
      </c>
      <c r="G485" s="11"/>
      <c r="H485" s="10"/>
      <c r="I485" s="10"/>
      <c r="J485" s="10"/>
    </row>
    <row r="486" spans="1:10" ht="15.6" x14ac:dyDescent="0.3">
      <c r="A486" s="9" t="s">
        <v>49</v>
      </c>
      <c r="B486" s="10" t="s">
        <v>50</v>
      </c>
      <c r="C486" s="10" t="s">
        <v>34</v>
      </c>
      <c r="D486" s="10">
        <v>2.4</v>
      </c>
      <c r="E486" s="10" t="s">
        <v>31</v>
      </c>
      <c r="F486" s="11">
        <v>1.00884956</v>
      </c>
      <c r="G486" s="11"/>
      <c r="H486" s="10"/>
      <c r="I486" s="10"/>
      <c r="J486" s="10"/>
    </row>
    <row r="487" spans="1:10" ht="15.6" x14ac:dyDescent="0.3">
      <c r="A487" s="9" t="s">
        <v>49</v>
      </c>
      <c r="B487" s="10" t="s">
        <v>50</v>
      </c>
      <c r="C487" s="10" t="s">
        <v>14</v>
      </c>
      <c r="D487" s="10">
        <v>5</v>
      </c>
      <c r="E487" s="10" t="s">
        <v>14</v>
      </c>
      <c r="F487" s="11">
        <v>1</v>
      </c>
      <c r="G487" s="11"/>
      <c r="H487" s="10"/>
      <c r="I487" s="10"/>
      <c r="J487" s="10"/>
    </row>
    <row r="488" spans="1:10" ht="15.6" x14ac:dyDescent="0.3">
      <c r="A488" s="9" t="s">
        <v>49</v>
      </c>
      <c r="B488" s="10" t="s">
        <v>50</v>
      </c>
      <c r="C488" s="10" t="s">
        <v>15</v>
      </c>
      <c r="D488" s="10">
        <v>6</v>
      </c>
      <c r="E488" s="10" t="s">
        <v>16</v>
      </c>
      <c r="F488" s="11">
        <v>1.0128205100000001</v>
      </c>
      <c r="G488" s="11"/>
      <c r="H488" s="10"/>
      <c r="I488" s="10"/>
      <c r="J488" s="10"/>
    </row>
    <row r="489" spans="1:10" ht="15.6" x14ac:dyDescent="0.3">
      <c r="A489" s="9" t="s">
        <v>49</v>
      </c>
      <c r="B489" s="10" t="s">
        <v>50</v>
      </c>
      <c r="C489" s="10" t="s">
        <v>18</v>
      </c>
      <c r="D489" s="10">
        <v>10</v>
      </c>
      <c r="E489" s="10" t="s">
        <v>18</v>
      </c>
      <c r="F489" s="11">
        <v>1</v>
      </c>
      <c r="G489" s="11"/>
      <c r="H489" s="10"/>
      <c r="I489" s="10"/>
      <c r="J489" s="10"/>
    </row>
    <row r="490" spans="1:10" ht="15.6" x14ac:dyDescent="0.3">
      <c r="A490" s="9" t="s">
        <v>49</v>
      </c>
      <c r="B490" s="10" t="s">
        <v>50</v>
      </c>
      <c r="C490" s="10" t="s">
        <v>20</v>
      </c>
      <c r="D490" s="10">
        <v>14.4</v>
      </c>
      <c r="E490" s="10" t="s">
        <v>20</v>
      </c>
      <c r="F490" s="11">
        <v>1.01333333</v>
      </c>
      <c r="G490" s="11"/>
      <c r="H490" s="10"/>
      <c r="I490" s="10"/>
      <c r="J490" s="10"/>
    </row>
    <row r="491" spans="1:10" ht="15.6" x14ac:dyDescent="0.3">
      <c r="A491" s="9" t="s">
        <v>49</v>
      </c>
      <c r="B491" s="10" t="s">
        <v>50</v>
      </c>
      <c r="C491" s="10" t="s">
        <v>16</v>
      </c>
      <c r="D491" s="10">
        <v>12</v>
      </c>
      <c r="E491" s="10" t="s">
        <v>19</v>
      </c>
      <c r="F491" s="11">
        <v>1</v>
      </c>
      <c r="G491" s="11"/>
      <c r="H491" s="10"/>
      <c r="I491" s="10"/>
      <c r="J491" s="10"/>
    </row>
    <row r="492" spans="1:10" ht="15.6" x14ac:dyDescent="0.3">
      <c r="A492" s="9" t="s">
        <v>49</v>
      </c>
      <c r="B492" s="10" t="s">
        <v>50</v>
      </c>
      <c r="C492" s="10" t="s">
        <v>21</v>
      </c>
      <c r="D492" s="10">
        <v>19.2</v>
      </c>
      <c r="E492" s="10" t="s">
        <v>22</v>
      </c>
      <c r="F492" s="11">
        <v>1.0135135099999999</v>
      </c>
      <c r="G492" s="11"/>
      <c r="H492" s="10"/>
      <c r="I492" s="10"/>
      <c r="J492" s="10"/>
    </row>
    <row r="493" spans="1:10" ht="15.6" x14ac:dyDescent="0.3">
      <c r="A493" s="9" t="s">
        <v>49</v>
      </c>
      <c r="B493" s="10" t="s">
        <v>50</v>
      </c>
      <c r="C493" s="10" t="s">
        <v>35</v>
      </c>
      <c r="D493" s="10">
        <v>38.4</v>
      </c>
      <c r="E493" s="10" t="s">
        <v>35</v>
      </c>
      <c r="F493" s="11">
        <v>1</v>
      </c>
      <c r="G493" s="11"/>
      <c r="H493" s="10"/>
      <c r="I493" s="10"/>
      <c r="J493" s="10"/>
    </row>
    <row r="494" spans="1:10" ht="15.6" x14ac:dyDescent="0.3">
      <c r="A494" s="9" t="s">
        <v>49</v>
      </c>
      <c r="B494" s="10" t="s">
        <v>50</v>
      </c>
      <c r="C494" s="10" t="s">
        <v>22</v>
      </c>
      <c r="D494" s="10">
        <v>38.4</v>
      </c>
      <c r="E494" s="10" t="s">
        <v>40</v>
      </c>
      <c r="F494" s="11">
        <v>1</v>
      </c>
      <c r="G494" s="11"/>
      <c r="H494" s="10"/>
      <c r="I494" s="10"/>
      <c r="J494" s="10"/>
    </row>
    <row r="495" spans="1:10" ht="15.6" x14ac:dyDescent="0.3">
      <c r="A495" s="9" t="s">
        <v>55</v>
      </c>
      <c r="B495" s="10">
        <v>70</v>
      </c>
      <c r="C495" s="10" t="s">
        <v>13</v>
      </c>
      <c r="D495" s="10">
        <v>2</v>
      </c>
      <c r="E495" s="10" t="s">
        <v>13</v>
      </c>
      <c r="F495" s="11">
        <v>1.05384615</v>
      </c>
      <c r="G495" s="11">
        <v>1.8524590000000001</v>
      </c>
      <c r="H495" s="10"/>
      <c r="I495" s="10"/>
      <c r="J495" s="10"/>
    </row>
    <row r="496" spans="1:10" ht="15.6" x14ac:dyDescent="0.3">
      <c r="A496" s="9" t="s">
        <v>55</v>
      </c>
      <c r="B496" s="10">
        <v>70</v>
      </c>
      <c r="C496" s="10" t="s">
        <v>26</v>
      </c>
      <c r="D496" s="10">
        <v>3.6</v>
      </c>
      <c r="E496" s="10" t="s">
        <v>26</v>
      </c>
      <c r="F496" s="11">
        <v>1.04976303</v>
      </c>
      <c r="G496" s="11">
        <v>1.8484849999999999</v>
      </c>
      <c r="H496" s="10"/>
      <c r="I496" s="10"/>
      <c r="J496" s="10"/>
    </row>
    <row r="497" spans="1:10" ht="15.6" x14ac:dyDescent="0.3">
      <c r="A497" s="9" t="s">
        <v>55</v>
      </c>
      <c r="B497" s="10">
        <v>70</v>
      </c>
      <c r="C497" s="10" t="s">
        <v>34</v>
      </c>
      <c r="D497" s="10">
        <v>4.8</v>
      </c>
      <c r="E497" s="10" t="s">
        <v>34</v>
      </c>
      <c r="F497" s="11">
        <v>1.0489690700000001</v>
      </c>
      <c r="G497" s="11">
        <v>1.8461540000000001</v>
      </c>
      <c r="H497" s="10"/>
      <c r="I497" s="10"/>
      <c r="J497" s="10"/>
    </row>
    <row r="498" spans="1:10" ht="15.6" x14ac:dyDescent="0.3">
      <c r="A498" s="9" t="s">
        <v>55</v>
      </c>
      <c r="B498" s="10">
        <v>70</v>
      </c>
      <c r="C498" s="10" t="s">
        <v>34</v>
      </c>
      <c r="D498" s="10">
        <v>4.8</v>
      </c>
      <c r="E498" s="10" t="s">
        <v>31</v>
      </c>
      <c r="F498" s="11">
        <v>1.04366812</v>
      </c>
      <c r="G498" s="11">
        <v>1.841121</v>
      </c>
      <c r="H498" s="10"/>
      <c r="I498" s="10"/>
      <c r="J498" s="10"/>
    </row>
    <row r="499" spans="1:10" ht="15.6" x14ac:dyDescent="0.3">
      <c r="A499" s="9" t="s">
        <v>55</v>
      </c>
      <c r="B499" s="10">
        <v>70</v>
      </c>
      <c r="C499" s="10" t="s">
        <v>14</v>
      </c>
      <c r="D499" s="10">
        <v>5</v>
      </c>
      <c r="E499" s="10" t="s">
        <v>14</v>
      </c>
      <c r="F499" s="11">
        <v>1.05128205</v>
      </c>
      <c r="G499" s="11">
        <v>1.8363640000000001</v>
      </c>
      <c r="H499" s="10"/>
      <c r="I499" s="10"/>
      <c r="J499" s="10"/>
    </row>
    <row r="500" spans="1:10" ht="15.6" x14ac:dyDescent="0.3">
      <c r="A500" s="9" t="s">
        <v>55</v>
      </c>
      <c r="B500" s="10">
        <v>70</v>
      </c>
      <c r="C500" s="10" t="s">
        <v>15</v>
      </c>
      <c r="D500" s="10">
        <v>6</v>
      </c>
      <c r="E500" s="10" t="s">
        <v>16</v>
      </c>
      <c r="F500" s="11">
        <v>1.0441640400000001</v>
      </c>
      <c r="G500" s="11">
        <v>1.851351</v>
      </c>
      <c r="H500" s="10"/>
      <c r="I500" s="10"/>
      <c r="J500" s="10"/>
    </row>
    <row r="501" spans="1:10" ht="15.6" x14ac:dyDescent="0.3">
      <c r="A501" s="9" t="s">
        <v>55</v>
      </c>
      <c r="B501" s="10">
        <v>70</v>
      </c>
      <c r="C501" s="10" t="s">
        <v>17</v>
      </c>
      <c r="D501" s="10">
        <v>7.2</v>
      </c>
      <c r="E501" s="10" t="s">
        <v>17</v>
      </c>
      <c r="F501" s="11">
        <v>1.0151515200000001</v>
      </c>
      <c r="G501" s="11">
        <v>1.848101</v>
      </c>
      <c r="H501" s="10"/>
      <c r="I501" s="10"/>
      <c r="J501" s="10"/>
    </row>
    <row r="502" spans="1:10" ht="15.6" x14ac:dyDescent="0.3">
      <c r="A502" s="9" t="s">
        <v>55</v>
      </c>
      <c r="B502" s="10">
        <v>70</v>
      </c>
      <c r="C502" s="10" t="s">
        <v>18</v>
      </c>
      <c r="D502" s="10">
        <v>10</v>
      </c>
      <c r="E502" s="10" t="s">
        <v>18</v>
      </c>
      <c r="F502" s="11">
        <v>1.05128205</v>
      </c>
      <c r="G502" s="11">
        <v>1.8363640000000001</v>
      </c>
      <c r="H502" s="10"/>
      <c r="I502" s="10"/>
      <c r="J502" s="10"/>
    </row>
    <row r="503" spans="1:10" ht="15.6" x14ac:dyDescent="0.3">
      <c r="A503" s="9" t="s">
        <v>55</v>
      </c>
      <c r="B503" s="10">
        <v>70</v>
      </c>
      <c r="C503" s="10" t="s">
        <v>16</v>
      </c>
      <c r="D503" s="10">
        <v>12</v>
      </c>
      <c r="E503" s="10" t="s">
        <v>19</v>
      </c>
      <c r="F503" s="11">
        <v>1.0464396300000001</v>
      </c>
      <c r="G503" s="11">
        <v>1.8666670000000001</v>
      </c>
      <c r="H503" s="10"/>
      <c r="I503" s="10"/>
      <c r="J503" s="10"/>
    </row>
    <row r="504" spans="1:10" ht="15.6" x14ac:dyDescent="0.3">
      <c r="A504" s="9" t="s">
        <v>55</v>
      </c>
      <c r="B504" s="10">
        <v>70</v>
      </c>
      <c r="C504" s="10" t="s">
        <v>20</v>
      </c>
      <c r="D504" s="10">
        <v>14.4</v>
      </c>
      <c r="E504" s="10" t="s">
        <v>20</v>
      </c>
      <c r="F504" s="11">
        <v>1.05</v>
      </c>
      <c r="G504" s="11">
        <v>1.857143</v>
      </c>
      <c r="H504" s="10"/>
      <c r="I504" s="10"/>
      <c r="J504" s="10"/>
    </row>
    <row r="505" spans="1:10" ht="15.6" x14ac:dyDescent="0.3">
      <c r="A505" s="9" t="s">
        <v>55</v>
      </c>
      <c r="B505" s="10">
        <v>70</v>
      </c>
      <c r="C505" s="10" t="s">
        <v>21</v>
      </c>
      <c r="D505" s="10">
        <v>38.4</v>
      </c>
      <c r="E505" s="10" t="s">
        <v>35</v>
      </c>
      <c r="F505" s="11">
        <v>1.0465116299999999</v>
      </c>
      <c r="G505" s="11">
        <v>1.868852</v>
      </c>
      <c r="H505" s="10"/>
      <c r="I505" s="10"/>
      <c r="J505" s="10"/>
    </row>
    <row r="506" spans="1:10" ht="15.6" x14ac:dyDescent="0.3">
      <c r="A506" s="9" t="s">
        <v>55</v>
      </c>
      <c r="B506" s="10">
        <v>70</v>
      </c>
      <c r="C506" s="10" t="s">
        <v>22</v>
      </c>
      <c r="D506" s="10">
        <v>38.4</v>
      </c>
      <c r="E506" s="10" t="s">
        <v>40</v>
      </c>
      <c r="F506" s="11">
        <v>1.04878049</v>
      </c>
      <c r="G506" s="11">
        <v>1.8548389999999999</v>
      </c>
      <c r="H506" s="10"/>
      <c r="I506" s="10"/>
      <c r="J506" s="10"/>
    </row>
    <row r="507" spans="1:10" ht="15.6" x14ac:dyDescent="0.3">
      <c r="A507" s="9" t="s">
        <v>55</v>
      </c>
      <c r="B507" s="10">
        <v>80</v>
      </c>
      <c r="C507" s="10" t="s">
        <v>13</v>
      </c>
      <c r="D507" s="10">
        <v>2</v>
      </c>
      <c r="E507" s="10" t="s">
        <v>13</v>
      </c>
      <c r="F507" s="11">
        <v>1.0430622000000001</v>
      </c>
      <c r="G507" s="11">
        <v>1.738318</v>
      </c>
      <c r="H507" s="10"/>
      <c r="I507" s="10"/>
      <c r="J507" s="10"/>
    </row>
    <row r="508" spans="1:10" ht="15.6" x14ac:dyDescent="0.3">
      <c r="A508" s="9" t="s">
        <v>55</v>
      </c>
      <c r="B508" s="10">
        <v>80</v>
      </c>
      <c r="C508" s="10" t="s">
        <v>26</v>
      </c>
      <c r="D508" s="10">
        <v>3.6</v>
      </c>
      <c r="E508" s="10" t="s">
        <v>26</v>
      </c>
      <c r="F508" s="11">
        <v>1.0443787</v>
      </c>
      <c r="G508" s="11">
        <v>1.739884</v>
      </c>
      <c r="H508" s="10"/>
      <c r="I508" s="10"/>
      <c r="J508" s="10"/>
    </row>
    <row r="509" spans="1:10" ht="15.6" x14ac:dyDescent="0.3">
      <c r="A509" s="9" t="s">
        <v>55</v>
      </c>
      <c r="B509" s="10">
        <v>80</v>
      </c>
      <c r="C509" s="10" t="s">
        <v>34</v>
      </c>
      <c r="D509" s="10">
        <v>4.8</v>
      </c>
      <c r="E509" s="10" t="s">
        <v>34</v>
      </c>
      <c r="F509" s="11">
        <v>1.0434083599999999</v>
      </c>
      <c r="G509" s="11">
        <v>1.742138</v>
      </c>
      <c r="H509" s="10"/>
      <c r="I509" s="10"/>
      <c r="J509" s="10"/>
    </row>
    <row r="510" spans="1:10" ht="15.6" x14ac:dyDescent="0.3">
      <c r="A510" s="9" t="s">
        <v>55</v>
      </c>
      <c r="B510" s="10">
        <v>80</v>
      </c>
      <c r="C510" s="10" t="s">
        <v>34</v>
      </c>
      <c r="D510" s="10">
        <v>4.8</v>
      </c>
      <c r="E510" s="10" t="s">
        <v>31</v>
      </c>
      <c r="F510" s="11">
        <v>1.03038674</v>
      </c>
      <c r="G510" s="11">
        <v>1.7377050000000001</v>
      </c>
      <c r="H510" s="10"/>
      <c r="I510" s="10"/>
      <c r="J510" s="10"/>
    </row>
    <row r="511" spans="1:10" ht="15.6" x14ac:dyDescent="0.3">
      <c r="A511" s="9" t="s">
        <v>55</v>
      </c>
      <c r="B511" s="10">
        <v>80</v>
      </c>
      <c r="C511" s="10" t="s">
        <v>14</v>
      </c>
      <c r="D511" s="10">
        <v>5</v>
      </c>
      <c r="E511" s="10" t="s">
        <v>14</v>
      </c>
      <c r="F511" s="11">
        <v>1.04266667</v>
      </c>
      <c r="G511" s="11">
        <v>1.7395830000000001</v>
      </c>
      <c r="H511" s="10"/>
      <c r="I511" s="10"/>
      <c r="J511" s="10"/>
    </row>
    <row r="512" spans="1:10" ht="15.6" x14ac:dyDescent="0.3">
      <c r="A512" s="9" t="s">
        <v>55</v>
      </c>
      <c r="B512" s="10">
        <v>80</v>
      </c>
      <c r="C512" s="10" t="s">
        <v>15</v>
      </c>
      <c r="D512" s="10">
        <v>6</v>
      </c>
      <c r="E512" s="10" t="s">
        <v>16</v>
      </c>
      <c r="F512" s="11">
        <v>1.0298804800000001</v>
      </c>
      <c r="G512" s="11">
        <v>1.740157</v>
      </c>
      <c r="H512" s="10"/>
      <c r="I512" s="10"/>
      <c r="J512" s="10"/>
    </row>
    <row r="513" spans="1:10" ht="15.6" x14ac:dyDescent="0.3">
      <c r="A513" s="9" t="s">
        <v>55</v>
      </c>
      <c r="B513" s="10">
        <v>80</v>
      </c>
      <c r="C513" s="10" t="s">
        <v>17</v>
      </c>
      <c r="D513" s="10">
        <v>7.2</v>
      </c>
      <c r="E513" s="10" t="s">
        <v>17</v>
      </c>
      <c r="F513" s="11">
        <v>1.04267161</v>
      </c>
      <c r="G513" s="11">
        <v>1.7391300000000001</v>
      </c>
      <c r="H513" s="10"/>
      <c r="I513" s="10"/>
      <c r="J513" s="10"/>
    </row>
    <row r="514" spans="1:10" ht="15.6" x14ac:dyDescent="0.3">
      <c r="A514" s="9" t="s">
        <v>55</v>
      </c>
      <c r="B514" s="10">
        <v>80</v>
      </c>
      <c r="C514" s="10" t="s">
        <v>18</v>
      </c>
      <c r="D514" s="10">
        <v>10</v>
      </c>
      <c r="E514" s="10" t="s">
        <v>18</v>
      </c>
      <c r="F514" s="11">
        <v>1.04266667</v>
      </c>
      <c r="G514" s="11">
        <v>1.7395830000000001</v>
      </c>
      <c r="H514" s="10"/>
      <c r="I514" s="10"/>
      <c r="J514" s="10"/>
    </row>
    <row r="515" spans="1:10" ht="15.6" x14ac:dyDescent="0.3">
      <c r="A515" s="9" t="s">
        <v>55</v>
      </c>
      <c r="B515" s="10">
        <v>80</v>
      </c>
      <c r="C515" s="10" t="s">
        <v>16</v>
      </c>
      <c r="D515" s="10">
        <v>12</v>
      </c>
      <c r="E515" s="10" t="s">
        <v>19</v>
      </c>
      <c r="F515" s="11">
        <v>1.02929688</v>
      </c>
      <c r="G515" s="11">
        <v>1.744186</v>
      </c>
      <c r="H515" s="10"/>
      <c r="I515" s="10"/>
      <c r="J515" s="10"/>
    </row>
    <row r="516" spans="1:10" ht="15.6" x14ac:dyDescent="0.3">
      <c r="A516" s="9" t="s">
        <v>55</v>
      </c>
      <c r="B516" s="10">
        <v>80</v>
      </c>
      <c r="C516" s="10" t="s">
        <v>20</v>
      </c>
      <c r="D516" s="10">
        <v>14.4</v>
      </c>
      <c r="E516" s="10" t="s">
        <v>20</v>
      </c>
      <c r="F516" s="11">
        <v>1.0436590400000001</v>
      </c>
      <c r="G516" s="11">
        <v>1.7398370000000001</v>
      </c>
      <c r="H516" s="10"/>
      <c r="I516" s="10"/>
      <c r="J516" s="10"/>
    </row>
    <row r="517" spans="1:10" ht="15.6" x14ac:dyDescent="0.3">
      <c r="A517" s="9" t="s">
        <v>55</v>
      </c>
      <c r="B517" s="10">
        <v>80</v>
      </c>
      <c r="C517" s="10" t="s">
        <v>21</v>
      </c>
      <c r="D517" s="10">
        <v>38.4</v>
      </c>
      <c r="E517" s="10" t="s">
        <v>35</v>
      </c>
      <c r="F517" s="11">
        <v>1.0293501</v>
      </c>
      <c r="G517" s="11">
        <v>1.731481</v>
      </c>
      <c r="H517" s="10"/>
      <c r="I517" s="10"/>
      <c r="J517" s="10"/>
    </row>
    <row r="518" spans="1:10" ht="15.6" x14ac:dyDescent="0.3">
      <c r="A518" s="9" t="s">
        <v>55</v>
      </c>
      <c r="B518" s="10">
        <v>80</v>
      </c>
      <c r="C518" s="10" t="s">
        <v>22</v>
      </c>
      <c r="D518" s="10">
        <v>38.4</v>
      </c>
      <c r="E518" s="10" t="s">
        <v>40</v>
      </c>
      <c r="F518" s="11">
        <v>1.0434782600000001</v>
      </c>
      <c r="G518" s="11">
        <v>1.738318</v>
      </c>
      <c r="H518" s="10"/>
      <c r="I518" s="10"/>
      <c r="J518" s="10"/>
    </row>
    <row r="519" spans="1:10" ht="15.6" x14ac:dyDescent="0.3">
      <c r="A519" s="9" t="s">
        <v>55</v>
      </c>
      <c r="B519" s="10">
        <v>100</v>
      </c>
      <c r="C519" s="10" t="s">
        <v>13</v>
      </c>
      <c r="D519" s="10">
        <v>2</v>
      </c>
      <c r="E519" s="10" t="s">
        <v>13</v>
      </c>
      <c r="F519" s="11">
        <v>1.0248815200000001</v>
      </c>
      <c r="G519" s="11">
        <v>1.604938</v>
      </c>
      <c r="H519" s="10"/>
      <c r="I519" s="10"/>
      <c r="J519" s="10"/>
    </row>
    <row r="520" spans="1:10" ht="15.6" x14ac:dyDescent="0.3">
      <c r="A520" s="9" t="s">
        <v>55</v>
      </c>
      <c r="B520" s="10">
        <v>100</v>
      </c>
      <c r="C520" s="10" t="s">
        <v>26</v>
      </c>
      <c r="D520" s="10">
        <v>3.6</v>
      </c>
      <c r="E520" s="10" t="s">
        <v>26</v>
      </c>
      <c r="F520" s="11">
        <v>1.0248719799999999</v>
      </c>
      <c r="G520" s="11">
        <v>1.604061</v>
      </c>
      <c r="H520" s="10"/>
      <c r="I520" s="10"/>
      <c r="J520" s="10"/>
    </row>
    <row r="521" spans="1:10" ht="15.6" x14ac:dyDescent="0.3">
      <c r="A521" s="9" t="s">
        <v>55</v>
      </c>
      <c r="B521" s="10">
        <v>100</v>
      </c>
      <c r="C521" s="10" t="s">
        <v>34</v>
      </c>
      <c r="D521" s="10">
        <v>4.8</v>
      </c>
      <c r="E521" s="10" t="s">
        <v>34</v>
      </c>
      <c r="F521" s="11">
        <v>1.0254777100000001</v>
      </c>
      <c r="G521" s="11">
        <v>1.6049720000000001</v>
      </c>
      <c r="H521" s="10"/>
      <c r="I521" s="10"/>
      <c r="J521" s="10"/>
    </row>
    <row r="522" spans="1:10" ht="15.6" x14ac:dyDescent="0.3">
      <c r="A522" s="9" t="s">
        <v>55</v>
      </c>
      <c r="B522" s="10">
        <v>100</v>
      </c>
      <c r="C522" s="10" t="s">
        <v>34</v>
      </c>
      <c r="D522" s="10">
        <v>4.8</v>
      </c>
      <c r="E522" s="10" t="s">
        <v>31</v>
      </c>
      <c r="F522" s="11">
        <v>1.0163376399999999</v>
      </c>
      <c r="G522" s="11">
        <v>1.6109789999999999</v>
      </c>
      <c r="H522" s="10"/>
      <c r="I522" s="10"/>
      <c r="J522" s="10"/>
    </row>
    <row r="523" spans="1:10" ht="15.6" x14ac:dyDescent="0.3">
      <c r="A523" s="9" t="s">
        <v>55</v>
      </c>
      <c r="B523" s="10">
        <v>100</v>
      </c>
      <c r="C523" s="10" t="s">
        <v>14</v>
      </c>
      <c r="D523" s="10">
        <v>5</v>
      </c>
      <c r="E523" s="10" t="s">
        <v>14</v>
      </c>
      <c r="F523" s="11">
        <v>1.0250990799999999</v>
      </c>
      <c r="G523" s="11">
        <v>1.605505</v>
      </c>
      <c r="H523" s="10"/>
      <c r="I523" s="10"/>
      <c r="J523" s="10"/>
    </row>
    <row r="524" spans="1:10" ht="15.6" x14ac:dyDescent="0.3">
      <c r="A524" s="9" t="s">
        <v>55</v>
      </c>
      <c r="B524" s="10">
        <v>100</v>
      </c>
      <c r="C524" s="10" t="s">
        <v>15</v>
      </c>
      <c r="D524" s="10">
        <v>6</v>
      </c>
      <c r="E524" s="10" t="s">
        <v>16</v>
      </c>
      <c r="F524" s="11">
        <v>1.0157016699999999</v>
      </c>
      <c r="G524" s="11">
        <v>1.608247</v>
      </c>
      <c r="H524" s="10"/>
      <c r="I524" s="10"/>
      <c r="J524" s="10"/>
    </row>
    <row r="525" spans="1:10" ht="15.6" x14ac:dyDescent="0.3">
      <c r="A525" s="9" t="s">
        <v>55</v>
      </c>
      <c r="B525" s="10">
        <v>100</v>
      </c>
      <c r="C525" s="10" t="s">
        <v>17</v>
      </c>
      <c r="D525" s="10">
        <v>7.2</v>
      </c>
      <c r="E525" s="10" t="s">
        <v>17</v>
      </c>
      <c r="F525" s="11">
        <v>1.0247933899999999</v>
      </c>
      <c r="G525" s="11">
        <v>1.6019110000000001</v>
      </c>
      <c r="H525" s="10"/>
      <c r="I525" s="10"/>
      <c r="J525" s="10"/>
    </row>
    <row r="526" spans="1:10" ht="15.6" x14ac:dyDescent="0.3">
      <c r="A526" s="9" t="s">
        <v>55</v>
      </c>
      <c r="B526" s="10">
        <v>100</v>
      </c>
      <c r="C526" s="10" t="s">
        <v>18</v>
      </c>
      <c r="D526" s="10">
        <v>10</v>
      </c>
      <c r="E526" s="10" t="s">
        <v>18</v>
      </c>
      <c r="F526" s="11">
        <v>1.0250990799999999</v>
      </c>
      <c r="G526" s="11">
        <v>1.605505</v>
      </c>
      <c r="H526" s="10"/>
      <c r="I526" s="10"/>
      <c r="J526" s="10"/>
    </row>
    <row r="527" spans="1:10" ht="15.6" x14ac:dyDescent="0.3">
      <c r="A527" s="9" t="s">
        <v>55</v>
      </c>
      <c r="B527" s="10">
        <v>100</v>
      </c>
      <c r="C527" s="10" t="s">
        <v>16</v>
      </c>
      <c r="D527" s="10">
        <v>12</v>
      </c>
      <c r="E527" s="10" t="s">
        <v>19</v>
      </c>
      <c r="F527" s="11">
        <v>1.0163776499999999</v>
      </c>
      <c r="G527" s="11">
        <v>1.611486</v>
      </c>
      <c r="H527" s="10"/>
      <c r="I527" s="10"/>
      <c r="J527" s="10"/>
    </row>
    <row r="528" spans="1:10" ht="15.6" x14ac:dyDescent="0.3">
      <c r="A528" s="9" t="s">
        <v>55</v>
      </c>
      <c r="B528" s="10">
        <v>100</v>
      </c>
      <c r="C528" s="10" t="s">
        <v>20</v>
      </c>
      <c r="D528" s="10">
        <v>14.4</v>
      </c>
      <c r="E528" s="10" t="s">
        <v>20</v>
      </c>
      <c r="F528" s="11">
        <v>1.0257466500000001</v>
      </c>
      <c r="G528" s="11">
        <v>1.6035710000000001</v>
      </c>
      <c r="H528" s="10"/>
      <c r="I528" s="10"/>
      <c r="J528" s="10"/>
    </row>
    <row r="529" spans="1:10" ht="15.6" x14ac:dyDescent="0.3">
      <c r="A529" s="9" t="s">
        <v>55</v>
      </c>
      <c r="B529" s="10">
        <v>100</v>
      </c>
      <c r="C529" s="10" t="s">
        <v>21</v>
      </c>
      <c r="D529" s="10">
        <v>38.4</v>
      </c>
      <c r="E529" s="10" t="s">
        <v>35</v>
      </c>
      <c r="F529" s="11">
        <v>1.02476415</v>
      </c>
      <c r="G529" s="11">
        <v>1.606557</v>
      </c>
      <c r="H529" s="10"/>
      <c r="I529" s="10"/>
      <c r="J529" s="10"/>
    </row>
    <row r="530" spans="1:10" ht="15.6" x14ac:dyDescent="0.3">
      <c r="A530" s="9" t="s">
        <v>55</v>
      </c>
      <c r="B530" s="10">
        <v>100</v>
      </c>
      <c r="C530" s="10" t="s">
        <v>22</v>
      </c>
      <c r="D530" s="10">
        <v>38.4</v>
      </c>
      <c r="E530" s="10" t="s">
        <v>40</v>
      </c>
      <c r="F530" s="11">
        <v>1.01633606</v>
      </c>
      <c r="G530" s="11">
        <v>1.608163</v>
      </c>
      <c r="H530" s="10"/>
      <c r="I530" s="10"/>
      <c r="J530" s="10"/>
    </row>
    <row r="531" spans="1:10" ht="15.6" x14ac:dyDescent="0.3">
      <c r="A531" s="9" t="s">
        <v>55</v>
      </c>
      <c r="B531" s="10">
        <v>120</v>
      </c>
      <c r="C531" s="10" t="s">
        <v>13</v>
      </c>
      <c r="D531" s="10">
        <v>2</v>
      </c>
      <c r="E531" s="10" t="s">
        <v>13</v>
      </c>
      <c r="F531" s="11">
        <v>1.0187725599999999</v>
      </c>
      <c r="G531" s="11">
        <v>1.5443929999999999</v>
      </c>
      <c r="H531" s="10"/>
      <c r="I531" s="10"/>
      <c r="J531" s="10"/>
    </row>
    <row r="532" spans="1:10" ht="15.6" x14ac:dyDescent="0.3">
      <c r="A532" s="9" t="s">
        <v>55</v>
      </c>
      <c r="B532" s="10">
        <v>120</v>
      </c>
      <c r="C532" s="10" t="s">
        <v>26</v>
      </c>
      <c r="D532" s="10">
        <v>3.6</v>
      </c>
      <c r="E532" s="10" t="s">
        <v>26</v>
      </c>
      <c r="F532" s="11">
        <v>1.0191793</v>
      </c>
      <c r="G532" s="11">
        <v>1.5440119999999999</v>
      </c>
      <c r="H532" s="10"/>
      <c r="I532" s="10"/>
      <c r="J532" s="10"/>
    </row>
    <row r="533" spans="1:10" ht="15.6" x14ac:dyDescent="0.3">
      <c r="A533" s="9" t="s">
        <v>55</v>
      </c>
      <c r="B533" s="10">
        <v>120</v>
      </c>
      <c r="C533" s="10" t="s">
        <v>34</v>
      </c>
      <c r="D533" s="10">
        <v>4.8</v>
      </c>
      <c r="E533" s="10" t="s">
        <v>34</v>
      </c>
      <c r="F533" s="11">
        <v>1.01941748</v>
      </c>
      <c r="G533" s="11">
        <v>1.5447409999999999</v>
      </c>
      <c r="H533" s="10"/>
      <c r="I533" s="10"/>
      <c r="J533" s="10"/>
    </row>
    <row r="534" spans="1:10" ht="15.6" x14ac:dyDescent="0.3">
      <c r="A534" s="9" t="s">
        <v>55</v>
      </c>
      <c r="B534" s="10">
        <v>120</v>
      </c>
      <c r="C534" s="10" t="s">
        <v>34</v>
      </c>
      <c r="D534" s="10">
        <v>4.8</v>
      </c>
      <c r="E534" s="10" t="s">
        <v>31</v>
      </c>
      <c r="F534" s="11">
        <v>1.01233046</v>
      </c>
      <c r="G534" s="11">
        <v>1.54</v>
      </c>
      <c r="H534" s="10"/>
      <c r="I534" s="10"/>
      <c r="J534" s="10"/>
    </row>
    <row r="535" spans="1:10" ht="15.6" x14ac:dyDescent="0.3">
      <c r="A535" s="9" t="s">
        <v>55</v>
      </c>
      <c r="B535" s="10">
        <v>120</v>
      </c>
      <c r="C535" s="10" t="s">
        <v>14</v>
      </c>
      <c r="D535" s="10">
        <v>5</v>
      </c>
      <c r="E535" s="10" t="s">
        <v>14</v>
      </c>
      <c r="F535" s="11">
        <v>1.0193236699999999</v>
      </c>
      <c r="G535" s="11">
        <v>1.5442709999999999</v>
      </c>
      <c r="H535" s="10"/>
      <c r="I535" s="10"/>
      <c r="J535" s="10"/>
    </row>
    <row r="536" spans="1:10" ht="15.6" x14ac:dyDescent="0.3">
      <c r="A536" s="9" t="s">
        <v>55</v>
      </c>
      <c r="B536" s="10">
        <v>120</v>
      </c>
      <c r="C536" s="10" t="s">
        <v>15</v>
      </c>
      <c r="D536" s="10">
        <v>6</v>
      </c>
      <c r="E536" s="10" t="s">
        <v>16</v>
      </c>
      <c r="F536" s="11">
        <v>1.0124481299999999</v>
      </c>
      <c r="G536" s="11">
        <v>1.6020000000000001</v>
      </c>
      <c r="H536" s="10"/>
      <c r="I536" s="10"/>
      <c r="J536" s="10"/>
    </row>
    <row r="537" spans="1:10" ht="15.6" x14ac:dyDescent="0.3">
      <c r="A537" s="9" t="s">
        <v>55</v>
      </c>
      <c r="B537" s="10">
        <v>120</v>
      </c>
      <c r="C537" s="10" t="s">
        <v>17</v>
      </c>
      <c r="D537" s="10">
        <v>7.2</v>
      </c>
      <c r="E537" s="10" t="s">
        <v>17</v>
      </c>
      <c r="F537" s="11">
        <v>1.0190369500000001</v>
      </c>
      <c r="G537" s="11">
        <v>1.5452900000000001</v>
      </c>
      <c r="H537" s="10"/>
      <c r="I537" s="10"/>
      <c r="J537" s="10"/>
    </row>
    <row r="538" spans="1:10" ht="15.6" x14ac:dyDescent="0.3">
      <c r="A538" s="9" t="s">
        <v>55</v>
      </c>
      <c r="B538" s="10">
        <v>120</v>
      </c>
      <c r="C538" s="10" t="s">
        <v>18</v>
      </c>
      <c r="D538" s="10">
        <v>10</v>
      </c>
      <c r="E538" s="10" t="s">
        <v>18</v>
      </c>
      <c r="F538" s="11">
        <v>1.0193236699999999</v>
      </c>
      <c r="G538" s="11">
        <v>1.5442709999999999</v>
      </c>
      <c r="H538" s="10"/>
      <c r="I538" s="10"/>
      <c r="J538" s="10"/>
    </row>
    <row r="539" spans="1:10" ht="15.6" x14ac:dyDescent="0.3">
      <c r="A539" s="9" t="s">
        <v>55</v>
      </c>
      <c r="B539" s="10">
        <v>120</v>
      </c>
      <c r="C539" s="10" t="s">
        <v>16</v>
      </c>
      <c r="D539" s="10">
        <v>12</v>
      </c>
      <c r="E539" s="10" t="s">
        <v>19</v>
      </c>
      <c r="F539" s="11">
        <v>1.0127981399999999</v>
      </c>
      <c r="G539" s="11">
        <v>1.539623</v>
      </c>
      <c r="H539" s="10"/>
      <c r="I539" s="10"/>
      <c r="J539" s="10"/>
    </row>
    <row r="540" spans="1:10" ht="15.6" x14ac:dyDescent="0.3">
      <c r="A540" s="9" t="s">
        <v>55</v>
      </c>
      <c r="B540" s="10">
        <v>120</v>
      </c>
      <c r="C540" s="10" t="s">
        <v>20</v>
      </c>
      <c r="D540" s="10">
        <v>14.4</v>
      </c>
      <c r="E540" s="10" t="s">
        <v>20</v>
      </c>
      <c r="F540" s="11">
        <v>1.0194601400000001</v>
      </c>
      <c r="G540" s="11">
        <v>1.5436110000000001</v>
      </c>
      <c r="H540" s="10"/>
      <c r="I540" s="10"/>
      <c r="J540" s="10"/>
    </row>
    <row r="541" spans="1:10" ht="15.6" x14ac:dyDescent="0.3">
      <c r="A541" s="9" t="s">
        <v>55</v>
      </c>
      <c r="B541" s="10">
        <v>120</v>
      </c>
      <c r="C541" s="10" t="s">
        <v>21</v>
      </c>
      <c r="D541" s="10">
        <v>38.4</v>
      </c>
      <c r="E541" s="10" t="s">
        <v>35</v>
      </c>
      <c r="F541" s="11">
        <v>1.01869159</v>
      </c>
      <c r="G541" s="11">
        <v>1.5441860000000001</v>
      </c>
      <c r="H541" s="10"/>
      <c r="I541" s="10"/>
      <c r="J541" s="10"/>
    </row>
    <row r="542" spans="1:10" ht="15.6" x14ac:dyDescent="0.3">
      <c r="A542" s="9" t="s">
        <v>55</v>
      </c>
      <c r="B542" s="10">
        <v>120</v>
      </c>
      <c r="C542" s="10" t="s">
        <v>22</v>
      </c>
      <c r="D542" s="10">
        <v>38.4</v>
      </c>
      <c r="E542" s="10" t="s">
        <v>40</v>
      </c>
      <c r="F542" s="11">
        <v>1.0126849899999999</v>
      </c>
      <c r="G542" s="11">
        <v>1.5423340000000001</v>
      </c>
      <c r="H542" s="10"/>
      <c r="I542" s="10"/>
      <c r="J542" s="10"/>
    </row>
    <row r="543" spans="1:10" ht="15.6" x14ac:dyDescent="0.3">
      <c r="A543" s="9" t="s">
        <v>55</v>
      </c>
      <c r="B543" s="10">
        <v>140</v>
      </c>
      <c r="C543" s="10" t="s">
        <v>13</v>
      </c>
      <c r="D543" s="10">
        <v>2</v>
      </c>
      <c r="E543" s="10" t="s">
        <v>13</v>
      </c>
      <c r="F543" s="11">
        <v>1.01778656</v>
      </c>
      <c r="G543" s="11">
        <v>1.5129379999999999</v>
      </c>
      <c r="H543" s="10"/>
      <c r="I543" s="10"/>
      <c r="J543" s="10"/>
    </row>
    <row r="544" spans="1:10" ht="15.6" x14ac:dyDescent="0.3">
      <c r="A544" s="9" t="s">
        <v>55</v>
      </c>
      <c r="B544" s="10">
        <v>140</v>
      </c>
      <c r="C544" s="10" t="s">
        <v>26</v>
      </c>
      <c r="D544" s="10">
        <v>3.6</v>
      </c>
      <c r="E544" s="10" t="s">
        <v>26</v>
      </c>
      <c r="F544" s="11">
        <v>1.0176991200000001</v>
      </c>
      <c r="G544" s="11">
        <v>1.5122180000000001</v>
      </c>
      <c r="H544" s="10"/>
      <c r="I544" s="10"/>
      <c r="J544" s="10"/>
    </row>
    <row r="545" spans="1:10" ht="15.6" x14ac:dyDescent="0.3">
      <c r="A545" s="9" t="s">
        <v>55</v>
      </c>
      <c r="B545" s="10">
        <v>140</v>
      </c>
      <c r="C545" s="10" t="s">
        <v>34</v>
      </c>
      <c r="D545" s="10">
        <v>4.8</v>
      </c>
      <c r="E545" s="10" t="s">
        <v>34</v>
      </c>
      <c r="F545" s="11">
        <v>1.01759628</v>
      </c>
      <c r="G545" s="11">
        <v>1.51227</v>
      </c>
      <c r="H545" s="10"/>
      <c r="I545" s="10"/>
      <c r="J545" s="10"/>
    </row>
    <row r="546" spans="1:10" ht="15.6" x14ac:dyDescent="0.3">
      <c r="A546" s="9" t="s">
        <v>55</v>
      </c>
      <c r="B546" s="10">
        <v>140</v>
      </c>
      <c r="C546" s="10" t="s">
        <v>34</v>
      </c>
      <c r="D546" s="10">
        <v>4.8</v>
      </c>
      <c r="E546" s="10" t="s">
        <v>31</v>
      </c>
      <c r="F546" s="11">
        <v>1.01216814</v>
      </c>
      <c r="G546" s="11">
        <v>1.520276</v>
      </c>
      <c r="H546" s="10"/>
      <c r="I546" s="10"/>
      <c r="J546" s="10"/>
    </row>
    <row r="547" spans="1:10" ht="15.6" x14ac:dyDescent="0.3">
      <c r="A547" s="9" t="s">
        <v>55</v>
      </c>
      <c r="B547" s="10">
        <v>140</v>
      </c>
      <c r="C547" s="10" t="s">
        <v>14</v>
      </c>
      <c r="D547" s="10">
        <v>5</v>
      </c>
      <c r="E547" s="10" t="s">
        <v>14</v>
      </c>
      <c r="F547" s="11">
        <v>1.0176211500000001</v>
      </c>
      <c r="G547" s="11">
        <v>1.5127330000000001</v>
      </c>
      <c r="H547" s="10"/>
      <c r="I547" s="10"/>
      <c r="J547" s="10"/>
    </row>
    <row r="548" spans="1:10" ht="15.6" x14ac:dyDescent="0.3">
      <c r="A548" s="9" t="s">
        <v>55</v>
      </c>
      <c r="B548" s="10">
        <v>140</v>
      </c>
      <c r="C548" s="10" t="s">
        <v>15</v>
      </c>
      <c r="D548" s="10">
        <v>6</v>
      </c>
      <c r="E548" s="10" t="s">
        <v>16</v>
      </c>
      <c r="F548" s="11">
        <v>1.0131631400000001</v>
      </c>
      <c r="G548" s="11">
        <v>1.521793</v>
      </c>
      <c r="H548" s="10"/>
      <c r="I548" s="10"/>
      <c r="J548" s="10"/>
    </row>
    <row r="549" spans="1:10" ht="15.6" x14ac:dyDescent="0.3">
      <c r="A549" s="9" t="s">
        <v>55</v>
      </c>
      <c r="B549" s="10">
        <v>140</v>
      </c>
      <c r="C549" s="10" t="s">
        <v>17</v>
      </c>
      <c r="D549" s="10">
        <v>7.2</v>
      </c>
      <c r="E549" s="10" t="s">
        <v>17</v>
      </c>
      <c r="F549" s="11">
        <v>1.0172347799999999</v>
      </c>
      <c r="G549" s="11">
        <v>1.512397</v>
      </c>
      <c r="H549" s="10"/>
      <c r="I549" s="10"/>
      <c r="J549" s="10"/>
    </row>
    <row r="550" spans="1:10" ht="15.6" x14ac:dyDescent="0.3">
      <c r="A550" s="9" t="s">
        <v>55</v>
      </c>
      <c r="B550" s="10">
        <v>140</v>
      </c>
      <c r="C550" s="10" t="s">
        <v>18</v>
      </c>
      <c r="D550" s="10">
        <v>10</v>
      </c>
      <c r="E550" s="10" t="s">
        <v>18</v>
      </c>
      <c r="F550" s="11">
        <v>1.0176211500000001</v>
      </c>
      <c r="G550" s="11">
        <v>1.5127330000000001</v>
      </c>
      <c r="H550" s="10"/>
      <c r="I550" s="10"/>
      <c r="J550" s="10"/>
    </row>
    <row r="551" spans="1:10" ht="15.6" x14ac:dyDescent="0.3">
      <c r="A551" s="9" t="s">
        <v>55</v>
      </c>
      <c r="B551" s="10">
        <v>140</v>
      </c>
      <c r="C551" s="10" t="s">
        <v>16</v>
      </c>
      <c r="D551" s="10">
        <v>12</v>
      </c>
      <c r="E551" s="10" t="s">
        <v>19</v>
      </c>
      <c r="F551" s="11">
        <v>1.0133072400000001</v>
      </c>
      <c r="G551" s="11">
        <v>1.5201469999999999</v>
      </c>
      <c r="H551" s="10"/>
      <c r="I551" s="10"/>
      <c r="J551" s="10"/>
    </row>
    <row r="552" spans="1:10" ht="15.6" x14ac:dyDescent="0.3">
      <c r="A552" s="9" t="s">
        <v>55</v>
      </c>
      <c r="B552" s="10">
        <v>140</v>
      </c>
      <c r="C552" s="10" t="s">
        <v>20</v>
      </c>
      <c r="D552" s="10">
        <v>14.4</v>
      </c>
      <c r="E552" s="10" t="s">
        <v>20</v>
      </c>
      <c r="F552" s="11">
        <v>1.0171673800000001</v>
      </c>
      <c r="G552" s="11">
        <v>1.5119050000000001</v>
      </c>
      <c r="H552" s="10"/>
      <c r="I552" s="10"/>
      <c r="J552" s="10"/>
    </row>
    <row r="553" spans="1:10" ht="15.6" x14ac:dyDescent="0.3">
      <c r="A553" s="9" t="s">
        <v>55</v>
      </c>
      <c r="B553" s="10">
        <v>140</v>
      </c>
      <c r="C553" s="10" t="s">
        <v>21</v>
      </c>
      <c r="D553" s="10">
        <v>38.4</v>
      </c>
      <c r="E553" s="10" t="s">
        <v>35</v>
      </c>
      <c r="F553" s="11">
        <v>1.01770782</v>
      </c>
      <c r="G553" s="11">
        <v>1.512121</v>
      </c>
      <c r="H553" s="10"/>
      <c r="I553" s="10"/>
      <c r="J553" s="10"/>
    </row>
    <row r="554" spans="1:10" ht="15.6" x14ac:dyDescent="0.3">
      <c r="A554" s="9" t="s">
        <v>55</v>
      </c>
      <c r="B554" s="10">
        <v>140</v>
      </c>
      <c r="C554" s="10" t="s">
        <v>22</v>
      </c>
      <c r="D554" s="10">
        <v>38.4</v>
      </c>
      <c r="E554" s="10" t="s">
        <v>40</v>
      </c>
      <c r="F554" s="11">
        <v>1.0132764299999999</v>
      </c>
      <c r="G554" s="11">
        <v>1.52071</v>
      </c>
      <c r="H554" s="10"/>
      <c r="I554" s="10"/>
      <c r="J554" s="10"/>
    </row>
    <row r="555" spans="1:10" ht="15.6" x14ac:dyDescent="0.3">
      <c r="A555" s="9" t="s">
        <v>56</v>
      </c>
      <c r="B555" s="10">
        <v>90</v>
      </c>
      <c r="C555" s="10" t="s">
        <v>14</v>
      </c>
      <c r="D555" s="10">
        <v>5</v>
      </c>
      <c r="E555" s="10" t="s">
        <v>14</v>
      </c>
      <c r="F555" s="11">
        <v>1.0434782600000001</v>
      </c>
      <c r="G555" s="11">
        <v>1.752688</v>
      </c>
      <c r="H555" s="10"/>
      <c r="I555" s="10"/>
      <c r="J555" s="10"/>
    </row>
    <row r="556" spans="1:10" ht="15.6" x14ac:dyDescent="0.3">
      <c r="A556" s="9" t="s">
        <v>56</v>
      </c>
      <c r="B556" s="10">
        <v>90</v>
      </c>
      <c r="C556" s="10" t="s">
        <v>57</v>
      </c>
      <c r="D556" s="10">
        <v>7.2</v>
      </c>
      <c r="E556" s="10" t="s">
        <v>57</v>
      </c>
      <c r="F556" s="11">
        <v>1.04340568</v>
      </c>
      <c r="G556" s="11">
        <v>1.745223</v>
      </c>
      <c r="H556" s="10"/>
      <c r="I556" s="10"/>
      <c r="J556" s="10"/>
    </row>
    <row r="557" spans="1:10" ht="15.6" x14ac:dyDescent="0.3">
      <c r="A557" s="9" t="s">
        <v>56</v>
      </c>
      <c r="B557" s="10">
        <v>90</v>
      </c>
      <c r="C557" s="10" t="s">
        <v>58</v>
      </c>
      <c r="D557" s="10">
        <v>14.4</v>
      </c>
      <c r="E557" s="10" t="s">
        <v>58</v>
      </c>
      <c r="F557" s="11">
        <v>1.04365482</v>
      </c>
      <c r="G557" s="11">
        <v>1.748062</v>
      </c>
      <c r="H557" s="10"/>
      <c r="I557" s="10"/>
      <c r="J557" s="10"/>
    </row>
    <row r="558" spans="1:10" ht="15.6" x14ac:dyDescent="0.3">
      <c r="A558" s="9" t="s">
        <v>56</v>
      </c>
      <c r="B558" s="10">
        <v>90</v>
      </c>
      <c r="C558" s="10" t="s">
        <v>59</v>
      </c>
      <c r="D558" s="10">
        <v>19.2</v>
      </c>
      <c r="E558" s="10" t="s">
        <v>59</v>
      </c>
      <c r="F558" s="11">
        <v>1.0428101000000001</v>
      </c>
      <c r="G558" s="11">
        <v>1.7521009999999999</v>
      </c>
      <c r="H558" s="10"/>
      <c r="I558" s="10"/>
      <c r="J558" s="10"/>
    </row>
    <row r="559" spans="1:10" ht="15.6" x14ac:dyDescent="0.3">
      <c r="A559" s="9" t="s">
        <v>56</v>
      </c>
      <c r="B559" s="10">
        <v>90</v>
      </c>
      <c r="C559" s="10" t="s">
        <v>60</v>
      </c>
      <c r="D559" s="10">
        <v>24</v>
      </c>
      <c r="E559" s="10" t="s">
        <v>60</v>
      </c>
      <c r="F559" s="11">
        <v>1.04292929</v>
      </c>
      <c r="G559" s="11">
        <v>1.7487919999999999</v>
      </c>
      <c r="H559" s="10"/>
      <c r="I559" s="10"/>
      <c r="J559" s="10"/>
    </row>
    <row r="560" spans="1:10" ht="15.6" x14ac:dyDescent="0.3">
      <c r="A560" s="9" t="s">
        <v>56</v>
      </c>
      <c r="B560" s="10">
        <v>90</v>
      </c>
      <c r="C560" s="10" t="s">
        <v>61</v>
      </c>
      <c r="D560" s="10">
        <v>28.8</v>
      </c>
      <c r="E560" s="10" t="s">
        <v>61</v>
      </c>
      <c r="F560" s="11">
        <v>1.04467354</v>
      </c>
      <c r="G560" s="11">
        <v>1.754386</v>
      </c>
      <c r="H560" s="10"/>
      <c r="I560" s="10"/>
      <c r="J560" s="10"/>
    </row>
    <row r="561" spans="1:10" ht="15.6" x14ac:dyDescent="0.3">
      <c r="A561" s="9" t="s">
        <v>56</v>
      </c>
      <c r="B561" s="10">
        <v>90</v>
      </c>
      <c r="C561" s="10" t="s">
        <v>62</v>
      </c>
      <c r="D561" s="10">
        <v>38.4</v>
      </c>
      <c r="E561" s="10" t="s">
        <v>62</v>
      </c>
      <c r="F561" s="11">
        <v>1.0435308299999999</v>
      </c>
      <c r="G561" s="11">
        <v>1.75</v>
      </c>
      <c r="H561" s="10"/>
      <c r="I561" s="10"/>
      <c r="J561" s="10"/>
    </row>
    <row r="562" spans="1:10" ht="15.6" x14ac:dyDescent="0.3">
      <c r="A562" s="9" t="s">
        <v>56</v>
      </c>
      <c r="B562" s="10">
        <v>90</v>
      </c>
      <c r="C562" s="10" t="s">
        <v>63</v>
      </c>
      <c r="D562" s="10">
        <v>57.6</v>
      </c>
      <c r="E562" s="10" t="s">
        <v>63</v>
      </c>
      <c r="F562" s="11">
        <v>1.04358974</v>
      </c>
      <c r="G562" s="11">
        <v>1.75</v>
      </c>
      <c r="H562" s="10"/>
      <c r="I562" s="10"/>
      <c r="J562" s="10"/>
    </row>
    <row r="563" spans="1:10" ht="15.6" x14ac:dyDescent="0.3">
      <c r="A563" s="9" t="s">
        <v>56</v>
      </c>
      <c r="B563" s="10">
        <v>120</v>
      </c>
      <c r="C563" s="10" t="s">
        <v>14</v>
      </c>
      <c r="D563" s="10">
        <v>5</v>
      </c>
      <c r="E563" s="10" t="s">
        <v>14</v>
      </c>
      <c r="F563" s="11">
        <v>1.0279255300000001</v>
      </c>
      <c r="G563" s="11">
        <v>1.6174500000000001</v>
      </c>
      <c r="H563" s="10"/>
      <c r="I563" s="10"/>
      <c r="J563" s="10"/>
    </row>
    <row r="564" spans="1:10" ht="15.6" x14ac:dyDescent="0.3">
      <c r="A564" s="9" t="s">
        <v>56</v>
      </c>
      <c r="B564" s="10">
        <v>120</v>
      </c>
      <c r="C564" s="10" t="s">
        <v>57</v>
      </c>
      <c r="D564" s="10">
        <v>7.2</v>
      </c>
      <c r="E564" s="10" t="s">
        <v>57</v>
      </c>
      <c r="F564" s="11">
        <v>1.0276898699999999</v>
      </c>
      <c r="G564" s="11">
        <v>1.6143620000000001</v>
      </c>
      <c r="H564" s="10"/>
      <c r="I564" s="10"/>
      <c r="J564" s="10"/>
    </row>
    <row r="565" spans="1:10" ht="15.6" x14ac:dyDescent="0.3">
      <c r="A565" s="9" t="s">
        <v>56</v>
      </c>
      <c r="B565" s="10">
        <v>120</v>
      </c>
      <c r="C565" s="10" t="s">
        <v>58</v>
      </c>
      <c r="D565" s="10">
        <v>14.4</v>
      </c>
      <c r="E565" s="10" t="s">
        <v>58</v>
      </c>
      <c r="F565" s="11">
        <v>1.0274170300000001</v>
      </c>
      <c r="G565" s="11">
        <v>1.6165050000000001</v>
      </c>
      <c r="H565" s="10"/>
      <c r="I565" s="10"/>
      <c r="J565" s="10"/>
    </row>
    <row r="566" spans="1:10" ht="15.6" x14ac:dyDescent="0.3">
      <c r="A566" s="9" t="s">
        <v>56</v>
      </c>
      <c r="B566" s="10">
        <v>120</v>
      </c>
      <c r="C566" s="10" t="s">
        <v>59</v>
      </c>
      <c r="D566" s="10">
        <v>19.2</v>
      </c>
      <c r="E566" s="10" t="s">
        <v>59</v>
      </c>
      <c r="F566" s="11">
        <v>1.0275898000000001</v>
      </c>
      <c r="G566" s="11">
        <v>1.6164620000000001</v>
      </c>
      <c r="H566" s="10"/>
      <c r="I566" s="10"/>
      <c r="J566" s="10"/>
    </row>
    <row r="567" spans="1:10" ht="15.6" x14ac:dyDescent="0.3">
      <c r="A567" s="9" t="s">
        <v>56</v>
      </c>
      <c r="B567" s="10">
        <v>120</v>
      </c>
      <c r="C567" s="10" t="s">
        <v>60</v>
      </c>
      <c r="D567" s="10">
        <v>24</v>
      </c>
      <c r="E567" s="10" t="s">
        <v>60</v>
      </c>
      <c r="F567" s="11">
        <v>1.0281437099999999</v>
      </c>
      <c r="G567" s="11">
        <v>1.615694</v>
      </c>
      <c r="H567" s="10"/>
      <c r="I567" s="10"/>
      <c r="J567" s="10"/>
    </row>
    <row r="568" spans="1:10" ht="15.6" x14ac:dyDescent="0.3">
      <c r="A568" s="9" t="s">
        <v>56</v>
      </c>
      <c r="B568" s="10">
        <v>120</v>
      </c>
      <c r="C568" s="10" t="s">
        <v>61</v>
      </c>
      <c r="D568" s="10">
        <v>28.8</v>
      </c>
      <c r="E568" s="10" t="s">
        <v>61</v>
      </c>
      <c r="F568" s="11">
        <v>1.02823018</v>
      </c>
      <c r="G568" s="11">
        <v>1.6149640000000001</v>
      </c>
      <c r="H568" s="10"/>
      <c r="I568" s="10"/>
      <c r="J568" s="10"/>
    </row>
    <row r="569" spans="1:10" ht="15.6" x14ac:dyDescent="0.3">
      <c r="A569" s="9" t="s">
        <v>56</v>
      </c>
      <c r="B569" s="10">
        <v>120</v>
      </c>
      <c r="C569" s="10" t="s">
        <v>62</v>
      </c>
      <c r="D569" s="10">
        <v>38.4</v>
      </c>
      <c r="E569" s="10" t="s">
        <v>62</v>
      </c>
      <c r="F569" s="11">
        <v>1.0281124500000001</v>
      </c>
      <c r="G569" s="11">
        <v>1.617761</v>
      </c>
      <c r="H569" s="10"/>
      <c r="I569" s="10"/>
      <c r="J569" s="10"/>
    </row>
    <row r="570" spans="1:10" ht="15.6" x14ac:dyDescent="0.3">
      <c r="A570" s="9" t="s">
        <v>56</v>
      </c>
      <c r="B570" s="10">
        <v>120</v>
      </c>
      <c r="C570" s="10" t="s">
        <v>63</v>
      </c>
      <c r="D570" s="10">
        <v>57.6</v>
      </c>
      <c r="E570" s="10" t="s">
        <v>63</v>
      </c>
      <c r="F570" s="11">
        <v>1.02735562</v>
      </c>
      <c r="G570" s="11">
        <v>1.615542</v>
      </c>
      <c r="H570" s="10"/>
      <c r="I570" s="10"/>
      <c r="J570" s="10"/>
    </row>
    <row r="571" spans="1:10" ht="15.6" x14ac:dyDescent="0.3">
      <c r="A571" s="9" t="s">
        <v>56</v>
      </c>
      <c r="B571" s="10">
        <v>140</v>
      </c>
      <c r="C571" s="10" t="s">
        <v>14</v>
      </c>
      <c r="D571" s="10">
        <v>5</v>
      </c>
      <c r="E571" s="10" t="s">
        <v>14</v>
      </c>
      <c r="F571" s="11">
        <v>1.02195236</v>
      </c>
      <c r="G571" s="11">
        <v>1.5710010000000001</v>
      </c>
      <c r="H571" s="10"/>
      <c r="I571" s="10"/>
      <c r="J571" s="10"/>
    </row>
    <row r="572" spans="1:10" ht="15.6" x14ac:dyDescent="0.3">
      <c r="A572" s="9" t="s">
        <v>56</v>
      </c>
      <c r="B572" s="10">
        <v>140</v>
      </c>
      <c r="C572" s="10" t="s">
        <v>57</v>
      </c>
      <c r="D572" s="10">
        <v>7.2</v>
      </c>
      <c r="E572" s="10" t="s">
        <v>57</v>
      </c>
      <c r="F572" s="11">
        <v>1.02223457</v>
      </c>
      <c r="G572" s="11">
        <v>1.57016</v>
      </c>
      <c r="H572" s="10"/>
      <c r="I572" s="10"/>
      <c r="J572" s="10"/>
    </row>
    <row r="573" spans="1:10" ht="15.6" x14ac:dyDescent="0.3">
      <c r="A573" s="9" t="s">
        <v>56</v>
      </c>
      <c r="B573" s="10">
        <v>140</v>
      </c>
      <c r="C573" s="10" t="s">
        <v>58</v>
      </c>
      <c r="D573" s="10">
        <v>14.4</v>
      </c>
      <c r="E573" s="10" t="s">
        <v>58</v>
      </c>
      <c r="F573" s="11">
        <v>1.0219668799999999</v>
      </c>
      <c r="G573" s="11">
        <v>1.570811</v>
      </c>
      <c r="H573" s="10"/>
      <c r="I573" s="10"/>
      <c r="J573" s="10"/>
    </row>
    <row r="574" spans="1:10" ht="15.6" x14ac:dyDescent="0.3">
      <c r="A574" s="9" t="s">
        <v>56</v>
      </c>
      <c r="B574" s="10">
        <v>140</v>
      </c>
      <c r="C574" s="10" t="s">
        <v>59</v>
      </c>
      <c r="D574" s="10">
        <v>19.2</v>
      </c>
      <c r="E574" s="10" t="s">
        <v>59</v>
      </c>
      <c r="F574" s="11">
        <v>1.0185927800000001</v>
      </c>
      <c r="G574" s="11">
        <v>1.5707599999999999</v>
      </c>
      <c r="H574" s="10"/>
      <c r="I574" s="10"/>
      <c r="J574" s="10"/>
    </row>
    <row r="575" spans="1:10" ht="15.6" x14ac:dyDescent="0.3">
      <c r="A575" s="9" t="s">
        <v>56</v>
      </c>
      <c r="B575" s="10">
        <v>140</v>
      </c>
      <c r="C575" s="10" t="s">
        <v>60</v>
      </c>
      <c r="D575" s="10">
        <v>24</v>
      </c>
      <c r="E575" s="10" t="s">
        <v>60</v>
      </c>
      <c r="F575" s="11">
        <v>1.02186712</v>
      </c>
      <c r="G575" s="11">
        <v>1.5698920000000001</v>
      </c>
      <c r="H575" s="10"/>
      <c r="I575" s="10"/>
      <c r="J575" s="10"/>
    </row>
    <row r="576" spans="1:10" ht="15.6" x14ac:dyDescent="0.3">
      <c r="A576" s="9" t="s">
        <v>56</v>
      </c>
      <c r="B576" s="10">
        <v>140</v>
      </c>
      <c r="C576" s="10" t="s">
        <v>61</v>
      </c>
      <c r="D576" s="10">
        <v>28.8</v>
      </c>
      <c r="E576" s="10" t="s">
        <v>61</v>
      </c>
      <c r="F576" s="11">
        <v>1.02173084</v>
      </c>
      <c r="G576" s="11">
        <v>1.570732</v>
      </c>
      <c r="H576" s="10"/>
      <c r="I576" s="10"/>
      <c r="J576" s="10"/>
    </row>
    <row r="577" spans="1:10" ht="15.6" x14ac:dyDescent="0.3">
      <c r="A577" s="9" t="s">
        <v>56</v>
      </c>
      <c r="B577" s="10">
        <v>140</v>
      </c>
      <c r="C577" s="10" t="s">
        <v>62</v>
      </c>
      <c r="D577" s="10">
        <v>38.4</v>
      </c>
      <c r="E577" s="10" t="s">
        <v>62</v>
      </c>
      <c r="F577" s="11">
        <v>1.0217566499999999</v>
      </c>
      <c r="G577" s="11">
        <v>1.5708759999999999</v>
      </c>
      <c r="H577" s="10"/>
      <c r="I577" s="10"/>
      <c r="J577" s="10"/>
    </row>
    <row r="578" spans="1:10" ht="15.6" x14ac:dyDescent="0.3">
      <c r="A578" s="9" t="s">
        <v>56</v>
      </c>
      <c r="B578" s="10">
        <v>140</v>
      </c>
      <c r="C578" s="10" t="s">
        <v>63</v>
      </c>
      <c r="D578" s="10">
        <v>57.6</v>
      </c>
      <c r="E578" s="10" t="s">
        <v>63</v>
      </c>
      <c r="F578" s="11">
        <v>1.0217855600000001</v>
      </c>
      <c r="G578" s="11">
        <v>1.5710379999999999</v>
      </c>
      <c r="H578" s="10"/>
      <c r="I578" s="10"/>
      <c r="J578" s="10"/>
    </row>
    <row r="579" spans="1:10" ht="15.6" x14ac:dyDescent="0.3">
      <c r="A579" s="9" t="s">
        <v>56</v>
      </c>
      <c r="B579" s="10" t="s">
        <v>44</v>
      </c>
      <c r="C579" s="10" t="s">
        <v>14</v>
      </c>
      <c r="D579" s="10">
        <v>5</v>
      </c>
      <c r="E579" s="10" t="s">
        <v>14</v>
      </c>
      <c r="F579" s="11">
        <v>1</v>
      </c>
      <c r="G579" s="11">
        <v>1.471698</v>
      </c>
      <c r="H579" s="10"/>
      <c r="I579" s="10"/>
      <c r="J579" s="10"/>
    </row>
    <row r="580" spans="1:10" ht="15.6" x14ac:dyDescent="0.3">
      <c r="A580" s="9" t="s">
        <v>56</v>
      </c>
      <c r="B580" s="10" t="s">
        <v>44</v>
      </c>
      <c r="C580" s="10" t="s">
        <v>57</v>
      </c>
      <c r="D580" s="10">
        <v>7.2</v>
      </c>
      <c r="E580" s="10" t="s">
        <v>57</v>
      </c>
      <c r="F580" s="11">
        <v>1</v>
      </c>
      <c r="G580" s="11">
        <v>1.5</v>
      </c>
      <c r="H580" s="10"/>
      <c r="I580" s="10"/>
      <c r="J580" s="10"/>
    </row>
    <row r="581" spans="1:10" ht="15.6" x14ac:dyDescent="0.3">
      <c r="A581" s="9" t="s">
        <v>56</v>
      </c>
      <c r="B581" s="10" t="s">
        <v>44</v>
      </c>
      <c r="C581" s="10" t="s">
        <v>58</v>
      </c>
      <c r="D581" s="10">
        <v>14.4</v>
      </c>
      <c r="E581" s="10" t="s">
        <v>58</v>
      </c>
      <c r="F581" s="11">
        <v>1.00943396</v>
      </c>
      <c r="G581" s="11">
        <v>1.479452</v>
      </c>
      <c r="H581" s="10"/>
      <c r="I581" s="10"/>
      <c r="J581" s="10"/>
    </row>
    <row r="582" spans="1:10" ht="15.6" x14ac:dyDescent="0.3">
      <c r="A582" s="9" t="s">
        <v>56</v>
      </c>
      <c r="B582" s="10" t="s">
        <v>44</v>
      </c>
      <c r="C582" s="10" t="s">
        <v>59</v>
      </c>
      <c r="D582" s="10">
        <v>19.2</v>
      </c>
      <c r="E582" s="10" t="s">
        <v>59</v>
      </c>
      <c r="F582" s="11">
        <v>1</v>
      </c>
      <c r="G582" s="11">
        <v>1.492537</v>
      </c>
      <c r="H582" s="10"/>
      <c r="I582" s="10"/>
      <c r="J582" s="10"/>
    </row>
    <row r="583" spans="1:10" ht="15.6" x14ac:dyDescent="0.3">
      <c r="A583" s="9" t="s">
        <v>56</v>
      </c>
      <c r="B583" s="10" t="s">
        <v>44</v>
      </c>
      <c r="C583" s="10" t="s">
        <v>60</v>
      </c>
      <c r="D583" s="10">
        <v>24</v>
      </c>
      <c r="E583" s="10" t="s">
        <v>60</v>
      </c>
      <c r="F583" s="11">
        <v>1</v>
      </c>
      <c r="G583" s="11">
        <v>1.4745760000000001</v>
      </c>
      <c r="H583" s="10"/>
      <c r="I583" s="10"/>
      <c r="J583" s="10"/>
    </row>
    <row r="584" spans="1:10" ht="15.6" x14ac:dyDescent="0.3">
      <c r="A584" s="9" t="s">
        <v>56</v>
      </c>
      <c r="B584" s="10" t="s">
        <v>44</v>
      </c>
      <c r="C584" s="10" t="s">
        <v>61</v>
      </c>
      <c r="D584" s="10">
        <v>28.8</v>
      </c>
      <c r="E584" s="10" t="s">
        <v>61</v>
      </c>
      <c r="F584" s="11">
        <v>1</v>
      </c>
      <c r="G584" s="11">
        <v>1.476923</v>
      </c>
      <c r="H584" s="10"/>
      <c r="I584" s="10"/>
      <c r="J584" s="10"/>
    </row>
    <row r="585" spans="1:10" ht="15.6" x14ac:dyDescent="0.3">
      <c r="A585" s="9" t="s">
        <v>56</v>
      </c>
      <c r="B585" s="10" t="s">
        <v>44</v>
      </c>
      <c r="C585" s="10" t="s">
        <v>62</v>
      </c>
      <c r="D585" s="10">
        <v>38.4</v>
      </c>
      <c r="E585" s="10" t="s">
        <v>62</v>
      </c>
      <c r="F585" s="11">
        <v>1</v>
      </c>
      <c r="G585" s="11">
        <v>1.4754100000000001</v>
      </c>
      <c r="H585" s="10"/>
      <c r="I585" s="10"/>
      <c r="J585" s="10"/>
    </row>
    <row r="586" spans="1:10" ht="15.6" x14ac:dyDescent="0.3">
      <c r="A586" s="9" t="s">
        <v>56</v>
      </c>
      <c r="B586" s="10" t="s">
        <v>44</v>
      </c>
      <c r="C586" s="10" t="s">
        <v>63</v>
      </c>
      <c r="D586" s="10">
        <v>57.6</v>
      </c>
      <c r="E586" s="10" t="s">
        <v>63</v>
      </c>
      <c r="F586" s="11">
        <v>1</v>
      </c>
      <c r="G586" s="11">
        <v>1.465517</v>
      </c>
      <c r="H586" s="10"/>
      <c r="I586" s="10"/>
      <c r="J586" s="10"/>
    </row>
    <row r="587" spans="1:10" ht="15.6" x14ac:dyDescent="0.3">
      <c r="A587" s="9" t="s">
        <v>56</v>
      </c>
      <c r="B587" s="10" t="s">
        <v>50</v>
      </c>
      <c r="C587" s="10" t="s">
        <v>14</v>
      </c>
      <c r="D587" s="10">
        <v>5</v>
      </c>
      <c r="E587" s="10" t="s">
        <v>14</v>
      </c>
      <c r="F587" s="11">
        <v>1.0099502499999999</v>
      </c>
      <c r="G587" s="11">
        <v>1.4424779999999999</v>
      </c>
      <c r="H587" s="10"/>
      <c r="I587" s="10"/>
      <c r="J587" s="10"/>
    </row>
    <row r="588" spans="1:10" ht="15.6" x14ac:dyDescent="0.3">
      <c r="A588" s="9" t="s">
        <v>56</v>
      </c>
      <c r="B588" s="10" t="s">
        <v>50</v>
      </c>
      <c r="C588" s="10" t="s">
        <v>57</v>
      </c>
      <c r="D588" s="10">
        <v>7.2</v>
      </c>
      <c r="E588" s="10" t="s">
        <v>57</v>
      </c>
      <c r="F588" s="11">
        <v>1.00986193</v>
      </c>
      <c r="G588" s="11">
        <v>1.442105</v>
      </c>
      <c r="H588" s="10"/>
      <c r="I588" s="10"/>
      <c r="J588" s="10"/>
    </row>
    <row r="589" spans="1:10" ht="15.6" x14ac:dyDescent="0.3">
      <c r="A589" s="9" t="s">
        <v>56</v>
      </c>
      <c r="B589" s="10" t="s">
        <v>50</v>
      </c>
      <c r="C589" s="10" t="s">
        <v>58</v>
      </c>
      <c r="D589" s="10">
        <v>14.4</v>
      </c>
      <c r="E589" s="10" t="s">
        <v>58</v>
      </c>
      <c r="F589" s="11">
        <v>1.00959233</v>
      </c>
      <c r="G589" s="11">
        <v>1.4423079999999999</v>
      </c>
      <c r="H589" s="10"/>
      <c r="I589" s="10"/>
      <c r="J589" s="10"/>
    </row>
    <row r="590" spans="1:10" ht="15.6" x14ac:dyDescent="0.3">
      <c r="A590" s="9" t="s">
        <v>56</v>
      </c>
      <c r="B590" s="10" t="s">
        <v>50</v>
      </c>
      <c r="C590" s="10" t="s">
        <v>59</v>
      </c>
      <c r="D590" s="10">
        <v>19.2</v>
      </c>
      <c r="E590" s="10" t="s">
        <v>59</v>
      </c>
      <c r="F590" s="11">
        <v>1.01038961</v>
      </c>
      <c r="G590" s="11">
        <v>1.439446</v>
      </c>
      <c r="H590" s="10"/>
      <c r="I590" s="10"/>
      <c r="J590" s="10"/>
    </row>
    <row r="591" spans="1:10" ht="15.6" x14ac:dyDescent="0.3">
      <c r="A591" s="9" t="s">
        <v>56</v>
      </c>
      <c r="B591" s="10" t="s">
        <v>50</v>
      </c>
      <c r="C591" s="10" t="s">
        <v>60</v>
      </c>
      <c r="D591" s="10">
        <v>24</v>
      </c>
      <c r="E591" s="10" t="s">
        <v>60</v>
      </c>
      <c r="F591" s="11">
        <v>1.0104477599999999</v>
      </c>
      <c r="G591" s="11">
        <v>1.442231</v>
      </c>
      <c r="H591" s="10"/>
      <c r="I591" s="10"/>
      <c r="J591" s="10"/>
    </row>
    <row r="592" spans="1:10" ht="15.6" x14ac:dyDescent="0.3">
      <c r="A592" s="9" t="s">
        <v>56</v>
      </c>
      <c r="B592" s="10" t="s">
        <v>50</v>
      </c>
      <c r="C592" s="10" t="s">
        <v>61</v>
      </c>
      <c r="D592" s="10">
        <v>28.8</v>
      </c>
      <c r="E592" s="10" t="s">
        <v>61</v>
      </c>
      <c r="F592" s="11">
        <v>1.0094722599999999</v>
      </c>
      <c r="G592" s="11">
        <v>1.4404330000000001</v>
      </c>
      <c r="H592" s="10"/>
      <c r="I592" s="10"/>
      <c r="J592" s="10"/>
    </row>
    <row r="593" spans="1:10" ht="15.6" x14ac:dyDescent="0.3">
      <c r="A593" s="9" t="s">
        <v>56</v>
      </c>
      <c r="B593" s="10" t="s">
        <v>50</v>
      </c>
      <c r="C593" s="10" t="s">
        <v>62</v>
      </c>
      <c r="D593" s="10">
        <v>38.4</v>
      </c>
      <c r="E593" s="10" t="s">
        <v>62</v>
      </c>
      <c r="F593" s="11">
        <v>1.0100143100000001</v>
      </c>
      <c r="G593" s="11">
        <v>1.4427479999999999</v>
      </c>
      <c r="H593" s="10"/>
      <c r="I593" s="10"/>
      <c r="J593" s="10"/>
    </row>
    <row r="594" spans="1:10" ht="15.6" x14ac:dyDescent="0.3">
      <c r="A594" s="9" t="s">
        <v>56</v>
      </c>
      <c r="B594" s="10" t="s">
        <v>50</v>
      </c>
      <c r="C594" s="10" t="s">
        <v>63</v>
      </c>
      <c r="D594" s="10">
        <v>57.6</v>
      </c>
      <c r="E594" s="10" t="s">
        <v>63</v>
      </c>
      <c r="F594" s="11">
        <v>1.0106221500000001</v>
      </c>
      <c r="G594" s="11">
        <v>1.4412959999999999</v>
      </c>
      <c r="H594" s="10"/>
      <c r="I594" s="10"/>
      <c r="J594" s="10"/>
    </row>
    <row r="595" spans="1:10" ht="15.6" x14ac:dyDescent="0.3">
      <c r="A595" s="9" t="s">
        <v>64</v>
      </c>
      <c r="B595" s="10">
        <v>70</v>
      </c>
      <c r="C595" s="10" t="s">
        <v>13</v>
      </c>
      <c r="D595" s="10">
        <v>2</v>
      </c>
      <c r="E595" s="10" t="s">
        <v>13</v>
      </c>
      <c r="F595" s="11">
        <v>1.04669261</v>
      </c>
      <c r="G595" s="11">
        <v>1.8103450000000001</v>
      </c>
      <c r="H595" s="10"/>
      <c r="I595" s="10"/>
      <c r="J595" s="10"/>
    </row>
    <row r="596" spans="1:10" ht="15.6" x14ac:dyDescent="0.3">
      <c r="A596" s="9" t="s">
        <v>64</v>
      </c>
      <c r="B596" s="10">
        <v>70</v>
      </c>
      <c r="C596" s="10" t="s">
        <v>26</v>
      </c>
      <c r="D596" s="10">
        <v>3.6</v>
      </c>
      <c r="E596" s="10" t="s">
        <v>26</v>
      </c>
      <c r="F596" s="11">
        <v>1.0431654699999999</v>
      </c>
      <c r="G596" s="11">
        <v>1.808511</v>
      </c>
      <c r="H596" s="10"/>
      <c r="I596" s="10"/>
      <c r="J596" s="10"/>
    </row>
    <row r="597" spans="1:10" ht="15.6" x14ac:dyDescent="0.3">
      <c r="A597" s="9" t="s">
        <v>64</v>
      </c>
      <c r="B597" s="10">
        <v>70</v>
      </c>
      <c r="C597" s="10" t="s">
        <v>34</v>
      </c>
      <c r="D597" s="10">
        <v>4.8</v>
      </c>
      <c r="E597" s="10" t="s">
        <v>31</v>
      </c>
      <c r="F597" s="11">
        <v>1.03872437</v>
      </c>
      <c r="G597" s="11">
        <v>1.808081</v>
      </c>
      <c r="H597" s="10"/>
      <c r="I597" s="10"/>
      <c r="J597" s="10"/>
    </row>
    <row r="598" spans="1:10" ht="15.6" x14ac:dyDescent="0.3">
      <c r="A598" s="9" t="s">
        <v>64</v>
      </c>
      <c r="B598" s="10">
        <v>70</v>
      </c>
      <c r="C598" s="10" t="s">
        <v>14</v>
      </c>
      <c r="D598" s="10">
        <v>5</v>
      </c>
      <c r="E598" s="10" t="s">
        <v>14</v>
      </c>
      <c r="F598" s="11">
        <v>1.04329004</v>
      </c>
      <c r="G598" s="11">
        <v>1.8076920000000001</v>
      </c>
      <c r="H598" s="10"/>
      <c r="I598" s="10"/>
      <c r="J598" s="10"/>
    </row>
    <row r="599" spans="1:10" ht="15.6" x14ac:dyDescent="0.3">
      <c r="A599" s="9" t="s">
        <v>64</v>
      </c>
      <c r="B599" s="10">
        <v>70</v>
      </c>
      <c r="C599" s="10" t="s">
        <v>15</v>
      </c>
      <c r="D599" s="10">
        <v>6</v>
      </c>
      <c r="E599" s="10" t="s">
        <v>16</v>
      </c>
      <c r="F599" s="11">
        <v>1.03947368</v>
      </c>
      <c r="G599" s="11">
        <v>1.7971010000000001</v>
      </c>
      <c r="H599" s="10"/>
      <c r="I599" s="10"/>
      <c r="J599" s="10"/>
    </row>
    <row r="600" spans="1:10" ht="15.6" x14ac:dyDescent="0.3">
      <c r="A600" s="9" t="s">
        <v>64</v>
      </c>
      <c r="B600" s="10">
        <v>70</v>
      </c>
      <c r="C600" s="10" t="s">
        <v>18</v>
      </c>
      <c r="D600" s="10">
        <v>10</v>
      </c>
      <c r="E600" s="10" t="s">
        <v>18</v>
      </c>
      <c r="F600" s="11">
        <v>1.04329004</v>
      </c>
      <c r="G600" s="11">
        <v>1.8076920000000001</v>
      </c>
      <c r="H600" s="10"/>
      <c r="I600" s="10"/>
      <c r="J600" s="10"/>
    </row>
    <row r="601" spans="1:10" ht="15.6" x14ac:dyDescent="0.3">
      <c r="A601" s="9" t="s">
        <v>64</v>
      </c>
      <c r="B601" s="10">
        <v>70</v>
      </c>
      <c r="C601" s="10" t="s">
        <v>20</v>
      </c>
      <c r="D601" s="10">
        <v>14.4</v>
      </c>
      <c r="E601" s="10" t="s">
        <v>20</v>
      </c>
      <c r="F601" s="11">
        <v>1.0439189200000001</v>
      </c>
      <c r="G601" s="11">
        <v>1.8333330000000001</v>
      </c>
      <c r="H601" s="10"/>
      <c r="I601" s="10"/>
      <c r="J601" s="10"/>
    </row>
    <row r="602" spans="1:10" ht="15.6" x14ac:dyDescent="0.3">
      <c r="A602" s="9" t="s">
        <v>64</v>
      </c>
      <c r="B602" s="10">
        <v>70</v>
      </c>
      <c r="C602" s="10" t="s">
        <v>16</v>
      </c>
      <c r="D602" s="10">
        <v>12</v>
      </c>
      <c r="E602" s="10" t="s">
        <v>19</v>
      </c>
      <c r="F602" s="11">
        <v>1.03870968</v>
      </c>
      <c r="G602" s="11">
        <v>1.8142860000000001</v>
      </c>
      <c r="H602" s="10"/>
      <c r="I602" s="10"/>
      <c r="J602" s="10"/>
    </row>
    <row r="603" spans="1:10" ht="15.6" x14ac:dyDescent="0.3">
      <c r="A603" s="9" t="s">
        <v>64</v>
      </c>
      <c r="B603" s="10">
        <v>70</v>
      </c>
      <c r="C603" s="10" t="s">
        <v>21</v>
      </c>
      <c r="D603" s="10">
        <v>19.2</v>
      </c>
      <c r="E603" s="10" t="s">
        <v>22</v>
      </c>
      <c r="F603" s="11">
        <v>1.0419580399999999</v>
      </c>
      <c r="G603" s="11">
        <v>1.828125</v>
      </c>
      <c r="H603" s="10"/>
      <c r="I603" s="10"/>
      <c r="J603" s="10"/>
    </row>
    <row r="604" spans="1:10" ht="15.6" x14ac:dyDescent="0.3">
      <c r="A604" s="9" t="s">
        <v>64</v>
      </c>
      <c r="B604" s="10">
        <v>70</v>
      </c>
      <c r="C604" s="10" t="s">
        <v>20</v>
      </c>
      <c r="D604" s="10">
        <v>14.4</v>
      </c>
      <c r="E604" s="10" t="s">
        <v>20</v>
      </c>
      <c r="F604" s="11">
        <v>1.0424710399999999</v>
      </c>
      <c r="G604" s="11">
        <v>1.8103450000000001</v>
      </c>
      <c r="H604" s="10"/>
      <c r="I604" s="10"/>
      <c r="J604" s="10"/>
    </row>
    <row r="605" spans="1:10" ht="15.6" x14ac:dyDescent="0.3">
      <c r="A605" s="9" t="s">
        <v>64</v>
      </c>
      <c r="B605" s="10">
        <v>70</v>
      </c>
      <c r="C605" s="10" t="s">
        <v>22</v>
      </c>
      <c r="D605" s="10">
        <v>38.4</v>
      </c>
      <c r="E605" s="10" t="s">
        <v>40</v>
      </c>
      <c r="F605" s="11">
        <v>1.03968254</v>
      </c>
      <c r="G605" s="11">
        <v>1.807018</v>
      </c>
      <c r="H605" s="10"/>
      <c r="I605" s="10"/>
      <c r="J605" s="10"/>
    </row>
    <row r="606" spans="1:10" ht="15.6" x14ac:dyDescent="0.3">
      <c r="A606" s="9" t="s">
        <v>64</v>
      </c>
      <c r="B606" s="10">
        <v>80</v>
      </c>
      <c r="C606" s="10" t="s">
        <v>13</v>
      </c>
      <c r="D606" s="10">
        <v>2</v>
      </c>
      <c r="E606" s="10" t="s">
        <v>13</v>
      </c>
      <c r="F606" s="11">
        <v>1.02912621</v>
      </c>
      <c r="G606" s="11">
        <v>1.7211540000000001</v>
      </c>
      <c r="H606" s="10"/>
      <c r="I606" s="10"/>
      <c r="J606" s="10"/>
    </row>
    <row r="607" spans="1:10" ht="15.6" x14ac:dyDescent="0.3">
      <c r="A607" s="9" t="s">
        <v>64</v>
      </c>
      <c r="B607" s="10">
        <v>80</v>
      </c>
      <c r="C607" s="10" t="s">
        <v>26</v>
      </c>
      <c r="D607" s="10">
        <v>3.6</v>
      </c>
      <c r="E607" s="10" t="s">
        <v>26</v>
      </c>
      <c r="F607" s="11">
        <v>1.0315315300000001</v>
      </c>
      <c r="G607" s="11">
        <v>1.7159759999999999</v>
      </c>
      <c r="H607" s="10"/>
      <c r="I607" s="10"/>
      <c r="J607" s="10"/>
    </row>
    <row r="608" spans="1:10" ht="15.6" x14ac:dyDescent="0.3">
      <c r="A608" s="9" t="s">
        <v>64</v>
      </c>
      <c r="B608" s="10">
        <v>80</v>
      </c>
      <c r="C608" s="10" t="s">
        <v>34</v>
      </c>
      <c r="D608" s="10">
        <v>4.8</v>
      </c>
      <c r="E608" s="10" t="s">
        <v>31</v>
      </c>
      <c r="F608" s="11">
        <v>1.0256045499999999</v>
      </c>
      <c r="G608" s="11">
        <v>1.6983239999999999</v>
      </c>
      <c r="H608" s="10"/>
      <c r="I608" s="10"/>
      <c r="J608" s="10"/>
    </row>
    <row r="609" spans="1:10" ht="15.6" x14ac:dyDescent="0.3">
      <c r="A609" s="9" t="s">
        <v>64</v>
      </c>
      <c r="B609" s="10">
        <v>80</v>
      </c>
      <c r="C609" s="10" t="s">
        <v>14</v>
      </c>
      <c r="D609" s="10">
        <v>5</v>
      </c>
      <c r="E609" s="10" t="s">
        <v>14</v>
      </c>
      <c r="F609" s="11">
        <v>1.0298103000000001</v>
      </c>
      <c r="G609" s="11">
        <v>1.7021280000000001</v>
      </c>
      <c r="H609" s="10"/>
      <c r="I609" s="10"/>
      <c r="J609" s="10"/>
    </row>
    <row r="610" spans="1:10" ht="15.6" x14ac:dyDescent="0.3">
      <c r="A610" s="9" t="s">
        <v>64</v>
      </c>
      <c r="B610" s="10">
        <v>80</v>
      </c>
      <c r="C610" s="10" t="s">
        <v>15</v>
      </c>
      <c r="D610" s="10">
        <v>6</v>
      </c>
      <c r="E610" s="10" t="s">
        <v>16</v>
      </c>
      <c r="F610" s="11">
        <v>1.0266940499999999</v>
      </c>
      <c r="G610" s="11">
        <v>1.701613</v>
      </c>
      <c r="H610" s="10"/>
      <c r="I610" s="10"/>
      <c r="J610" s="10"/>
    </row>
    <row r="611" spans="1:10" ht="15.6" x14ac:dyDescent="0.3">
      <c r="A611" s="9" t="s">
        <v>64</v>
      </c>
      <c r="B611" s="10">
        <v>80</v>
      </c>
      <c r="C611" s="10" t="s">
        <v>18</v>
      </c>
      <c r="D611" s="10">
        <v>10</v>
      </c>
      <c r="E611" s="10" t="s">
        <v>18</v>
      </c>
      <c r="F611" s="11">
        <v>1.0298103000000001</v>
      </c>
      <c r="G611" s="11">
        <v>1.7021280000000001</v>
      </c>
      <c r="H611" s="10"/>
      <c r="I611" s="10"/>
      <c r="J611" s="10"/>
    </row>
    <row r="612" spans="1:10" ht="15.6" x14ac:dyDescent="0.3">
      <c r="A612" s="9" t="s">
        <v>64</v>
      </c>
      <c r="B612" s="10">
        <v>80</v>
      </c>
      <c r="C612" s="10" t="s">
        <v>20</v>
      </c>
      <c r="D612" s="10">
        <v>14.4</v>
      </c>
      <c r="E612" s="10" t="s">
        <v>20</v>
      </c>
      <c r="F612" s="11">
        <v>1.02953586</v>
      </c>
      <c r="G612" s="11">
        <v>1.7166669999999999</v>
      </c>
      <c r="H612" s="10"/>
      <c r="I612" s="10"/>
      <c r="J612" s="10"/>
    </row>
    <row r="613" spans="1:10" ht="15.6" x14ac:dyDescent="0.3">
      <c r="A613" s="9" t="s">
        <v>64</v>
      </c>
      <c r="B613" s="10">
        <v>80</v>
      </c>
      <c r="C613" s="10" t="s">
        <v>16</v>
      </c>
      <c r="D613" s="10">
        <v>12</v>
      </c>
      <c r="E613" s="10" t="s">
        <v>19</v>
      </c>
      <c r="F613" s="11">
        <v>1.0261569399999999</v>
      </c>
      <c r="G613" s="11">
        <v>1.7063489999999999</v>
      </c>
      <c r="H613" s="10"/>
      <c r="I613" s="10"/>
      <c r="J613" s="10"/>
    </row>
    <row r="614" spans="1:10" ht="15.6" x14ac:dyDescent="0.3">
      <c r="A614" s="9" t="s">
        <v>64</v>
      </c>
      <c r="B614" s="10">
        <v>80</v>
      </c>
      <c r="C614" s="10" t="s">
        <v>21</v>
      </c>
      <c r="D614" s="10">
        <v>19.2</v>
      </c>
      <c r="E614" s="10" t="s">
        <v>22</v>
      </c>
      <c r="F614" s="11">
        <v>1.02838428</v>
      </c>
      <c r="G614" s="11">
        <v>1.715517</v>
      </c>
      <c r="H614" s="10"/>
      <c r="I614" s="10"/>
      <c r="J614" s="10"/>
    </row>
    <row r="615" spans="1:10" ht="15.6" x14ac:dyDescent="0.3">
      <c r="A615" s="9" t="s">
        <v>64</v>
      </c>
      <c r="B615" s="10">
        <v>80</v>
      </c>
      <c r="C615" s="10" t="s">
        <v>20</v>
      </c>
      <c r="D615" s="10">
        <v>14.4</v>
      </c>
      <c r="E615" s="10" t="s">
        <v>20</v>
      </c>
      <c r="F615" s="11">
        <v>1.031477</v>
      </c>
      <c r="G615" s="11">
        <v>1.714286</v>
      </c>
      <c r="H615" s="10"/>
      <c r="I615" s="10"/>
      <c r="J615" s="10"/>
    </row>
    <row r="616" spans="1:10" ht="15.6" x14ac:dyDescent="0.3">
      <c r="A616" s="9" t="s">
        <v>64</v>
      </c>
      <c r="B616" s="10">
        <v>80</v>
      </c>
      <c r="C616" s="10" t="s">
        <v>22</v>
      </c>
      <c r="D616" s="10">
        <v>38.4</v>
      </c>
      <c r="E616" s="10" t="s">
        <v>40</v>
      </c>
      <c r="F616" s="11">
        <v>1.02722772</v>
      </c>
      <c r="G616" s="11">
        <v>1.6990289999999999</v>
      </c>
      <c r="H616" s="10"/>
      <c r="I616" s="10"/>
      <c r="J616" s="10"/>
    </row>
    <row r="617" spans="1:10" ht="15.6" x14ac:dyDescent="0.3">
      <c r="A617" s="9" t="s">
        <v>64</v>
      </c>
      <c r="B617" s="10">
        <v>90</v>
      </c>
      <c r="C617" s="10" t="s">
        <v>13</v>
      </c>
      <c r="D617" s="10">
        <v>2</v>
      </c>
      <c r="E617" s="10" t="s">
        <v>13</v>
      </c>
      <c r="F617" s="11">
        <v>1.0231023100000001</v>
      </c>
      <c r="G617" s="11">
        <v>1.6445780000000001</v>
      </c>
      <c r="H617" s="10"/>
      <c r="I617" s="10"/>
      <c r="J617" s="10"/>
    </row>
    <row r="618" spans="1:10" ht="15.6" x14ac:dyDescent="0.3">
      <c r="A618" s="9" t="s">
        <v>64</v>
      </c>
      <c r="B618" s="10">
        <v>90</v>
      </c>
      <c r="C618" s="10" t="s">
        <v>26</v>
      </c>
      <c r="D618" s="10">
        <v>3.6</v>
      </c>
      <c r="E618" s="10" t="s">
        <v>26</v>
      </c>
      <c r="F618" s="11">
        <v>1.0193679899999999</v>
      </c>
      <c r="G618" s="11">
        <v>1.649254</v>
      </c>
      <c r="H618" s="10"/>
      <c r="I618" s="10"/>
      <c r="J618" s="10"/>
    </row>
    <row r="619" spans="1:10" ht="15.6" x14ac:dyDescent="0.3">
      <c r="A619" s="9" t="s">
        <v>64</v>
      </c>
      <c r="B619" s="10">
        <v>90</v>
      </c>
      <c r="C619" s="10" t="s">
        <v>34</v>
      </c>
      <c r="D619" s="10">
        <v>4.8</v>
      </c>
      <c r="E619" s="10" t="s">
        <v>31</v>
      </c>
      <c r="F619" s="11">
        <v>1.0192307700000001</v>
      </c>
      <c r="G619" s="11">
        <v>1.6338029999999999</v>
      </c>
      <c r="H619" s="10"/>
      <c r="I619" s="10"/>
      <c r="J619" s="10"/>
    </row>
    <row r="620" spans="1:10" ht="15.6" x14ac:dyDescent="0.3">
      <c r="A620" s="9" t="s">
        <v>64</v>
      </c>
      <c r="B620" s="10">
        <v>90</v>
      </c>
      <c r="C620" s="10" t="s">
        <v>14</v>
      </c>
      <c r="D620" s="10">
        <v>5</v>
      </c>
      <c r="E620" s="10" t="s">
        <v>14</v>
      </c>
      <c r="F620" s="11">
        <v>1.02205882</v>
      </c>
      <c r="G620" s="11">
        <v>1.6442950000000001</v>
      </c>
      <c r="H620" s="10"/>
      <c r="I620" s="10"/>
      <c r="J620" s="10"/>
    </row>
    <row r="621" spans="1:10" ht="15.6" x14ac:dyDescent="0.3">
      <c r="A621" s="9" t="s">
        <v>64</v>
      </c>
      <c r="B621" s="10">
        <v>90</v>
      </c>
      <c r="C621" s="10" t="s">
        <v>15</v>
      </c>
      <c r="D621" s="10">
        <v>6</v>
      </c>
      <c r="E621" s="10" t="s">
        <v>16</v>
      </c>
      <c r="F621" s="11">
        <v>1.01808067</v>
      </c>
      <c r="G621" s="11">
        <v>1.6345179999999999</v>
      </c>
      <c r="H621" s="10"/>
      <c r="I621" s="10"/>
      <c r="J621" s="10"/>
    </row>
    <row r="622" spans="1:10" ht="15.6" x14ac:dyDescent="0.3">
      <c r="A622" s="9" t="s">
        <v>64</v>
      </c>
      <c r="B622" s="10">
        <v>90</v>
      </c>
      <c r="C622" s="10" t="s">
        <v>18</v>
      </c>
      <c r="D622" s="10">
        <v>10</v>
      </c>
      <c r="E622" s="10" t="s">
        <v>18</v>
      </c>
      <c r="F622" s="11">
        <v>1.02205882</v>
      </c>
      <c r="G622" s="11">
        <v>1.6442950000000001</v>
      </c>
      <c r="H622" s="10"/>
      <c r="I622" s="10"/>
      <c r="J622" s="10"/>
    </row>
    <row r="623" spans="1:10" ht="15.6" x14ac:dyDescent="0.3">
      <c r="A623" s="9" t="s">
        <v>64</v>
      </c>
      <c r="B623" s="10">
        <v>90</v>
      </c>
      <c r="C623" s="10" t="s">
        <v>20</v>
      </c>
      <c r="D623" s="10">
        <v>14.4</v>
      </c>
      <c r="E623" s="10" t="s">
        <v>20</v>
      </c>
      <c r="F623" s="11">
        <v>1.02295552</v>
      </c>
      <c r="G623" s="11">
        <v>1.6439790000000001</v>
      </c>
      <c r="H623" s="10"/>
      <c r="I623" s="10"/>
      <c r="J623" s="10"/>
    </row>
    <row r="624" spans="1:10" ht="15.6" x14ac:dyDescent="0.3">
      <c r="A624" s="9" t="s">
        <v>64</v>
      </c>
      <c r="B624" s="10">
        <v>90</v>
      </c>
      <c r="C624" s="10" t="s">
        <v>16</v>
      </c>
      <c r="D624" s="10">
        <v>12</v>
      </c>
      <c r="E624" s="10" t="s">
        <v>19</v>
      </c>
      <c r="F624" s="11">
        <v>1.01773533</v>
      </c>
      <c r="G624" s="11">
        <v>1.64</v>
      </c>
      <c r="H624" s="10"/>
      <c r="I624" s="10"/>
      <c r="J624" s="10"/>
    </row>
    <row r="625" spans="1:10" ht="15.6" x14ac:dyDescent="0.3">
      <c r="A625" s="9" t="s">
        <v>64</v>
      </c>
      <c r="B625" s="10">
        <v>90</v>
      </c>
      <c r="C625" s="10" t="s">
        <v>21</v>
      </c>
      <c r="D625" s="10">
        <v>19.2</v>
      </c>
      <c r="E625" s="10" t="s">
        <v>22</v>
      </c>
      <c r="F625" s="11">
        <v>1.0207407399999999</v>
      </c>
      <c r="G625" s="11">
        <v>1.6378379999999999</v>
      </c>
      <c r="H625" s="10"/>
      <c r="I625" s="10"/>
      <c r="J625" s="10"/>
    </row>
    <row r="626" spans="1:10" ht="15.6" x14ac:dyDescent="0.3">
      <c r="A626" s="9" t="s">
        <v>64</v>
      </c>
      <c r="B626" s="10">
        <v>90</v>
      </c>
      <c r="C626" s="10" t="s">
        <v>20</v>
      </c>
      <c r="D626" s="10">
        <v>14.4</v>
      </c>
      <c r="E626" s="10" t="s">
        <v>20</v>
      </c>
      <c r="F626" s="11">
        <v>1.0213464699999999</v>
      </c>
      <c r="G626" s="11">
        <v>1.6506019999999999</v>
      </c>
      <c r="H626" s="10"/>
      <c r="I626" s="10"/>
      <c r="J626" s="10"/>
    </row>
    <row r="627" spans="1:10" ht="15.6" x14ac:dyDescent="0.3">
      <c r="A627" s="9" t="s">
        <v>64</v>
      </c>
      <c r="B627" s="10">
        <v>90</v>
      </c>
      <c r="C627" s="10" t="s">
        <v>22</v>
      </c>
      <c r="D627" s="10">
        <v>38.4</v>
      </c>
      <c r="E627" s="10" t="s">
        <v>40</v>
      </c>
      <c r="F627" s="11">
        <v>1.0167504199999999</v>
      </c>
      <c r="G627" s="11">
        <v>1.638037</v>
      </c>
      <c r="H627" s="10"/>
      <c r="I627" s="10"/>
      <c r="J627" s="10"/>
    </row>
    <row r="628" spans="1:10" ht="15.6" x14ac:dyDescent="0.3">
      <c r="A628" s="9" t="s">
        <v>64</v>
      </c>
      <c r="B628" s="10">
        <v>100</v>
      </c>
      <c r="C628" s="10" t="s">
        <v>13</v>
      </c>
      <c r="D628" s="10">
        <v>2</v>
      </c>
      <c r="E628" s="10" t="s">
        <v>13</v>
      </c>
      <c r="F628" s="11">
        <v>1.0167664700000001</v>
      </c>
      <c r="G628" s="11">
        <v>1.60084</v>
      </c>
      <c r="H628" s="10"/>
      <c r="I628" s="10"/>
      <c r="J628" s="10"/>
    </row>
    <row r="629" spans="1:10" ht="15.6" x14ac:dyDescent="0.3">
      <c r="A629" s="9" t="s">
        <v>64</v>
      </c>
      <c r="B629" s="10">
        <v>100</v>
      </c>
      <c r="C629" s="10" t="s">
        <v>26</v>
      </c>
      <c r="D629" s="10">
        <v>3.6</v>
      </c>
      <c r="E629" s="10" t="s">
        <v>26</v>
      </c>
      <c r="F629" s="11">
        <v>1.02222222</v>
      </c>
      <c r="G629" s="11">
        <v>1.602597</v>
      </c>
      <c r="H629" s="10"/>
      <c r="I629" s="10"/>
      <c r="J629" s="10"/>
    </row>
    <row r="630" spans="1:10" ht="15.6" x14ac:dyDescent="0.3">
      <c r="A630" s="9" t="s">
        <v>64</v>
      </c>
      <c r="B630" s="10">
        <v>100</v>
      </c>
      <c r="C630" s="10" t="s">
        <v>34</v>
      </c>
      <c r="D630" s="10">
        <v>4.8</v>
      </c>
      <c r="E630" s="10" t="s">
        <v>31</v>
      </c>
      <c r="F630" s="11">
        <v>1.01398601</v>
      </c>
      <c r="G630" s="11">
        <v>1.5921380000000001</v>
      </c>
      <c r="H630" s="10"/>
      <c r="I630" s="10"/>
      <c r="J630" s="10"/>
    </row>
    <row r="631" spans="1:10" ht="15.6" x14ac:dyDescent="0.3">
      <c r="A631" s="9" t="s">
        <v>64</v>
      </c>
      <c r="B631" s="10">
        <v>100</v>
      </c>
      <c r="C631" s="10" t="s">
        <v>14</v>
      </c>
      <c r="D631" s="10">
        <v>5</v>
      </c>
      <c r="E631" s="10" t="s">
        <v>14</v>
      </c>
      <c r="F631" s="11">
        <v>1.0173564799999999</v>
      </c>
      <c r="G631" s="11">
        <v>1.605634</v>
      </c>
      <c r="H631" s="10"/>
      <c r="I631" s="10"/>
      <c r="J631" s="10"/>
    </row>
    <row r="632" spans="1:10" ht="15.6" x14ac:dyDescent="0.3">
      <c r="A632" s="9" t="s">
        <v>64</v>
      </c>
      <c r="B632" s="10">
        <v>100</v>
      </c>
      <c r="C632" s="10" t="s">
        <v>15</v>
      </c>
      <c r="D632" s="10">
        <v>6</v>
      </c>
      <c r="E632" s="10" t="s">
        <v>16</v>
      </c>
      <c r="F632" s="11">
        <v>1.0090817400000001</v>
      </c>
      <c r="G632" s="11">
        <v>1.595745</v>
      </c>
      <c r="H632" s="10"/>
      <c r="I632" s="10"/>
      <c r="J632" s="10"/>
    </row>
    <row r="633" spans="1:10" ht="15.6" x14ac:dyDescent="0.3">
      <c r="A633" s="9" t="s">
        <v>64</v>
      </c>
      <c r="B633" s="10">
        <v>100</v>
      </c>
      <c r="C633" s="10" t="s">
        <v>18</v>
      </c>
      <c r="D633" s="10">
        <v>10</v>
      </c>
      <c r="E633" s="10" t="s">
        <v>18</v>
      </c>
      <c r="F633" s="11">
        <v>1.0173564799999999</v>
      </c>
      <c r="G633" s="11">
        <v>1.605634</v>
      </c>
      <c r="H633" s="10"/>
      <c r="I633" s="10"/>
      <c r="J633" s="10"/>
    </row>
    <row r="634" spans="1:10" ht="15.6" x14ac:dyDescent="0.3">
      <c r="A634" s="9" t="s">
        <v>64</v>
      </c>
      <c r="B634" s="10">
        <v>100</v>
      </c>
      <c r="C634" s="10" t="s">
        <v>20</v>
      </c>
      <c r="D634" s="10">
        <v>14.4</v>
      </c>
      <c r="E634" s="10" t="s">
        <v>20</v>
      </c>
      <c r="F634" s="11">
        <v>1.01770833</v>
      </c>
      <c r="G634" s="11">
        <v>1.6080589999999999</v>
      </c>
      <c r="H634" s="10"/>
      <c r="I634" s="10"/>
      <c r="J634" s="10"/>
    </row>
    <row r="635" spans="1:10" ht="15.6" x14ac:dyDescent="0.3">
      <c r="A635" s="9" t="s">
        <v>64</v>
      </c>
      <c r="B635" s="10">
        <v>100</v>
      </c>
      <c r="C635" s="10" t="s">
        <v>16</v>
      </c>
      <c r="D635" s="10">
        <v>12</v>
      </c>
      <c r="E635" s="10" t="s">
        <v>19</v>
      </c>
      <c r="F635" s="11">
        <v>1.00990099</v>
      </c>
      <c r="G635" s="11">
        <v>1.5902780000000001</v>
      </c>
      <c r="H635" s="10"/>
      <c r="I635" s="10"/>
      <c r="J635" s="10"/>
    </row>
    <row r="636" spans="1:10" ht="15.6" x14ac:dyDescent="0.3">
      <c r="A636" s="9" t="s">
        <v>64</v>
      </c>
      <c r="B636" s="10">
        <v>100</v>
      </c>
      <c r="C636" s="10" t="s">
        <v>21</v>
      </c>
      <c r="D636" s="10">
        <v>19.2</v>
      </c>
      <c r="E636" s="10" t="s">
        <v>22</v>
      </c>
      <c r="F636" s="11">
        <v>1.01505376</v>
      </c>
      <c r="G636" s="11">
        <v>1.5962259999999999</v>
      </c>
      <c r="H636" s="10"/>
      <c r="I636" s="10"/>
      <c r="J636" s="10"/>
    </row>
    <row r="637" spans="1:10" ht="15.6" x14ac:dyDescent="0.3">
      <c r="A637" s="9" t="s">
        <v>64</v>
      </c>
      <c r="B637" s="10">
        <v>100</v>
      </c>
      <c r="C637" s="10" t="s">
        <v>20</v>
      </c>
      <c r="D637" s="10">
        <v>14.4</v>
      </c>
      <c r="E637" s="10" t="s">
        <v>20</v>
      </c>
      <c r="F637" s="11">
        <v>1.0178997599999999</v>
      </c>
      <c r="G637" s="11">
        <v>1.6025100000000001</v>
      </c>
      <c r="H637" s="10"/>
      <c r="I637" s="10"/>
      <c r="J637" s="10"/>
    </row>
    <row r="638" spans="1:10" ht="15.6" x14ac:dyDescent="0.3">
      <c r="A638" s="9" t="s">
        <v>64</v>
      </c>
      <c r="B638" s="10">
        <v>100</v>
      </c>
      <c r="C638" s="10" t="s">
        <v>22</v>
      </c>
      <c r="D638" s="10">
        <v>38.4</v>
      </c>
      <c r="E638" s="10" t="s">
        <v>40</v>
      </c>
      <c r="F638" s="11">
        <v>1.0121654499999999</v>
      </c>
      <c r="G638" s="11">
        <v>1.594017</v>
      </c>
      <c r="H638" s="10"/>
      <c r="I638" s="10"/>
      <c r="J638" s="10"/>
    </row>
    <row r="639" spans="1:10" ht="15.6" x14ac:dyDescent="0.3">
      <c r="A639" s="9" t="s">
        <v>64</v>
      </c>
      <c r="B639" s="10">
        <v>110</v>
      </c>
      <c r="C639" s="10" t="s">
        <v>13</v>
      </c>
      <c r="D639" s="10">
        <v>2</v>
      </c>
      <c r="E639" s="10" t="s">
        <v>13</v>
      </c>
      <c r="F639" s="11">
        <v>1.01785714</v>
      </c>
      <c r="G639" s="11">
        <v>1.5731710000000001</v>
      </c>
      <c r="H639" s="10"/>
      <c r="I639" s="10"/>
      <c r="J639" s="10"/>
    </row>
    <row r="640" spans="1:10" ht="15.6" x14ac:dyDescent="0.3">
      <c r="A640" s="9" t="s">
        <v>64</v>
      </c>
      <c r="B640" s="10">
        <v>110</v>
      </c>
      <c r="C640" s="10" t="s">
        <v>26</v>
      </c>
      <c r="D640" s="10">
        <v>3.6</v>
      </c>
      <c r="E640" s="10" t="s">
        <v>26</v>
      </c>
      <c r="F640" s="11">
        <v>1.0165745900000001</v>
      </c>
      <c r="G640" s="11">
        <v>1.5743879999999999</v>
      </c>
      <c r="H640" s="10"/>
      <c r="I640" s="10"/>
      <c r="J640" s="10"/>
    </row>
    <row r="641" spans="1:10" ht="15.6" x14ac:dyDescent="0.3">
      <c r="A641" s="9" t="s">
        <v>64</v>
      </c>
      <c r="B641" s="10">
        <v>110</v>
      </c>
      <c r="C641" s="10" t="s">
        <v>34</v>
      </c>
      <c r="D641" s="10">
        <v>4.8</v>
      </c>
      <c r="E641" s="10" t="s">
        <v>31</v>
      </c>
      <c r="F641" s="11">
        <v>1.0104166699999999</v>
      </c>
      <c r="G641" s="11">
        <v>1.5604979999999999</v>
      </c>
      <c r="H641" s="10"/>
      <c r="I641" s="10"/>
      <c r="J641" s="10"/>
    </row>
    <row r="642" spans="1:10" ht="15.6" x14ac:dyDescent="0.3">
      <c r="A642" s="9" t="s">
        <v>64</v>
      </c>
      <c r="B642" s="10">
        <v>110</v>
      </c>
      <c r="C642" s="10" t="s">
        <v>14</v>
      </c>
      <c r="D642" s="10">
        <v>5</v>
      </c>
      <c r="E642" s="10" t="s">
        <v>14</v>
      </c>
      <c r="F642" s="11">
        <v>1.00990099</v>
      </c>
      <c r="G642" s="11">
        <v>1.57483</v>
      </c>
      <c r="H642" s="10"/>
      <c r="I642" s="10"/>
      <c r="J642" s="10"/>
    </row>
    <row r="643" spans="1:10" ht="15.6" x14ac:dyDescent="0.3">
      <c r="A643" s="9" t="s">
        <v>64</v>
      </c>
      <c r="B643" s="10">
        <v>110</v>
      </c>
      <c r="C643" s="10" t="s">
        <v>15</v>
      </c>
      <c r="D643" s="10">
        <v>6</v>
      </c>
      <c r="E643" s="10" t="s">
        <v>16</v>
      </c>
      <c r="F643" s="11">
        <v>1.0075187999999999</v>
      </c>
      <c r="G643" s="11">
        <v>1.5589740000000001</v>
      </c>
      <c r="H643" s="10"/>
      <c r="I643" s="10"/>
      <c r="J643" s="10"/>
    </row>
    <row r="644" spans="1:10" ht="15.6" x14ac:dyDescent="0.3">
      <c r="A644" s="9" t="s">
        <v>64</v>
      </c>
      <c r="B644" s="10">
        <v>110</v>
      </c>
      <c r="C644" s="10" t="s">
        <v>18</v>
      </c>
      <c r="D644" s="10">
        <v>10</v>
      </c>
      <c r="E644" s="10" t="s">
        <v>18</v>
      </c>
      <c r="F644" s="11">
        <v>1.00990099</v>
      </c>
      <c r="G644" s="11">
        <v>1.57483</v>
      </c>
      <c r="H644" s="10"/>
      <c r="I644" s="10"/>
      <c r="J644" s="10"/>
    </row>
    <row r="645" spans="1:10" ht="15.6" x14ac:dyDescent="0.3">
      <c r="A645" s="9" t="s">
        <v>64</v>
      </c>
      <c r="B645" s="10">
        <v>110</v>
      </c>
      <c r="C645" s="10" t="s">
        <v>20</v>
      </c>
      <c r="D645" s="10">
        <v>14.4</v>
      </c>
      <c r="E645" s="10" t="s">
        <v>20</v>
      </c>
      <c r="F645" s="11">
        <v>1.01550388</v>
      </c>
      <c r="G645" s="11">
        <v>1.5755969999999999</v>
      </c>
      <c r="H645" s="10"/>
      <c r="I645" s="10"/>
      <c r="J645" s="10"/>
    </row>
    <row r="646" spans="1:10" ht="15.6" x14ac:dyDescent="0.3">
      <c r="A646" s="9" t="s">
        <v>64</v>
      </c>
      <c r="B646" s="10">
        <v>110</v>
      </c>
      <c r="C646" s="10" t="s">
        <v>16</v>
      </c>
      <c r="D646" s="10">
        <v>12</v>
      </c>
      <c r="E646" s="10" t="s">
        <v>19</v>
      </c>
      <c r="F646" s="11">
        <v>1.0148148100000001</v>
      </c>
      <c r="G646" s="11">
        <v>1.5617129999999999</v>
      </c>
      <c r="H646" s="10"/>
      <c r="I646" s="10"/>
      <c r="J646" s="10"/>
    </row>
    <row r="647" spans="1:10" ht="15.6" x14ac:dyDescent="0.3">
      <c r="A647" s="9" t="s">
        <v>64</v>
      </c>
      <c r="B647" s="10">
        <v>110</v>
      </c>
      <c r="C647" s="10" t="s">
        <v>21</v>
      </c>
      <c r="D647" s="10">
        <v>19.2</v>
      </c>
      <c r="E647" s="10" t="s">
        <v>22</v>
      </c>
      <c r="F647" s="11">
        <v>1.008</v>
      </c>
      <c r="G647" s="11">
        <v>1.565574</v>
      </c>
      <c r="H647" s="10"/>
      <c r="I647" s="10"/>
      <c r="J647" s="10"/>
    </row>
    <row r="648" spans="1:10" ht="15.6" x14ac:dyDescent="0.3">
      <c r="A648" s="9" t="s">
        <v>64</v>
      </c>
      <c r="B648" s="10">
        <v>110</v>
      </c>
      <c r="C648" s="10" t="s">
        <v>20</v>
      </c>
      <c r="D648" s="10">
        <v>14.4</v>
      </c>
      <c r="E648" s="10" t="s">
        <v>20</v>
      </c>
      <c r="F648" s="11">
        <v>1.00884956</v>
      </c>
      <c r="G648" s="11">
        <v>1.574468</v>
      </c>
      <c r="H648" s="10"/>
      <c r="I648" s="10"/>
      <c r="J648" s="10"/>
    </row>
    <row r="649" spans="1:10" ht="15.6" x14ac:dyDescent="0.3">
      <c r="A649" s="9" t="s">
        <v>64</v>
      </c>
      <c r="B649" s="10">
        <v>110</v>
      </c>
      <c r="C649" s="10" t="s">
        <v>22</v>
      </c>
      <c r="D649" s="10">
        <v>38.4</v>
      </c>
      <c r="E649" s="10" t="s">
        <v>40</v>
      </c>
      <c r="F649" s="11">
        <v>1.0090909100000001</v>
      </c>
      <c r="G649" s="11">
        <v>1.5603720000000001</v>
      </c>
      <c r="H649" s="10"/>
      <c r="I649" s="10"/>
      <c r="J649" s="10"/>
    </row>
    <row r="650" spans="1:10" ht="15.6" x14ac:dyDescent="0.3">
      <c r="A650" s="9" t="s">
        <v>64</v>
      </c>
      <c r="B650" s="10">
        <v>120</v>
      </c>
      <c r="C650" s="10" t="s">
        <v>13</v>
      </c>
      <c r="D650" s="10">
        <v>2</v>
      </c>
      <c r="E650" s="10" t="s">
        <v>13</v>
      </c>
      <c r="F650" s="11">
        <v>1.01428571</v>
      </c>
      <c r="G650" s="11">
        <v>1.547393</v>
      </c>
      <c r="H650" s="10"/>
      <c r="I650" s="10"/>
      <c r="J650" s="10"/>
    </row>
    <row r="651" spans="1:10" ht="15.6" x14ac:dyDescent="0.3">
      <c r="A651" s="9" t="s">
        <v>64</v>
      </c>
      <c r="B651" s="10">
        <v>120</v>
      </c>
      <c r="C651" s="10" t="s">
        <v>26</v>
      </c>
      <c r="D651" s="10">
        <v>3.6</v>
      </c>
      <c r="E651" s="10" t="s">
        <v>26</v>
      </c>
      <c r="F651" s="11">
        <v>1.0132158600000001</v>
      </c>
      <c r="G651" s="11">
        <v>1.5497080000000001</v>
      </c>
      <c r="H651" s="10"/>
      <c r="I651" s="10"/>
      <c r="J651" s="10"/>
    </row>
    <row r="652" spans="1:10" ht="15.6" x14ac:dyDescent="0.3">
      <c r="A652" s="9" t="s">
        <v>64</v>
      </c>
      <c r="B652" s="10">
        <v>120</v>
      </c>
      <c r="C652" s="10" t="s">
        <v>34</v>
      </c>
      <c r="D652" s="10">
        <v>4.8</v>
      </c>
      <c r="E652" s="10" t="s">
        <v>31</v>
      </c>
      <c r="F652" s="11">
        <v>1.0083682</v>
      </c>
      <c r="G652" s="11">
        <v>1.5352699999999999</v>
      </c>
      <c r="H652" s="10"/>
      <c r="I652" s="10"/>
      <c r="J652" s="10"/>
    </row>
    <row r="653" spans="1:10" ht="15.6" x14ac:dyDescent="0.3">
      <c r="A653" s="9" t="s">
        <v>64</v>
      </c>
      <c r="B653" s="10">
        <v>120</v>
      </c>
      <c r="C653" s="10" t="s">
        <v>14</v>
      </c>
      <c r="D653" s="10">
        <v>5</v>
      </c>
      <c r="E653" s="10" t="s">
        <v>14</v>
      </c>
      <c r="F653" s="11">
        <v>1.00793651</v>
      </c>
      <c r="G653" s="11">
        <v>1.5461739999999999</v>
      </c>
      <c r="H653" s="10"/>
      <c r="I653" s="10"/>
      <c r="J653" s="10"/>
    </row>
    <row r="654" spans="1:10" ht="15.6" x14ac:dyDescent="0.3">
      <c r="A654" s="9" t="s">
        <v>64</v>
      </c>
      <c r="B654" s="10">
        <v>120</v>
      </c>
      <c r="C654" s="10" t="s">
        <v>15</v>
      </c>
      <c r="D654" s="10">
        <v>6</v>
      </c>
      <c r="E654" s="10" t="s">
        <v>16</v>
      </c>
      <c r="F654" s="11">
        <v>1.0060241000000001</v>
      </c>
      <c r="G654" s="11">
        <v>1.536926</v>
      </c>
      <c r="H654" s="10"/>
      <c r="I654" s="10"/>
      <c r="J654" s="10"/>
    </row>
    <row r="655" spans="1:10" ht="15.6" x14ac:dyDescent="0.3">
      <c r="A655" s="9" t="s">
        <v>64</v>
      </c>
      <c r="B655" s="10">
        <v>120</v>
      </c>
      <c r="C655" s="10" t="s">
        <v>18</v>
      </c>
      <c r="D655" s="10">
        <v>10</v>
      </c>
      <c r="E655" s="10" t="s">
        <v>18</v>
      </c>
      <c r="F655" s="11">
        <v>1.00793651</v>
      </c>
      <c r="G655" s="11">
        <v>1.5461739999999999</v>
      </c>
      <c r="H655" s="10"/>
      <c r="I655" s="10"/>
      <c r="J655" s="10"/>
    </row>
    <row r="656" spans="1:10" ht="15.6" x14ac:dyDescent="0.3">
      <c r="A656" s="9" t="s">
        <v>64</v>
      </c>
      <c r="B656" s="10">
        <v>120</v>
      </c>
      <c r="C656" s="10" t="s">
        <v>20</v>
      </c>
      <c r="D656" s="10">
        <v>14.4</v>
      </c>
      <c r="E656" s="10" t="s">
        <v>20</v>
      </c>
      <c r="F656" s="11">
        <v>1.01242236</v>
      </c>
      <c r="G656" s="11">
        <v>1.5473250000000001</v>
      </c>
      <c r="H656" s="10"/>
      <c r="I656" s="10"/>
      <c r="J656" s="10"/>
    </row>
    <row r="657" spans="1:10" ht="15.6" x14ac:dyDescent="0.3">
      <c r="A657" s="9" t="s">
        <v>64</v>
      </c>
      <c r="B657" s="10">
        <v>120</v>
      </c>
      <c r="C657" s="10" t="s">
        <v>16</v>
      </c>
      <c r="D657" s="10">
        <v>12</v>
      </c>
      <c r="E657" s="10" t="s">
        <v>19</v>
      </c>
      <c r="F657" s="11">
        <v>1.01183432</v>
      </c>
      <c r="G657" s="11">
        <v>1.5362039999999999</v>
      </c>
      <c r="H657" s="10"/>
      <c r="I657" s="10"/>
      <c r="J657" s="10"/>
    </row>
    <row r="658" spans="1:10" ht="15.6" x14ac:dyDescent="0.3">
      <c r="A658" s="9" t="s">
        <v>64</v>
      </c>
      <c r="B658" s="10">
        <v>120</v>
      </c>
      <c r="C658" s="10" t="s">
        <v>21</v>
      </c>
      <c r="D658" s="10">
        <v>19.2</v>
      </c>
      <c r="E658" s="10" t="s">
        <v>22</v>
      </c>
      <c r="F658" s="11">
        <v>1.0128205100000001</v>
      </c>
      <c r="G658" s="11">
        <v>1.5425530000000001</v>
      </c>
      <c r="H658" s="10"/>
      <c r="I658" s="10"/>
      <c r="J658" s="10"/>
    </row>
    <row r="659" spans="1:10" ht="15.6" x14ac:dyDescent="0.3">
      <c r="A659" s="9" t="s">
        <v>64</v>
      </c>
      <c r="B659" s="10">
        <v>120</v>
      </c>
      <c r="C659" s="10" t="s">
        <v>20</v>
      </c>
      <c r="D659" s="10">
        <v>14.4</v>
      </c>
      <c r="E659" s="10" t="s">
        <v>20</v>
      </c>
      <c r="F659" s="11">
        <v>1.0070922</v>
      </c>
      <c r="G659" s="11">
        <v>1.5471699999999999</v>
      </c>
      <c r="H659" s="10"/>
      <c r="I659" s="10"/>
      <c r="J659" s="10"/>
    </row>
    <row r="660" spans="1:10" ht="15.6" x14ac:dyDescent="0.3">
      <c r="A660" s="9" t="s">
        <v>64</v>
      </c>
      <c r="B660" s="10">
        <v>120</v>
      </c>
      <c r="C660" s="10" t="s">
        <v>22</v>
      </c>
      <c r="D660" s="10">
        <v>38.4</v>
      </c>
      <c r="E660" s="10" t="s">
        <v>40</v>
      </c>
      <c r="F660" s="11">
        <v>1.00724638</v>
      </c>
      <c r="G660" s="11">
        <v>1.5360579999999999</v>
      </c>
      <c r="H660" s="10"/>
      <c r="I660" s="10"/>
      <c r="J660" s="10"/>
    </row>
    <row r="661" spans="1:10" ht="15.6" x14ac:dyDescent="0.3">
      <c r="A661" s="9" t="s">
        <v>64</v>
      </c>
      <c r="B661" s="10">
        <v>130</v>
      </c>
      <c r="C661" s="10" t="s">
        <v>13</v>
      </c>
      <c r="D661" s="10">
        <v>2</v>
      </c>
      <c r="E661" s="10" t="s">
        <v>13</v>
      </c>
      <c r="F661" s="11">
        <v>1.01775148</v>
      </c>
      <c r="G661" s="11">
        <v>1.531191</v>
      </c>
      <c r="H661" s="10"/>
      <c r="I661" s="10"/>
      <c r="J661" s="10"/>
    </row>
    <row r="662" spans="1:10" ht="15.6" x14ac:dyDescent="0.3">
      <c r="A662" s="9" t="s">
        <v>64</v>
      </c>
      <c r="B662" s="10">
        <v>130</v>
      </c>
      <c r="C662" s="10" t="s">
        <v>26</v>
      </c>
      <c r="D662" s="10">
        <v>3.6</v>
      </c>
      <c r="E662" s="10" t="s">
        <v>26</v>
      </c>
      <c r="F662" s="11">
        <v>1.0145985399999999</v>
      </c>
      <c r="G662" s="11">
        <v>1.5285880000000001</v>
      </c>
      <c r="H662" s="10"/>
      <c r="I662" s="10"/>
      <c r="J662" s="10"/>
    </row>
    <row r="663" spans="1:10" ht="15.6" x14ac:dyDescent="0.3">
      <c r="A663" s="9" t="s">
        <v>64</v>
      </c>
      <c r="B663" s="10">
        <v>130</v>
      </c>
      <c r="C663" s="10" t="s">
        <v>34</v>
      </c>
      <c r="D663" s="10">
        <v>4.8</v>
      </c>
      <c r="E663" s="10" t="s">
        <v>31</v>
      </c>
      <c r="F663" s="11">
        <v>1.01034483</v>
      </c>
      <c r="G663" s="11">
        <v>1.5214989999999999</v>
      </c>
      <c r="H663" s="10"/>
      <c r="I663" s="10"/>
      <c r="J663" s="10"/>
    </row>
    <row r="664" spans="1:10" ht="15.6" x14ac:dyDescent="0.3">
      <c r="A664" s="9" t="s">
        <v>64</v>
      </c>
      <c r="B664" s="10">
        <v>130</v>
      </c>
      <c r="C664" s="10" t="s">
        <v>14</v>
      </c>
      <c r="D664" s="10">
        <v>5</v>
      </c>
      <c r="E664" s="10" t="s">
        <v>14</v>
      </c>
      <c r="F664" s="11">
        <v>1.01315789</v>
      </c>
      <c r="G664" s="11">
        <v>1.528421</v>
      </c>
      <c r="H664" s="10"/>
      <c r="I664" s="10"/>
      <c r="J664" s="10"/>
    </row>
    <row r="665" spans="1:10" ht="15.6" x14ac:dyDescent="0.3">
      <c r="A665" s="9" t="s">
        <v>64</v>
      </c>
      <c r="B665" s="10">
        <v>130</v>
      </c>
      <c r="C665" s="10" t="s">
        <v>15</v>
      </c>
      <c r="D665" s="10">
        <v>6</v>
      </c>
      <c r="E665" s="10" t="s">
        <v>16</v>
      </c>
      <c r="F665" s="11">
        <v>1.0099502499999999</v>
      </c>
      <c r="G665" s="11">
        <v>1.518283</v>
      </c>
      <c r="H665" s="10"/>
      <c r="I665" s="10"/>
      <c r="J665" s="10"/>
    </row>
    <row r="666" spans="1:10" ht="15.6" x14ac:dyDescent="0.3">
      <c r="A666" s="9" t="s">
        <v>64</v>
      </c>
      <c r="B666" s="10">
        <v>130</v>
      </c>
      <c r="C666" s="10" t="s">
        <v>18</v>
      </c>
      <c r="D666" s="10">
        <v>10</v>
      </c>
      <c r="E666" s="10" t="s">
        <v>18</v>
      </c>
      <c r="F666" s="11">
        <v>1.01315789</v>
      </c>
      <c r="G666" s="11">
        <v>1.528421</v>
      </c>
      <c r="H666" s="10"/>
      <c r="I666" s="10"/>
      <c r="J666" s="10"/>
    </row>
    <row r="667" spans="1:10" ht="15.6" x14ac:dyDescent="0.3">
      <c r="A667" s="9" t="s">
        <v>64</v>
      </c>
      <c r="B667" s="10">
        <v>130</v>
      </c>
      <c r="C667" s="10" t="s">
        <v>20</v>
      </c>
      <c r="D667" s="10">
        <v>14.4</v>
      </c>
      <c r="E667" s="10" t="s">
        <v>20</v>
      </c>
      <c r="F667" s="11">
        <v>1.0153846200000001</v>
      </c>
      <c r="G667" s="11">
        <v>1.530378</v>
      </c>
      <c r="H667" s="10"/>
      <c r="I667" s="10"/>
      <c r="J667" s="10"/>
    </row>
    <row r="668" spans="1:10" ht="15.6" x14ac:dyDescent="0.3">
      <c r="A668" s="9" t="s">
        <v>64</v>
      </c>
      <c r="B668" s="10">
        <v>130</v>
      </c>
      <c r="C668" s="10" t="s">
        <v>16</v>
      </c>
      <c r="D668" s="10">
        <v>12</v>
      </c>
      <c r="E668" s="10" t="s">
        <v>19</v>
      </c>
      <c r="F668" s="11">
        <v>1.0097560999999999</v>
      </c>
      <c r="G668" s="11">
        <v>1.519501</v>
      </c>
      <c r="H668" s="10"/>
      <c r="I668" s="10"/>
      <c r="J668" s="10"/>
    </row>
    <row r="669" spans="1:10" ht="15.6" x14ac:dyDescent="0.3">
      <c r="A669" s="9" t="s">
        <v>64</v>
      </c>
      <c r="B669" s="10">
        <v>130</v>
      </c>
      <c r="C669" s="10" t="s">
        <v>21</v>
      </c>
      <c r="D669" s="10">
        <v>19.2</v>
      </c>
      <c r="E669" s="10" t="s">
        <v>22</v>
      </c>
      <c r="F669" s="11">
        <v>1.01058201</v>
      </c>
      <c r="G669" s="11">
        <v>1.5237289999999999</v>
      </c>
      <c r="H669" s="10"/>
      <c r="I669" s="10"/>
      <c r="J669" s="10"/>
    </row>
    <row r="670" spans="1:10" ht="15.6" x14ac:dyDescent="0.3">
      <c r="A670" s="9" t="s">
        <v>64</v>
      </c>
      <c r="B670" s="10">
        <v>130</v>
      </c>
      <c r="C670" s="10" t="s">
        <v>20</v>
      </c>
      <c r="D670" s="10">
        <v>14.4</v>
      </c>
      <c r="E670" s="10" t="s">
        <v>20</v>
      </c>
      <c r="F670" s="11">
        <v>1.01764706</v>
      </c>
      <c r="G670" s="11">
        <v>1.5310729999999999</v>
      </c>
      <c r="H670" s="10"/>
      <c r="I670" s="10"/>
      <c r="J670" s="10"/>
    </row>
    <row r="671" spans="1:10" ht="15.6" x14ac:dyDescent="0.3">
      <c r="A671" s="9" t="s">
        <v>64</v>
      </c>
      <c r="B671" s="10">
        <v>130</v>
      </c>
      <c r="C671" s="10" t="s">
        <v>22</v>
      </c>
      <c r="D671" s="10">
        <v>38.4</v>
      </c>
      <c r="E671" s="10" t="s">
        <v>40</v>
      </c>
      <c r="F671" s="11">
        <v>1.00598802</v>
      </c>
      <c r="G671" s="11">
        <v>1.5172410000000001</v>
      </c>
      <c r="H671" s="10"/>
      <c r="I671" s="10"/>
      <c r="J671" s="10"/>
    </row>
    <row r="672" spans="1:10" ht="15.6" x14ac:dyDescent="0.3">
      <c r="A672" s="9" t="s">
        <v>64</v>
      </c>
      <c r="B672" s="10">
        <v>140</v>
      </c>
      <c r="C672" s="10" t="s">
        <v>13</v>
      </c>
      <c r="D672" s="10">
        <v>2</v>
      </c>
      <c r="E672" s="10" t="s">
        <v>13</v>
      </c>
      <c r="F672" s="11">
        <v>1.00985222</v>
      </c>
      <c r="G672" s="11">
        <v>1.5161789999999999</v>
      </c>
      <c r="H672" s="10"/>
      <c r="I672" s="10"/>
      <c r="J672" s="10"/>
    </row>
    <row r="673" spans="1:10" ht="15.6" x14ac:dyDescent="0.3">
      <c r="A673" s="9" t="s">
        <v>64</v>
      </c>
      <c r="B673" s="10">
        <v>140</v>
      </c>
      <c r="C673" s="10" t="s">
        <v>26</v>
      </c>
      <c r="D673" s="10">
        <v>3.6</v>
      </c>
      <c r="E673" s="10" t="s">
        <v>26</v>
      </c>
      <c r="F673" s="11">
        <v>1.01215805</v>
      </c>
      <c r="G673" s="11">
        <v>1.514286</v>
      </c>
      <c r="H673" s="10"/>
      <c r="I673" s="10"/>
      <c r="J673" s="10"/>
    </row>
    <row r="674" spans="1:10" ht="15.6" x14ac:dyDescent="0.3">
      <c r="A674" s="9" t="s">
        <v>64</v>
      </c>
      <c r="B674" s="10">
        <v>140</v>
      </c>
      <c r="C674" s="10" t="s">
        <v>34</v>
      </c>
      <c r="D674" s="10">
        <v>4.8</v>
      </c>
      <c r="E674" s="10" t="s">
        <v>31</v>
      </c>
      <c r="F674" s="11">
        <v>1.0086206900000001</v>
      </c>
      <c r="G674" s="11">
        <v>1.504505</v>
      </c>
      <c r="H674" s="10"/>
      <c r="I674" s="10"/>
      <c r="J674" s="10"/>
    </row>
    <row r="675" spans="1:10" ht="15.6" x14ac:dyDescent="0.3">
      <c r="A675" s="9" t="s">
        <v>64</v>
      </c>
      <c r="B675" s="10">
        <v>140</v>
      </c>
      <c r="C675" s="10" t="s">
        <v>14</v>
      </c>
      <c r="D675" s="10">
        <v>5</v>
      </c>
      <c r="E675" s="10" t="s">
        <v>14</v>
      </c>
      <c r="F675" s="11">
        <v>1.0109890100000001</v>
      </c>
      <c r="G675" s="11">
        <v>1.517182</v>
      </c>
      <c r="H675" s="10"/>
      <c r="I675" s="10"/>
      <c r="J675" s="10"/>
    </row>
    <row r="676" spans="1:10" ht="15.6" x14ac:dyDescent="0.3">
      <c r="A676" s="9" t="s">
        <v>64</v>
      </c>
      <c r="B676" s="10">
        <v>140</v>
      </c>
      <c r="C676" s="10" t="s">
        <v>15</v>
      </c>
      <c r="D676" s="10">
        <v>6</v>
      </c>
      <c r="E676" s="10" t="s">
        <v>16</v>
      </c>
      <c r="F676" s="11">
        <v>1.00829876</v>
      </c>
      <c r="G676" s="11">
        <v>1.502591</v>
      </c>
      <c r="H676" s="10"/>
      <c r="I676" s="10"/>
      <c r="J676" s="10"/>
    </row>
    <row r="677" spans="1:10" ht="15.6" x14ac:dyDescent="0.3">
      <c r="A677" s="9" t="s">
        <v>64</v>
      </c>
      <c r="B677" s="10">
        <v>140</v>
      </c>
      <c r="C677" s="10" t="s">
        <v>18</v>
      </c>
      <c r="D677" s="10">
        <v>10</v>
      </c>
      <c r="E677" s="10" t="s">
        <v>18</v>
      </c>
      <c r="F677" s="11">
        <v>1.0109890100000001</v>
      </c>
      <c r="G677" s="11">
        <v>1.517182</v>
      </c>
      <c r="H677" s="10"/>
      <c r="I677" s="10"/>
      <c r="J677" s="10"/>
    </row>
    <row r="678" spans="1:10" ht="15.6" x14ac:dyDescent="0.3">
      <c r="A678" s="9" t="s">
        <v>64</v>
      </c>
      <c r="B678" s="10">
        <v>140</v>
      </c>
      <c r="C678" s="10" t="s">
        <v>20</v>
      </c>
      <c r="D678" s="10">
        <v>14.4</v>
      </c>
      <c r="E678" s="10" t="s">
        <v>20</v>
      </c>
      <c r="F678" s="11">
        <v>1.00854701</v>
      </c>
      <c r="G678" s="11">
        <v>1.512718</v>
      </c>
      <c r="H678" s="10"/>
      <c r="I678" s="10"/>
      <c r="J678" s="10"/>
    </row>
    <row r="679" spans="1:10" ht="15.6" x14ac:dyDescent="0.3">
      <c r="A679" s="9" t="s">
        <v>64</v>
      </c>
      <c r="B679" s="10">
        <v>140</v>
      </c>
      <c r="C679" s="10" t="s">
        <v>16</v>
      </c>
      <c r="D679" s="10">
        <v>12</v>
      </c>
      <c r="E679" s="10" t="s">
        <v>19</v>
      </c>
      <c r="F679" s="11">
        <v>1.0081300799999999</v>
      </c>
      <c r="G679" s="11">
        <v>1.5012719999999999</v>
      </c>
      <c r="H679" s="10"/>
      <c r="I679" s="10"/>
      <c r="J679" s="10"/>
    </row>
    <row r="680" spans="1:10" ht="15.6" x14ac:dyDescent="0.3">
      <c r="A680" s="9" t="s">
        <v>64</v>
      </c>
      <c r="B680" s="10">
        <v>140</v>
      </c>
      <c r="C680" s="10" t="s">
        <v>21</v>
      </c>
      <c r="D680" s="10">
        <v>19.2</v>
      </c>
      <c r="E680" s="10" t="s">
        <v>22</v>
      </c>
      <c r="F680" s="11">
        <v>1.0132743399999999</v>
      </c>
      <c r="G680" s="11">
        <v>1.505525</v>
      </c>
      <c r="H680" s="10"/>
      <c r="I680" s="10"/>
      <c r="J680" s="10"/>
    </row>
    <row r="681" spans="1:10" ht="15.6" x14ac:dyDescent="0.3">
      <c r="A681" s="9" t="s">
        <v>64</v>
      </c>
      <c r="B681" s="10">
        <v>140</v>
      </c>
      <c r="C681" s="10" t="s">
        <v>20</v>
      </c>
      <c r="D681" s="10">
        <v>14.4</v>
      </c>
      <c r="E681" s="10" t="s">
        <v>20</v>
      </c>
      <c r="F681" s="11">
        <v>1.0245097999999999</v>
      </c>
      <c r="G681" s="11">
        <v>1.5168710000000001</v>
      </c>
      <c r="H681" s="10"/>
      <c r="I681" s="10"/>
      <c r="J681" s="10"/>
    </row>
    <row r="682" spans="1:10" ht="15.6" x14ac:dyDescent="0.3">
      <c r="A682" s="9" t="s">
        <v>64</v>
      </c>
      <c r="B682" s="10">
        <v>140</v>
      </c>
      <c r="C682" s="10" t="s">
        <v>22</v>
      </c>
      <c r="D682" s="10">
        <v>38.4</v>
      </c>
      <c r="E682" s="10" t="s">
        <v>40</v>
      </c>
      <c r="F682" s="11">
        <v>1.01</v>
      </c>
      <c r="G682" s="11">
        <v>1.504688</v>
      </c>
      <c r="H682" s="10"/>
      <c r="I682" s="10"/>
      <c r="J682" s="10"/>
    </row>
    <row r="683" spans="1:10" ht="15.6" x14ac:dyDescent="0.3">
      <c r="A683" s="9" t="s">
        <v>64</v>
      </c>
      <c r="B683" s="10" t="s">
        <v>44</v>
      </c>
      <c r="C683" s="10" t="s">
        <v>13</v>
      </c>
      <c r="D683" s="10">
        <v>2</v>
      </c>
      <c r="E683" s="10" t="s">
        <v>13</v>
      </c>
      <c r="F683" s="11">
        <v>1</v>
      </c>
      <c r="G683" s="11">
        <v>1.425926</v>
      </c>
      <c r="H683" s="10"/>
      <c r="I683" s="10"/>
      <c r="J683" s="10"/>
    </row>
    <row r="684" spans="1:10" ht="15.6" x14ac:dyDescent="0.3">
      <c r="A684" s="9" t="s">
        <v>64</v>
      </c>
      <c r="B684" s="10" t="s">
        <v>44</v>
      </c>
      <c r="C684" s="10" t="s">
        <v>26</v>
      </c>
      <c r="D684" s="10">
        <v>3.6</v>
      </c>
      <c r="E684" s="10" t="s">
        <v>26</v>
      </c>
      <c r="F684" s="11">
        <v>0.996</v>
      </c>
      <c r="G684" s="11">
        <v>1.436782</v>
      </c>
      <c r="H684" s="10"/>
      <c r="I684" s="10"/>
      <c r="J684" s="10"/>
    </row>
    <row r="685" spans="1:10" ht="15.6" x14ac:dyDescent="0.3">
      <c r="A685" s="9" t="s">
        <v>64</v>
      </c>
      <c r="B685" s="10" t="s">
        <v>44</v>
      </c>
      <c r="C685" s="10" t="s">
        <v>34</v>
      </c>
      <c r="D685" s="10">
        <v>4.8</v>
      </c>
      <c r="E685" s="10" t="s">
        <v>31</v>
      </c>
      <c r="F685" s="11">
        <v>0.99245282999999995</v>
      </c>
      <c r="G685" s="11">
        <v>1.4347829999999999</v>
      </c>
      <c r="H685" s="10"/>
      <c r="I685" s="10"/>
      <c r="J685" s="10"/>
    </row>
    <row r="686" spans="1:10" ht="15.6" x14ac:dyDescent="0.3">
      <c r="A686" s="9" t="s">
        <v>64</v>
      </c>
      <c r="B686" s="10" t="s">
        <v>44</v>
      </c>
      <c r="C686" s="10" t="s">
        <v>14</v>
      </c>
      <c r="D686" s="10">
        <v>5</v>
      </c>
      <c r="E686" s="10" t="s">
        <v>14</v>
      </c>
      <c r="F686" s="11">
        <v>1</v>
      </c>
      <c r="G686" s="11">
        <v>1.4375</v>
      </c>
      <c r="H686" s="10"/>
      <c r="I686" s="10"/>
      <c r="J686" s="10"/>
    </row>
    <row r="687" spans="1:10" ht="15.6" x14ac:dyDescent="0.3">
      <c r="A687" s="9" t="s">
        <v>64</v>
      </c>
      <c r="B687" s="10" t="s">
        <v>44</v>
      </c>
      <c r="C687" s="10" t="s">
        <v>15</v>
      </c>
      <c r="D687" s="10">
        <v>6</v>
      </c>
      <c r="E687" s="10" t="s">
        <v>16</v>
      </c>
      <c r="F687" s="11">
        <v>0.98913043</v>
      </c>
      <c r="G687" s="11">
        <v>1.421875</v>
      </c>
      <c r="H687" s="10"/>
      <c r="I687" s="10"/>
      <c r="J687" s="10"/>
    </row>
    <row r="688" spans="1:10" ht="15.6" x14ac:dyDescent="0.3">
      <c r="A688" s="9" t="s">
        <v>64</v>
      </c>
      <c r="B688" s="10" t="s">
        <v>44</v>
      </c>
      <c r="C688" s="10" t="s">
        <v>18</v>
      </c>
      <c r="D688" s="10">
        <v>10</v>
      </c>
      <c r="E688" s="10" t="s">
        <v>18</v>
      </c>
      <c r="F688" s="11">
        <v>1</v>
      </c>
      <c r="G688" s="11">
        <v>1.4375</v>
      </c>
      <c r="H688" s="10"/>
      <c r="I688" s="10"/>
      <c r="J688" s="10"/>
    </row>
    <row r="689" spans="1:10" ht="15.6" x14ac:dyDescent="0.3">
      <c r="A689" s="9" t="s">
        <v>64</v>
      </c>
      <c r="B689" s="10" t="s">
        <v>44</v>
      </c>
      <c r="C689" s="10" t="s">
        <v>20</v>
      </c>
      <c r="D689" s="10">
        <v>14.4</v>
      </c>
      <c r="E689" s="10" t="s">
        <v>20</v>
      </c>
      <c r="F689" s="11">
        <v>1</v>
      </c>
      <c r="G689" s="11">
        <v>1.435484</v>
      </c>
      <c r="H689" s="10"/>
      <c r="I689" s="10"/>
      <c r="J689" s="10"/>
    </row>
    <row r="690" spans="1:10" ht="15.6" x14ac:dyDescent="0.3">
      <c r="A690" s="9" t="s">
        <v>64</v>
      </c>
      <c r="B690" s="10" t="s">
        <v>44</v>
      </c>
      <c r="C690" s="10" t="s">
        <v>16</v>
      </c>
      <c r="D690" s="10">
        <v>12</v>
      </c>
      <c r="E690" s="10" t="s">
        <v>19</v>
      </c>
      <c r="F690" s="11">
        <v>0.99465241000000004</v>
      </c>
      <c r="G690" s="11">
        <v>1.430769</v>
      </c>
      <c r="H690" s="10"/>
      <c r="I690" s="10"/>
      <c r="J690" s="10"/>
    </row>
    <row r="691" spans="1:10" ht="15.6" x14ac:dyDescent="0.3">
      <c r="A691" s="9" t="s">
        <v>64</v>
      </c>
      <c r="B691" s="10" t="s">
        <v>44</v>
      </c>
      <c r="C691" s="10" t="s">
        <v>21</v>
      </c>
      <c r="D691" s="10">
        <v>19.2</v>
      </c>
      <c r="E691" s="10" t="s">
        <v>22</v>
      </c>
      <c r="F691" s="11">
        <v>0.99418605000000004</v>
      </c>
      <c r="G691" s="11">
        <v>1.433333</v>
      </c>
      <c r="H691" s="10"/>
      <c r="I691" s="10"/>
      <c r="J691" s="10"/>
    </row>
    <row r="692" spans="1:10" ht="15.6" x14ac:dyDescent="0.3">
      <c r="A692" s="9" t="s">
        <v>64</v>
      </c>
      <c r="B692" s="10" t="s">
        <v>44</v>
      </c>
      <c r="C692" s="10" t="s">
        <v>20</v>
      </c>
      <c r="D692" s="10">
        <v>14.4</v>
      </c>
      <c r="E692" s="10" t="s">
        <v>20</v>
      </c>
      <c r="F692" s="11">
        <v>0.99354838999999995</v>
      </c>
      <c r="G692" s="11">
        <v>1.4444440000000001</v>
      </c>
      <c r="H692" s="10"/>
      <c r="I692" s="10"/>
      <c r="J692" s="10"/>
    </row>
    <row r="693" spans="1:10" ht="15.6" x14ac:dyDescent="0.3">
      <c r="A693" s="9" t="s">
        <v>64</v>
      </c>
      <c r="B693" s="10" t="s">
        <v>44</v>
      </c>
      <c r="C693" s="10" t="s">
        <v>22</v>
      </c>
      <c r="D693" s="10">
        <v>38.4</v>
      </c>
      <c r="E693" s="10" t="s">
        <v>40</v>
      </c>
      <c r="F693" s="11">
        <v>0.99342105000000003</v>
      </c>
      <c r="G693" s="11">
        <v>1.433962</v>
      </c>
      <c r="H693" s="10"/>
      <c r="I693" s="10"/>
      <c r="J693" s="10"/>
    </row>
    <row r="694" spans="1:10" ht="15.6" x14ac:dyDescent="0.3">
      <c r="A694" s="9" t="s">
        <v>64</v>
      </c>
      <c r="B694" s="10" t="s">
        <v>50</v>
      </c>
      <c r="C694" s="10" t="s">
        <v>13</v>
      </c>
      <c r="D694" s="10">
        <v>2</v>
      </c>
      <c r="E694" s="10" t="s">
        <v>13</v>
      </c>
      <c r="F694" s="11">
        <v>1.00924499</v>
      </c>
      <c r="G694" s="11">
        <v>1.4163269999999999</v>
      </c>
      <c r="H694" s="10"/>
      <c r="I694" s="10"/>
      <c r="J694" s="10"/>
    </row>
    <row r="695" spans="1:10" ht="15.6" x14ac:dyDescent="0.3">
      <c r="A695" s="9" t="s">
        <v>64</v>
      </c>
      <c r="B695" s="10" t="s">
        <v>50</v>
      </c>
      <c r="C695" s="10" t="s">
        <v>26</v>
      </c>
      <c r="D695" s="10">
        <v>3.6</v>
      </c>
      <c r="E695" s="10" t="s">
        <v>26</v>
      </c>
      <c r="F695" s="11">
        <v>1.0095238099999999</v>
      </c>
      <c r="G695" s="11">
        <v>1.4156169999999999</v>
      </c>
      <c r="H695" s="10"/>
      <c r="I695" s="10"/>
      <c r="J695" s="10"/>
    </row>
    <row r="696" spans="1:10" ht="15.6" x14ac:dyDescent="0.3">
      <c r="A696" s="9" t="s">
        <v>64</v>
      </c>
      <c r="B696" s="10" t="s">
        <v>50</v>
      </c>
      <c r="C696" s="10" t="s">
        <v>34</v>
      </c>
      <c r="D696" s="10">
        <v>4.8</v>
      </c>
      <c r="E696" s="10" t="s">
        <v>31</v>
      </c>
      <c r="F696" s="11">
        <v>1</v>
      </c>
      <c r="G696" s="11">
        <v>1.4109259999999999</v>
      </c>
      <c r="H696" s="10"/>
      <c r="I696" s="10"/>
      <c r="J696" s="10"/>
    </row>
    <row r="697" spans="1:10" ht="15.6" x14ac:dyDescent="0.3">
      <c r="A697" s="9" t="s">
        <v>64</v>
      </c>
      <c r="B697" s="10" t="s">
        <v>50</v>
      </c>
      <c r="C697" s="10" t="s">
        <v>14</v>
      </c>
      <c r="D697" s="10">
        <v>5</v>
      </c>
      <c r="E697" s="10" t="s">
        <v>14</v>
      </c>
      <c r="F697" s="11">
        <v>1.00859107</v>
      </c>
      <c r="G697" s="11">
        <v>1.4181820000000001</v>
      </c>
      <c r="H697" s="10"/>
      <c r="I697" s="10"/>
      <c r="J697" s="10"/>
    </row>
    <row r="698" spans="1:10" ht="15.6" x14ac:dyDescent="0.3">
      <c r="A698" s="9" t="s">
        <v>64</v>
      </c>
      <c r="B698" s="10" t="s">
        <v>50</v>
      </c>
      <c r="C698" s="10" t="s">
        <v>15</v>
      </c>
      <c r="D698" s="10">
        <v>6</v>
      </c>
      <c r="E698" s="10" t="s">
        <v>16</v>
      </c>
      <c r="F698" s="11">
        <v>1.00645995</v>
      </c>
      <c r="G698" s="11">
        <v>1.4109590000000001</v>
      </c>
      <c r="H698" s="10"/>
      <c r="I698" s="10"/>
      <c r="J698" s="10"/>
    </row>
    <row r="699" spans="1:10" ht="15.6" x14ac:dyDescent="0.3">
      <c r="A699" s="9" t="s">
        <v>64</v>
      </c>
      <c r="B699" s="10" t="s">
        <v>50</v>
      </c>
      <c r="C699" s="10" t="s">
        <v>18</v>
      </c>
      <c r="D699" s="10">
        <v>10</v>
      </c>
      <c r="E699" s="10" t="s">
        <v>18</v>
      </c>
      <c r="F699" s="11">
        <v>1.00859107</v>
      </c>
      <c r="G699" s="11">
        <v>1.4181820000000001</v>
      </c>
      <c r="H699" s="10"/>
      <c r="I699" s="10"/>
      <c r="J699" s="10"/>
    </row>
    <row r="700" spans="1:10" ht="15.6" x14ac:dyDescent="0.3">
      <c r="A700" s="9" t="s">
        <v>64</v>
      </c>
      <c r="B700" s="10" t="s">
        <v>50</v>
      </c>
      <c r="C700" s="10" t="s">
        <v>20</v>
      </c>
      <c r="D700" s="10">
        <v>14.4</v>
      </c>
      <c r="E700" s="10" t="s">
        <v>20</v>
      </c>
      <c r="F700" s="11">
        <v>1.00937082</v>
      </c>
      <c r="G700" s="11">
        <v>1.4184399999999999</v>
      </c>
      <c r="H700" s="10"/>
      <c r="I700" s="10"/>
      <c r="J700" s="10"/>
    </row>
    <row r="701" spans="1:10" ht="15.6" x14ac:dyDescent="0.3">
      <c r="A701" s="9" t="s">
        <v>64</v>
      </c>
      <c r="B701" s="10" t="s">
        <v>50</v>
      </c>
      <c r="C701" s="10" t="s">
        <v>16</v>
      </c>
      <c r="D701" s="10">
        <v>12</v>
      </c>
      <c r="E701" s="10" t="s">
        <v>19</v>
      </c>
      <c r="F701" s="11">
        <v>1.0076142100000001</v>
      </c>
      <c r="G701" s="11">
        <v>1.4141410000000001</v>
      </c>
      <c r="H701" s="10"/>
      <c r="I701" s="10"/>
      <c r="J701" s="10"/>
    </row>
    <row r="702" spans="1:10" ht="15.6" x14ac:dyDescent="0.3">
      <c r="A702" s="9" t="s">
        <v>64</v>
      </c>
      <c r="B702" s="10" t="s">
        <v>50</v>
      </c>
      <c r="C702" s="10" t="s">
        <v>21</v>
      </c>
      <c r="D702" s="10">
        <v>19.2</v>
      </c>
      <c r="E702" s="10" t="s">
        <v>22</v>
      </c>
      <c r="F702" s="11">
        <v>1.00689655</v>
      </c>
      <c r="G702" s="11">
        <v>1.4175819999999999</v>
      </c>
      <c r="H702" s="10"/>
      <c r="I702" s="10"/>
      <c r="J702" s="10"/>
    </row>
    <row r="703" spans="1:10" ht="15.6" x14ac:dyDescent="0.3">
      <c r="A703" s="9" t="s">
        <v>64</v>
      </c>
      <c r="B703" s="10" t="s">
        <v>50</v>
      </c>
      <c r="C703" s="10" t="s">
        <v>20</v>
      </c>
      <c r="D703" s="10">
        <v>14.4</v>
      </c>
      <c r="E703" s="10" t="s">
        <v>20</v>
      </c>
      <c r="F703" s="11">
        <v>1.0092024500000001</v>
      </c>
      <c r="G703" s="11">
        <v>1.4186989999999999</v>
      </c>
      <c r="H703" s="10"/>
      <c r="I703" s="10"/>
      <c r="J703" s="10"/>
    </row>
    <row r="704" spans="1:10" ht="15.6" x14ac:dyDescent="0.3">
      <c r="A704" s="9" t="s">
        <v>64</v>
      </c>
      <c r="B704" s="10" t="s">
        <v>50</v>
      </c>
      <c r="C704" s="10" t="s">
        <v>22</v>
      </c>
      <c r="D704" s="10">
        <v>38.4</v>
      </c>
      <c r="E704" s="10" t="s">
        <v>40</v>
      </c>
      <c r="F704" s="11">
        <v>1.0062305300000001</v>
      </c>
      <c r="G704" s="11">
        <v>1.4132229999999999</v>
      </c>
      <c r="H704" s="10"/>
      <c r="I704" s="10"/>
      <c r="J704" s="10"/>
    </row>
    <row r="705" spans="1:10" ht="15.6" x14ac:dyDescent="0.3">
      <c r="A705" s="9" t="s">
        <v>65</v>
      </c>
      <c r="B705" s="10">
        <v>80</v>
      </c>
      <c r="C705" s="10" t="s">
        <v>14</v>
      </c>
      <c r="D705" s="10">
        <v>5</v>
      </c>
      <c r="E705" s="10" t="s">
        <v>14</v>
      </c>
      <c r="F705" s="11">
        <v>1.11069418386492</v>
      </c>
      <c r="G705" s="11">
        <v>1.9411764705882399</v>
      </c>
      <c r="H705" s="11"/>
      <c r="I705" s="11"/>
      <c r="J705" s="11"/>
    </row>
    <row r="706" spans="1:10" ht="15.6" x14ac:dyDescent="0.3">
      <c r="A706" s="9" t="s">
        <v>66</v>
      </c>
      <c r="B706" s="10">
        <v>80</v>
      </c>
      <c r="C706" s="10" t="s">
        <v>18</v>
      </c>
      <c r="D706" s="10">
        <v>10</v>
      </c>
      <c r="E706" s="10" t="s">
        <v>18</v>
      </c>
      <c r="F706" s="11">
        <v>1.1063432835820901</v>
      </c>
      <c r="G706" s="11">
        <v>1.9411764705882399</v>
      </c>
      <c r="H706" s="10"/>
      <c r="I706" s="10"/>
      <c r="J706" s="10"/>
    </row>
    <row r="707" spans="1:10" ht="15.6" x14ac:dyDescent="0.3">
      <c r="A707" s="9" t="s">
        <v>67</v>
      </c>
      <c r="B707" s="10">
        <v>80</v>
      </c>
      <c r="C707" s="10" t="s">
        <v>68</v>
      </c>
      <c r="D707" s="10">
        <v>9</v>
      </c>
      <c r="E707" s="10" t="s">
        <v>68</v>
      </c>
      <c r="F707" s="11">
        <v>1.1057046979865801</v>
      </c>
      <c r="G707" s="11">
        <v>1.9470198675496699</v>
      </c>
      <c r="H707" s="10"/>
      <c r="I707" s="10"/>
      <c r="J707" s="10"/>
    </row>
    <row r="708" spans="1:10" ht="15.6" x14ac:dyDescent="0.3">
      <c r="A708" s="9" t="s">
        <v>69</v>
      </c>
      <c r="B708" s="10">
        <v>80</v>
      </c>
      <c r="C708" s="10" t="s">
        <v>70</v>
      </c>
      <c r="D708" s="10">
        <v>11.2</v>
      </c>
      <c r="E708" s="10" t="s">
        <v>70</v>
      </c>
      <c r="F708" s="11">
        <v>1.10971786833856</v>
      </c>
      <c r="G708" s="11">
        <v>1.94444444444444</v>
      </c>
      <c r="H708" s="10"/>
      <c r="I708" s="10"/>
      <c r="J708" s="10"/>
    </row>
    <row r="709" spans="1:10" ht="15.6" x14ac:dyDescent="0.3">
      <c r="A709" s="9" t="s">
        <v>71</v>
      </c>
      <c r="B709" s="10">
        <v>110</v>
      </c>
      <c r="C709" s="10" t="s">
        <v>14</v>
      </c>
      <c r="D709" s="10">
        <v>5</v>
      </c>
      <c r="E709" s="10" t="s">
        <v>14</v>
      </c>
      <c r="F709" s="11">
        <v>1.0727681920480101</v>
      </c>
      <c r="G709" s="11">
        <v>1.7135678391959801</v>
      </c>
      <c r="H709" s="11"/>
      <c r="I709" s="11"/>
      <c r="J709" s="11"/>
    </row>
    <row r="710" spans="1:10" ht="15.6" x14ac:dyDescent="0.3">
      <c r="A710" s="9" t="s">
        <v>72</v>
      </c>
      <c r="B710" s="10">
        <v>110</v>
      </c>
      <c r="C710" s="10" t="s">
        <v>18</v>
      </c>
      <c r="D710" s="10">
        <v>10</v>
      </c>
      <c r="E710" s="10" t="s">
        <v>18</v>
      </c>
      <c r="F710" s="11">
        <v>1.0694548170276299</v>
      </c>
      <c r="G710" s="11">
        <v>1.72040302267003</v>
      </c>
      <c r="H710" s="10"/>
      <c r="I710" s="10"/>
      <c r="J710" s="10"/>
    </row>
    <row r="711" spans="1:10" ht="15.6" x14ac:dyDescent="0.3">
      <c r="A711" s="9" t="s">
        <v>73</v>
      </c>
      <c r="B711" s="10">
        <v>110</v>
      </c>
      <c r="C711" s="10" t="s">
        <v>68</v>
      </c>
      <c r="D711" s="10">
        <v>9</v>
      </c>
      <c r="E711" s="10" t="s">
        <v>68</v>
      </c>
      <c r="F711" s="11">
        <v>1.0706119704102199</v>
      </c>
      <c r="G711" s="11">
        <v>1.72108843537415</v>
      </c>
      <c r="H711" s="10"/>
      <c r="I711" s="10"/>
      <c r="J711" s="10"/>
    </row>
    <row r="712" spans="1:10" ht="15.6" x14ac:dyDescent="0.3">
      <c r="A712" s="9" t="s">
        <v>74</v>
      </c>
      <c r="B712" s="10">
        <v>110</v>
      </c>
      <c r="C712" s="10" t="s">
        <v>70</v>
      </c>
      <c r="D712" s="10">
        <v>11.2</v>
      </c>
      <c r="E712" s="10" t="s">
        <v>70</v>
      </c>
      <c r="F712" s="11">
        <v>1.0700876095118901</v>
      </c>
      <c r="G712" s="11">
        <v>1.71157894736842</v>
      </c>
      <c r="H712" s="10"/>
      <c r="I712" s="10"/>
      <c r="J712" s="10"/>
    </row>
    <row r="713" spans="1:10" ht="15.6" x14ac:dyDescent="0.3">
      <c r="A713" s="9" t="s">
        <v>75</v>
      </c>
      <c r="B713" s="10" t="s">
        <v>76</v>
      </c>
      <c r="C713" s="10" t="s">
        <v>77</v>
      </c>
      <c r="D713" s="10">
        <v>11.2</v>
      </c>
      <c r="E713" s="10" t="s">
        <v>77</v>
      </c>
      <c r="F713" s="11">
        <v>1.0301003344481601</v>
      </c>
      <c r="G713" s="11">
        <v>1.5137614678899101</v>
      </c>
      <c r="H713" s="10"/>
      <c r="I713" s="10"/>
      <c r="J713" s="10"/>
    </row>
    <row r="714" spans="1:10" ht="15.6" x14ac:dyDescent="0.3">
      <c r="A714" s="9" t="s">
        <v>78</v>
      </c>
      <c r="B714" s="10">
        <v>130</v>
      </c>
      <c r="C714" s="10" t="s">
        <v>14</v>
      </c>
      <c r="D714" s="10">
        <v>5</v>
      </c>
      <c r="E714" s="10" t="s">
        <v>14</v>
      </c>
      <c r="F714" s="11">
        <v>1.0616674888998501</v>
      </c>
      <c r="G714" s="11">
        <v>1.6515625</v>
      </c>
      <c r="H714" s="11"/>
      <c r="I714" s="11"/>
      <c r="J714" s="11"/>
    </row>
    <row r="715" spans="1:10" ht="15.6" x14ac:dyDescent="0.3">
      <c r="A715" s="9" t="s">
        <v>79</v>
      </c>
      <c r="B715" s="10">
        <v>130</v>
      </c>
      <c r="C715" s="10" t="s">
        <v>18</v>
      </c>
      <c r="D715" s="10">
        <v>10</v>
      </c>
      <c r="E715" s="10" t="s">
        <v>18</v>
      </c>
      <c r="F715" s="11">
        <v>1.0616674888998501</v>
      </c>
      <c r="G715" s="11">
        <v>1.6541471048513301</v>
      </c>
      <c r="H715" s="10"/>
      <c r="I715" s="10"/>
      <c r="J715" s="10"/>
    </row>
    <row r="716" spans="1:10" ht="15.6" x14ac:dyDescent="0.3">
      <c r="A716" s="9" t="s">
        <v>80</v>
      </c>
      <c r="B716" s="10">
        <v>130</v>
      </c>
      <c r="C716" s="10" t="s">
        <v>68</v>
      </c>
      <c r="D716" s="10">
        <v>9</v>
      </c>
      <c r="E716" s="10" t="s">
        <v>68</v>
      </c>
      <c r="F716" s="11">
        <v>1.06172291296625</v>
      </c>
      <c r="G716" s="11">
        <v>1.6535211267605601</v>
      </c>
      <c r="H716" s="10"/>
      <c r="I716" s="10"/>
      <c r="J716" s="10"/>
    </row>
    <row r="717" spans="1:10" ht="15.6" x14ac:dyDescent="0.3">
      <c r="A717" s="9" t="s">
        <v>80</v>
      </c>
      <c r="B717" s="10">
        <v>130</v>
      </c>
      <c r="C717" s="10" t="s">
        <v>70</v>
      </c>
      <c r="D717" s="10">
        <v>11.2</v>
      </c>
      <c r="E717" s="10" t="s">
        <v>70</v>
      </c>
      <c r="F717" s="11">
        <v>1.06023102310231</v>
      </c>
      <c r="G717" s="11">
        <v>1.6474442988204501</v>
      </c>
      <c r="H717" s="10"/>
      <c r="I717" s="10"/>
      <c r="J717" s="10"/>
    </row>
    <row r="718" spans="1:10" ht="15.6" x14ac:dyDescent="0.3">
      <c r="A718" s="9" t="s">
        <v>80</v>
      </c>
      <c r="B718" s="10" t="s">
        <v>81</v>
      </c>
      <c r="C718" s="10" t="s">
        <v>77</v>
      </c>
      <c r="D718" s="10">
        <v>11.2</v>
      </c>
      <c r="E718" s="10" t="s">
        <v>77</v>
      </c>
      <c r="F718" s="11">
        <v>1.03242320819113</v>
      </c>
      <c r="G718" s="11">
        <v>1.48878923766816</v>
      </c>
      <c r="H718" s="10"/>
      <c r="I718" s="10"/>
      <c r="J718" s="10"/>
    </row>
    <row r="719" spans="1:10" ht="15.6" x14ac:dyDescent="0.3">
      <c r="A719" s="9" t="s">
        <v>82</v>
      </c>
      <c r="B719" s="10">
        <v>70</v>
      </c>
      <c r="C719" s="10" t="s">
        <v>18</v>
      </c>
      <c r="D719" s="10">
        <v>10</v>
      </c>
      <c r="E719" s="10" t="s">
        <v>18</v>
      </c>
      <c r="F719" s="11">
        <v>1.07594936708861</v>
      </c>
      <c r="G719" s="11">
        <v>1.00709219858156</v>
      </c>
      <c r="H719" s="10"/>
      <c r="I719" s="10"/>
      <c r="J719" s="10"/>
    </row>
    <row r="720" spans="1:10" ht="15.6" x14ac:dyDescent="0.3">
      <c r="A720" s="9" t="s">
        <v>82</v>
      </c>
      <c r="B720" s="10">
        <v>80</v>
      </c>
      <c r="C720" s="10" t="s">
        <v>18</v>
      </c>
      <c r="D720" s="10">
        <v>10</v>
      </c>
      <c r="E720" s="10" t="s">
        <v>18</v>
      </c>
      <c r="F720" s="11">
        <v>1.0554414784394299</v>
      </c>
      <c r="G720" s="11">
        <v>0.99771689497716898</v>
      </c>
      <c r="H720" s="10"/>
      <c r="I720" s="10"/>
      <c r="J720" s="10"/>
    </row>
    <row r="721" spans="1:10" ht="15.6" x14ac:dyDescent="0.3">
      <c r="A721" s="9" t="s">
        <v>82</v>
      </c>
      <c r="B721" s="10">
        <v>90</v>
      </c>
      <c r="C721" s="10" t="s">
        <v>18</v>
      </c>
      <c r="D721" s="10">
        <v>10</v>
      </c>
      <c r="E721" s="10" t="s">
        <v>18</v>
      </c>
      <c r="F721" s="11">
        <v>1.0450581395348799</v>
      </c>
      <c r="G721" s="11">
        <v>0.98881789137380205</v>
      </c>
      <c r="H721" s="10"/>
      <c r="I721" s="10"/>
      <c r="J721" s="10"/>
    </row>
    <row r="722" spans="1:10" ht="15.6" x14ac:dyDescent="0.3">
      <c r="A722" s="9" t="s">
        <v>82</v>
      </c>
      <c r="B722" s="10">
        <v>100</v>
      </c>
      <c r="C722" s="10" t="s">
        <v>18</v>
      </c>
      <c r="D722" s="10">
        <v>10</v>
      </c>
      <c r="E722" s="10" t="s">
        <v>18</v>
      </c>
      <c r="F722" s="11">
        <v>1.03715846994536</v>
      </c>
      <c r="G722" s="11">
        <v>0.98564593301435399</v>
      </c>
      <c r="H722" s="10"/>
      <c r="I722" s="10"/>
      <c r="J722" s="10"/>
    </row>
    <row r="723" spans="1:10" ht="15.6" x14ac:dyDescent="0.3">
      <c r="A723" s="9" t="s">
        <v>82</v>
      </c>
      <c r="B723" s="10">
        <v>110</v>
      </c>
      <c r="C723" s="10" t="s">
        <v>18</v>
      </c>
      <c r="D723" s="10">
        <v>10</v>
      </c>
      <c r="E723" s="10" t="s">
        <v>18</v>
      </c>
      <c r="F723" s="11">
        <v>1.0326741186586399</v>
      </c>
      <c r="G723" s="11">
        <v>0.98222637979420002</v>
      </c>
      <c r="H723" s="10"/>
      <c r="I723" s="10"/>
      <c r="J723" s="10"/>
    </row>
    <row r="724" spans="1:10" ht="15.6" x14ac:dyDescent="0.3">
      <c r="A724" s="9" t="s">
        <v>82</v>
      </c>
      <c r="B724" s="10">
        <v>120</v>
      </c>
      <c r="C724" s="10" t="s">
        <v>18</v>
      </c>
      <c r="D724" s="10">
        <v>10</v>
      </c>
      <c r="E724" s="10" t="s">
        <v>18</v>
      </c>
      <c r="F724" s="11">
        <v>1.02651779483601</v>
      </c>
      <c r="G724" s="11">
        <v>0.98106060606060597</v>
      </c>
      <c r="H724" s="10"/>
      <c r="I724" s="10"/>
      <c r="J724" s="10"/>
    </row>
    <row r="725" spans="1:10" ht="15.6" x14ac:dyDescent="0.3">
      <c r="A725" s="9" t="s">
        <v>82</v>
      </c>
      <c r="B725" s="10">
        <v>130</v>
      </c>
      <c r="C725" s="10" t="s">
        <v>18</v>
      </c>
      <c r="D725" s="10">
        <v>10</v>
      </c>
      <c r="E725" s="10" t="s">
        <v>18</v>
      </c>
      <c r="F725" s="11">
        <v>1.02623906705539</v>
      </c>
      <c r="G725" s="11">
        <v>0.98109640831758005</v>
      </c>
      <c r="H725" s="10"/>
      <c r="I725" s="10"/>
      <c r="J725" s="10"/>
    </row>
    <row r="726" spans="1:10" ht="15.6" x14ac:dyDescent="0.3">
      <c r="A726" s="9" t="s">
        <v>82</v>
      </c>
      <c r="B726" s="10">
        <v>140</v>
      </c>
      <c r="C726" s="10" t="s">
        <v>18</v>
      </c>
      <c r="D726" s="10">
        <v>10</v>
      </c>
      <c r="E726" s="10" t="s">
        <v>18</v>
      </c>
      <c r="F726" s="11">
        <v>1.0248138957816399</v>
      </c>
      <c r="G726" s="11">
        <v>0.98129342597541402</v>
      </c>
      <c r="H726" s="10"/>
      <c r="I726" s="10"/>
      <c r="J726" s="10"/>
    </row>
    <row r="727" spans="1:10" ht="15.6" x14ac:dyDescent="0.3">
      <c r="A727" s="9" t="s">
        <v>82</v>
      </c>
      <c r="B727" s="10">
        <v>150</v>
      </c>
      <c r="C727" s="10" t="s">
        <v>18</v>
      </c>
      <c r="D727" s="10">
        <v>10</v>
      </c>
      <c r="E727" s="10" t="s">
        <v>18</v>
      </c>
      <c r="F727" s="11">
        <v>1.02268835616438</v>
      </c>
      <c r="G727" s="11">
        <v>0.98157531091662797</v>
      </c>
      <c r="H727" s="10"/>
      <c r="I727" s="10"/>
      <c r="J727" s="10"/>
    </row>
    <row r="728" spans="1:10" ht="15.6" x14ac:dyDescent="0.3">
      <c r="A728" s="9" t="s">
        <v>82</v>
      </c>
      <c r="B728" s="10">
        <v>70</v>
      </c>
      <c r="C728" s="10" t="s">
        <v>22</v>
      </c>
      <c r="D728" s="10"/>
      <c r="E728" s="10" t="s">
        <v>21</v>
      </c>
      <c r="F728" s="11">
        <v>1.0738255033557</v>
      </c>
      <c r="G728" s="11"/>
      <c r="H728" s="10"/>
      <c r="I728" s="10"/>
      <c r="J728" s="10"/>
    </row>
    <row r="729" spans="1:10" ht="15.6" x14ac:dyDescent="0.3">
      <c r="A729" s="9" t="s">
        <v>82</v>
      </c>
      <c r="B729" s="10">
        <v>80</v>
      </c>
      <c r="C729" s="10" t="s">
        <v>22</v>
      </c>
      <c r="D729" s="10"/>
      <c r="E729" s="10" t="s">
        <v>21</v>
      </c>
      <c r="F729" s="11">
        <v>1.0537790697674401</v>
      </c>
      <c r="G729" s="11"/>
      <c r="H729" s="10"/>
      <c r="I729" s="10"/>
      <c r="J729" s="10"/>
    </row>
    <row r="730" spans="1:10" ht="15.6" x14ac:dyDescent="0.3">
      <c r="A730" s="9" t="s">
        <v>82</v>
      </c>
      <c r="B730" s="10">
        <v>90</v>
      </c>
      <c r="C730" s="10" t="s">
        <v>22</v>
      </c>
      <c r="D730" s="10"/>
      <c r="E730" s="10" t="s">
        <v>21</v>
      </c>
      <c r="F730" s="11">
        <v>1.0431654676258999</v>
      </c>
      <c r="G730" s="11"/>
      <c r="H730" s="10"/>
      <c r="I730" s="10"/>
      <c r="J730" s="10"/>
    </row>
    <row r="731" spans="1:10" ht="15.6" x14ac:dyDescent="0.3">
      <c r="A731" s="9" t="s">
        <v>82</v>
      </c>
      <c r="B731" s="10">
        <v>100</v>
      </c>
      <c r="C731" s="10" t="s">
        <v>22</v>
      </c>
      <c r="D731" s="10"/>
      <c r="E731" s="10" t="s">
        <v>21</v>
      </c>
      <c r="F731" s="11">
        <v>1.03397683397683</v>
      </c>
      <c r="G731" s="11"/>
      <c r="H731" s="10"/>
      <c r="I731" s="10"/>
      <c r="J731" s="10"/>
    </row>
    <row r="732" spans="1:10" ht="15.6" x14ac:dyDescent="0.3">
      <c r="A732" s="9" t="s">
        <v>82</v>
      </c>
      <c r="B732" s="10">
        <v>110</v>
      </c>
      <c r="C732" s="10" t="s">
        <v>22</v>
      </c>
      <c r="D732" s="10"/>
      <c r="E732" s="10" t="s">
        <v>21</v>
      </c>
      <c r="F732" s="11">
        <v>1.02978723404255</v>
      </c>
      <c r="G732" s="11"/>
      <c r="H732" s="10"/>
      <c r="I732" s="10"/>
      <c r="J732" s="10"/>
    </row>
    <row r="733" spans="1:10" ht="15.6" x14ac:dyDescent="0.3">
      <c r="A733" s="9" t="s">
        <v>82</v>
      </c>
      <c r="B733" s="10">
        <v>120</v>
      </c>
      <c r="C733" s="10" t="s">
        <v>22</v>
      </c>
      <c r="D733" s="10"/>
      <c r="E733" s="10" t="s">
        <v>21</v>
      </c>
      <c r="F733" s="11">
        <v>1.02418558736426</v>
      </c>
      <c r="G733" s="11"/>
      <c r="H733" s="10"/>
      <c r="I733" s="10"/>
      <c r="J733" s="10"/>
    </row>
    <row r="734" spans="1:10" ht="15.6" x14ac:dyDescent="0.3">
      <c r="A734" s="9" t="s">
        <v>82</v>
      </c>
      <c r="B734" s="10">
        <v>130</v>
      </c>
      <c r="C734" s="10" t="s">
        <v>22</v>
      </c>
      <c r="D734" s="10"/>
      <c r="E734" s="10" t="s">
        <v>21</v>
      </c>
      <c r="F734" s="11">
        <v>1.0230737536052701</v>
      </c>
      <c r="G734" s="11"/>
      <c r="H734" s="10"/>
      <c r="I734" s="10"/>
      <c r="J734" s="10"/>
    </row>
    <row r="735" spans="1:10" ht="15.6" x14ac:dyDescent="0.3">
      <c r="A735" s="9" t="s">
        <v>82</v>
      </c>
      <c r="B735" s="10">
        <v>140</v>
      </c>
      <c r="C735" s="10" t="s">
        <v>22</v>
      </c>
      <c r="D735" s="10"/>
      <c r="E735" s="10" t="s">
        <v>21</v>
      </c>
      <c r="F735" s="11">
        <v>1.0220975096457401</v>
      </c>
      <c r="G735" s="11"/>
      <c r="H735" s="10"/>
      <c r="I735" s="10"/>
      <c r="J735" s="10"/>
    </row>
    <row r="736" spans="1:10" ht="15.6" x14ac:dyDescent="0.3">
      <c r="A736" s="9" t="s">
        <v>82</v>
      </c>
      <c r="B736" s="10">
        <v>150</v>
      </c>
      <c r="C736" s="10" t="s">
        <v>22</v>
      </c>
      <c r="D736" s="10"/>
      <c r="E736" s="10" t="s">
        <v>21</v>
      </c>
      <c r="F736" s="11">
        <v>1.01997578692494</v>
      </c>
      <c r="G736" s="11"/>
      <c r="H736" s="10"/>
      <c r="I736" s="10"/>
      <c r="J736" s="10"/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62"/>
  <sheetViews>
    <sheetView topLeftCell="A25" zoomScaleNormal="100" workbookViewId="0">
      <selection activeCell="B3" sqref="B3:B3451"/>
    </sheetView>
  </sheetViews>
  <sheetFormatPr defaultColWidth="10.5" defaultRowHeight="15.6" x14ac:dyDescent="0.3"/>
  <cols>
    <col min="1" max="1" width="17.796875" customWidth="1"/>
    <col min="4" max="4" width="17.3984375" customWidth="1"/>
    <col min="5" max="5" width="12.19921875" customWidth="1"/>
    <col min="6" max="6" width="4.5" customWidth="1"/>
    <col min="7" max="7" width="13" customWidth="1"/>
    <col min="8" max="8" width="8.5" customWidth="1"/>
    <col min="9" max="9" width="6.3984375" customWidth="1"/>
    <col min="10" max="10" width="9.8984375" customWidth="1"/>
    <col min="11" max="11" width="13.796875" customWidth="1"/>
    <col min="12" max="12" width="6.8984375" customWidth="1"/>
    <col min="13" max="13" width="16.19921875" customWidth="1"/>
    <col min="14" max="14" width="15.3984375" customWidth="1"/>
  </cols>
  <sheetData>
    <row r="1" spans="1:14" x14ac:dyDescent="0.3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84</v>
      </c>
      <c r="N1" t="s">
        <v>85</v>
      </c>
    </row>
    <row r="2" spans="1:14" x14ac:dyDescent="0.3">
      <c r="A2" t="s">
        <v>12</v>
      </c>
      <c r="B2">
        <f>VLOOKUP(M2,Sheet9!$I$1:$J$17,2,FALSE)</f>
        <v>8</v>
      </c>
      <c r="C2">
        <f>VLOOKUP(N2,Sheet9!$M$1:$N$2,2,FALSE)</f>
        <v>1</v>
      </c>
      <c r="D2">
        <v>16</v>
      </c>
      <c r="E2" t="s">
        <v>95</v>
      </c>
      <c r="F2">
        <v>70</v>
      </c>
      <c r="H2">
        <f>_xlfn.NUMBERVALUE( LEFT(Sheet9!C2,SEARCH("x",Sheet9!C2)-1),".")</f>
        <v>2</v>
      </c>
      <c r="I2" s="12">
        <f>_xlfn.NUMBERVALUE(RIGHT(Sheet9!C2,LEN(Sheet9!C2)-SEARCH("x",Sheet9!C2,1)),".")</f>
        <v>1</v>
      </c>
      <c r="J2" s="9">
        <f t="shared" ref="J2:J46" si="0">H2*I2</f>
        <v>2</v>
      </c>
      <c r="K2" s="13">
        <v>2.86</v>
      </c>
      <c r="L2" s="13">
        <v>3.06</v>
      </c>
      <c r="M2" t="s">
        <v>12</v>
      </c>
      <c r="N2" t="s">
        <v>162</v>
      </c>
    </row>
    <row r="3" spans="1:14" x14ac:dyDescent="0.3">
      <c r="A3" t="s">
        <v>12</v>
      </c>
      <c r="B3">
        <f>VLOOKUP(M3,Sheet9!$I$1:$J$17,2,FALSE)</f>
        <v>8</v>
      </c>
      <c r="C3">
        <f>VLOOKUP(N3,Sheet9!$M$1:$N$2,2,FALSE)</f>
        <v>1</v>
      </c>
      <c r="D3">
        <v>16</v>
      </c>
      <c r="E3" t="s">
        <v>95</v>
      </c>
      <c r="F3">
        <v>70</v>
      </c>
      <c r="H3">
        <f>_xlfn.NUMBERVALUE( LEFT(Sheet9!C3,SEARCH("x",Sheet9!C3)-1),".")</f>
        <v>1</v>
      </c>
      <c r="I3" s="12">
        <f>_xlfn.NUMBERVALUE(RIGHT(Sheet9!C3,LEN(Sheet9!C3)-SEARCH("x",Sheet9!C3,1)),".")</f>
        <v>5</v>
      </c>
      <c r="J3" s="9">
        <f t="shared" si="0"/>
        <v>5</v>
      </c>
      <c r="K3" s="13">
        <v>2.57</v>
      </c>
      <c r="L3" s="13">
        <v>2.74</v>
      </c>
      <c r="M3" t="s">
        <v>12</v>
      </c>
      <c r="N3" t="s">
        <v>162</v>
      </c>
    </row>
    <row r="4" spans="1:14" x14ac:dyDescent="0.3">
      <c r="A4" t="s">
        <v>12</v>
      </c>
      <c r="B4">
        <f>VLOOKUP(M4,Sheet9!$I$1:$J$17,2,FALSE)</f>
        <v>8</v>
      </c>
      <c r="C4">
        <f>VLOOKUP(N4,Sheet9!$M$1:$N$2,2,FALSE)</f>
        <v>1</v>
      </c>
      <c r="D4">
        <v>16</v>
      </c>
      <c r="E4" t="s">
        <v>95</v>
      </c>
      <c r="F4">
        <v>70</v>
      </c>
      <c r="H4">
        <f>_xlfn.NUMBERVALUE( LEFT(Sheet9!C4,SEARCH("x",Sheet9!C4)-1),".")</f>
        <v>10</v>
      </c>
      <c r="I4" s="12">
        <f>_xlfn.NUMBERVALUE(RIGHT(Sheet9!C4,LEN(Sheet9!C4)-SEARCH("x",Sheet9!C4,1)),".")</f>
        <v>0.6</v>
      </c>
      <c r="J4" s="9">
        <f t="shared" si="0"/>
        <v>6</v>
      </c>
      <c r="K4" s="13">
        <v>3.41</v>
      </c>
      <c r="L4" s="13">
        <v>3.63</v>
      </c>
      <c r="M4" t="s">
        <v>12</v>
      </c>
      <c r="N4" t="s">
        <v>162</v>
      </c>
    </row>
    <row r="5" spans="1:14" x14ac:dyDescent="0.3">
      <c r="A5" t="s">
        <v>12</v>
      </c>
      <c r="B5">
        <f>VLOOKUP(M5,Sheet9!$I$1:$J$17,2,FALSE)</f>
        <v>8</v>
      </c>
      <c r="C5">
        <f>VLOOKUP(N5,Sheet9!$M$1:$N$2,2,FALSE)</f>
        <v>1</v>
      </c>
      <c r="D5">
        <v>16</v>
      </c>
      <c r="E5" t="s">
        <v>95</v>
      </c>
      <c r="F5">
        <v>70</v>
      </c>
      <c r="H5">
        <f>_xlfn.NUMBERVALUE( LEFT(Sheet9!C5,SEARCH("x",Sheet9!C5)-1),".")</f>
        <v>6</v>
      </c>
      <c r="I5" s="12">
        <f>_xlfn.NUMBERVALUE(RIGHT(Sheet9!C5,LEN(Sheet9!C5)-SEARCH("x",Sheet9!C5,1)),".")</f>
        <v>1.2</v>
      </c>
      <c r="J5" s="9">
        <f t="shared" si="0"/>
        <v>7.1999999999999993</v>
      </c>
      <c r="K5" s="13">
        <v>3.69</v>
      </c>
      <c r="L5" s="13">
        <v>3.94</v>
      </c>
      <c r="M5" t="s">
        <v>12</v>
      </c>
      <c r="N5" t="s">
        <v>162</v>
      </c>
    </row>
    <row r="6" spans="1:14" x14ac:dyDescent="0.3">
      <c r="A6" t="s">
        <v>12</v>
      </c>
      <c r="B6">
        <f>VLOOKUP(M6,Sheet9!$I$1:$J$17,2,FALSE)</f>
        <v>8</v>
      </c>
      <c r="C6">
        <f>VLOOKUP(N6,Sheet9!$M$1:$N$2,2,FALSE)</f>
        <v>1</v>
      </c>
      <c r="D6">
        <v>16</v>
      </c>
      <c r="E6" t="s">
        <v>95</v>
      </c>
      <c r="F6">
        <v>70</v>
      </c>
      <c r="H6">
        <f>_xlfn.NUMBERVALUE( LEFT(Sheet9!C6,SEARCH("x",Sheet9!C6)-1),".")</f>
        <v>1</v>
      </c>
      <c r="I6" s="12">
        <f>_xlfn.NUMBERVALUE(RIGHT(Sheet9!C6,LEN(Sheet9!C6)-SEARCH("x",Sheet9!C6,1)),".")</f>
        <v>10</v>
      </c>
      <c r="J6" s="9">
        <f t="shared" si="0"/>
        <v>10</v>
      </c>
      <c r="K6" s="13">
        <v>2.57</v>
      </c>
      <c r="L6" s="13">
        <v>2.74</v>
      </c>
      <c r="M6" t="s">
        <v>12</v>
      </c>
      <c r="N6" t="s">
        <v>162</v>
      </c>
    </row>
    <row r="7" spans="1:14" x14ac:dyDescent="0.3">
      <c r="A7" t="s">
        <v>12</v>
      </c>
      <c r="B7">
        <f>VLOOKUP(M7,Sheet9!$I$1:$J$17,2,FALSE)</f>
        <v>8</v>
      </c>
      <c r="C7">
        <f>VLOOKUP(N7,Sheet9!$M$1:$N$2,2,FALSE)</f>
        <v>1</v>
      </c>
      <c r="D7">
        <v>16</v>
      </c>
      <c r="E7" t="s">
        <v>95</v>
      </c>
      <c r="F7">
        <v>70</v>
      </c>
      <c r="H7">
        <f>_xlfn.NUMBERVALUE( LEFT(Sheet9!C7,SEARCH("x",Sheet9!C7)-1),".")</f>
        <v>20</v>
      </c>
      <c r="I7" s="12">
        <f>_xlfn.NUMBERVALUE(RIGHT(Sheet9!C7,LEN(Sheet9!C7)-SEARCH("x",Sheet9!C7,1)),".")</f>
        <v>0.6</v>
      </c>
      <c r="J7" s="9">
        <f t="shared" si="0"/>
        <v>12</v>
      </c>
      <c r="K7" s="13">
        <v>3.48</v>
      </c>
      <c r="L7" s="13">
        <v>3.7</v>
      </c>
      <c r="M7" t="s">
        <v>12</v>
      </c>
      <c r="N7" t="s">
        <v>162</v>
      </c>
    </row>
    <row r="8" spans="1:14" x14ac:dyDescent="0.3">
      <c r="A8" t="s">
        <v>12</v>
      </c>
      <c r="B8">
        <f>VLOOKUP(M8,Sheet9!$I$1:$J$17,2,FALSE)</f>
        <v>8</v>
      </c>
      <c r="C8">
        <f>VLOOKUP(N8,Sheet9!$M$1:$N$2,2,FALSE)</f>
        <v>1</v>
      </c>
      <c r="D8">
        <v>16</v>
      </c>
      <c r="E8" t="s">
        <v>95</v>
      </c>
      <c r="F8">
        <v>70</v>
      </c>
      <c r="H8">
        <f>_xlfn.NUMBERVALUE( LEFT(Sheet9!C8,SEARCH("x",Sheet9!C8)-1),".")</f>
        <v>12</v>
      </c>
      <c r="I8" s="12">
        <f>_xlfn.NUMBERVALUE(RIGHT(Sheet9!C8,LEN(Sheet9!C8)-SEARCH("x",Sheet9!C8,1)),".")</f>
        <v>1.2</v>
      </c>
      <c r="J8" s="9">
        <f t="shared" si="0"/>
        <v>14.399999999999999</v>
      </c>
      <c r="K8" s="13">
        <v>3.29</v>
      </c>
      <c r="L8" s="13">
        <v>3.52</v>
      </c>
      <c r="M8" t="s">
        <v>12</v>
      </c>
      <c r="N8" t="s">
        <v>162</v>
      </c>
    </row>
    <row r="9" spans="1:14" x14ac:dyDescent="0.3">
      <c r="A9" t="s">
        <v>12</v>
      </c>
      <c r="B9">
        <f>VLOOKUP(M9,Sheet9!$I$1:$J$17,2,FALSE)</f>
        <v>8</v>
      </c>
      <c r="C9">
        <f>VLOOKUP(N9,Sheet9!$M$1:$N$2,2,FALSE)</f>
        <v>1</v>
      </c>
      <c r="D9">
        <v>16</v>
      </c>
      <c r="E9" t="s">
        <v>95</v>
      </c>
      <c r="F9">
        <v>70</v>
      </c>
      <c r="H9">
        <f>_xlfn.NUMBERVALUE( LEFT(Sheet9!C9,SEARCH("x",Sheet9!C9)-1),".")</f>
        <v>32</v>
      </c>
      <c r="I9" s="12">
        <f>_xlfn.NUMBERVALUE(RIGHT(Sheet9!C9,LEN(Sheet9!C9)-SEARCH("x",Sheet9!C9,1)),".")</f>
        <v>0.6</v>
      </c>
      <c r="J9" s="9">
        <f t="shared" si="0"/>
        <v>19.2</v>
      </c>
      <c r="K9" s="13">
        <v>3.24</v>
      </c>
      <c r="L9" s="13">
        <v>3.44</v>
      </c>
      <c r="M9" t="s">
        <v>12</v>
      </c>
      <c r="N9" t="s">
        <v>162</v>
      </c>
    </row>
    <row r="10" spans="1:14" x14ac:dyDescent="0.3">
      <c r="A10" t="s">
        <v>12</v>
      </c>
      <c r="B10">
        <f>VLOOKUP(M10,Sheet9!$I$1:$J$17,2,FALSE)</f>
        <v>8</v>
      </c>
      <c r="C10">
        <f>VLOOKUP(N10,Sheet9!$M$1:$N$2,2,FALSE)</f>
        <v>1</v>
      </c>
      <c r="D10">
        <v>16</v>
      </c>
      <c r="E10" t="s">
        <v>95</v>
      </c>
      <c r="F10">
        <v>70</v>
      </c>
      <c r="H10">
        <f>_xlfn.NUMBERVALUE( LEFT(Sheet9!C10,SEARCH("x",Sheet9!C10)-1),".")</f>
        <v>16</v>
      </c>
      <c r="I10" s="12">
        <f>_xlfn.NUMBERVALUE(RIGHT(Sheet9!C10,LEN(Sheet9!C10)-SEARCH("x",Sheet9!C10,1)),".")</f>
        <v>1.2</v>
      </c>
      <c r="J10" s="9">
        <f t="shared" si="0"/>
        <v>19.2</v>
      </c>
      <c r="K10" s="13">
        <v>3.15</v>
      </c>
      <c r="L10" s="13">
        <v>3.37</v>
      </c>
      <c r="M10" t="s">
        <v>12</v>
      </c>
      <c r="N10" t="s">
        <v>162</v>
      </c>
    </row>
    <row r="11" spans="1:14" x14ac:dyDescent="0.3">
      <c r="A11" t="s">
        <v>12</v>
      </c>
      <c r="B11">
        <f>VLOOKUP(M11,Sheet9!$I$1:$J$17,2,FALSE)</f>
        <v>8</v>
      </c>
      <c r="C11">
        <f>VLOOKUP(N11,Sheet9!$M$1:$N$2,2,FALSE)</f>
        <v>1</v>
      </c>
      <c r="D11">
        <v>16</v>
      </c>
      <c r="E11" t="s">
        <v>95</v>
      </c>
      <c r="F11">
        <v>80</v>
      </c>
      <c r="H11">
        <f>_xlfn.NUMBERVALUE( LEFT(Sheet9!C11,SEARCH("x",Sheet9!C11)-1),".")</f>
        <v>2</v>
      </c>
      <c r="I11" s="12">
        <f>_xlfn.NUMBERVALUE(RIGHT(Sheet9!C11,LEN(Sheet9!C11)-SEARCH("x",Sheet9!C11,1)),".")</f>
        <v>1</v>
      </c>
      <c r="J11" s="9">
        <f t="shared" si="0"/>
        <v>2</v>
      </c>
      <c r="K11" s="13">
        <v>4.57</v>
      </c>
      <c r="L11" s="13">
        <v>4.7699999999999996</v>
      </c>
      <c r="M11" t="s">
        <v>12</v>
      </c>
      <c r="N11" t="s">
        <v>162</v>
      </c>
    </row>
    <row r="12" spans="1:14" x14ac:dyDescent="0.3">
      <c r="A12" t="s">
        <v>12</v>
      </c>
      <c r="B12">
        <f>VLOOKUP(M12,Sheet9!$I$1:$J$17,2,FALSE)</f>
        <v>8</v>
      </c>
      <c r="C12">
        <f>VLOOKUP(N12,Sheet9!$M$1:$N$2,2,FALSE)</f>
        <v>1</v>
      </c>
      <c r="D12">
        <v>16</v>
      </c>
      <c r="E12" t="s">
        <v>95</v>
      </c>
      <c r="F12">
        <v>80</v>
      </c>
      <c r="H12">
        <f>_xlfn.NUMBERVALUE( LEFT(Sheet9!C12,SEARCH("x",Sheet9!C12)-1),".")</f>
        <v>1</v>
      </c>
      <c r="I12" s="12">
        <f>_xlfn.NUMBERVALUE(RIGHT(Sheet9!C12,LEN(Sheet9!C12)-SEARCH("x",Sheet9!C12,1)),".")</f>
        <v>5</v>
      </c>
      <c r="J12" s="9">
        <f t="shared" si="0"/>
        <v>5</v>
      </c>
      <c r="K12" s="13">
        <v>4.0999999999999996</v>
      </c>
      <c r="L12" s="13">
        <v>4.28</v>
      </c>
      <c r="M12" t="s">
        <v>12</v>
      </c>
      <c r="N12" t="s">
        <v>162</v>
      </c>
    </row>
    <row r="13" spans="1:14" x14ac:dyDescent="0.3">
      <c r="A13" t="s">
        <v>12</v>
      </c>
      <c r="B13">
        <f>VLOOKUP(M13,Sheet9!$I$1:$J$17,2,FALSE)</f>
        <v>8</v>
      </c>
      <c r="C13">
        <f>VLOOKUP(N13,Sheet9!$M$1:$N$2,2,FALSE)</f>
        <v>1</v>
      </c>
      <c r="D13">
        <v>16</v>
      </c>
      <c r="E13" t="s">
        <v>95</v>
      </c>
      <c r="F13">
        <v>80</v>
      </c>
      <c r="H13">
        <f>_xlfn.NUMBERVALUE( LEFT(Sheet9!C13,SEARCH("x",Sheet9!C13)-1),".")</f>
        <v>10</v>
      </c>
      <c r="I13" s="12">
        <f>_xlfn.NUMBERVALUE(RIGHT(Sheet9!C13,LEN(Sheet9!C13)-SEARCH("x",Sheet9!C13,1)),".")</f>
        <v>0.6</v>
      </c>
      <c r="J13" s="9">
        <f t="shared" si="0"/>
        <v>6</v>
      </c>
      <c r="K13" s="13">
        <v>5.44</v>
      </c>
      <c r="L13" s="13">
        <v>5.67</v>
      </c>
      <c r="M13" t="s">
        <v>12</v>
      </c>
      <c r="N13" t="s">
        <v>162</v>
      </c>
    </row>
    <row r="14" spans="1:14" x14ac:dyDescent="0.3">
      <c r="A14" t="s">
        <v>12</v>
      </c>
      <c r="B14">
        <f>VLOOKUP(M14,Sheet9!$I$1:$J$17,2,FALSE)</f>
        <v>8</v>
      </c>
      <c r="C14">
        <f>VLOOKUP(N14,Sheet9!$M$1:$N$2,2,FALSE)</f>
        <v>1</v>
      </c>
      <c r="D14">
        <v>16</v>
      </c>
      <c r="E14" t="s">
        <v>95</v>
      </c>
      <c r="F14">
        <v>80</v>
      </c>
      <c r="H14">
        <f>_xlfn.NUMBERVALUE( LEFT(Sheet9!C14,SEARCH("x",Sheet9!C14)-1),".")</f>
        <v>6</v>
      </c>
      <c r="I14" s="12">
        <f>_xlfn.NUMBERVALUE(RIGHT(Sheet9!C14,LEN(Sheet9!C14)-SEARCH("x",Sheet9!C14,1)),".")</f>
        <v>1.2</v>
      </c>
      <c r="J14" s="9">
        <f t="shared" si="0"/>
        <v>7.1999999999999993</v>
      </c>
      <c r="K14" s="13">
        <v>5.89</v>
      </c>
      <c r="L14" s="13">
        <v>6.16</v>
      </c>
      <c r="M14" t="s">
        <v>12</v>
      </c>
      <c r="N14" t="s">
        <v>162</v>
      </c>
    </row>
    <row r="15" spans="1:14" x14ac:dyDescent="0.3">
      <c r="A15" t="s">
        <v>12</v>
      </c>
      <c r="B15">
        <f>VLOOKUP(M15,Sheet9!$I$1:$J$17,2,FALSE)</f>
        <v>8</v>
      </c>
      <c r="C15">
        <f>VLOOKUP(N15,Sheet9!$M$1:$N$2,2,FALSE)</f>
        <v>1</v>
      </c>
      <c r="D15">
        <v>16</v>
      </c>
      <c r="E15" t="s">
        <v>95</v>
      </c>
      <c r="F15">
        <v>80</v>
      </c>
      <c r="H15">
        <f>_xlfn.NUMBERVALUE( LEFT(Sheet9!C15,SEARCH("x",Sheet9!C15)-1),".")</f>
        <v>1</v>
      </c>
      <c r="I15" s="12">
        <f>_xlfn.NUMBERVALUE(RIGHT(Sheet9!C15,LEN(Sheet9!C15)-SEARCH("x",Sheet9!C15,1)),".")</f>
        <v>10</v>
      </c>
      <c r="J15" s="9">
        <f t="shared" si="0"/>
        <v>10</v>
      </c>
      <c r="K15" s="13">
        <v>4.0999999999999996</v>
      </c>
      <c r="L15" s="13">
        <v>4.28</v>
      </c>
      <c r="M15" t="s">
        <v>12</v>
      </c>
      <c r="N15" t="s">
        <v>162</v>
      </c>
    </row>
    <row r="16" spans="1:14" x14ac:dyDescent="0.3">
      <c r="A16" t="s">
        <v>12</v>
      </c>
      <c r="B16">
        <f>VLOOKUP(M16,Sheet9!$I$1:$J$17,2,FALSE)</f>
        <v>8</v>
      </c>
      <c r="C16">
        <f>VLOOKUP(N16,Sheet9!$M$1:$N$2,2,FALSE)</f>
        <v>1</v>
      </c>
      <c r="D16">
        <v>16</v>
      </c>
      <c r="E16" t="s">
        <v>95</v>
      </c>
      <c r="F16">
        <v>80</v>
      </c>
      <c r="H16">
        <f>_xlfn.NUMBERVALUE( LEFT(Sheet9!C16,SEARCH("x",Sheet9!C16)-1),".")</f>
        <v>20</v>
      </c>
      <c r="I16" s="12">
        <f>_xlfn.NUMBERVALUE(RIGHT(Sheet9!C16,LEN(Sheet9!C16)-SEARCH("x",Sheet9!C16,1)),".")</f>
        <v>0.6</v>
      </c>
      <c r="J16" s="9">
        <f t="shared" si="0"/>
        <v>12</v>
      </c>
      <c r="K16" s="13">
        <v>5.55</v>
      </c>
      <c r="L16" s="13">
        <v>5.78</v>
      </c>
      <c r="M16" t="s">
        <v>12</v>
      </c>
      <c r="N16" t="s">
        <v>162</v>
      </c>
    </row>
    <row r="17" spans="1:14" x14ac:dyDescent="0.3">
      <c r="A17" t="s">
        <v>12</v>
      </c>
      <c r="B17">
        <f>VLOOKUP(M17,Sheet9!$I$1:$J$17,2,FALSE)</f>
        <v>8</v>
      </c>
      <c r="C17">
        <f>VLOOKUP(N17,Sheet9!$M$1:$N$2,2,FALSE)</f>
        <v>1</v>
      </c>
      <c r="D17">
        <v>16</v>
      </c>
      <c r="E17" t="s">
        <v>95</v>
      </c>
      <c r="F17">
        <v>80</v>
      </c>
      <c r="H17">
        <f>_xlfn.NUMBERVALUE( LEFT(Sheet9!C17,SEARCH("x",Sheet9!C17)-1),".")</f>
        <v>12</v>
      </c>
      <c r="I17" s="12">
        <f>_xlfn.NUMBERVALUE(RIGHT(Sheet9!C17,LEN(Sheet9!C17)-SEARCH("x",Sheet9!C17,1)),".")</f>
        <v>1.2</v>
      </c>
      <c r="J17" s="9">
        <f t="shared" si="0"/>
        <v>14.399999999999999</v>
      </c>
      <c r="K17" s="13">
        <v>5.25</v>
      </c>
      <c r="L17" s="13">
        <v>5.49</v>
      </c>
      <c r="M17" t="s">
        <v>12</v>
      </c>
      <c r="N17" t="s">
        <v>162</v>
      </c>
    </row>
    <row r="18" spans="1:14" x14ac:dyDescent="0.3">
      <c r="A18" t="s">
        <v>12</v>
      </c>
      <c r="B18">
        <f>VLOOKUP(M18,Sheet9!$I$1:$J$17,2,FALSE)</f>
        <v>8</v>
      </c>
      <c r="C18">
        <f>VLOOKUP(N18,Sheet9!$M$1:$N$2,2,FALSE)</f>
        <v>1</v>
      </c>
      <c r="D18">
        <v>16</v>
      </c>
      <c r="E18" t="s">
        <v>95</v>
      </c>
      <c r="F18">
        <v>80</v>
      </c>
      <c r="H18">
        <f>_xlfn.NUMBERVALUE( LEFT(Sheet9!C18,SEARCH("x",Sheet9!C18)-1),".")</f>
        <v>32</v>
      </c>
      <c r="I18" s="12">
        <f>_xlfn.NUMBERVALUE(RIGHT(Sheet9!C18,LEN(Sheet9!C18)-SEARCH("x",Sheet9!C18,1)),".")</f>
        <v>0.6</v>
      </c>
      <c r="J18" s="9">
        <f t="shared" si="0"/>
        <v>19.2</v>
      </c>
      <c r="K18" s="13">
        <v>5.17</v>
      </c>
      <c r="L18" s="13">
        <v>5.38</v>
      </c>
      <c r="M18" t="s">
        <v>12</v>
      </c>
      <c r="N18" t="s">
        <v>162</v>
      </c>
    </row>
    <row r="19" spans="1:14" x14ac:dyDescent="0.3">
      <c r="A19" t="s">
        <v>12</v>
      </c>
      <c r="B19">
        <f>VLOOKUP(M19,Sheet9!$I$1:$J$17,2,FALSE)</f>
        <v>8</v>
      </c>
      <c r="C19">
        <f>VLOOKUP(N19,Sheet9!$M$1:$N$2,2,FALSE)</f>
        <v>1</v>
      </c>
      <c r="D19">
        <v>16</v>
      </c>
      <c r="E19" t="s">
        <v>95</v>
      </c>
      <c r="F19">
        <v>80</v>
      </c>
      <c r="H19">
        <f>_xlfn.NUMBERVALUE( LEFT(Sheet9!C19,SEARCH("x",Sheet9!C19)-1),".")</f>
        <v>16</v>
      </c>
      <c r="I19" s="12">
        <f>_xlfn.NUMBERVALUE(RIGHT(Sheet9!C19,LEN(Sheet9!C19)-SEARCH("x",Sheet9!C19,1)),".")</f>
        <v>1.2</v>
      </c>
      <c r="J19" s="9">
        <f t="shared" si="0"/>
        <v>19.2</v>
      </c>
      <c r="K19" s="13">
        <v>5.03</v>
      </c>
      <c r="L19" s="13">
        <v>5.26</v>
      </c>
      <c r="M19" t="s">
        <v>12</v>
      </c>
      <c r="N19" t="s">
        <v>162</v>
      </c>
    </row>
    <row r="20" spans="1:14" x14ac:dyDescent="0.3">
      <c r="A20" t="s">
        <v>12</v>
      </c>
      <c r="B20">
        <f>VLOOKUP(M20,Sheet9!$I$1:$J$17,2,FALSE)</f>
        <v>8</v>
      </c>
      <c r="C20">
        <f>VLOOKUP(N20,Sheet9!$M$1:$N$2,2,FALSE)</f>
        <v>1</v>
      </c>
      <c r="D20">
        <v>16</v>
      </c>
      <c r="E20" t="s">
        <v>95</v>
      </c>
      <c r="F20">
        <v>100</v>
      </c>
      <c r="H20">
        <f>_xlfn.NUMBERVALUE( LEFT(Sheet9!C20,SEARCH("x",Sheet9!C20)-1),".")</f>
        <v>2</v>
      </c>
      <c r="I20" s="12">
        <f>_xlfn.NUMBERVALUE(RIGHT(Sheet9!C20,LEN(Sheet9!C20)-SEARCH("x",Sheet9!C20,1)),".")</f>
        <v>1</v>
      </c>
      <c r="J20" s="9">
        <f t="shared" si="0"/>
        <v>2</v>
      </c>
      <c r="K20" s="13">
        <v>8.84</v>
      </c>
      <c r="L20" s="13">
        <v>9.02</v>
      </c>
      <c r="M20" t="s">
        <v>12</v>
      </c>
      <c r="N20" t="s">
        <v>162</v>
      </c>
    </row>
    <row r="21" spans="1:14" x14ac:dyDescent="0.3">
      <c r="A21" t="s">
        <v>12</v>
      </c>
      <c r="B21">
        <f>VLOOKUP(M21,Sheet9!$I$1:$J$17,2,FALSE)</f>
        <v>8</v>
      </c>
      <c r="C21">
        <f>VLOOKUP(N21,Sheet9!$M$1:$N$2,2,FALSE)</f>
        <v>1</v>
      </c>
      <c r="D21">
        <v>16</v>
      </c>
      <c r="E21" t="s">
        <v>95</v>
      </c>
      <c r="F21">
        <v>100</v>
      </c>
      <c r="H21">
        <f>_xlfn.NUMBERVALUE( LEFT(Sheet9!C21,SEARCH("x",Sheet9!C21)-1),".")</f>
        <v>1</v>
      </c>
      <c r="I21" s="12">
        <f>_xlfn.NUMBERVALUE(RIGHT(Sheet9!C21,LEN(Sheet9!C21)-SEARCH("x",Sheet9!C21,1)),".")</f>
        <v>5</v>
      </c>
      <c r="J21" s="9">
        <f t="shared" si="0"/>
        <v>5</v>
      </c>
      <c r="K21" s="13">
        <v>7.93</v>
      </c>
      <c r="L21" s="13">
        <v>8.1</v>
      </c>
      <c r="M21" t="s">
        <v>12</v>
      </c>
      <c r="N21" t="s">
        <v>162</v>
      </c>
    </row>
    <row r="22" spans="1:14" x14ac:dyDescent="0.3">
      <c r="A22" t="s">
        <v>12</v>
      </c>
      <c r="B22">
        <f>VLOOKUP(M22,Sheet9!$I$1:$J$17,2,FALSE)</f>
        <v>8</v>
      </c>
      <c r="C22">
        <f>VLOOKUP(N22,Sheet9!$M$1:$N$2,2,FALSE)</f>
        <v>1</v>
      </c>
      <c r="D22">
        <v>16</v>
      </c>
      <c r="E22" t="s">
        <v>95</v>
      </c>
      <c r="F22">
        <v>100</v>
      </c>
      <c r="H22">
        <f>_xlfn.NUMBERVALUE( LEFT(Sheet9!C22,SEARCH("x",Sheet9!C22)-1),".")</f>
        <v>10</v>
      </c>
      <c r="I22" s="12">
        <f>_xlfn.NUMBERVALUE(RIGHT(Sheet9!C22,LEN(Sheet9!C22)-SEARCH("x",Sheet9!C22,1)),".")</f>
        <v>0.6</v>
      </c>
      <c r="J22" s="9">
        <f t="shared" si="0"/>
        <v>6</v>
      </c>
      <c r="K22" s="13">
        <v>10.53</v>
      </c>
      <c r="L22" s="13">
        <v>10.7</v>
      </c>
      <c r="M22" t="s">
        <v>12</v>
      </c>
      <c r="N22" t="s">
        <v>162</v>
      </c>
    </row>
    <row r="23" spans="1:14" x14ac:dyDescent="0.3">
      <c r="A23" t="s">
        <v>12</v>
      </c>
      <c r="B23">
        <f>VLOOKUP(M23,Sheet9!$I$1:$J$17,2,FALSE)</f>
        <v>8</v>
      </c>
      <c r="C23">
        <f>VLOOKUP(N23,Sheet9!$M$1:$N$2,2,FALSE)</f>
        <v>1</v>
      </c>
      <c r="D23">
        <v>16</v>
      </c>
      <c r="E23" t="s">
        <v>95</v>
      </c>
      <c r="F23">
        <v>100</v>
      </c>
      <c r="H23">
        <f>_xlfn.NUMBERVALUE( LEFT(Sheet9!C23,SEARCH("x",Sheet9!C23)-1),".")</f>
        <v>6</v>
      </c>
      <c r="I23" s="12">
        <f>_xlfn.NUMBERVALUE(RIGHT(Sheet9!C23,LEN(Sheet9!C23)-SEARCH("x",Sheet9!C23,1)),".")</f>
        <v>1.2</v>
      </c>
      <c r="J23" s="9">
        <f t="shared" si="0"/>
        <v>7.1999999999999993</v>
      </c>
      <c r="K23" s="13">
        <v>11.4</v>
      </c>
      <c r="L23" s="13">
        <v>11.64</v>
      </c>
      <c r="M23" t="s">
        <v>12</v>
      </c>
      <c r="N23" t="s">
        <v>162</v>
      </c>
    </row>
    <row r="24" spans="1:14" x14ac:dyDescent="0.3">
      <c r="A24" t="s">
        <v>12</v>
      </c>
      <c r="B24">
        <f>VLOOKUP(M24,Sheet9!$I$1:$J$17,2,FALSE)</f>
        <v>8</v>
      </c>
      <c r="C24">
        <f>VLOOKUP(N24,Sheet9!$M$1:$N$2,2,FALSE)</f>
        <v>1</v>
      </c>
      <c r="D24">
        <v>16</v>
      </c>
      <c r="E24" t="s">
        <v>95</v>
      </c>
      <c r="F24">
        <v>100</v>
      </c>
      <c r="H24">
        <f>_xlfn.NUMBERVALUE( LEFT(Sheet9!C24,SEARCH("x",Sheet9!C24)-1),".")</f>
        <v>1</v>
      </c>
      <c r="I24" s="12">
        <f>_xlfn.NUMBERVALUE(RIGHT(Sheet9!C24,LEN(Sheet9!C24)-SEARCH("x",Sheet9!C24,1)),".")</f>
        <v>10</v>
      </c>
      <c r="J24" s="9">
        <f t="shared" si="0"/>
        <v>10</v>
      </c>
      <c r="K24" s="13">
        <v>7.93</v>
      </c>
      <c r="L24" s="13">
        <v>8.1</v>
      </c>
      <c r="M24" t="s">
        <v>12</v>
      </c>
      <c r="N24" t="s">
        <v>162</v>
      </c>
    </row>
    <row r="25" spans="1:14" x14ac:dyDescent="0.3">
      <c r="A25" t="s">
        <v>12</v>
      </c>
      <c r="B25">
        <f>VLOOKUP(M25,Sheet9!$I$1:$J$17,2,FALSE)</f>
        <v>8</v>
      </c>
      <c r="C25">
        <f>VLOOKUP(N25,Sheet9!$M$1:$N$2,2,FALSE)</f>
        <v>1</v>
      </c>
      <c r="D25">
        <v>16</v>
      </c>
      <c r="E25" t="s">
        <v>95</v>
      </c>
      <c r="F25">
        <v>100</v>
      </c>
      <c r="H25">
        <f>_xlfn.NUMBERVALUE( LEFT(Sheet9!C25,SEARCH("x",Sheet9!C25)-1),".")</f>
        <v>20</v>
      </c>
      <c r="I25" s="12">
        <f>_xlfn.NUMBERVALUE(RIGHT(Sheet9!C25,LEN(Sheet9!C25)-SEARCH("x",Sheet9!C25,1)),".")</f>
        <v>0.6</v>
      </c>
      <c r="J25" s="9">
        <f t="shared" si="0"/>
        <v>12</v>
      </c>
      <c r="K25" s="13">
        <v>10.73</v>
      </c>
      <c r="L25" s="13">
        <v>10.91</v>
      </c>
      <c r="M25" t="s">
        <v>12</v>
      </c>
      <c r="N25" t="s">
        <v>162</v>
      </c>
    </row>
    <row r="26" spans="1:14" x14ac:dyDescent="0.3">
      <c r="A26" t="s">
        <v>12</v>
      </c>
      <c r="B26">
        <f>VLOOKUP(M26,Sheet9!$I$1:$J$17,2,FALSE)</f>
        <v>8</v>
      </c>
      <c r="C26">
        <f>VLOOKUP(N26,Sheet9!$M$1:$N$2,2,FALSE)</f>
        <v>1</v>
      </c>
      <c r="D26">
        <v>16</v>
      </c>
      <c r="E26" t="s">
        <v>95</v>
      </c>
      <c r="F26">
        <v>100</v>
      </c>
      <c r="H26">
        <f>_xlfn.NUMBERVALUE( LEFT(Sheet9!C26,SEARCH("x",Sheet9!C26)-1),".")</f>
        <v>12</v>
      </c>
      <c r="I26" s="12">
        <f>_xlfn.NUMBERVALUE(RIGHT(Sheet9!C26,LEN(Sheet9!C26)-SEARCH("x",Sheet9!C26,1)),".")</f>
        <v>1.2</v>
      </c>
      <c r="J26" s="9">
        <f t="shared" si="0"/>
        <v>14.399999999999999</v>
      </c>
      <c r="K26" s="13">
        <v>10.17</v>
      </c>
      <c r="L26" s="13">
        <v>10.39</v>
      </c>
      <c r="M26" t="s">
        <v>12</v>
      </c>
      <c r="N26" t="s">
        <v>162</v>
      </c>
    </row>
    <row r="27" spans="1:14" x14ac:dyDescent="0.3">
      <c r="A27" t="s">
        <v>12</v>
      </c>
      <c r="B27">
        <f>VLOOKUP(M27,Sheet9!$I$1:$J$17,2,FALSE)</f>
        <v>8</v>
      </c>
      <c r="C27">
        <f>VLOOKUP(N27,Sheet9!$M$1:$N$2,2,FALSE)</f>
        <v>1</v>
      </c>
      <c r="D27">
        <v>16</v>
      </c>
      <c r="E27" t="s">
        <v>95</v>
      </c>
      <c r="F27">
        <v>100</v>
      </c>
      <c r="H27">
        <f>_xlfn.NUMBERVALUE( LEFT(Sheet9!C27,SEARCH("x",Sheet9!C27)-1),".")</f>
        <v>32</v>
      </c>
      <c r="I27" s="12">
        <f>_xlfn.NUMBERVALUE(RIGHT(Sheet9!C27,LEN(Sheet9!C27)-SEARCH("x",Sheet9!C27,1)),".")</f>
        <v>0.6</v>
      </c>
      <c r="J27" s="9">
        <f t="shared" si="0"/>
        <v>19.2</v>
      </c>
      <c r="K27" s="13">
        <v>10</v>
      </c>
      <c r="L27" s="13">
        <v>10.16</v>
      </c>
      <c r="M27" t="s">
        <v>12</v>
      </c>
      <c r="N27" t="s">
        <v>162</v>
      </c>
    </row>
    <row r="28" spans="1:14" x14ac:dyDescent="0.3">
      <c r="A28" t="s">
        <v>12</v>
      </c>
      <c r="B28">
        <f>VLOOKUP(M28,Sheet9!$I$1:$J$17,2,FALSE)</f>
        <v>8</v>
      </c>
      <c r="C28">
        <f>VLOOKUP(N28,Sheet9!$M$1:$N$2,2,FALSE)</f>
        <v>1</v>
      </c>
      <c r="D28">
        <v>16</v>
      </c>
      <c r="E28" t="s">
        <v>95</v>
      </c>
      <c r="F28">
        <v>100</v>
      </c>
      <c r="H28">
        <f>_xlfn.NUMBERVALUE( LEFT(Sheet9!C28,SEARCH("x",Sheet9!C28)-1),".")</f>
        <v>16</v>
      </c>
      <c r="I28" s="12">
        <f>_xlfn.NUMBERVALUE(RIGHT(Sheet9!C28,LEN(Sheet9!C28)-SEARCH("x",Sheet9!C28,1)),".")</f>
        <v>1.2</v>
      </c>
      <c r="J28" s="9">
        <f t="shared" si="0"/>
        <v>19.2</v>
      </c>
      <c r="K28" s="13">
        <v>9.73</v>
      </c>
      <c r="L28" s="13">
        <v>9.94</v>
      </c>
      <c r="M28" t="s">
        <v>12</v>
      </c>
      <c r="N28" t="s">
        <v>162</v>
      </c>
    </row>
    <row r="29" spans="1:14" x14ac:dyDescent="0.3">
      <c r="A29" t="s">
        <v>12</v>
      </c>
      <c r="B29">
        <f>VLOOKUP(M29,Sheet9!$I$1:$J$17,2,FALSE)</f>
        <v>8</v>
      </c>
      <c r="C29">
        <f>VLOOKUP(N29,Sheet9!$M$1:$N$2,2,FALSE)</f>
        <v>1</v>
      </c>
      <c r="D29">
        <v>16</v>
      </c>
      <c r="E29" t="s">
        <v>95</v>
      </c>
      <c r="F29">
        <v>120</v>
      </c>
      <c r="H29">
        <f>_xlfn.NUMBERVALUE( LEFT(Sheet9!C29,SEARCH("x",Sheet9!C29)-1),".")</f>
        <v>2</v>
      </c>
      <c r="I29" s="12">
        <f>_xlfn.NUMBERVALUE(RIGHT(Sheet9!C29,LEN(Sheet9!C29)-SEARCH("x",Sheet9!C29,1)),".")</f>
        <v>1</v>
      </c>
      <c r="J29" s="9">
        <f t="shared" si="0"/>
        <v>2</v>
      </c>
      <c r="K29" s="13">
        <v>14.89</v>
      </c>
      <c r="L29" s="13">
        <v>15.07</v>
      </c>
      <c r="M29" t="s">
        <v>12</v>
      </c>
      <c r="N29" t="s">
        <v>162</v>
      </c>
    </row>
    <row r="30" spans="1:14" x14ac:dyDescent="0.3">
      <c r="A30" t="s">
        <v>12</v>
      </c>
      <c r="B30">
        <f>VLOOKUP(M30,Sheet9!$I$1:$J$17,2,FALSE)</f>
        <v>8</v>
      </c>
      <c r="C30">
        <f>VLOOKUP(N30,Sheet9!$M$1:$N$2,2,FALSE)</f>
        <v>1</v>
      </c>
      <c r="D30">
        <v>16</v>
      </c>
      <c r="E30" t="s">
        <v>95</v>
      </c>
      <c r="F30">
        <v>120</v>
      </c>
      <c r="H30">
        <f>_xlfn.NUMBERVALUE( LEFT(Sheet9!C30,SEARCH("x",Sheet9!C30)-1),".")</f>
        <v>1</v>
      </c>
      <c r="I30" s="12">
        <f>_xlfn.NUMBERVALUE(RIGHT(Sheet9!C30,LEN(Sheet9!C30)-SEARCH("x",Sheet9!C30,1)),".")</f>
        <v>5</v>
      </c>
      <c r="J30" s="9">
        <f t="shared" si="0"/>
        <v>5</v>
      </c>
      <c r="K30" s="13">
        <v>13.36</v>
      </c>
      <c r="L30" s="13">
        <v>13.52</v>
      </c>
      <c r="M30" t="s">
        <v>12</v>
      </c>
      <c r="N30" t="s">
        <v>162</v>
      </c>
    </row>
    <row r="31" spans="1:14" x14ac:dyDescent="0.3">
      <c r="A31" t="s">
        <v>12</v>
      </c>
      <c r="B31">
        <f>VLOOKUP(M31,Sheet9!$I$1:$J$17,2,FALSE)</f>
        <v>8</v>
      </c>
      <c r="C31">
        <f>VLOOKUP(N31,Sheet9!$M$1:$N$2,2,FALSE)</f>
        <v>1</v>
      </c>
      <c r="D31">
        <v>16</v>
      </c>
      <c r="E31" t="s">
        <v>95</v>
      </c>
      <c r="F31">
        <v>120</v>
      </c>
      <c r="H31">
        <f>_xlfn.NUMBERVALUE( LEFT(Sheet9!C31,SEARCH("x",Sheet9!C31)-1),".")</f>
        <v>10</v>
      </c>
      <c r="I31" s="12">
        <f>_xlfn.NUMBERVALUE(RIGHT(Sheet9!C31,LEN(Sheet9!C31)-SEARCH("x",Sheet9!C31,1)),".")</f>
        <v>0.6</v>
      </c>
      <c r="J31" s="9">
        <f t="shared" si="0"/>
        <v>6</v>
      </c>
      <c r="K31" s="13">
        <v>17.690000000000001</v>
      </c>
      <c r="L31" s="13">
        <v>17.84</v>
      </c>
      <c r="M31" t="s">
        <v>12</v>
      </c>
      <c r="N31" t="s">
        <v>162</v>
      </c>
    </row>
    <row r="32" spans="1:14" x14ac:dyDescent="0.3">
      <c r="A32" t="s">
        <v>12</v>
      </c>
      <c r="B32">
        <f>VLOOKUP(M32,Sheet9!$I$1:$J$17,2,FALSE)</f>
        <v>8</v>
      </c>
      <c r="C32">
        <f>VLOOKUP(N32,Sheet9!$M$1:$N$2,2,FALSE)</f>
        <v>1</v>
      </c>
      <c r="D32">
        <v>16</v>
      </c>
      <c r="E32" t="s">
        <v>95</v>
      </c>
      <c r="F32">
        <v>120</v>
      </c>
      <c r="H32">
        <f>_xlfn.NUMBERVALUE( LEFT(Sheet9!C32,SEARCH("x",Sheet9!C32)-1),".")</f>
        <v>6</v>
      </c>
      <c r="I32" s="12">
        <f>_xlfn.NUMBERVALUE(RIGHT(Sheet9!C32,LEN(Sheet9!C32)-SEARCH("x",Sheet9!C32,1)),".")</f>
        <v>1.2</v>
      </c>
      <c r="J32" s="9">
        <f t="shared" si="0"/>
        <v>7.1999999999999993</v>
      </c>
      <c r="K32" s="13">
        <v>19.21</v>
      </c>
      <c r="L32" s="13">
        <v>19.43</v>
      </c>
      <c r="M32" t="s">
        <v>12</v>
      </c>
      <c r="N32" t="s">
        <v>162</v>
      </c>
    </row>
    <row r="33" spans="1:14" x14ac:dyDescent="0.3">
      <c r="A33" t="s">
        <v>12</v>
      </c>
      <c r="B33">
        <f>VLOOKUP(M33,Sheet9!$I$1:$J$17,2,FALSE)</f>
        <v>8</v>
      </c>
      <c r="C33">
        <f>VLOOKUP(N33,Sheet9!$M$1:$N$2,2,FALSE)</f>
        <v>1</v>
      </c>
      <c r="D33">
        <v>16</v>
      </c>
      <c r="E33" t="s">
        <v>95</v>
      </c>
      <c r="F33">
        <v>120</v>
      </c>
      <c r="H33">
        <f>_xlfn.NUMBERVALUE( LEFT(Sheet9!C33,SEARCH("x",Sheet9!C33)-1),".")</f>
        <v>1</v>
      </c>
      <c r="I33" s="12">
        <f>_xlfn.NUMBERVALUE(RIGHT(Sheet9!C33,LEN(Sheet9!C33)-SEARCH("x",Sheet9!C33,1)),".")</f>
        <v>10</v>
      </c>
      <c r="J33" s="9">
        <f t="shared" si="0"/>
        <v>10</v>
      </c>
      <c r="K33" s="13">
        <v>13.36</v>
      </c>
      <c r="L33" s="13">
        <v>13.52</v>
      </c>
      <c r="M33" t="s">
        <v>12</v>
      </c>
      <c r="N33" t="s">
        <v>162</v>
      </c>
    </row>
    <row r="34" spans="1:14" x14ac:dyDescent="0.3">
      <c r="A34" t="s">
        <v>12</v>
      </c>
      <c r="B34">
        <f>VLOOKUP(M34,Sheet9!$I$1:$J$17,2,FALSE)</f>
        <v>8</v>
      </c>
      <c r="C34">
        <f>VLOOKUP(N34,Sheet9!$M$1:$N$2,2,FALSE)</f>
        <v>1</v>
      </c>
      <c r="D34">
        <v>16</v>
      </c>
      <c r="E34" t="s">
        <v>95</v>
      </c>
      <c r="F34">
        <v>120</v>
      </c>
      <c r="H34">
        <f>_xlfn.NUMBERVALUE( LEFT(Sheet9!C34,SEARCH("x",Sheet9!C34)-1),".")</f>
        <v>20</v>
      </c>
      <c r="I34" s="12">
        <f>_xlfn.NUMBERVALUE(RIGHT(Sheet9!C34,LEN(Sheet9!C34)-SEARCH("x",Sheet9!C34,1)),".")</f>
        <v>0.6</v>
      </c>
      <c r="J34" s="9">
        <f t="shared" si="0"/>
        <v>12</v>
      </c>
      <c r="K34" s="13">
        <v>18.03</v>
      </c>
      <c r="L34" s="13">
        <v>18.18</v>
      </c>
      <c r="M34" t="s">
        <v>12</v>
      </c>
      <c r="N34" t="s">
        <v>162</v>
      </c>
    </row>
    <row r="35" spans="1:14" x14ac:dyDescent="0.3">
      <c r="A35" t="s">
        <v>12</v>
      </c>
      <c r="B35">
        <f>VLOOKUP(M35,Sheet9!$I$1:$J$17,2,FALSE)</f>
        <v>8</v>
      </c>
      <c r="C35">
        <f>VLOOKUP(N35,Sheet9!$M$1:$N$2,2,FALSE)</f>
        <v>1</v>
      </c>
      <c r="D35">
        <v>16</v>
      </c>
      <c r="E35" t="s">
        <v>95</v>
      </c>
      <c r="F35">
        <v>120</v>
      </c>
      <c r="H35">
        <f>_xlfn.NUMBERVALUE( LEFT(Sheet9!C35,SEARCH("x",Sheet9!C35)-1),".")</f>
        <v>12</v>
      </c>
      <c r="I35" s="12">
        <f>_xlfn.NUMBERVALUE(RIGHT(Sheet9!C35,LEN(Sheet9!C35)-SEARCH("x",Sheet9!C35,1)),".")</f>
        <v>1.2</v>
      </c>
      <c r="J35" s="9">
        <f t="shared" si="0"/>
        <v>14.399999999999999</v>
      </c>
      <c r="K35" s="13">
        <v>17.14</v>
      </c>
      <c r="L35" s="13">
        <v>17.34</v>
      </c>
      <c r="M35" t="s">
        <v>12</v>
      </c>
      <c r="N35" t="s">
        <v>162</v>
      </c>
    </row>
    <row r="36" spans="1:14" x14ac:dyDescent="0.3">
      <c r="A36" t="s">
        <v>12</v>
      </c>
      <c r="B36">
        <f>VLOOKUP(M36,Sheet9!$I$1:$J$17,2,FALSE)</f>
        <v>8</v>
      </c>
      <c r="C36">
        <f>VLOOKUP(N36,Sheet9!$M$1:$N$2,2,FALSE)</f>
        <v>1</v>
      </c>
      <c r="D36">
        <v>16</v>
      </c>
      <c r="E36" t="s">
        <v>95</v>
      </c>
      <c r="F36">
        <v>120</v>
      </c>
      <c r="H36">
        <f>_xlfn.NUMBERVALUE( LEFT(Sheet9!C36,SEARCH("x",Sheet9!C36)-1),".")</f>
        <v>32</v>
      </c>
      <c r="I36" s="12">
        <f>_xlfn.NUMBERVALUE(RIGHT(Sheet9!C36,LEN(Sheet9!C36)-SEARCH("x",Sheet9!C36,1)),".")</f>
        <v>0.6</v>
      </c>
      <c r="J36" s="9">
        <f t="shared" si="0"/>
        <v>19.2</v>
      </c>
      <c r="K36" s="13">
        <v>16.8</v>
      </c>
      <c r="L36" s="13">
        <v>16.940000000000001</v>
      </c>
      <c r="M36" t="s">
        <v>12</v>
      </c>
      <c r="N36" t="s">
        <v>162</v>
      </c>
    </row>
    <row r="37" spans="1:14" x14ac:dyDescent="0.3">
      <c r="A37" t="s">
        <v>12</v>
      </c>
      <c r="B37">
        <f>VLOOKUP(M37,Sheet9!$I$1:$J$17,2,FALSE)</f>
        <v>8</v>
      </c>
      <c r="C37">
        <f>VLOOKUP(N37,Sheet9!$M$1:$N$2,2,FALSE)</f>
        <v>1</v>
      </c>
      <c r="D37">
        <v>16</v>
      </c>
      <c r="E37" t="s">
        <v>95</v>
      </c>
      <c r="F37">
        <v>120</v>
      </c>
      <c r="H37">
        <f>_xlfn.NUMBERVALUE( LEFT(Sheet9!C37,SEARCH("x",Sheet9!C37)-1),".")</f>
        <v>16</v>
      </c>
      <c r="I37" s="12">
        <f>_xlfn.NUMBERVALUE(RIGHT(Sheet9!C37,LEN(Sheet9!C37)-SEARCH("x",Sheet9!C37,1)),".")</f>
        <v>1.2</v>
      </c>
      <c r="J37" s="9">
        <f t="shared" si="0"/>
        <v>19.2</v>
      </c>
      <c r="K37" s="13">
        <v>16.399999999999999</v>
      </c>
      <c r="L37" s="13">
        <v>16.59</v>
      </c>
      <c r="M37" t="s">
        <v>12</v>
      </c>
      <c r="N37" t="s">
        <v>162</v>
      </c>
    </row>
    <row r="38" spans="1:14" x14ac:dyDescent="0.3">
      <c r="A38" t="s">
        <v>12</v>
      </c>
      <c r="B38">
        <f>VLOOKUP(M38,Sheet9!$I$1:$J$17,2,FALSE)</f>
        <v>8</v>
      </c>
      <c r="C38">
        <f>VLOOKUP(N38,Sheet9!$M$1:$N$2,2,FALSE)</f>
        <v>1</v>
      </c>
      <c r="D38">
        <v>16</v>
      </c>
      <c r="E38" t="s">
        <v>95</v>
      </c>
      <c r="F38">
        <v>140</v>
      </c>
      <c r="H38">
        <f>_xlfn.NUMBERVALUE( LEFT(Sheet9!C38,SEARCH("x",Sheet9!C38)-1),".")</f>
        <v>2</v>
      </c>
      <c r="I38" s="12">
        <f>_xlfn.NUMBERVALUE(RIGHT(Sheet9!C38,LEN(Sheet9!C38)-SEARCH("x",Sheet9!C38,1)),".")</f>
        <v>1</v>
      </c>
      <c r="J38" s="9">
        <f t="shared" si="0"/>
        <v>2</v>
      </c>
      <c r="K38" s="13">
        <v>21.22</v>
      </c>
      <c r="L38" s="13">
        <v>21.38</v>
      </c>
      <c r="M38" t="s">
        <v>12</v>
      </c>
      <c r="N38" t="s">
        <v>162</v>
      </c>
    </row>
    <row r="39" spans="1:14" x14ac:dyDescent="0.3">
      <c r="A39" t="s">
        <v>12</v>
      </c>
      <c r="B39">
        <f>VLOOKUP(M39,Sheet9!$I$1:$J$17,2,FALSE)</f>
        <v>8</v>
      </c>
      <c r="C39">
        <f>VLOOKUP(N39,Sheet9!$M$1:$N$2,2,FALSE)</f>
        <v>1</v>
      </c>
      <c r="D39">
        <v>16</v>
      </c>
      <c r="E39" t="s">
        <v>95</v>
      </c>
      <c r="F39">
        <v>140</v>
      </c>
      <c r="H39">
        <f>_xlfn.NUMBERVALUE( LEFT(Sheet9!C39,SEARCH("x",Sheet9!C39)-1),".")</f>
        <v>1</v>
      </c>
      <c r="I39" s="12">
        <f>_xlfn.NUMBERVALUE(RIGHT(Sheet9!C39,LEN(Sheet9!C39)-SEARCH("x",Sheet9!C39,1)),".")</f>
        <v>5</v>
      </c>
      <c r="J39" s="9">
        <f t="shared" si="0"/>
        <v>5</v>
      </c>
      <c r="K39" s="13">
        <v>19.04</v>
      </c>
      <c r="L39" s="13">
        <v>19.18</v>
      </c>
      <c r="M39" t="s">
        <v>12</v>
      </c>
      <c r="N39" t="s">
        <v>162</v>
      </c>
    </row>
    <row r="40" spans="1:14" x14ac:dyDescent="0.3">
      <c r="A40" t="s">
        <v>12</v>
      </c>
      <c r="B40">
        <f>VLOOKUP(M40,Sheet9!$I$1:$J$17,2,FALSE)</f>
        <v>8</v>
      </c>
      <c r="C40">
        <f>VLOOKUP(N40,Sheet9!$M$1:$N$2,2,FALSE)</f>
        <v>1</v>
      </c>
      <c r="D40">
        <v>16</v>
      </c>
      <c r="E40" t="s">
        <v>95</v>
      </c>
      <c r="F40">
        <v>140</v>
      </c>
      <c r="H40">
        <f>_xlfn.NUMBERVALUE( LEFT(Sheet9!C40,SEARCH("x",Sheet9!C40)-1),".")</f>
        <v>10</v>
      </c>
      <c r="I40" s="12">
        <f>_xlfn.NUMBERVALUE(RIGHT(Sheet9!C40,LEN(Sheet9!C40)-SEARCH("x",Sheet9!C40,1)),".")</f>
        <v>0.6</v>
      </c>
      <c r="J40" s="9">
        <f t="shared" si="0"/>
        <v>6</v>
      </c>
      <c r="K40" s="13">
        <v>25.23</v>
      </c>
      <c r="L40" s="13">
        <v>25.35</v>
      </c>
      <c r="M40" t="s">
        <v>12</v>
      </c>
      <c r="N40" t="s">
        <v>162</v>
      </c>
    </row>
    <row r="41" spans="1:14" x14ac:dyDescent="0.3">
      <c r="A41" t="s">
        <v>12</v>
      </c>
      <c r="B41">
        <f>VLOOKUP(M41,Sheet9!$I$1:$J$17,2,FALSE)</f>
        <v>8</v>
      </c>
      <c r="C41">
        <f>VLOOKUP(N41,Sheet9!$M$1:$N$2,2,FALSE)</f>
        <v>1</v>
      </c>
      <c r="D41">
        <v>16</v>
      </c>
      <c r="E41" t="s">
        <v>95</v>
      </c>
      <c r="F41">
        <v>140</v>
      </c>
      <c r="H41">
        <f>_xlfn.NUMBERVALUE( LEFT(Sheet9!C41,SEARCH("x",Sheet9!C41)-1),".")</f>
        <v>6</v>
      </c>
      <c r="I41" s="12">
        <f>_xlfn.NUMBERVALUE(RIGHT(Sheet9!C41,LEN(Sheet9!C41)-SEARCH("x",Sheet9!C41,1)),".")</f>
        <v>1.2</v>
      </c>
      <c r="J41" s="9">
        <f t="shared" si="0"/>
        <v>7.1999999999999993</v>
      </c>
      <c r="K41" s="13">
        <v>27.37</v>
      </c>
      <c r="L41" s="13">
        <v>27.57</v>
      </c>
      <c r="M41" t="s">
        <v>12</v>
      </c>
      <c r="N41" t="s">
        <v>162</v>
      </c>
    </row>
    <row r="42" spans="1:14" x14ac:dyDescent="0.3">
      <c r="A42" t="s">
        <v>12</v>
      </c>
      <c r="B42">
        <f>VLOOKUP(M42,Sheet9!$I$1:$J$17,2,FALSE)</f>
        <v>8</v>
      </c>
      <c r="C42">
        <f>VLOOKUP(N42,Sheet9!$M$1:$N$2,2,FALSE)</f>
        <v>1</v>
      </c>
      <c r="D42">
        <v>16</v>
      </c>
      <c r="E42" t="s">
        <v>95</v>
      </c>
      <c r="F42">
        <v>140</v>
      </c>
      <c r="H42">
        <f>_xlfn.NUMBERVALUE( LEFT(Sheet9!C42,SEARCH("x",Sheet9!C42)-1),".")</f>
        <v>1</v>
      </c>
      <c r="I42" s="12">
        <f>_xlfn.NUMBERVALUE(RIGHT(Sheet9!C42,LEN(Sheet9!C42)-SEARCH("x",Sheet9!C42,1)),".")</f>
        <v>10</v>
      </c>
      <c r="J42" s="9">
        <f t="shared" si="0"/>
        <v>10</v>
      </c>
      <c r="K42" s="13">
        <v>19.04</v>
      </c>
      <c r="L42" s="13">
        <v>19.18</v>
      </c>
      <c r="M42" t="s">
        <v>12</v>
      </c>
      <c r="N42" t="s">
        <v>162</v>
      </c>
    </row>
    <row r="43" spans="1:14" x14ac:dyDescent="0.3">
      <c r="A43" t="s">
        <v>12</v>
      </c>
      <c r="B43">
        <f>VLOOKUP(M43,Sheet9!$I$1:$J$17,2,FALSE)</f>
        <v>8</v>
      </c>
      <c r="C43">
        <f>VLOOKUP(N43,Sheet9!$M$1:$N$2,2,FALSE)</f>
        <v>1</v>
      </c>
      <c r="D43">
        <v>16</v>
      </c>
      <c r="E43" t="s">
        <v>95</v>
      </c>
      <c r="F43">
        <v>140</v>
      </c>
      <c r="H43">
        <f>_xlfn.NUMBERVALUE( LEFT(Sheet9!C43,SEARCH("x",Sheet9!C43)-1),".")</f>
        <v>20</v>
      </c>
      <c r="I43" s="12">
        <f>_xlfn.NUMBERVALUE(RIGHT(Sheet9!C43,LEN(Sheet9!C43)-SEARCH("x",Sheet9!C43,1)),".")</f>
        <v>0.6</v>
      </c>
      <c r="J43" s="9">
        <f t="shared" si="0"/>
        <v>12</v>
      </c>
      <c r="K43" s="13">
        <v>25.72</v>
      </c>
      <c r="L43" s="13">
        <v>25.83</v>
      </c>
      <c r="M43" t="s">
        <v>12</v>
      </c>
      <c r="N43" t="s">
        <v>162</v>
      </c>
    </row>
    <row r="44" spans="1:14" x14ac:dyDescent="0.3">
      <c r="A44" t="s">
        <v>12</v>
      </c>
      <c r="B44">
        <f>VLOOKUP(M44,Sheet9!$I$1:$J$17,2,FALSE)</f>
        <v>8</v>
      </c>
      <c r="C44">
        <f>VLOOKUP(N44,Sheet9!$M$1:$N$2,2,FALSE)</f>
        <v>1</v>
      </c>
      <c r="D44">
        <v>16</v>
      </c>
      <c r="E44" t="s">
        <v>95</v>
      </c>
      <c r="F44">
        <v>140</v>
      </c>
      <c r="H44">
        <f>_xlfn.NUMBERVALUE( LEFT(Sheet9!C44,SEARCH("x",Sheet9!C44)-1),".")</f>
        <v>12</v>
      </c>
      <c r="I44" s="12">
        <f>_xlfn.NUMBERVALUE(RIGHT(Sheet9!C44,LEN(Sheet9!C44)-SEARCH("x",Sheet9!C44,1)),".")</f>
        <v>1.2</v>
      </c>
      <c r="J44" s="9">
        <f t="shared" si="0"/>
        <v>14.399999999999999</v>
      </c>
      <c r="K44" s="13">
        <v>24.42</v>
      </c>
      <c r="L44" s="13">
        <v>24.6</v>
      </c>
      <c r="M44" t="s">
        <v>12</v>
      </c>
      <c r="N44" t="s">
        <v>162</v>
      </c>
    </row>
    <row r="45" spans="1:14" x14ac:dyDescent="0.3">
      <c r="A45" t="s">
        <v>12</v>
      </c>
      <c r="B45">
        <f>VLOOKUP(M45,Sheet9!$I$1:$J$17,2,FALSE)</f>
        <v>8</v>
      </c>
      <c r="C45">
        <f>VLOOKUP(N45,Sheet9!$M$1:$N$2,2,FALSE)</f>
        <v>1</v>
      </c>
      <c r="D45">
        <v>16</v>
      </c>
      <c r="E45" t="s">
        <v>95</v>
      </c>
      <c r="F45">
        <v>140</v>
      </c>
      <c r="H45">
        <f>_xlfn.NUMBERVALUE( LEFT(Sheet9!C45,SEARCH("x",Sheet9!C45)-1),".")</f>
        <v>32</v>
      </c>
      <c r="I45" s="12">
        <f>_xlfn.NUMBERVALUE(RIGHT(Sheet9!C45,LEN(Sheet9!C45)-SEARCH("x",Sheet9!C45,1)),".")</f>
        <v>0.6</v>
      </c>
      <c r="J45" s="9">
        <f t="shared" si="0"/>
        <v>19.2</v>
      </c>
      <c r="K45" s="13">
        <v>23.96</v>
      </c>
      <c r="L45" s="13">
        <v>24.07</v>
      </c>
      <c r="M45" t="s">
        <v>12</v>
      </c>
      <c r="N45" t="s">
        <v>162</v>
      </c>
    </row>
    <row r="46" spans="1:14" x14ac:dyDescent="0.3">
      <c r="A46" t="s">
        <v>12</v>
      </c>
      <c r="B46">
        <f>VLOOKUP(M46,Sheet9!$I$1:$J$17,2,FALSE)</f>
        <v>8</v>
      </c>
      <c r="C46">
        <f>VLOOKUP(N46,Sheet9!$M$1:$N$2,2,FALSE)</f>
        <v>1</v>
      </c>
      <c r="D46">
        <v>16</v>
      </c>
      <c r="E46" t="s">
        <v>95</v>
      </c>
      <c r="F46">
        <v>140</v>
      </c>
      <c r="H46">
        <f>_xlfn.NUMBERVALUE( LEFT(Sheet9!C46,SEARCH("x",Sheet9!C46)-1),".")</f>
        <v>16</v>
      </c>
      <c r="I46" s="12">
        <f>_xlfn.NUMBERVALUE(RIGHT(Sheet9!C46,LEN(Sheet9!C46)-SEARCH("x",Sheet9!C46,1)),".")</f>
        <v>1.2</v>
      </c>
      <c r="J46" s="9">
        <f t="shared" si="0"/>
        <v>19.2</v>
      </c>
      <c r="K46" s="13">
        <v>23.37</v>
      </c>
      <c r="L46" s="13">
        <v>23.54</v>
      </c>
      <c r="M46" t="s">
        <v>12</v>
      </c>
      <c r="N46" t="s">
        <v>162</v>
      </c>
    </row>
    <row r="47" spans="1:14" x14ac:dyDescent="0.3">
      <c r="A47" t="s">
        <v>12</v>
      </c>
      <c r="B47">
        <f>VLOOKUP(M47,Sheet9!$I$1:$J$17,2,FALSE)</f>
        <v>8</v>
      </c>
      <c r="C47">
        <f>VLOOKUP(N47,Sheet9!$M$1:$N$2,2,FALSE)</f>
        <v>1</v>
      </c>
      <c r="D47">
        <v>16</v>
      </c>
      <c r="E47" t="s">
        <v>96</v>
      </c>
      <c r="F47">
        <v>70</v>
      </c>
      <c r="H47">
        <v>2</v>
      </c>
      <c r="I47">
        <v>1</v>
      </c>
      <c r="J47">
        <v>2</v>
      </c>
      <c r="K47" s="13">
        <v>2.54</v>
      </c>
      <c r="L47" s="13">
        <v>2.5499999999999998</v>
      </c>
      <c r="M47" t="s">
        <v>12</v>
      </c>
      <c r="N47" t="s">
        <v>162</v>
      </c>
    </row>
    <row r="48" spans="1:14" x14ac:dyDescent="0.3">
      <c r="A48" t="s">
        <v>12</v>
      </c>
      <c r="B48">
        <f>VLOOKUP(M48,Sheet9!$I$1:$J$17,2,FALSE)</f>
        <v>8</v>
      </c>
      <c r="C48">
        <f>VLOOKUP(N48,Sheet9!$M$1:$N$2,2,FALSE)</f>
        <v>1</v>
      </c>
      <c r="D48">
        <v>16</v>
      </c>
      <c r="E48" t="s">
        <v>96</v>
      </c>
      <c r="F48">
        <v>70</v>
      </c>
      <c r="H48">
        <v>1</v>
      </c>
      <c r="I48">
        <v>5</v>
      </c>
      <c r="J48">
        <v>5</v>
      </c>
      <c r="K48" s="13">
        <v>2.2799999999999998</v>
      </c>
      <c r="L48" s="13">
        <v>2.2799999999999998</v>
      </c>
      <c r="M48" t="s">
        <v>12</v>
      </c>
      <c r="N48" t="s">
        <v>162</v>
      </c>
    </row>
    <row r="49" spans="1:14" x14ac:dyDescent="0.3">
      <c r="A49" t="s">
        <v>12</v>
      </c>
      <c r="B49">
        <f>VLOOKUP(M49,Sheet9!$I$1:$J$17,2,FALSE)</f>
        <v>8</v>
      </c>
      <c r="C49">
        <f>VLOOKUP(N49,Sheet9!$M$1:$N$2,2,FALSE)</f>
        <v>1</v>
      </c>
      <c r="D49">
        <v>16</v>
      </c>
      <c r="E49" t="s">
        <v>96</v>
      </c>
      <c r="F49">
        <v>70</v>
      </c>
      <c r="H49">
        <v>10</v>
      </c>
      <c r="I49">
        <v>0.6</v>
      </c>
      <c r="J49">
        <v>6</v>
      </c>
      <c r="K49" s="13">
        <v>3.02</v>
      </c>
      <c r="L49" s="13">
        <v>3.01</v>
      </c>
      <c r="M49" t="s">
        <v>12</v>
      </c>
      <c r="N49" t="s">
        <v>162</v>
      </c>
    </row>
    <row r="50" spans="1:14" x14ac:dyDescent="0.3">
      <c r="A50" t="s">
        <v>12</v>
      </c>
      <c r="B50">
        <f>VLOOKUP(M50,Sheet9!$I$1:$J$17,2,FALSE)</f>
        <v>8</v>
      </c>
      <c r="C50">
        <f>VLOOKUP(N50,Sheet9!$M$1:$N$2,2,FALSE)</f>
        <v>1</v>
      </c>
      <c r="D50">
        <v>16</v>
      </c>
      <c r="E50" t="s">
        <v>96</v>
      </c>
      <c r="F50">
        <v>70</v>
      </c>
      <c r="H50">
        <v>6</v>
      </c>
      <c r="I50">
        <v>1.2</v>
      </c>
      <c r="J50">
        <v>7.2</v>
      </c>
      <c r="K50" s="13">
        <v>3.28</v>
      </c>
      <c r="L50" s="13">
        <v>3.28</v>
      </c>
      <c r="M50" t="s">
        <v>12</v>
      </c>
      <c r="N50" t="s">
        <v>162</v>
      </c>
    </row>
    <row r="51" spans="1:14" x14ac:dyDescent="0.3">
      <c r="A51" t="s">
        <v>12</v>
      </c>
      <c r="B51">
        <f>VLOOKUP(M51,Sheet9!$I$1:$J$17,2,FALSE)</f>
        <v>8</v>
      </c>
      <c r="C51">
        <f>VLOOKUP(N51,Sheet9!$M$1:$N$2,2,FALSE)</f>
        <v>1</v>
      </c>
      <c r="D51">
        <v>16</v>
      </c>
      <c r="E51" t="s">
        <v>96</v>
      </c>
      <c r="F51">
        <v>70</v>
      </c>
      <c r="H51">
        <v>1</v>
      </c>
      <c r="I51">
        <v>10</v>
      </c>
      <c r="J51">
        <v>10</v>
      </c>
      <c r="K51" s="13">
        <v>2.2799999999999998</v>
      </c>
      <c r="L51" s="13">
        <v>2.2799999999999998</v>
      </c>
      <c r="M51" t="s">
        <v>12</v>
      </c>
      <c r="N51" t="s">
        <v>162</v>
      </c>
    </row>
    <row r="52" spans="1:14" x14ac:dyDescent="0.3">
      <c r="A52" t="s">
        <v>12</v>
      </c>
      <c r="B52">
        <f>VLOOKUP(M52,Sheet9!$I$1:$J$17,2,FALSE)</f>
        <v>8</v>
      </c>
      <c r="C52">
        <f>VLOOKUP(N52,Sheet9!$M$1:$N$2,2,FALSE)</f>
        <v>1</v>
      </c>
      <c r="D52">
        <v>16</v>
      </c>
      <c r="E52" t="s">
        <v>96</v>
      </c>
      <c r="F52">
        <v>70</v>
      </c>
      <c r="H52">
        <v>20</v>
      </c>
      <c r="I52">
        <v>0.6</v>
      </c>
      <c r="J52">
        <v>12</v>
      </c>
      <c r="K52" s="13">
        <v>3.08</v>
      </c>
      <c r="L52" s="13">
        <v>3.07</v>
      </c>
      <c r="M52" t="s">
        <v>12</v>
      </c>
      <c r="N52" t="s">
        <v>162</v>
      </c>
    </row>
    <row r="53" spans="1:14" x14ac:dyDescent="0.3">
      <c r="A53" t="s">
        <v>12</v>
      </c>
      <c r="B53">
        <f>VLOOKUP(M53,Sheet9!$I$1:$J$17,2,FALSE)</f>
        <v>8</v>
      </c>
      <c r="C53">
        <f>VLOOKUP(N53,Sheet9!$M$1:$N$2,2,FALSE)</f>
        <v>1</v>
      </c>
      <c r="D53">
        <v>16</v>
      </c>
      <c r="E53" t="s">
        <v>96</v>
      </c>
      <c r="F53">
        <v>70</v>
      </c>
      <c r="H53">
        <v>12</v>
      </c>
      <c r="I53">
        <v>1.2</v>
      </c>
      <c r="J53">
        <v>14.4</v>
      </c>
      <c r="K53" s="13">
        <v>2.93</v>
      </c>
      <c r="L53" s="13">
        <v>2.93</v>
      </c>
      <c r="M53" t="s">
        <v>12</v>
      </c>
      <c r="N53" t="s">
        <v>162</v>
      </c>
    </row>
    <row r="54" spans="1:14" x14ac:dyDescent="0.3">
      <c r="A54" t="s">
        <v>12</v>
      </c>
      <c r="B54">
        <f>VLOOKUP(M54,Sheet9!$I$1:$J$17,2,FALSE)</f>
        <v>8</v>
      </c>
      <c r="C54">
        <f>VLOOKUP(N54,Sheet9!$M$1:$N$2,2,FALSE)</f>
        <v>1</v>
      </c>
      <c r="D54">
        <v>16</v>
      </c>
      <c r="E54" t="s">
        <v>96</v>
      </c>
      <c r="F54">
        <v>70</v>
      </c>
      <c r="H54">
        <v>32</v>
      </c>
      <c r="I54">
        <v>0.6</v>
      </c>
      <c r="J54">
        <v>19.2</v>
      </c>
      <c r="K54" s="13">
        <v>2.87</v>
      </c>
      <c r="L54" s="13">
        <v>2.86</v>
      </c>
      <c r="M54" t="s">
        <v>12</v>
      </c>
      <c r="N54" t="s">
        <v>162</v>
      </c>
    </row>
    <row r="55" spans="1:14" x14ac:dyDescent="0.3">
      <c r="A55" t="s">
        <v>12</v>
      </c>
      <c r="B55">
        <f>VLOOKUP(M55,Sheet9!$I$1:$J$17,2,FALSE)</f>
        <v>8</v>
      </c>
      <c r="C55">
        <f>VLOOKUP(N55,Sheet9!$M$1:$N$2,2,FALSE)</f>
        <v>1</v>
      </c>
      <c r="D55">
        <v>16</v>
      </c>
      <c r="E55" t="s">
        <v>96</v>
      </c>
      <c r="F55">
        <v>70</v>
      </c>
      <c r="H55">
        <v>16</v>
      </c>
      <c r="I55">
        <v>1.2</v>
      </c>
      <c r="J55">
        <v>19.2</v>
      </c>
      <c r="K55" s="13">
        <v>2.8</v>
      </c>
      <c r="L55" s="13">
        <v>2.8</v>
      </c>
      <c r="M55" t="s">
        <v>12</v>
      </c>
      <c r="N55" t="s">
        <v>162</v>
      </c>
    </row>
    <row r="56" spans="1:14" x14ac:dyDescent="0.3">
      <c r="A56" t="s">
        <v>12</v>
      </c>
      <c r="B56">
        <f>VLOOKUP(M56,Sheet9!$I$1:$J$17,2,FALSE)</f>
        <v>8</v>
      </c>
      <c r="C56">
        <f>VLOOKUP(N56,Sheet9!$M$1:$N$2,2,FALSE)</f>
        <v>1</v>
      </c>
      <c r="D56">
        <v>16</v>
      </c>
      <c r="E56" t="s">
        <v>96</v>
      </c>
      <c r="F56">
        <v>80</v>
      </c>
      <c r="H56">
        <v>2</v>
      </c>
      <c r="I56">
        <v>1</v>
      </c>
      <c r="J56">
        <v>2</v>
      </c>
      <c r="K56" s="13">
        <v>4.1100000000000003</v>
      </c>
      <c r="L56" s="13">
        <v>4.05</v>
      </c>
      <c r="M56" t="s">
        <v>12</v>
      </c>
      <c r="N56" t="s">
        <v>162</v>
      </c>
    </row>
    <row r="57" spans="1:14" x14ac:dyDescent="0.3">
      <c r="A57" t="s">
        <v>12</v>
      </c>
      <c r="B57">
        <f>VLOOKUP(M57,Sheet9!$I$1:$J$17,2,FALSE)</f>
        <v>8</v>
      </c>
      <c r="C57">
        <f>VLOOKUP(N57,Sheet9!$M$1:$N$2,2,FALSE)</f>
        <v>1</v>
      </c>
      <c r="D57">
        <v>16</v>
      </c>
      <c r="E57" t="s">
        <v>96</v>
      </c>
      <c r="F57">
        <v>80</v>
      </c>
      <c r="H57">
        <v>1</v>
      </c>
      <c r="I57">
        <v>5</v>
      </c>
      <c r="J57">
        <v>5</v>
      </c>
      <c r="K57" s="13">
        <v>3.69</v>
      </c>
      <c r="L57" s="13">
        <v>3.64</v>
      </c>
      <c r="M57" t="s">
        <v>12</v>
      </c>
      <c r="N57" t="s">
        <v>162</v>
      </c>
    </row>
    <row r="58" spans="1:14" x14ac:dyDescent="0.3">
      <c r="A58" t="s">
        <v>12</v>
      </c>
      <c r="B58">
        <f>VLOOKUP(M58,Sheet9!$I$1:$J$17,2,FALSE)</f>
        <v>8</v>
      </c>
      <c r="C58">
        <f>VLOOKUP(N58,Sheet9!$M$1:$N$2,2,FALSE)</f>
        <v>1</v>
      </c>
      <c r="D58">
        <v>16</v>
      </c>
      <c r="E58" t="s">
        <v>96</v>
      </c>
      <c r="F58">
        <v>80</v>
      </c>
      <c r="H58">
        <v>10</v>
      </c>
      <c r="I58">
        <v>0.6</v>
      </c>
      <c r="J58">
        <v>6</v>
      </c>
      <c r="K58" s="13">
        <v>4.91</v>
      </c>
      <c r="L58" s="13">
        <v>4.8</v>
      </c>
      <c r="M58" t="s">
        <v>12</v>
      </c>
      <c r="N58" t="s">
        <v>162</v>
      </c>
    </row>
    <row r="59" spans="1:14" x14ac:dyDescent="0.3">
      <c r="A59" t="s">
        <v>12</v>
      </c>
      <c r="B59">
        <f>VLOOKUP(M59,Sheet9!$I$1:$J$17,2,FALSE)</f>
        <v>8</v>
      </c>
      <c r="C59">
        <f>VLOOKUP(N59,Sheet9!$M$1:$N$2,2,FALSE)</f>
        <v>1</v>
      </c>
      <c r="D59">
        <v>16</v>
      </c>
      <c r="E59" t="s">
        <v>96</v>
      </c>
      <c r="F59">
        <v>80</v>
      </c>
      <c r="H59">
        <v>6</v>
      </c>
      <c r="I59">
        <v>1.2</v>
      </c>
      <c r="J59">
        <v>7.2</v>
      </c>
      <c r="K59" s="13">
        <v>5.3</v>
      </c>
      <c r="L59" s="13">
        <v>5.23</v>
      </c>
      <c r="M59" t="s">
        <v>12</v>
      </c>
      <c r="N59" t="s">
        <v>162</v>
      </c>
    </row>
    <row r="60" spans="1:14" x14ac:dyDescent="0.3">
      <c r="A60" t="s">
        <v>12</v>
      </c>
      <c r="B60">
        <f>VLOOKUP(M60,Sheet9!$I$1:$J$17,2,FALSE)</f>
        <v>8</v>
      </c>
      <c r="C60">
        <f>VLOOKUP(N60,Sheet9!$M$1:$N$2,2,FALSE)</f>
        <v>1</v>
      </c>
      <c r="D60">
        <v>16</v>
      </c>
      <c r="E60" t="s">
        <v>96</v>
      </c>
      <c r="F60">
        <v>80</v>
      </c>
      <c r="H60">
        <v>1</v>
      </c>
      <c r="I60">
        <v>10</v>
      </c>
      <c r="J60">
        <v>10</v>
      </c>
      <c r="K60" s="13">
        <v>3.69</v>
      </c>
      <c r="L60" s="13">
        <v>3.64</v>
      </c>
      <c r="M60" t="s">
        <v>12</v>
      </c>
      <c r="N60" t="s">
        <v>162</v>
      </c>
    </row>
    <row r="61" spans="1:14" x14ac:dyDescent="0.3">
      <c r="A61" t="s">
        <v>12</v>
      </c>
      <c r="B61">
        <f>VLOOKUP(M61,Sheet9!$I$1:$J$17,2,FALSE)</f>
        <v>8</v>
      </c>
      <c r="C61">
        <f>VLOOKUP(N61,Sheet9!$M$1:$N$2,2,FALSE)</f>
        <v>1</v>
      </c>
      <c r="D61">
        <v>16</v>
      </c>
      <c r="E61" t="s">
        <v>96</v>
      </c>
      <c r="F61">
        <v>80</v>
      </c>
      <c r="H61">
        <v>20</v>
      </c>
      <c r="I61">
        <v>0.6</v>
      </c>
      <c r="J61">
        <v>12</v>
      </c>
      <c r="K61" s="13">
        <v>5</v>
      </c>
      <c r="L61" s="13">
        <v>4.8899999999999997</v>
      </c>
      <c r="M61" t="s">
        <v>12</v>
      </c>
      <c r="N61" t="s">
        <v>162</v>
      </c>
    </row>
    <row r="62" spans="1:14" x14ac:dyDescent="0.3">
      <c r="A62" t="s">
        <v>12</v>
      </c>
      <c r="B62">
        <f>VLOOKUP(M62,Sheet9!$I$1:$J$17,2,FALSE)</f>
        <v>8</v>
      </c>
      <c r="C62">
        <f>VLOOKUP(N62,Sheet9!$M$1:$N$2,2,FALSE)</f>
        <v>1</v>
      </c>
      <c r="D62">
        <v>16</v>
      </c>
      <c r="E62" t="s">
        <v>96</v>
      </c>
      <c r="F62">
        <v>80</v>
      </c>
      <c r="H62">
        <v>12</v>
      </c>
      <c r="I62">
        <v>1.2</v>
      </c>
      <c r="J62">
        <v>14.4</v>
      </c>
      <c r="K62" s="13">
        <v>4.7300000000000004</v>
      </c>
      <c r="L62" s="13">
        <v>4.66</v>
      </c>
      <c r="M62" t="s">
        <v>12</v>
      </c>
      <c r="N62" t="s">
        <v>162</v>
      </c>
    </row>
    <row r="63" spans="1:14" x14ac:dyDescent="0.3">
      <c r="A63" t="s">
        <v>12</v>
      </c>
      <c r="B63">
        <f>VLOOKUP(M63,Sheet9!$I$1:$J$17,2,FALSE)</f>
        <v>8</v>
      </c>
      <c r="C63">
        <f>VLOOKUP(N63,Sheet9!$M$1:$N$2,2,FALSE)</f>
        <v>1</v>
      </c>
      <c r="D63">
        <v>16</v>
      </c>
      <c r="E63" t="s">
        <v>96</v>
      </c>
      <c r="F63">
        <v>80</v>
      </c>
      <c r="H63">
        <v>32</v>
      </c>
      <c r="I63">
        <v>0.6</v>
      </c>
      <c r="J63">
        <v>19.2</v>
      </c>
      <c r="K63" s="13">
        <v>4.66</v>
      </c>
      <c r="L63" s="13">
        <v>4.5599999999999996</v>
      </c>
      <c r="M63" t="s">
        <v>12</v>
      </c>
      <c r="N63" t="s">
        <v>162</v>
      </c>
    </row>
    <row r="64" spans="1:14" x14ac:dyDescent="0.3">
      <c r="A64" t="s">
        <v>12</v>
      </c>
      <c r="B64">
        <f>VLOOKUP(M64,Sheet9!$I$1:$J$17,2,FALSE)</f>
        <v>8</v>
      </c>
      <c r="C64">
        <f>VLOOKUP(N64,Sheet9!$M$1:$N$2,2,FALSE)</f>
        <v>1</v>
      </c>
      <c r="D64">
        <v>16</v>
      </c>
      <c r="E64" t="s">
        <v>96</v>
      </c>
      <c r="F64">
        <v>80</v>
      </c>
      <c r="H64">
        <v>16</v>
      </c>
      <c r="I64">
        <v>1.2</v>
      </c>
      <c r="J64">
        <v>19.2</v>
      </c>
      <c r="K64" s="13">
        <v>4.53</v>
      </c>
      <c r="L64" s="13">
        <v>5.26</v>
      </c>
      <c r="M64" t="s">
        <v>12</v>
      </c>
      <c r="N64" t="s">
        <v>162</v>
      </c>
    </row>
    <row r="65" spans="1:14" x14ac:dyDescent="0.3">
      <c r="A65" t="s">
        <v>12</v>
      </c>
      <c r="B65">
        <f>VLOOKUP(M65,Sheet9!$I$1:$J$17,2,FALSE)</f>
        <v>8</v>
      </c>
      <c r="C65">
        <f>VLOOKUP(N65,Sheet9!$M$1:$N$2,2,FALSE)</f>
        <v>1</v>
      </c>
      <c r="D65">
        <v>16</v>
      </c>
      <c r="E65" t="s">
        <v>96</v>
      </c>
      <c r="F65">
        <v>100</v>
      </c>
      <c r="H65">
        <v>2</v>
      </c>
      <c r="I65">
        <v>1</v>
      </c>
      <c r="J65">
        <v>2</v>
      </c>
      <c r="K65" s="13">
        <v>8.0399999999999991</v>
      </c>
      <c r="L65" s="13">
        <v>7.82</v>
      </c>
      <c r="M65" t="s">
        <v>12</v>
      </c>
      <c r="N65" t="s">
        <v>162</v>
      </c>
    </row>
    <row r="66" spans="1:14" x14ac:dyDescent="0.3">
      <c r="A66" t="s">
        <v>12</v>
      </c>
      <c r="B66">
        <f>VLOOKUP(M66,Sheet9!$I$1:$J$17,2,FALSE)</f>
        <v>8</v>
      </c>
      <c r="C66">
        <f>VLOOKUP(N66,Sheet9!$M$1:$N$2,2,FALSE)</f>
        <v>1</v>
      </c>
      <c r="D66">
        <v>16</v>
      </c>
      <c r="E66" t="s">
        <v>96</v>
      </c>
      <c r="F66">
        <v>100</v>
      </c>
      <c r="H66">
        <v>1</v>
      </c>
      <c r="I66">
        <v>5</v>
      </c>
      <c r="J66">
        <v>5</v>
      </c>
      <c r="K66" s="13">
        <v>7.21</v>
      </c>
      <c r="L66" s="13">
        <v>7.02</v>
      </c>
      <c r="M66" t="s">
        <v>12</v>
      </c>
      <c r="N66" t="s">
        <v>162</v>
      </c>
    </row>
    <row r="67" spans="1:14" x14ac:dyDescent="0.3">
      <c r="A67" t="s">
        <v>12</v>
      </c>
      <c r="B67">
        <f>VLOOKUP(M67,Sheet9!$I$1:$J$17,2,FALSE)</f>
        <v>8</v>
      </c>
      <c r="C67">
        <f>VLOOKUP(N67,Sheet9!$M$1:$N$2,2,FALSE)</f>
        <v>1</v>
      </c>
      <c r="D67">
        <v>16</v>
      </c>
      <c r="E67" t="s">
        <v>96</v>
      </c>
      <c r="F67">
        <v>100</v>
      </c>
      <c r="H67">
        <v>10</v>
      </c>
      <c r="I67">
        <v>0.6</v>
      </c>
      <c r="J67">
        <v>6</v>
      </c>
      <c r="K67" s="13">
        <v>9.58</v>
      </c>
      <c r="L67" s="13">
        <v>9.26</v>
      </c>
      <c r="M67" t="s">
        <v>12</v>
      </c>
      <c r="N67" t="s">
        <v>162</v>
      </c>
    </row>
    <row r="68" spans="1:14" x14ac:dyDescent="0.3">
      <c r="A68" t="s">
        <v>12</v>
      </c>
      <c r="B68">
        <f>VLOOKUP(M68,Sheet9!$I$1:$J$17,2,FALSE)</f>
        <v>8</v>
      </c>
      <c r="C68">
        <f>VLOOKUP(N68,Sheet9!$M$1:$N$2,2,FALSE)</f>
        <v>1</v>
      </c>
      <c r="D68">
        <v>16</v>
      </c>
      <c r="E68" t="s">
        <v>96</v>
      </c>
      <c r="F68">
        <v>100</v>
      </c>
      <c r="H68">
        <v>6</v>
      </c>
      <c r="I68">
        <v>1.2</v>
      </c>
      <c r="J68">
        <v>7.2</v>
      </c>
      <c r="K68" s="13">
        <v>10.37</v>
      </c>
      <c r="L68" s="13">
        <v>10.09</v>
      </c>
      <c r="M68" t="s">
        <v>12</v>
      </c>
      <c r="N68" t="s">
        <v>162</v>
      </c>
    </row>
    <row r="69" spans="1:14" x14ac:dyDescent="0.3">
      <c r="A69" t="s">
        <v>12</v>
      </c>
      <c r="B69">
        <f>VLOOKUP(M69,Sheet9!$I$1:$J$17,2,FALSE)</f>
        <v>8</v>
      </c>
      <c r="C69">
        <f>VLOOKUP(N69,Sheet9!$M$1:$N$2,2,FALSE)</f>
        <v>1</v>
      </c>
      <c r="D69">
        <v>16</v>
      </c>
      <c r="E69" t="s">
        <v>96</v>
      </c>
      <c r="F69">
        <v>100</v>
      </c>
      <c r="H69">
        <v>1</v>
      </c>
      <c r="I69">
        <v>10</v>
      </c>
      <c r="J69">
        <v>10</v>
      </c>
      <c r="K69" s="13">
        <v>7.21</v>
      </c>
      <c r="L69" s="13">
        <v>7.02</v>
      </c>
      <c r="M69" t="s">
        <v>12</v>
      </c>
      <c r="N69" t="s">
        <v>162</v>
      </c>
    </row>
    <row r="70" spans="1:14" x14ac:dyDescent="0.3">
      <c r="A70" t="s">
        <v>12</v>
      </c>
      <c r="B70">
        <f>VLOOKUP(M70,Sheet9!$I$1:$J$17,2,FALSE)</f>
        <v>8</v>
      </c>
      <c r="C70">
        <f>VLOOKUP(N70,Sheet9!$M$1:$N$2,2,FALSE)</f>
        <v>1</v>
      </c>
      <c r="D70">
        <v>16</v>
      </c>
      <c r="E70" t="s">
        <v>96</v>
      </c>
      <c r="F70">
        <v>100</v>
      </c>
      <c r="H70">
        <v>20</v>
      </c>
      <c r="I70">
        <v>0.6</v>
      </c>
      <c r="J70">
        <v>12</v>
      </c>
      <c r="K70" s="13">
        <v>9.76</v>
      </c>
      <c r="L70" s="13">
        <v>9.43</v>
      </c>
      <c r="M70" t="s">
        <v>12</v>
      </c>
      <c r="N70" t="s">
        <v>162</v>
      </c>
    </row>
    <row r="71" spans="1:14" x14ac:dyDescent="0.3">
      <c r="A71" t="s">
        <v>12</v>
      </c>
      <c r="B71">
        <f>VLOOKUP(M71,Sheet9!$I$1:$J$17,2,FALSE)</f>
        <v>8</v>
      </c>
      <c r="C71">
        <f>VLOOKUP(N71,Sheet9!$M$1:$N$2,2,FALSE)</f>
        <v>1</v>
      </c>
      <c r="D71">
        <v>16</v>
      </c>
      <c r="E71" t="s">
        <v>96</v>
      </c>
      <c r="F71">
        <v>100</v>
      </c>
      <c r="H71">
        <v>12</v>
      </c>
      <c r="I71">
        <v>1.2</v>
      </c>
      <c r="J71">
        <v>14.4</v>
      </c>
      <c r="K71" s="13">
        <v>9.25</v>
      </c>
      <c r="L71" s="13">
        <v>9</v>
      </c>
      <c r="M71" t="s">
        <v>12</v>
      </c>
      <c r="N71" t="s">
        <v>162</v>
      </c>
    </row>
    <row r="72" spans="1:14" x14ac:dyDescent="0.3">
      <c r="A72" t="s">
        <v>12</v>
      </c>
      <c r="B72">
        <f>VLOOKUP(M72,Sheet9!$I$1:$J$17,2,FALSE)</f>
        <v>8</v>
      </c>
      <c r="C72">
        <f>VLOOKUP(N72,Sheet9!$M$1:$N$2,2,FALSE)</f>
        <v>1</v>
      </c>
      <c r="D72">
        <v>16</v>
      </c>
      <c r="E72" t="s">
        <v>96</v>
      </c>
      <c r="F72">
        <v>100</v>
      </c>
      <c r="H72">
        <v>32</v>
      </c>
      <c r="I72">
        <v>0.6</v>
      </c>
      <c r="J72">
        <v>19.2</v>
      </c>
      <c r="K72" s="13">
        <v>9.09</v>
      </c>
      <c r="L72" s="13">
        <v>8.7899999999999991</v>
      </c>
      <c r="M72" t="s">
        <v>12</v>
      </c>
      <c r="N72" t="s">
        <v>162</v>
      </c>
    </row>
    <row r="73" spans="1:14" x14ac:dyDescent="0.3">
      <c r="A73" t="s">
        <v>12</v>
      </c>
      <c r="B73">
        <f>VLOOKUP(M73,Sheet9!$I$1:$J$17,2,FALSE)</f>
        <v>8</v>
      </c>
      <c r="C73">
        <f>VLOOKUP(N73,Sheet9!$M$1:$N$2,2,FALSE)</f>
        <v>1</v>
      </c>
      <c r="D73">
        <v>16</v>
      </c>
      <c r="E73" t="s">
        <v>96</v>
      </c>
      <c r="F73">
        <v>100</v>
      </c>
      <c r="H73">
        <v>16</v>
      </c>
      <c r="I73">
        <v>1.2</v>
      </c>
      <c r="J73">
        <v>19.2</v>
      </c>
      <c r="K73" s="13">
        <v>8.85</v>
      </c>
      <c r="L73" s="13">
        <v>8.61</v>
      </c>
      <c r="M73" t="s">
        <v>12</v>
      </c>
      <c r="N73" t="s">
        <v>162</v>
      </c>
    </row>
    <row r="74" spans="1:14" x14ac:dyDescent="0.3">
      <c r="A74" t="s">
        <v>12</v>
      </c>
      <c r="B74">
        <f>VLOOKUP(M74,Sheet9!$I$1:$J$17,2,FALSE)</f>
        <v>8</v>
      </c>
      <c r="C74">
        <f>VLOOKUP(N74,Sheet9!$M$1:$N$2,2,FALSE)</f>
        <v>1</v>
      </c>
      <c r="D74">
        <v>16</v>
      </c>
      <c r="E74" t="s">
        <v>96</v>
      </c>
      <c r="F74">
        <v>120</v>
      </c>
      <c r="H74">
        <v>2</v>
      </c>
      <c r="I74">
        <v>1</v>
      </c>
      <c r="J74">
        <v>2</v>
      </c>
      <c r="K74" s="13">
        <v>11.68</v>
      </c>
      <c r="L74" s="13">
        <v>13.28</v>
      </c>
      <c r="M74" t="s">
        <v>12</v>
      </c>
      <c r="N74" t="s">
        <v>162</v>
      </c>
    </row>
    <row r="75" spans="1:14" x14ac:dyDescent="0.3">
      <c r="A75" t="s">
        <v>12</v>
      </c>
      <c r="B75">
        <f>VLOOKUP(M75,Sheet9!$I$1:$J$17,2,FALSE)</f>
        <v>8</v>
      </c>
      <c r="C75">
        <f>VLOOKUP(N75,Sheet9!$M$1:$N$2,2,FALSE)</f>
        <v>1</v>
      </c>
      <c r="D75">
        <v>16</v>
      </c>
      <c r="E75" t="s">
        <v>96</v>
      </c>
      <c r="F75">
        <v>120</v>
      </c>
      <c r="H75">
        <v>1</v>
      </c>
      <c r="I75">
        <v>5</v>
      </c>
      <c r="J75">
        <v>5</v>
      </c>
      <c r="K75" s="13">
        <v>12.28</v>
      </c>
      <c r="L75" s="13">
        <v>11.92</v>
      </c>
      <c r="M75" t="s">
        <v>12</v>
      </c>
      <c r="N75" t="s">
        <v>162</v>
      </c>
    </row>
    <row r="76" spans="1:14" x14ac:dyDescent="0.3">
      <c r="A76" t="s">
        <v>12</v>
      </c>
      <c r="B76">
        <f>VLOOKUP(M76,Sheet9!$I$1:$J$17,2,FALSE)</f>
        <v>8</v>
      </c>
      <c r="C76">
        <f>VLOOKUP(N76,Sheet9!$M$1:$N$2,2,FALSE)</f>
        <v>1</v>
      </c>
      <c r="D76">
        <v>16</v>
      </c>
      <c r="E76" t="s">
        <v>96</v>
      </c>
      <c r="F76">
        <v>120</v>
      </c>
      <c r="H76">
        <v>10</v>
      </c>
      <c r="I76">
        <v>0.6</v>
      </c>
      <c r="J76">
        <v>6</v>
      </c>
      <c r="K76" s="13">
        <v>16.3</v>
      </c>
      <c r="L76" s="13">
        <v>15.71</v>
      </c>
      <c r="M76" t="s">
        <v>12</v>
      </c>
      <c r="N76" t="s">
        <v>162</v>
      </c>
    </row>
    <row r="77" spans="1:14" x14ac:dyDescent="0.3">
      <c r="A77" t="s">
        <v>12</v>
      </c>
      <c r="B77">
        <f>VLOOKUP(M77,Sheet9!$I$1:$J$17,2,FALSE)</f>
        <v>8</v>
      </c>
      <c r="C77">
        <f>VLOOKUP(N77,Sheet9!$M$1:$N$2,2,FALSE)</f>
        <v>1</v>
      </c>
      <c r="D77">
        <v>16</v>
      </c>
      <c r="E77" t="s">
        <v>96</v>
      </c>
      <c r="F77">
        <v>120</v>
      </c>
      <c r="H77">
        <v>6</v>
      </c>
      <c r="I77">
        <v>1.2</v>
      </c>
      <c r="J77">
        <v>7.2</v>
      </c>
      <c r="K77" s="13">
        <v>17.649999999999999</v>
      </c>
      <c r="L77" s="13">
        <v>17.13</v>
      </c>
      <c r="M77" t="s">
        <v>12</v>
      </c>
      <c r="N77" t="s">
        <v>162</v>
      </c>
    </row>
    <row r="78" spans="1:14" x14ac:dyDescent="0.3">
      <c r="A78" t="s">
        <v>12</v>
      </c>
      <c r="B78">
        <f>VLOOKUP(M78,Sheet9!$I$1:$J$17,2,FALSE)</f>
        <v>8</v>
      </c>
      <c r="C78">
        <f>VLOOKUP(N78,Sheet9!$M$1:$N$2,2,FALSE)</f>
        <v>1</v>
      </c>
      <c r="D78">
        <v>16</v>
      </c>
      <c r="E78" t="s">
        <v>96</v>
      </c>
      <c r="F78">
        <v>120</v>
      </c>
      <c r="H78">
        <v>1</v>
      </c>
      <c r="I78">
        <v>10</v>
      </c>
      <c r="J78">
        <v>10</v>
      </c>
      <c r="K78" s="13">
        <v>12.28</v>
      </c>
      <c r="L78" s="13">
        <v>11.92</v>
      </c>
      <c r="M78" t="s">
        <v>12</v>
      </c>
      <c r="N78" t="s">
        <v>162</v>
      </c>
    </row>
    <row r="79" spans="1:14" x14ac:dyDescent="0.3">
      <c r="A79" t="s">
        <v>12</v>
      </c>
      <c r="B79">
        <f>VLOOKUP(M79,Sheet9!$I$1:$J$17,2,FALSE)</f>
        <v>8</v>
      </c>
      <c r="C79">
        <f>VLOOKUP(N79,Sheet9!$M$1:$N$2,2,FALSE)</f>
        <v>1</v>
      </c>
      <c r="D79">
        <v>16</v>
      </c>
      <c r="E79" t="s">
        <v>96</v>
      </c>
      <c r="F79">
        <v>120</v>
      </c>
      <c r="H79">
        <v>20</v>
      </c>
      <c r="I79">
        <v>0.6</v>
      </c>
      <c r="J79">
        <v>12</v>
      </c>
      <c r="K79" s="13">
        <v>16.61</v>
      </c>
      <c r="L79" s="13">
        <v>16.010000000000002</v>
      </c>
      <c r="M79" t="s">
        <v>12</v>
      </c>
      <c r="N79" t="s">
        <v>162</v>
      </c>
    </row>
    <row r="80" spans="1:14" x14ac:dyDescent="0.3">
      <c r="A80" t="s">
        <v>12</v>
      </c>
      <c r="B80">
        <f>VLOOKUP(M80,Sheet9!$I$1:$J$17,2,FALSE)</f>
        <v>8</v>
      </c>
      <c r="C80">
        <f>VLOOKUP(N80,Sheet9!$M$1:$N$2,2,FALSE)</f>
        <v>1</v>
      </c>
      <c r="D80">
        <v>16</v>
      </c>
      <c r="E80" t="s">
        <v>96</v>
      </c>
      <c r="F80">
        <v>120</v>
      </c>
      <c r="H80">
        <v>12</v>
      </c>
      <c r="I80">
        <v>1.2</v>
      </c>
      <c r="J80">
        <v>14.4</v>
      </c>
      <c r="K80" s="13">
        <v>15.75</v>
      </c>
      <c r="L80" s="13">
        <v>15.28</v>
      </c>
      <c r="M80" t="s">
        <v>12</v>
      </c>
      <c r="N80" t="s">
        <v>162</v>
      </c>
    </row>
    <row r="81" spans="1:14" x14ac:dyDescent="0.3">
      <c r="A81" t="s">
        <v>12</v>
      </c>
      <c r="B81">
        <f>VLOOKUP(M81,Sheet9!$I$1:$J$17,2,FALSE)</f>
        <v>8</v>
      </c>
      <c r="C81">
        <f>VLOOKUP(N81,Sheet9!$M$1:$N$2,2,FALSE)</f>
        <v>1</v>
      </c>
      <c r="D81">
        <v>16</v>
      </c>
      <c r="E81" t="s">
        <v>96</v>
      </c>
      <c r="F81">
        <v>120</v>
      </c>
      <c r="H81">
        <v>32</v>
      </c>
      <c r="I81">
        <v>0.6</v>
      </c>
      <c r="J81">
        <v>19.2</v>
      </c>
      <c r="K81" s="13">
        <v>15.48</v>
      </c>
      <c r="L81" s="13">
        <v>14.92</v>
      </c>
      <c r="M81" t="s">
        <v>12</v>
      </c>
      <c r="N81" t="s">
        <v>162</v>
      </c>
    </row>
    <row r="82" spans="1:14" x14ac:dyDescent="0.3">
      <c r="A82" t="s">
        <v>12</v>
      </c>
      <c r="B82">
        <f>VLOOKUP(M82,Sheet9!$I$1:$J$17,2,FALSE)</f>
        <v>8</v>
      </c>
      <c r="C82">
        <f>VLOOKUP(N82,Sheet9!$M$1:$N$2,2,FALSE)</f>
        <v>1</v>
      </c>
      <c r="D82">
        <v>16</v>
      </c>
      <c r="E82" t="s">
        <v>96</v>
      </c>
      <c r="F82">
        <v>120</v>
      </c>
      <c r="H82">
        <v>16</v>
      </c>
      <c r="I82">
        <v>1.2</v>
      </c>
      <c r="J82">
        <v>19.2</v>
      </c>
      <c r="K82" s="13">
        <v>15.07</v>
      </c>
      <c r="L82" s="13">
        <v>14.63</v>
      </c>
      <c r="M82" t="s">
        <v>12</v>
      </c>
      <c r="N82" t="s">
        <v>162</v>
      </c>
    </row>
    <row r="83" spans="1:14" x14ac:dyDescent="0.3">
      <c r="A83" t="s">
        <v>12</v>
      </c>
      <c r="B83">
        <f>VLOOKUP(M83,Sheet9!$I$1:$J$17,2,FALSE)</f>
        <v>8</v>
      </c>
      <c r="C83">
        <f>VLOOKUP(N83,Sheet9!$M$1:$N$2,2,FALSE)</f>
        <v>1</v>
      </c>
      <c r="D83">
        <v>16</v>
      </c>
      <c r="E83" t="s">
        <v>96</v>
      </c>
      <c r="F83">
        <v>140</v>
      </c>
      <c r="H83">
        <v>2</v>
      </c>
      <c r="I83">
        <v>1</v>
      </c>
      <c r="J83">
        <v>2</v>
      </c>
      <c r="K83" s="13">
        <v>19.600000000000001</v>
      </c>
      <c r="L83" s="13">
        <v>19.010000000000002</v>
      </c>
      <c r="M83" t="s">
        <v>12</v>
      </c>
      <c r="N83" t="s">
        <v>162</v>
      </c>
    </row>
    <row r="84" spans="1:14" x14ac:dyDescent="0.3">
      <c r="A84" t="s">
        <v>12</v>
      </c>
      <c r="B84">
        <f>VLOOKUP(M84,Sheet9!$I$1:$J$17,2,FALSE)</f>
        <v>8</v>
      </c>
      <c r="C84">
        <f>VLOOKUP(N84,Sheet9!$M$1:$N$2,2,FALSE)</f>
        <v>1</v>
      </c>
      <c r="D84">
        <v>16</v>
      </c>
      <c r="E84" t="s">
        <v>96</v>
      </c>
      <c r="F84">
        <v>140</v>
      </c>
      <c r="H84">
        <v>1</v>
      </c>
      <c r="I84">
        <v>5</v>
      </c>
      <c r="J84">
        <v>5</v>
      </c>
      <c r="K84" s="13">
        <v>17.579999999999998</v>
      </c>
      <c r="L84" s="13">
        <v>17.05</v>
      </c>
      <c r="M84" t="s">
        <v>12</v>
      </c>
      <c r="N84" t="s">
        <v>162</v>
      </c>
    </row>
    <row r="85" spans="1:14" x14ac:dyDescent="0.3">
      <c r="A85" t="s">
        <v>12</v>
      </c>
      <c r="B85">
        <f>VLOOKUP(M85,Sheet9!$I$1:$J$17,2,FALSE)</f>
        <v>8</v>
      </c>
      <c r="C85">
        <f>VLOOKUP(N85,Sheet9!$M$1:$N$2,2,FALSE)</f>
        <v>1</v>
      </c>
      <c r="D85">
        <v>16</v>
      </c>
      <c r="E85" t="s">
        <v>96</v>
      </c>
      <c r="F85">
        <v>140</v>
      </c>
      <c r="H85">
        <v>10</v>
      </c>
      <c r="I85">
        <v>0.6</v>
      </c>
      <c r="J85">
        <v>6</v>
      </c>
      <c r="K85" s="13">
        <v>23.34</v>
      </c>
      <c r="L85" s="13">
        <v>22.49</v>
      </c>
      <c r="M85" t="s">
        <v>12</v>
      </c>
      <c r="N85" t="s">
        <v>162</v>
      </c>
    </row>
    <row r="86" spans="1:14" x14ac:dyDescent="0.3">
      <c r="A86" t="s">
        <v>12</v>
      </c>
      <c r="B86">
        <f>VLOOKUP(M86,Sheet9!$I$1:$J$17,2,FALSE)</f>
        <v>8</v>
      </c>
      <c r="C86">
        <f>VLOOKUP(N86,Sheet9!$M$1:$N$2,2,FALSE)</f>
        <v>1</v>
      </c>
      <c r="D86">
        <v>16</v>
      </c>
      <c r="E86" t="s">
        <v>96</v>
      </c>
      <c r="F86">
        <v>140</v>
      </c>
      <c r="H86">
        <v>6</v>
      </c>
      <c r="I86">
        <v>1.2</v>
      </c>
      <c r="J86">
        <v>7.2</v>
      </c>
      <c r="K86" s="13">
        <v>25.28</v>
      </c>
      <c r="L86" s="13">
        <v>24.51</v>
      </c>
      <c r="M86" t="s">
        <v>12</v>
      </c>
      <c r="N86" t="s">
        <v>162</v>
      </c>
    </row>
    <row r="87" spans="1:14" x14ac:dyDescent="0.3">
      <c r="A87" t="s">
        <v>12</v>
      </c>
      <c r="B87">
        <f>VLOOKUP(M87,Sheet9!$I$1:$J$17,2,FALSE)</f>
        <v>8</v>
      </c>
      <c r="C87">
        <f>VLOOKUP(N87,Sheet9!$M$1:$N$2,2,FALSE)</f>
        <v>1</v>
      </c>
      <c r="D87">
        <v>16</v>
      </c>
      <c r="E87" t="s">
        <v>96</v>
      </c>
      <c r="F87">
        <v>140</v>
      </c>
      <c r="H87">
        <v>1</v>
      </c>
      <c r="I87">
        <v>10</v>
      </c>
      <c r="J87">
        <v>10</v>
      </c>
      <c r="K87" s="13">
        <v>17.579999999999998</v>
      </c>
      <c r="L87" s="13">
        <v>17.05</v>
      </c>
      <c r="M87" t="s">
        <v>12</v>
      </c>
      <c r="N87" t="s">
        <v>162</v>
      </c>
    </row>
    <row r="88" spans="1:14" x14ac:dyDescent="0.3">
      <c r="A88" t="s">
        <v>12</v>
      </c>
      <c r="B88">
        <f>VLOOKUP(M88,Sheet9!$I$1:$J$17,2,FALSE)</f>
        <v>8</v>
      </c>
      <c r="C88">
        <f>VLOOKUP(N88,Sheet9!$M$1:$N$2,2,FALSE)</f>
        <v>1</v>
      </c>
      <c r="D88">
        <v>16</v>
      </c>
      <c r="E88" t="s">
        <v>96</v>
      </c>
      <c r="F88">
        <v>140</v>
      </c>
      <c r="H88">
        <v>20</v>
      </c>
      <c r="I88">
        <v>0.6</v>
      </c>
      <c r="J88">
        <v>12</v>
      </c>
      <c r="K88" s="13">
        <v>23.79</v>
      </c>
      <c r="L88" s="13">
        <v>22.92</v>
      </c>
      <c r="M88" t="s">
        <v>12</v>
      </c>
      <c r="N88" t="s">
        <v>162</v>
      </c>
    </row>
    <row r="89" spans="1:14" x14ac:dyDescent="0.3">
      <c r="A89" t="s">
        <v>12</v>
      </c>
      <c r="B89">
        <f>VLOOKUP(M89,Sheet9!$I$1:$J$17,2,FALSE)</f>
        <v>8</v>
      </c>
      <c r="C89">
        <f>VLOOKUP(N89,Sheet9!$M$1:$N$2,2,FALSE)</f>
        <v>1</v>
      </c>
      <c r="D89">
        <v>16</v>
      </c>
      <c r="E89" t="s">
        <v>96</v>
      </c>
      <c r="F89">
        <v>140</v>
      </c>
      <c r="H89">
        <v>12</v>
      </c>
      <c r="I89">
        <v>1.2</v>
      </c>
      <c r="J89">
        <v>14.4</v>
      </c>
      <c r="K89" s="13">
        <v>22.56</v>
      </c>
      <c r="L89" s="13">
        <v>21.87</v>
      </c>
      <c r="M89" t="s">
        <v>12</v>
      </c>
      <c r="N89" t="s">
        <v>162</v>
      </c>
    </row>
    <row r="90" spans="1:14" x14ac:dyDescent="0.3">
      <c r="A90" t="s">
        <v>12</v>
      </c>
      <c r="B90">
        <f>VLOOKUP(M90,Sheet9!$I$1:$J$17,2,FALSE)</f>
        <v>8</v>
      </c>
      <c r="C90">
        <f>VLOOKUP(N90,Sheet9!$M$1:$N$2,2,FALSE)</f>
        <v>1</v>
      </c>
      <c r="D90">
        <v>16</v>
      </c>
      <c r="E90" t="s">
        <v>96</v>
      </c>
      <c r="F90">
        <v>140</v>
      </c>
      <c r="H90">
        <v>32</v>
      </c>
      <c r="I90">
        <v>0.6</v>
      </c>
      <c r="J90">
        <v>19.2</v>
      </c>
      <c r="K90" s="13">
        <v>22.16</v>
      </c>
      <c r="L90" s="13">
        <v>21.35</v>
      </c>
      <c r="M90" t="s">
        <v>12</v>
      </c>
      <c r="N90" t="s">
        <v>162</v>
      </c>
    </row>
    <row r="91" spans="1:14" x14ac:dyDescent="0.3">
      <c r="A91" t="s">
        <v>12</v>
      </c>
      <c r="B91">
        <f>VLOOKUP(M91,Sheet9!$I$1:$J$17,2,FALSE)</f>
        <v>8</v>
      </c>
      <c r="C91">
        <f>VLOOKUP(N91,Sheet9!$M$1:$N$2,2,FALSE)</f>
        <v>1</v>
      </c>
      <c r="D91">
        <v>16</v>
      </c>
      <c r="E91" t="s">
        <v>96</v>
      </c>
      <c r="F91">
        <v>140</v>
      </c>
      <c r="H91">
        <v>16</v>
      </c>
      <c r="I91">
        <v>1.2</v>
      </c>
      <c r="J91">
        <v>19.2</v>
      </c>
      <c r="K91" s="13">
        <v>21.58</v>
      </c>
      <c r="L91" s="13">
        <v>20.93</v>
      </c>
      <c r="M91" t="s">
        <v>12</v>
      </c>
      <c r="N91" t="s">
        <v>162</v>
      </c>
    </row>
    <row r="92" spans="1:14" x14ac:dyDescent="0.3">
      <c r="A92" t="s">
        <v>12</v>
      </c>
      <c r="B92">
        <f>VLOOKUP(M92,Sheet9!$I$1:$J$17,2,FALSE)</f>
        <v>8</v>
      </c>
      <c r="C92">
        <f>VLOOKUP(N92,Sheet9!$M$1:$N$2,2,FALSE)</f>
        <v>1</v>
      </c>
      <c r="D92">
        <v>32</v>
      </c>
      <c r="E92" t="s">
        <v>95</v>
      </c>
      <c r="F92">
        <v>70</v>
      </c>
      <c r="H92">
        <v>2</v>
      </c>
      <c r="I92">
        <v>1</v>
      </c>
      <c r="J92">
        <v>2</v>
      </c>
      <c r="K92">
        <v>0.68</v>
      </c>
      <c r="L92">
        <v>1.37</v>
      </c>
      <c r="M92" t="s">
        <v>12</v>
      </c>
      <c r="N92" t="s">
        <v>162</v>
      </c>
    </row>
    <row r="93" spans="1:14" x14ac:dyDescent="0.3">
      <c r="A93" t="s">
        <v>12</v>
      </c>
      <c r="B93">
        <f>VLOOKUP(M93,Sheet9!$I$1:$J$17,2,FALSE)</f>
        <v>8</v>
      </c>
      <c r="C93">
        <f>VLOOKUP(N93,Sheet9!$M$1:$N$2,2,FALSE)</f>
        <v>1</v>
      </c>
      <c r="D93">
        <v>32</v>
      </c>
      <c r="E93" t="s">
        <v>95</v>
      </c>
      <c r="F93">
        <v>70</v>
      </c>
      <c r="H93">
        <v>1</v>
      </c>
      <c r="I93">
        <v>5</v>
      </c>
      <c r="J93">
        <v>5</v>
      </c>
      <c r="K93">
        <v>0.61</v>
      </c>
      <c r="L93">
        <v>1.22</v>
      </c>
      <c r="M93" t="s">
        <v>12</v>
      </c>
      <c r="N93" t="s">
        <v>162</v>
      </c>
    </row>
    <row r="94" spans="1:14" x14ac:dyDescent="0.3">
      <c r="A94" t="s">
        <v>12</v>
      </c>
      <c r="B94">
        <f>VLOOKUP(M94,Sheet9!$I$1:$J$17,2,FALSE)</f>
        <v>8</v>
      </c>
      <c r="C94">
        <f>VLOOKUP(N94,Sheet9!$M$1:$N$2,2,FALSE)</f>
        <v>1</v>
      </c>
      <c r="D94">
        <v>32</v>
      </c>
      <c r="E94" t="s">
        <v>95</v>
      </c>
      <c r="F94">
        <v>70</v>
      </c>
      <c r="H94">
        <v>10</v>
      </c>
      <c r="I94">
        <v>0.6</v>
      </c>
      <c r="J94">
        <v>6</v>
      </c>
      <c r="K94">
        <v>0.82</v>
      </c>
      <c r="L94">
        <v>1.61</v>
      </c>
      <c r="M94" t="s">
        <v>12</v>
      </c>
      <c r="N94" t="s">
        <v>162</v>
      </c>
    </row>
    <row r="95" spans="1:14" x14ac:dyDescent="0.3">
      <c r="A95" t="s">
        <v>12</v>
      </c>
      <c r="B95">
        <f>VLOOKUP(M95,Sheet9!$I$1:$J$17,2,FALSE)</f>
        <v>8</v>
      </c>
      <c r="C95">
        <f>VLOOKUP(N95,Sheet9!$M$1:$N$2,2,FALSE)</f>
        <v>1</v>
      </c>
      <c r="D95">
        <v>32</v>
      </c>
      <c r="E95" t="s">
        <v>95</v>
      </c>
      <c r="F95">
        <v>70</v>
      </c>
      <c r="H95">
        <v>6</v>
      </c>
      <c r="I95">
        <v>1.2</v>
      </c>
      <c r="J95">
        <v>7.2</v>
      </c>
      <c r="K95">
        <v>0.88</v>
      </c>
      <c r="L95">
        <v>1.76</v>
      </c>
      <c r="M95" t="s">
        <v>12</v>
      </c>
      <c r="N95" t="s">
        <v>162</v>
      </c>
    </row>
    <row r="96" spans="1:14" x14ac:dyDescent="0.3">
      <c r="A96" t="s">
        <v>12</v>
      </c>
      <c r="B96">
        <f>VLOOKUP(M96,Sheet9!$I$1:$J$17,2,FALSE)</f>
        <v>8</v>
      </c>
      <c r="C96">
        <f>VLOOKUP(N96,Sheet9!$M$1:$N$2,2,FALSE)</f>
        <v>1</v>
      </c>
      <c r="D96">
        <v>32</v>
      </c>
      <c r="E96" t="s">
        <v>95</v>
      </c>
      <c r="F96">
        <v>70</v>
      </c>
      <c r="H96">
        <v>1</v>
      </c>
      <c r="I96">
        <v>10</v>
      </c>
      <c r="J96">
        <v>10</v>
      </c>
      <c r="K96">
        <v>0.61</v>
      </c>
      <c r="L96">
        <v>1.22</v>
      </c>
      <c r="M96" t="s">
        <v>12</v>
      </c>
      <c r="N96" t="s">
        <v>162</v>
      </c>
    </row>
    <row r="97" spans="1:14" x14ac:dyDescent="0.3">
      <c r="A97" t="s">
        <v>12</v>
      </c>
      <c r="B97">
        <f>VLOOKUP(M97,Sheet9!$I$1:$J$17,2,FALSE)</f>
        <v>8</v>
      </c>
      <c r="C97">
        <f>VLOOKUP(N97,Sheet9!$M$1:$N$2,2,FALSE)</f>
        <v>1</v>
      </c>
      <c r="D97">
        <v>32</v>
      </c>
      <c r="E97" t="s">
        <v>95</v>
      </c>
      <c r="F97">
        <v>70</v>
      </c>
      <c r="H97">
        <v>20</v>
      </c>
      <c r="I97">
        <v>0.6</v>
      </c>
      <c r="J97">
        <v>12</v>
      </c>
      <c r="K97">
        <v>0.83</v>
      </c>
      <c r="L97">
        <v>1.64</v>
      </c>
      <c r="M97" t="s">
        <v>12</v>
      </c>
      <c r="N97" t="s">
        <v>162</v>
      </c>
    </row>
    <row r="98" spans="1:14" x14ac:dyDescent="0.3">
      <c r="A98" t="s">
        <v>12</v>
      </c>
      <c r="B98">
        <f>VLOOKUP(M98,Sheet9!$I$1:$J$17,2,FALSE)</f>
        <v>8</v>
      </c>
      <c r="C98">
        <f>VLOOKUP(N98,Sheet9!$M$1:$N$2,2,FALSE)</f>
        <v>1</v>
      </c>
      <c r="D98">
        <v>32</v>
      </c>
      <c r="E98" t="s">
        <v>95</v>
      </c>
      <c r="F98">
        <v>70</v>
      </c>
      <c r="H98">
        <v>12</v>
      </c>
      <c r="I98">
        <v>1.2</v>
      </c>
      <c r="J98">
        <v>14.4</v>
      </c>
      <c r="K98">
        <v>0.79</v>
      </c>
      <c r="L98">
        <v>1.57</v>
      </c>
      <c r="M98" t="s">
        <v>12</v>
      </c>
      <c r="N98" t="s">
        <v>162</v>
      </c>
    </row>
    <row r="99" spans="1:14" x14ac:dyDescent="0.3">
      <c r="A99" t="s">
        <v>12</v>
      </c>
      <c r="B99">
        <f>VLOOKUP(M99,Sheet9!$I$1:$J$17,2,FALSE)</f>
        <v>8</v>
      </c>
      <c r="C99">
        <f>VLOOKUP(N99,Sheet9!$M$1:$N$2,2,FALSE)</f>
        <v>1</v>
      </c>
      <c r="D99">
        <v>32</v>
      </c>
      <c r="E99" t="s">
        <v>95</v>
      </c>
      <c r="F99">
        <v>70</v>
      </c>
      <c r="H99">
        <v>32</v>
      </c>
      <c r="I99">
        <v>0.6</v>
      </c>
      <c r="J99">
        <v>19.2</v>
      </c>
      <c r="K99">
        <v>0.78</v>
      </c>
      <c r="L99">
        <v>1.52</v>
      </c>
      <c r="M99" t="s">
        <v>12</v>
      </c>
      <c r="N99" t="s">
        <v>162</v>
      </c>
    </row>
    <row r="100" spans="1:14" x14ac:dyDescent="0.3">
      <c r="A100" t="s">
        <v>12</v>
      </c>
      <c r="B100">
        <f>VLOOKUP(M100,Sheet9!$I$1:$J$17,2,FALSE)</f>
        <v>8</v>
      </c>
      <c r="C100">
        <f>VLOOKUP(N100,Sheet9!$M$1:$N$2,2,FALSE)</f>
        <v>1</v>
      </c>
      <c r="D100">
        <v>32</v>
      </c>
      <c r="E100" t="s">
        <v>95</v>
      </c>
      <c r="F100">
        <v>70</v>
      </c>
      <c r="H100">
        <v>16</v>
      </c>
      <c r="I100">
        <v>1.2</v>
      </c>
      <c r="J100">
        <v>19.2</v>
      </c>
      <c r="K100">
        <v>0.75</v>
      </c>
      <c r="L100">
        <v>1.59</v>
      </c>
      <c r="M100" t="s">
        <v>12</v>
      </c>
      <c r="N100" t="s">
        <v>162</v>
      </c>
    </row>
    <row r="101" spans="1:14" x14ac:dyDescent="0.3">
      <c r="A101" t="s">
        <v>12</v>
      </c>
      <c r="B101">
        <f>VLOOKUP(M101,Sheet9!$I$1:$J$17,2,FALSE)</f>
        <v>8</v>
      </c>
      <c r="C101">
        <f>VLOOKUP(N101,Sheet9!$M$1:$N$2,2,FALSE)</f>
        <v>1</v>
      </c>
      <c r="D101">
        <v>32</v>
      </c>
      <c r="E101" t="s">
        <v>95</v>
      </c>
      <c r="F101">
        <v>80</v>
      </c>
      <c r="H101">
        <v>2</v>
      </c>
      <c r="I101">
        <v>1</v>
      </c>
      <c r="J101">
        <v>2</v>
      </c>
      <c r="K101">
        <v>1.18</v>
      </c>
      <c r="L101">
        <v>2.1800000000000002</v>
      </c>
      <c r="M101" t="s">
        <v>12</v>
      </c>
      <c r="N101" t="s">
        <v>162</v>
      </c>
    </row>
    <row r="102" spans="1:14" x14ac:dyDescent="0.3">
      <c r="A102" t="s">
        <v>12</v>
      </c>
      <c r="B102">
        <f>VLOOKUP(M102,Sheet9!$I$1:$J$17,2,FALSE)</f>
        <v>8</v>
      </c>
      <c r="C102">
        <f>VLOOKUP(N102,Sheet9!$M$1:$N$2,2,FALSE)</f>
        <v>1</v>
      </c>
      <c r="D102">
        <v>32</v>
      </c>
      <c r="E102" t="s">
        <v>95</v>
      </c>
      <c r="F102">
        <v>80</v>
      </c>
      <c r="H102">
        <v>1</v>
      </c>
      <c r="I102">
        <v>5</v>
      </c>
      <c r="J102">
        <v>5</v>
      </c>
      <c r="K102">
        <v>1.06</v>
      </c>
      <c r="L102">
        <v>1.96</v>
      </c>
      <c r="M102" t="s">
        <v>12</v>
      </c>
      <c r="N102" t="s">
        <v>162</v>
      </c>
    </row>
    <row r="103" spans="1:14" x14ac:dyDescent="0.3">
      <c r="A103" t="s">
        <v>12</v>
      </c>
      <c r="B103">
        <f>VLOOKUP(M103,Sheet9!$I$1:$J$17,2,FALSE)</f>
        <v>8</v>
      </c>
      <c r="C103">
        <f>VLOOKUP(N103,Sheet9!$M$1:$N$2,2,FALSE)</f>
        <v>1</v>
      </c>
      <c r="D103">
        <v>32</v>
      </c>
      <c r="E103" t="s">
        <v>95</v>
      </c>
      <c r="F103">
        <v>80</v>
      </c>
      <c r="H103">
        <v>10</v>
      </c>
      <c r="I103">
        <v>0.6</v>
      </c>
      <c r="J103">
        <v>6</v>
      </c>
      <c r="K103">
        <v>1.4</v>
      </c>
      <c r="L103">
        <v>2.58</v>
      </c>
      <c r="M103" t="s">
        <v>12</v>
      </c>
      <c r="N103" t="s">
        <v>162</v>
      </c>
    </row>
    <row r="104" spans="1:14" x14ac:dyDescent="0.3">
      <c r="A104" t="s">
        <v>12</v>
      </c>
      <c r="B104">
        <f>VLOOKUP(M104,Sheet9!$I$1:$J$17,2,FALSE)</f>
        <v>8</v>
      </c>
      <c r="C104">
        <f>VLOOKUP(N104,Sheet9!$M$1:$N$2,2,FALSE)</f>
        <v>1</v>
      </c>
      <c r="D104">
        <v>32</v>
      </c>
      <c r="E104" t="s">
        <v>95</v>
      </c>
      <c r="F104">
        <v>80</v>
      </c>
      <c r="H104">
        <v>6</v>
      </c>
      <c r="I104">
        <v>1.2</v>
      </c>
      <c r="J104">
        <v>7.2</v>
      </c>
      <c r="K104">
        <v>1.52</v>
      </c>
      <c r="L104">
        <v>2.81</v>
      </c>
      <c r="M104" t="s">
        <v>12</v>
      </c>
      <c r="N104" t="s">
        <v>162</v>
      </c>
    </row>
    <row r="105" spans="1:14" x14ac:dyDescent="0.3">
      <c r="A105" t="s">
        <v>12</v>
      </c>
      <c r="B105">
        <f>VLOOKUP(M105,Sheet9!$I$1:$J$17,2,FALSE)</f>
        <v>8</v>
      </c>
      <c r="C105">
        <f>VLOOKUP(N105,Sheet9!$M$1:$N$2,2,FALSE)</f>
        <v>1</v>
      </c>
      <c r="D105">
        <v>32</v>
      </c>
      <c r="E105" t="s">
        <v>95</v>
      </c>
      <c r="F105">
        <v>80</v>
      </c>
      <c r="H105">
        <v>1</v>
      </c>
      <c r="I105">
        <v>10</v>
      </c>
      <c r="J105">
        <v>10</v>
      </c>
      <c r="K105">
        <v>1.06</v>
      </c>
      <c r="L105">
        <v>1.96</v>
      </c>
      <c r="M105" t="s">
        <v>12</v>
      </c>
      <c r="N105" t="s">
        <v>162</v>
      </c>
    </row>
    <row r="106" spans="1:14" x14ac:dyDescent="0.3">
      <c r="A106" t="s">
        <v>12</v>
      </c>
      <c r="B106">
        <f>VLOOKUP(M106,Sheet9!$I$1:$J$17,2,FALSE)</f>
        <v>8</v>
      </c>
      <c r="C106">
        <f>VLOOKUP(N106,Sheet9!$M$1:$N$2,2,FALSE)</f>
        <v>1</v>
      </c>
      <c r="D106">
        <v>32</v>
      </c>
      <c r="E106" t="s">
        <v>95</v>
      </c>
      <c r="F106">
        <v>80</v>
      </c>
      <c r="H106">
        <v>20</v>
      </c>
      <c r="I106">
        <v>0.6</v>
      </c>
      <c r="J106">
        <v>12</v>
      </c>
      <c r="K106">
        <v>1.43</v>
      </c>
      <c r="L106">
        <v>2.62</v>
      </c>
      <c r="M106" t="s">
        <v>12</v>
      </c>
      <c r="N106" t="s">
        <v>162</v>
      </c>
    </row>
    <row r="107" spans="1:14" x14ac:dyDescent="0.3">
      <c r="A107" t="s">
        <v>12</v>
      </c>
      <c r="B107">
        <f>VLOOKUP(M107,Sheet9!$I$1:$J$17,2,FALSE)</f>
        <v>8</v>
      </c>
      <c r="C107">
        <f>VLOOKUP(N107,Sheet9!$M$1:$N$2,2,FALSE)</f>
        <v>1</v>
      </c>
      <c r="D107">
        <v>32</v>
      </c>
      <c r="E107" t="s">
        <v>95</v>
      </c>
      <c r="F107">
        <v>80</v>
      </c>
      <c r="H107">
        <v>12</v>
      </c>
      <c r="I107">
        <v>1.2</v>
      </c>
      <c r="J107">
        <v>14.4</v>
      </c>
      <c r="K107">
        <v>1.36</v>
      </c>
      <c r="L107">
        <v>2.5099999999999998</v>
      </c>
      <c r="M107" t="s">
        <v>12</v>
      </c>
      <c r="N107" t="s">
        <v>162</v>
      </c>
    </row>
    <row r="108" spans="1:14" x14ac:dyDescent="0.3">
      <c r="A108" t="s">
        <v>12</v>
      </c>
      <c r="B108">
        <f>VLOOKUP(M108,Sheet9!$I$1:$J$17,2,FALSE)</f>
        <v>8</v>
      </c>
      <c r="C108">
        <f>VLOOKUP(N108,Sheet9!$M$1:$N$2,2,FALSE)</f>
        <v>1</v>
      </c>
      <c r="D108">
        <v>32</v>
      </c>
      <c r="E108" t="s">
        <v>95</v>
      </c>
      <c r="F108">
        <v>80</v>
      </c>
      <c r="H108">
        <v>32</v>
      </c>
      <c r="I108">
        <v>0.6</v>
      </c>
      <c r="J108">
        <v>19.2</v>
      </c>
      <c r="K108">
        <v>1.33</v>
      </c>
      <c r="L108">
        <v>2.4500000000000002</v>
      </c>
      <c r="M108" t="s">
        <v>12</v>
      </c>
      <c r="N108" t="s">
        <v>162</v>
      </c>
    </row>
    <row r="109" spans="1:14" x14ac:dyDescent="0.3">
      <c r="A109" t="s">
        <v>12</v>
      </c>
      <c r="B109">
        <f>VLOOKUP(M109,Sheet9!$I$1:$J$17,2,FALSE)</f>
        <v>8</v>
      </c>
      <c r="C109">
        <f>VLOOKUP(N109,Sheet9!$M$1:$N$2,2,FALSE)</f>
        <v>1</v>
      </c>
      <c r="D109">
        <v>32</v>
      </c>
      <c r="E109" t="s">
        <v>95</v>
      </c>
      <c r="F109">
        <v>80</v>
      </c>
      <c r="H109">
        <v>16</v>
      </c>
      <c r="I109">
        <v>1.2</v>
      </c>
      <c r="J109">
        <v>19.2</v>
      </c>
      <c r="K109">
        <v>1.3</v>
      </c>
      <c r="L109">
        <v>2.4</v>
      </c>
      <c r="M109" t="s">
        <v>12</v>
      </c>
      <c r="N109" t="s">
        <v>162</v>
      </c>
    </row>
    <row r="110" spans="1:14" x14ac:dyDescent="0.3">
      <c r="A110" t="s">
        <v>12</v>
      </c>
      <c r="B110">
        <f>VLOOKUP(M110,Sheet9!$I$1:$J$17,2,FALSE)</f>
        <v>8</v>
      </c>
      <c r="C110">
        <f>VLOOKUP(N110,Sheet9!$M$1:$N$2,2,FALSE)</f>
        <v>1</v>
      </c>
      <c r="D110">
        <v>32</v>
      </c>
      <c r="E110" t="s">
        <v>95</v>
      </c>
      <c r="F110">
        <v>100</v>
      </c>
      <c r="H110">
        <v>2</v>
      </c>
      <c r="I110">
        <v>1</v>
      </c>
      <c r="J110">
        <v>2</v>
      </c>
      <c r="K110">
        <v>2.56</v>
      </c>
      <c r="L110">
        <v>4.28</v>
      </c>
      <c r="M110" t="s">
        <v>12</v>
      </c>
      <c r="N110" t="s">
        <v>162</v>
      </c>
    </row>
    <row r="111" spans="1:14" x14ac:dyDescent="0.3">
      <c r="A111" t="s">
        <v>12</v>
      </c>
      <c r="B111">
        <f>VLOOKUP(M111,Sheet9!$I$1:$J$17,2,FALSE)</f>
        <v>8</v>
      </c>
      <c r="C111">
        <f>VLOOKUP(N111,Sheet9!$M$1:$N$2,2,FALSE)</f>
        <v>1</v>
      </c>
      <c r="D111">
        <v>32</v>
      </c>
      <c r="E111" t="s">
        <v>95</v>
      </c>
      <c r="F111">
        <v>100</v>
      </c>
      <c r="H111">
        <v>1</v>
      </c>
      <c r="I111">
        <v>5</v>
      </c>
      <c r="J111">
        <v>5</v>
      </c>
      <c r="K111">
        <v>2.29</v>
      </c>
      <c r="L111">
        <v>3.84</v>
      </c>
      <c r="M111" t="s">
        <v>12</v>
      </c>
      <c r="N111" t="s">
        <v>162</v>
      </c>
    </row>
    <row r="112" spans="1:14" x14ac:dyDescent="0.3">
      <c r="A112" t="s">
        <v>12</v>
      </c>
      <c r="B112">
        <f>VLOOKUP(M112,Sheet9!$I$1:$J$17,2,FALSE)</f>
        <v>8</v>
      </c>
      <c r="C112">
        <f>VLOOKUP(N112,Sheet9!$M$1:$N$2,2,FALSE)</f>
        <v>1</v>
      </c>
      <c r="D112">
        <v>32</v>
      </c>
      <c r="E112" t="s">
        <v>95</v>
      </c>
      <c r="F112">
        <v>100</v>
      </c>
      <c r="H112">
        <v>10</v>
      </c>
      <c r="I112">
        <v>0.6</v>
      </c>
      <c r="J112">
        <v>6</v>
      </c>
      <c r="K112">
        <v>3.04</v>
      </c>
      <c r="L112">
        <v>5.05</v>
      </c>
      <c r="M112" t="s">
        <v>12</v>
      </c>
      <c r="N112" t="s">
        <v>162</v>
      </c>
    </row>
    <row r="113" spans="1:14" x14ac:dyDescent="0.3">
      <c r="A113" t="s">
        <v>12</v>
      </c>
      <c r="B113">
        <f>VLOOKUP(M113,Sheet9!$I$1:$J$17,2,FALSE)</f>
        <v>8</v>
      </c>
      <c r="C113">
        <f>VLOOKUP(N113,Sheet9!$M$1:$N$2,2,FALSE)</f>
        <v>1</v>
      </c>
      <c r="D113">
        <v>32</v>
      </c>
      <c r="E113" t="s">
        <v>95</v>
      </c>
      <c r="F113">
        <v>100</v>
      </c>
      <c r="H113">
        <v>6</v>
      </c>
      <c r="I113">
        <v>1.2</v>
      </c>
      <c r="J113">
        <v>7.2</v>
      </c>
      <c r="K113">
        <v>3.3</v>
      </c>
      <c r="L113">
        <v>5.52</v>
      </c>
      <c r="M113" t="s">
        <v>12</v>
      </c>
      <c r="N113" t="s">
        <v>162</v>
      </c>
    </row>
    <row r="114" spans="1:14" x14ac:dyDescent="0.3">
      <c r="A114" t="s">
        <v>12</v>
      </c>
      <c r="B114">
        <f>VLOOKUP(M114,Sheet9!$I$1:$J$17,2,FALSE)</f>
        <v>8</v>
      </c>
      <c r="C114">
        <f>VLOOKUP(N114,Sheet9!$M$1:$N$2,2,FALSE)</f>
        <v>1</v>
      </c>
      <c r="D114">
        <v>32</v>
      </c>
      <c r="E114" t="s">
        <v>95</v>
      </c>
      <c r="F114">
        <v>100</v>
      </c>
      <c r="H114">
        <v>1</v>
      </c>
      <c r="I114">
        <v>10</v>
      </c>
      <c r="J114">
        <v>10</v>
      </c>
      <c r="K114">
        <v>2.29</v>
      </c>
      <c r="L114">
        <v>3.84</v>
      </c>
      <c r="M114" t="s">
        <v>12</v>
      </c>
      <c r="N114" t="s">
        <v>162</v>
      </c>
    </row>
    <row r="115" spans="1:14" x14ac:dyDescent="0.3">
      <c r="A115" t="s">
        <v>12</v>
      </c>
      <c r="B115">
        <f>VLOOKUP(M115,Sheet9!$I$1:$J$17,2,FALSE)</f>
        <v>8</v>
      </c>
      <c r="C115">
        <f>VLOOKUP(N115,Sheet9!$M$1:$N$2,2,FALSE)</f>
        <v>1</v>
      </c>
      <c r="D115">
        <v>32</v>
      </c>
      <c r="E115" t="s">
        <v>95</v>
      </c>
      <c r="F115">
        <v>100</v>
      </c>
      <c r="H115">
        <v>20</v>
      </c>
      <c r="I115">
        <v>0.6</v>
      </c>
      <c r="J115">
        <v>12</v>
      </c>
      <c r="K115">
        <v>3.1</v>
      </c>
      <c r="L115">
        <v>5.15</v>
      </c>
      <c r="M115" t="s">
        <v>12</v>
      </c>
      <c r="N115" t="s">
        <v>162</v>
      </c>
    </row>
    <row r="116" spans="1:14" x14ac:dyDescent="0.3">
      <c r="A116" t="s">
        <v>12</v>
      </c>
      <c r="B116">
        <f>VLOOKUP(M116,Sheet9!$I$1:$J$17,2,FALSE)</f>
        <v>8</v>
      </c>
      <c r="C116">
        <f>VLOOKUP(N116,Sheet9!$M$1:$N$2,2,FALSE)</f>
        <v>1</v>
      </c>
      <c r="D116">
        <v>32</v>
      </c>
      <c r="E116" t="s">
        <v>95</v>
      </c>
      <c r="F116">
        <v>100</v>
      </c>
      <c r="H116">
        <v>12</v>
      </c>
      <c r="I116">
        <v>1.2</v>
      </c>
      <c r="J116">
        <v>14.4</v>
      </c>
      <c r="K116">
        <v>2.94</v>
      </c>
      <c r="L116">
        <v>4.92</v>
      </c>
      <c r="M116" t="s">
        <v>12</v>
      </c>
      <c r="N116" t="s">
        <v>162</v>
      </c>
    </row>
    <row r="117" spans="1:14" x14ac:dyDescent="0.3">
      <c r="A117" t="s">
        <v>12</v>
      </c>
      <c r="B117">
        <f>VLOOKUP(M117,Sheet9!$I$1:$J$17,2,FALSE)</f>
        <v>8</v>
      </c>
      <c r="C117">
        <f>VLOOKUP(N117,Sheet9!$M$1:$N$2,2,FALSE)</f>
        <v>1</v>
      </c>
      <c r="D117">
        <v>32</v>
      </c>
      <c r="E117" t="s">
        <v>95</v>
      </c>
      <c r="F117">
        <v>100</v>
      </c>
      <c r="H117">
        <v>32</v>
      </c>
      <c r="I117">
        <v>0.6</v>
      </c>
      <c r="J117">
        <v>19.2</v>
      </c>
      <c r="K117">
        <v>2.89</v>
      </c>
      <c r="L117">
        <v>4.8</v>
      </c>
      <c r="M117" t="s">
        <v>12</v>
      </c>
      <c r="N117" t="s">
        <v>162</v>
      </c>
    </row>
    <row r="118" spans="1:14" x14ac:dyDescent="0.3">
      <c r="A118" t="s">
        <v>12</v>
      </c>
      <c r="B118">
        <f>VLOOKUP(M118,Sheet9!$I$1:$J$17,2,FALSE)</f>
        <v>8</v>
      </c>
      <c r="C118">
        <f>VLOOKUP(N118,Sheet9!$M$1:$N$2,2,FALSE)</f>
        <v>1</v>
      </c>
      <c r="D118">
        <v>32</v>
      </c>
      <c r="E118" t="s">
        <v>95</v>
      </c>
      <c r="F118">
        <v>100</v>
      </c>
      <c r="H118">
        <v>16</v>
      </c>
      <c r="I118">
        <v>1.2</v>
      </c>
      <c r="J118">
        <v>19.2</v>
      </c>
      <c r="K118">
        <v>2.82</v>
      </c>
      <c r="L118">
        <v>4.71</v>
      </c>
      <c r="M118" t="s">
        <v>12</v>
      </c>
      <c r="N118" t="s">
        <v>162</v>
      </c>
    </row>
    <row r="119" spans="1:14" x14ac:dyDescent="0.3">
      <c r="A119" t="s">
        <v>12</v>
      </c>
      <c r="B119">
        <f>VLOOKUP(M119,Sheet9!$I$1:$J$17,2,FALSE)</f>
        <v>8</v>
      </c>
      <c r="C119">
        <f>VLOOKUP(N119,Sheet9!$M$1:$N$2,2,FALSE)</f>
        <v>1</v>
      </c>
      <c r="D119">
        <v>32</v>
      </c>
      <c r="E119" t="s">
        <v>95</v>
      </c>
      <c r="F119">
        <v>120</v>
      </c>
      <c r="H119">
        <v>2</v>
      </c>
      <c r="I119">
        <v>1</v>
      </c>
      <c r="J119">
        <v>2</v>
      </c>
      <c r="K119">
        <v>4.6100000000000003</v>
      </c>
      <c r="L119">
        <v>7.33</v>
      </c>
      <c r="M119" t="s">
        <v>12</v>
      </c>
      <c r="N119" t="s">
        <v>162</v>
      </c>
    </row>
    <row r="120" spans="1:14" x14ac:dyDescent="0.3">
      <c r="A120" t="s">
        <v>12</v>
      </c>
      <c r="B120">
        <f>VLOOKUP(M120,Sheet9!$I$1:$J$17,2,FALSE)</f>
        <v>8</v>
      </c>
      <c r="C120">
        <f>VLOOKUP(N120,Sheet9!$M$1:$N$2,2,FALSE)</f>
        <v>1</v>
      </c>
      <c r="D120">
        <v>32</v>
      </c>
      <c r="E120" t="s">
        <v>95</v>
      </c>
      <c r="F120">
        <v>120</v>
      </c>
      <c r="H120">
        <v>1</v>
      </c>
      <c r="I120">
        <v>5</v>
      </c>
      <c r="J120">
        <v>5</v>
      </c>
      <c r="K120">
        <v>4.1399999999999997</v>
      </c>
      <c r="L120">
        <v>6.58</v>
      </c>
      <c r="M120" t="s">
        <v>12</v>
      </c>
      <c r="N120" t="s">
        <v>162</v>
      </c>
    </row>
    <row r="121" spans="1:14" x14ac:dyDescent="0.3">
      <c r="A121" t="s">
        <v>12</v>
      </c>
      <c r="B121">
        <f>VLOOKUP(M121,Sheet9!$I$1:$J$17,2,FALSE)</f>
        <v>8</v>
      </c>
      <c r="C121">
        <f>VLOOKUP(N121,Sheet9!$M$1:$N$2,2,FALSE)</f>
        <v>1</v>
      </c>
      <c r="D121">
        <v>32</v>
      </c>
      <c r="E121" t="s">
        <v>95</v>
      </c>
      <c r="F121">
        <v>120</v>
      </c>
      <c r="H121">
        <v>10</v>
      </c>
      <c r="I121">
        <v>0.6</v>
      </c>
      <c r="J121">
        <v>6</v>
      </c>
      <c r="K121">
        <v>5.48</v>
      </c>
      <c r="L121">
        <v>8.68</v>
      </c>
      <c r="M121" t="s">
        <v>12</v>
      </c>
      <c r="N121" t="s">
        <v>162</v>
      </c>
    </row>
    <row r="122" spans="1:14" x14ac:dyDescent="0.3">
      <c r="A122" t="s">
        <v>12</v>
      </c>
      <c r="B122">
        <f>VLOOKUP(M122,Sheet9!$I$1:$J$17,2,FALSE)</f>
        <v>8</v>
      </c>
      <c r="C122">
        <f>VLOOKUP(N122,Sheet9!$M$1:$N$2,2,FALSE)</f>
        <v>1</v>
      </c>
      <c r="D122">
        <v>32</v>
      </c>
      <c r="E122" t="s">
        <v>95</v>
      </c>
      <c r="F122">
        <v>120</v>
      </c>
      <c r="H122">
        <v>6</v>
      </c>
      <c r="I122">
        <v>1.2</v>
      </c>
      <c r="J122">
        <v>7.2</v>
      </c>
      <c r="K122">
        <v>5.95</v>
      </c>
      <c r="L122">
        <v>9.4600000000000009</v>
      </c>
      <c r="M122" t="s">
        <v>12</v>
      </c>
      <c r="N122" t="s">
        <v>162</v>
      </c>
    </row>
    <row r="123" spans="1:14" x14ac:dyDescent="0.3">
      <c r="A123" t="s">
        <v>12</v>
      </c>
      <c r="B123">
        <f>VLOOKUP(M123,Sheet9!$I$1:$J$17,2,FALSE)</f>
        <v>8</v>
      </c>
      <c r="C123">
        <f>VLOOKUP(N123,Sheet9!$M$1:$N$2,2,FALSE)</f>
        <v>1</v>
      </c>
      <c r="D123">
        <v>32</v>
      </c>
      <c r="E123" t="s">
        <v>95</v>
      </c>
      <c r="F123">
        <v>120</v>
      </c>
      <c r="H123">
        <v>1</v>
      </c>
      <c r="I123">
        <v>10</v>
      </c>
      <c r="J123">
        <v>10</v>
      </c>
      <c r="K123">
        <v>4.1399999999999997</v>
      </c>
      <c r="L123">
        <v>6.58</v>
      </c>
      <c r="M123" t="s">
        <v>12</v>
      </c>
      <c r="N123" t="s">
        <v>162</v>
      </c>
    </row>
    <row r="124" spans="1:14" x14ac:dyDescent="0.3">
      <c r="A124" t="s">
        <v>12</v>
      </c>
      <c r="B124">
        <f>VLOOKUP(M124,Sheet9!$I$1:$J$17,2,FALSE)</f>
        <v>8</v>
      </c>
      <c r="C124">
        <f>VLOOKUP(N124,Sheet9!$M$1:$N$2,2,FALSE)</f>
        <v>1</v>
      </c>
      <c r="D124">
        <v>32</v>
      </c>
      <c r="E124" t="s">
        <v>95</v>
      </c>
      <c r="F124">
        <v>120</v>
      </c>
      <c r="H124">
        <v>20</v>
      </c>
      <c r="I124">
        <v>0.6</v>
      </c>
      <c r="J124">
        <v>12</v>
      </c>
      <c r="K124">
        <v>5.59</v>
      </c>
      <c r="L124">
        <v>8.85</v>
      </c>
      <c r="M124" t="s">
        <v>12</v>
      </c>
      <c r="N124" t="s">
        <v>162</v>
      </c>
    </row>
    <row r="125" spans="1:14" x14ac:dyDescent="0.3">
      <c r="A125" t="s">
        <v>12</v>
      </c>
      <c r="B125">
        <f>VLOOKUP(M125,Sheet9!$I$1:$J$17,2,FALSE)</f>
        <v>8</v>
      </c>
      <c r="C125">
        <f>VLOOKUP(N125,Sheet9!$M$1:$N$2,2,FALSE)</f>
        <v>1</v>
      </c>
      <c r="D125">
        <v>32</v>
      </c>
      <c r="E125" t="s">
        <v>95</v>
      </c>
      <c r="F125">
        <v>120</v>
      </c>
      <c r="H125">
        <v>12</v>
      </c>
      <c r="I125">
        <v>1.2</v>
      </c>
      <c r="J125">
        <v>14.4</v>
      </c>
      <c r="K125">
        <v>5.31</v>
      </c>
      <c r="L125">
        <v>8.44</v>
      </c>
      <c r="M125" t="s">
        <v>12</v>
      </c>
      <c r="N125" t="s">
        <v>162</v>
      </c>
    </row>
    <row r="126" spans="1:14" x14ac:dyDescent="0.3">
      <c r="A126" t="s">
        <v>12</v>
      </c>
      <c r="B126">
        <f>VLOOKUP(M126,Sheet9!$I$1:$J$17,2,FALSE)</f>
        <v>8</v>
      </c>
      <c r="C126">
        <f>VLOOKUP(N126,Sheet9!$M$1:$N$2,2,FALSE)</f>
        <v>1</v>
      </c>
      <c r="D126">
        <v>32</v>
      </c>
      <c r="E126" t="s">
        <v>95</v>
      </c>
      <c r="F126">
        <v>120</v>
      </c>
      <c r="H126">
        <v>32</v>
      </c>
      <c r="I126">
        <v>0.6</v>
      </c>
      <c r="J126">
        <v>19.2</v>
      </c>
      <c r="K126">
        <v>5.21</v>
      </c>
      <c r="L126">
        <v>8.25</v>
      </c>
      <c r="M126" t="s">
        <v>12</v>
      </c>
      <c r="N126" t="s">
        <v>162</v>
      </c>
    </row>
    <row r="127" spans="1:14" x14ac:dyDescent="0.3">
      <c r="A127" t="s">
        <v>12</v>
      </c>
      <c r="B127">
        <f>VLOOKUP(M127,Sheet9!$I$1:$J$17,2,FALSE)</f>
        <v>8</v>
      </c>
      <c r="C127">
        <f>VLOOKUP(N127,Sheet9!$M$1:$N$2,2,FALSE)</f>
        <v>1</v>
      </c>
      <c r="D127">
        <v>32</v>
      </c>
      <c r="E127" t="s">
        <v>95</v>
      </c>
      <c r="F127">
        <v>120</v>
      </c>
      <c r="H127">
        <v>16</v>
      </c>
      <c r="I127">
        <v>1.2</v>
      </c>
      <c r="J127">
        <v>19.2</v>
      </c>
      <c r="K127">
        <v>5.08</v>
      </c>
      <c r="L127">
        <v>8.08</v>
      </c>
      <c r="M127" t="s">
        <v>12</v>
      </c>
      <c r="N127" t="s">
        <v>162</v>
      </c>
    </row>
    <row r="128" spans="1:14" x14ac:dyDescent="0.3">
      <c r="A128" t="s">
        <v>12</v>
      </c>
      <c r="B128">
        <f>VLOOKUP(M128,Sheet9!$I$1:$J$17,2,FALSE)</f>
        <v>8</v>
      </c>
      <c r="C128">
        <f>VLOOKUP(N128,Sheet9!$M$1:$N$2,2,FALSE)</f>
        <v>1</v>
      </c>
      <c r="D128">
        <v>32</v>
      </c>
      <c r="E128" t="s">
        <v>95</v>
      </c>
      <c r="F128">
        <v>140</v>
      </c>
      <c r="H128">
        <v>2</v>
      </c>
      <c r="I128">
        <v>1</v>
      </c>
      <c r="J128">
        <v>2</v>
      </c>
      <c r="K128">
        <v>6.88</v>
      </c>
      <c r="L128">
        <v>10.59</v>
      </c>
      <c r="M128" t="s">
        <v>12</v>
      </c>
      <c r="N128" t="s">
        <v>162</v>
      </c>
    </row>
    <row r="129" spans="1:14" x14ac:dyDescent="0.3">
      <c r="A129" t="s">
        <v>12</v>
      </c>
      <c r="B129">
        <f>VLOOKUP(M129,Sheet9!$I$1:$J$17,2,FALSE)</f>
        <v>8</v>
      </c>
      <c r="C129">
        <f>VLOOKUP(N129,Sheet9!$M$1:$N$2,2,FALSE)</f>
        <v>1</v>
      </c>
      <c r="D129">
        <v>32</v>
      </c>
      <c r="E129" t="s">
        <v>95</v>
      </c>
      <c r="F129">
        <v>140</v>
      </c>
      <c r="H129">
        <v>1</v>
      </c>
      <c r="I129">
        <v>5</v>
      </c>
      <c r="J129">
        <v>5</v>
      </c>
      <c r="K129">
        <v>6.17</v>
      </c>
      <c r="L129">
        <v>9.5</v>
      </c>
      <c r="M129" t="s">
        <v>12</v>
      </c>
      <c r="N129" t="s">
        <v>162</v>
      </c>
    </row>
    <row r="130" spans="1:14" x14ac:dyDescent="0.3">
      <c r="A130" t="s">
        <v>12</v>
      </c>
      <c r="B130">
        <f>VLOOKUP(M130,Sheet9!$I$1:$J$17,2,FALSE)</f>
        <v>8</v>
      </c>
      <c r="C130">
        <f>VLOOKUP(N130,Sheet9!$M$1:$N$2,2,FALSE)</f>
        <v>1</v>
      </c>
      <c r="D130">
        <v>32</v>
      </c>
      <c r="E130" t="s">
        <v>95</v>
      </c>
      <c r="F130">
        <v>140</v>
      </c>
      <c r="H130">
        <v>10</v>
      </c>
      <c r="I130">
        <v>0.6</v>
      </c>
      <c r="J130">
        <v>6</v>
      </c>
      <c r="K130">
        <v>8.1999999999999993</v>
      </c>
      <c r="L130">
        <v>12.51</v>
      </c>
      <c r="M130" t="s">
        <v>12</v>
      </c>
      <c r="N130" t="s">
        <v>162</v>
      </c>
    </row>
    <row r="131" spans="1:14" x14ac:dyDescent="0.3">
      <c r="A131" t="s">
        <v>12</v>
      </c>
      <c r="B131">
        <f>VLOOKUP(M131,Sheet9!$I$1:$J$17,2,FALSE)</f>
        <v>8</v>
      </c>
      <c r="C131">
        <f>VLOOKUP(N131,Sheet9!$M$1:$N$2,2,FALSE)</f>
        <v>1</v>
      </c>
      <c r="D131">
        <v>32</v>
      </c>
      <c r="E131" t="s">
        <v>95</v>
      </c>
      <c r="F131">
        <v>140</v>
      </c>
      <c r="H131">
        <v>6</v>
      </c>
      <c r="I131">
        <v>1.2</v>
      </c>
      <c r="J131">
        <v>7.2</v>
      </c>
      <c r="K131">
        <v>8.8699999999999992</v>
      </c>
      <c r="L131">
        <v>13.66</v>
      </c>
      <c r="M131" t="s">
        <v>12</v>
      </c>
      <c r="N131" t="s">
        <v>162</v>
      </c>
    </row>
    <row r="132" spans="1:14" x14ac:dyDescent="0.3">
      <c r="A132" t="s">
        <v>12</v>
      </c>
      <c r="B132">
        <f>VLOOKUP(M132,Sheet9!$I$1:$J$17,2,FALSE)</f>
        <v>8</v>
      </c>
      <c r="C132">
        <f>VLOOKUP(N132,Sheet9!$M$1:$N$2,2,FALSE)</f>
        <v>1</v>
      </c>
      <c r="D132">
        <v>32</v>
      </c>
      <c r="E132" t="s">
        <v>95</v>
      </c>
      <c r="F132">
        <v>140</v>
      </c>
      <c r="H132">
        <v>1</v>
      </c>
      <c r="I132">
        <v>10</v>
      </c>
      <c r="J132">
        <v>10</v>
      </c>
      <c r="K132">
        <v>6.17</v>
      </c>
      <c r="L132">
        <v>9.5</v>
      </c>
      <c r="M132" t="s">
        <v>12</v>
      </c>
      <c r="N132" t="s">
        <v>162</v>
      </c>
    </row>
    <row r="133" spans="1:14" x14ac:dyDescent="0.3">
      <c r="A133" t="s">
        <v>12</v>
      </c>
      <c r="B133">
        <f>VLOOKUP(M133,Sheet9!$I$1:$J$17,2,FALSE)</f>
        <v>8</v>
      </c>
      <c r="C133">
        <f>VLOOKUP(N133,Sheet9!$M$1:$N$2,2,FALSE)</f>
        <v>1</v>
      </c>
      <c r="D133">
        <v>32</v>
      </c>
      <c r="E133" t="s">
        <v>95</v>
      </c>
      <c r="F133">
        <v>140</v>
      </c>
      <c r="H133">
        <v>20</v>
      </c>
      <c r="I133">
        <v>0.6</v>
      </c>
      <c r="J133">
        <v>12</v>
      </c>
      <c r="K133">
        <v>8.36</v>
      </c>
      <c r="L133">
        <v>12.75</v>
      </c>
      <c r="M133" t="s">
        <v>12</v>
      </c>
      <c r="N133" t="s">
        <v>162</v>
      </c>
    </row>
    <row r="134" spans="1:14" x14ac:dyDescent="0.3">
      <c r="A134" t="s">
        <v>12</v>
      </c>
      <c r="B134">
        <f>VLOOKUP(M134,Sheet9!$I$1:$J$17,2,FALSE)</f>
        <v>8</v>
      </c>
      <c r="C134">
        <f>VLOOKUP(N134,Sheet9!$M$1:$N$2,2,FALSE)</f>
        <v>1</v>
      </c>
      <c r="D134">
        <v>32</v>
      </c>
      <c r="E134" t="s">
        <v>95</v>
      </c>
      <c r="F134">
        <v>140</v>
      </c>
      <c r="H134">
        <v>12</v>
      </c>
      <c r="I134">
        <v>1.2</v>
      </c>
      <c r="J134">
        <v>14.4</v>
      </c>
      <c r="K134">
        <v>7.92</v>
      </c>
      <c r="L134">
        <v>12.19</v>
      </c>
      <c r="M134" t="s">
        <v>12</v>
      </c>
      <c r="N134" t="s">
        <v>162</v>
      </c>
    </row>
    <row r="135" spans="1:14" x14ac:dyDescent="0.3">
      <c r="A135" t="s">
        <v>12</v>
      </c>
      <c r="B135">
        <f>VLOOKUP(M135,Sheet9!$I$1:$J$17,2,FALSE)</f>
        <v>8</v>
      </c>
      <c r="C135">
        <f>VLOOKUP(N135,Sheet9!$M$1:$N$2,2,FALSE)</f>
        <v>1</v>
      </c>
      <c r="D135">
        <v>32</v>
      </c>
      <c r="E135" t="s">
        <v>95</v>
      </c>
      <c r="F135">
        <v>140</v>
      </c>
      <c r="H135">
        <v>32</v>
      </c>
      <c r="I135">
        <v>0.6</v>
      </c>
      <c r="J135">
        <v>19.2</v>
      </c>
      <c r="K135">
        <v>7.79</v>
      </c>
      <c r="L135">
        <v>11.88</v>
      </c>
      <c r="M135" t="s">
        <v>12</v>
      </c>
      <c r="N135" t="s">
        <v>162</v>
      </c>
    </row>
    <row r="136" spans="1:14" x14ac:dyDescent="0.3">
      <c r="A136" t="s">
        <v>12</v>
      </c>
      <c r="B136">
        <f>VLOOKUP(M136,Sheet9!$I$1:$J$17,2,FALSE)</f>
        <v>8</v>
      </c>
      <c r="C136">
        <f>VLOOKUP(N136,Sheet9!$M$1:$N$2,2,FALSE)</f>
        <v>1</v>
      </c>
      <c r="D136">
        <v>32</v>
      </c>
      <c r="E136" t="s">
        <v>95</v>
      </c>
      <c r="F136">
        <v>140</v>
      </c>
      <c r="H136">
        <v>16</v>
      </c>
      <c r="I136">
        <v>1.2</v>
      </c>
      <c r="J136">
        <v>19.2</v>
      </c>
      <c r="K136">
        <v>7.58</v>
      </c>
      <c r="L136">
        <v>11.66</v>
      </c>
      <c r="M136" t="s">
        <v>12</v>
      </c>
      <c r="N136" t="s">
        <v>162</v>
      </c>
    </row>
    <row r="137" spans="1:14" x14ac:dyDescent="0.3">
      <c r="A137" t="s">
        <v>12</v>
      </c>
      <c r="B137">
        <f>VLOOKUP(M137,Sheet9!$I$1:$J$17,2,FALSE)</f>
        <v>8</v>
      </c>
      <c r="C137">
        <f>VLOOKUP(N137,Sheet9!$M$1:$N$2,2,FALSE)</f>
        <v>1</v>
      </c>
      <c r="D137">
        <v>32</v>
      </c>
      <c r="E137" t="s">
        <v>96</v>
      </c>
      <c r="F137">
        <v>70</v>
      </c>
      <c r="H137">
        <v>2</v>
      </c>
      <c r="I137">
        <v>1</v>
      </c>
      <c r="J137">
        <v>2</v>
      </c>
      <c r="K137">
        <v>0.57999999999999996</v>
      </c>
      <c r="L137">
        <v>1.01</v>
      </c>
      <c r="M137" t="s">
        <v>12</v>
      </c>
      <c r="N137" t="s">
        <v>162</v>
      </c>
    </row>
    <row r="138" spans="1:14" x14ac:dyDescent="0.3">
      <c r="A138" t="s">
        <v>12</v>
      </c>
      <c r="B138">
        <f>VLOOKUP(M138,Sheet9!$I$1:$J$17,2,FALSE)</f>
        <v>8</v>
      </c>
      <c r="C138">
        <f>VLOOKUP(N138,Sheet9!$M$1:$N$2,2,FALSE)</f>
        <v>1</v>
      </c>
      <c r="D138">
        <v>32</v>
      </c>
      <c r="E138" t="s">
        <v>96</v>
      </c>
      <c r="F138">
        <v>70</v>
      </c>
      <c r="H138">
        <v>1</v>
      </c>
      <c r="I138">
        <v>5</v>
      </c>
      <c r="J138">
        <v>5</v>
      </c>
      <c r="K138">
        <v>0.52</v>
      </c>
      <c r="L138">
        <v>0.91</v>
      </c>
      <c r="M138" t="s">
        <v>12</v>
      </c>
      <c r="N138" t="s">
        <v>162</v>
      </c>
    </row>
    <row r="139" spans="1:14" x14ac:dyDescent="0.3">
      <c r="A139" t="s">
        <v>12</v>
      </c>
      <c r="B139">
        <f>VLOOKUP(M139,Sheet9!$I$1:$J$17,2,FALSE)</f>
        <v>8</v>
      </c>
      <c r="C139">
        <f>VLOOKUP(N139,Sheet9!$M$1:$N$2,2,FALSE)</f>
        <v>1</v>
      </c>
      <c r="D139">
        <v>32</v>
      </c>
      <c r="E139" t="s">
        <v>96</v>
      </c>
      <c r="F139">
        <v>70</v>
      </c>
      <c r="H139">
        <v>10</v>
      </c>
      <c r="I139">
        <v>0.6</v>
      </c>
      <c r="J139">
        <v>6</v>
      </c>
      <c r="K139">
        <v>0.69</v>
      </c>
      <c r="L139">
        <v>1.19</v>
      </c>
      <c r="M139" t="s">
        <v>12</v>
      </c>
      <c r="N139" t="s">
        <v>162</v>
      </c>
    </row>
    <row r="140" spans="1:14" x14ac:dyDescent="0.3">
      <c r="A140" t="s">
        <v>12</v>
      </c>
      <c r="B140">
        <f>VLOOKUP(M140,Sheet9!$I$1:$J$17,2,FALSE)</f>
        <v>8</v>
      </c>
      <c r="C140">
        <f>VLOOKUP(N140,Sheet9!$M$1:$N$2,2,FALSE)</f>
        <v>1</v>
      </c>
      <c r="D140">
        <v>32</v>
      </c>
      <c r="E140" t="s">
        <v>96</v>
      </c>
      <c r="F140">
        <v>70</v>
      </c>
      <c r="H140">
        <v>6</v>
      </c>
      <c r="I140">
        <v>1.2</v>
      </c>
      <c r="J140">
        <v>7.2</v>
      </c>
      <c r="K140">
        <v>0.75</v>
      </c>
      <c r="L140">
        <v>1.3</v>
      </c>
      <c r="M140" t="s">
        <v>12</v>
      </c>
      <c r="N140" t="s">
        <v>162</v>
      </c>
    </row>
    <row r="141" spans="1:14" x14ac:dyDescent="0.3">
      <c r="A141" t="s">
        <v>12</v>
      </c>
      <c r="B141">
        <f>VLOOKUP(M141,Sheet9!$I$1:$J$17,2,FALSE)</f>
        <v>8</v>
      </c>
      <c r="C141">
        <f>VLOOKUP(N141,Sheet9!$M$1:$N$2,2,FALSE)</f>
        <v>1</v>
      </c>
      <c r="D141">
        <v>32</v>
      </c>
      <c r="E141" t="s">
        <v>96</v>
      </c>
      <c r="F141">
        <v>70</v>
      </c>
      <c r="H141">
        <v>1</v>
      </c>
      <c r="I141">
        <v>10</v>
      </c>
      <c r="J141">
        <v>10</v>
      </c>
      <c r="K141">
        <v>0.52</v>
      </c>
      <c r="L141">
        <v>0.91</v>
      </c>
      <c r="M141" t="s">
        <v>12</v>
      </c>
      <c r="N141" t="s">
        <v>162</v>
      </c>
    </row>
    <row r="142" spans="1:14" x14ac:dyDescent="0.3">
      <c r="A142" t="s">
        <v>12</v>
      </c>
      <c r="B142">
        <f>VLOOKUP(M142,Sheet9!$I$1:$J$17,2,FALSE)</f>
        <v>8</v>
      </c>
      <c r="C142">
        <f>VLOOKUP(N142,Sheet9!$M$1:$N$2,2,FALSE)</f>
        <v>1</v>
      </c>
      <c r="D142">
        <v>32</v>
      </c>
      <c r="E142" t="s">
        <v>96</v>
      </c>
      <c r="F142">
        <v>70</v>
      </c>
      <c r="H142">
        <v>20</v>
      </c>
      <c r="I142">
        <v>0.6</v>
      </c>
      <c r="J142">
        <v>12</v>
      </c>
      <c r="K142">
        <v>0.7</v>
      </c>
      <c r="L142">
        <v>1.22</v>
      </c>
      <c r="M142" t="s">
        <v>12</v>
      </c>
      <c r="N142" t="s">
        <v>162</v>
      </c>
    </row>
    <row r="143" spans="1:14" x14ac:dyDescent="0.3">
      <c r="A143" t="s">
        <v>12</v>
      </c>
      <c r="B143">
        <f>VLOOKUP(M143,Sheet9!$I$1:$J$17,2,FALSE)</f>
        <v>8</v>
      </c>
      <c r="C143">
        <f>VLOOKUP(N143,Sheet9!$M$1:$N$2,2,FALSE)</f>
        <v>1</v>
      </c>
      <c r="D143">
        <v>32</v>
      </c>
      <c r="E143" t="s">
        <v>96</v>
      </c>
      <c r="F143">
        <v>70</v>
      </c>
      <c r="H143">
        <v>12</v>
      </c>
      <c r="I143">
        <v>1.2</v>
      </c>
      <c r="J143">
        <v>14.4</v>
      </c>
      <c r="K143">
        <v>0.67</v>
      </c>
      <c r="L143">
        <v>1.1599999999999999</v>
      </c>
      <c r="M143" t="s">
        <v>12</v>
      </c>
      <c r="N143" t="s">
        <v>162</v>
      </c>
    </row>
    <row r="144" spans="1:14" x14ac:dyDescent="0.3">
      <c r="A144" t="s">
        <v>12</v>
      </c>
      <c r="B144">
        <f>VLOOKUP(M144,Sheet9!$I$1:$J$17,2,FALSE)</f>
        <v>8</v>
      </c>
      <c r="C144">
        <f>VLOOKUP(N144,Sheet9!$M$1:$N$2,2,FALSE)</f>
        <v>1</v>
      </c>
      <c r="D144">
        <v>32</v>
      </c>
      <c r="E144" t="s">
        <v>96</v>
      </c>
      <c r="F144">
        <v>70</v>
      </c>
      <c r="H144">
        <v>32</v>
      </c>
      <c r="I144">
        <v>0.6</v>
      </c>
      <c r="J144">
        <v>19.2</v>
      </c>
      <c r="K144">
        <v>0.66</v>
      </c>
      <c r="L144">
        <v>1.1299999999999999</v>
      </c>
      <c r="M144" t="s">
        <v>12</v>
      </c>
      <c r="N144" t="s">
        <v>162</v>
      </c>
    </row>
    <row r="145" spans="1:14" x14ac:dyDescent="0.3">
      <c r="A145" t="s">
        <v>12</v>
      </c>
      <c r="B145">
        <f>VLOOKUP(M145,Sheet9!$I$1:$J$17,2,FALSE)</f>
        <v>8</v>
      </c>
      <c r="C145">
        <f>VLOOKUP(N145,Sheet9!$M$1:$N$2,2,FALSE)</f>
        <v>1</v>
      </c>
      <c r="D145">
        <v>32</v>
      </c>
      <c r="E145" t="s">
        <v>96</v>
      </c>
      <c r="F145">
        <v>70</v>
      </c>
      <c r="H145">
        <v>16</v>
      </c>
      <c r="I145">
        <v>1.2</v>
      </c>
      <c r="J145">
        <v>19.2</v>
      </c>
      <c r="K145">
        <v>0.64</v>
      </c>
      <c r="L145">
        <v>1.1100000000000001</v>
      </c>
      <c r="M145" t="s">
        <v>12</v>
      </c>
      <c r="N145" t="s">
        <v>162</v>
      </c>
    </row>
    <row r="146" spans="1:14" x14ac:dyDescent="0.3">
      <c r="A146" t="s">
        <v>12</v>
      </c>
      <c r="B146">
        <f>VLOOKUP(M146,Sheet9!$I$1:$J$17,2,FALSE)</f>
        <v>8</v>
      </c>
      <c r="C146">
        <f>VLOOKUP(N146,Sheet9!$M$1:$N$2,2,FALSE)</f>
        <v>1</v>
      </c>
      <c r="D146">
        <v>32</v>
      </c>
      <c r="E146" t="s">
        <v>96</v>
      </c>
      <c r="F146">
        <v>80</v>
      </c>
      <c r="H146">
        <v>2</v>
      </c>
      <c r="I146">
        <v>1</v>
      </c>
      <c r="J146">
        <v>2</v>
      </c>
      <c r="K146">
        <v>1.03</v>
      </c>
      <c r="L146">
        <v>1.66</v>
      </c>
      <c r="M146" t="s">
        <v>12</v>
      </c>
      <c r="N146" t="s">
        <v>162</v>
      </c>
    </row>
    <row r="147" spans="1:14" x14ac:dyDescent="0.3">
      <c r="A147" t="s">
        <v>12</v>
      </c>
      <c r="B147">
        <f>VLOOKUP(M147,Sheet9!$I$1:$J$17,2,FALSE)</f>
        <v>8</v>
      </c>
      <c r="C147">
        <f>VLOOKUP(N147,Sheet9!$M$1:$N$2,2,FALSE)</f>
        <v>1</v>
      </c>
      <c r="D147">
        <v>32</v>
      </c>
      <c r="E147" t="s">
        <v>96</v>
      </c>
      <c r="F147">
        <v>80</v>
      </c>
      <c r="H147">
        <v>1</v>
      </c>
      <c r="I147">
        <v>5</v>
      </c>
      <c r="J147">
        <v>5</v>
      </c>
      <c r="K147">
        <v>0.92</v>
      </c>
      <c r="L147">
        <v>1.49</v>
      </c>
      <c r="M147" t="s">
        <v>12</v>
      </c>
      <c r="N147" t="s">
        <v>162</v>
      </c>
    </row>
    <row r="148" spans="1:14" x14ac:dyDescent="0.3">
      <c r="A148" t="s">
        <v>12</v>
      </c>
      <c r="B148">
        <f>VLOOKUP(M148,Sheet9!$I$1:$J$17,2,FALSE)</f>
        <v>8</v>
      </c>
      <c r="C148">
        <f>VLOOKUP(N148,Sheet9!$M$1:$N$2,2,FALSE)</f>
        <v>1</v>
      </c>
      <c r="D148">
        <v>32</v>
      </c>
      <c r="E148" t="s">
        <v>96</v>
      </c>
      <c r="F148">
        <v>80</v>
      </c>
      <c r="H148">
        <v>10</v>
      </c>
      <c r="I148">
        <v>0.6</v>
      </c>
      <c r="J148">
        <v>6</v>
      </c>
      <c r="K148">
        <v>1.22</v>
      </c>
      <c r="L148">
        <v>1.96</v>
      </c>
      <c r="M148" t="s">
        <v>12</v>
      </c>
      <c r="N148" t="s">
        <v>162</v>
      </c>
    </row>
    <row r="149" spans="1:14" x14ac:dyDescent="0.3">
      <c r="A149" t="s">
        <v>12</v>
      </c>
      <c r="B149">
        <f>VLOOKUP(M149,Sheet9!$I$1:$J$17,2,FALSE)</f>
        <v>8</v>
      </c>
      <c r="C149">
        <f>VLOOKUP(N149,Sheet9!$M$1:$N$2,2,FALSE)</f>
        <v>1</v>
      </c>
      <c r="D149">
        <v>32</v>
      </c>
      <c r="E149" t="s">
        <v>96</v>
      </c>
      <c r="F149">
        <v>80</v>
      </c>
      <c r="H149">
        <v>6</v>
      </c>
      <c r="I149">
        <v>1.2</v>
      </c>
      <c r="J149">
        <v>7.2</v>
      </c>
      <c r="K149">
        <v>1.33</v>
      </c>
      <c r="L149">
        <v>2.14</v>
      </c>
      <c r="M149" t="s">
        <v>12</v>
      </c>
      <c r="N149" t="s">
        <v>162</v>
      </c>
    </row>
    <row r="150" spans="1:14" x14ac:dyDescent="0.3">
      <c r="A150" t="s">
        <v>12</v>
      </c>
      <c r="B150">
        <f>VLOOKUP(M150,Sheet9!$I$1:$J$17,2,FALSE)</f>
        <v>8</v>
      </c>
      <c r="C150">
        <f>VLOOKUP(N150,Sheet9!$M$1:$N$2,2,FALSE)</f>
        <v>1</v>
      </c>
      <c r="D150">
        <v>32</v>
      </c>
      <c r="E150" t="s">
        <v>96</v>
      </c>
      <c r="F150">
        <v>80</v>
      </c>
      <c r="H150">
        <v>1</v>
      </c>
      <c r="I150">
        <v>10</v>
      </c>
      <c r="J150">
        <v>10</v>
      </c>
      <c r="K150">
        <v>0.92</v>
      </c>
      <c r="L150">
        <v>1.49</v>
      </c>
      <c r="M150" t="s">
        <v>12</v>
      </c>
      <c r="N150" t="s">
        <v>162</v>
      </c>
    </row>
    <row r="151" spans="1:14" x14ac:dyDescent="0.3">
      <c r="A151" t="s">
        <v>12</v>
      </c>
      <c r="B151">
        <f>VLOOKUP(M151,Sheet9!$I$1:$J$17,2,FALSE)</f>
        <v>8</v>
      </c>
      <c r="C151">
        <f>VLOOKUP(N151,Sheet9!$M$1:$N$2,2,FALSE)</f>
        <v>1</v>
      </c>
      <c r="D151">
        <v>32</v>
      </c>
      <c r="E151" t="s">
        <v>96</v>
      </c>
      <c r="F151">
        <v>80</v>
      </c>
      <c r="H151">
        <v>20</v>
      </c>
      <c r="I151">
        <v>0.6</v>
      </c>
      <c r="J151">
        <v>12</v>
      </c>
      <c r="K151">
        <v>1.24</v>
      </c>
      <c r="L151">
        <v>2</v>
      </c>
      <c r="M151" t="s">
        <v>12</v>
      </c>
      <c r="N151" t="s">
        <v>162</v>
      </c>
    </row>
    <row r="152" spans="1:14" x14ac:dyDescent="0.3">
      <c r="A152" t="s">
        <v>12</v>
      </c>
      <c r="B152">
        <f>VLOOKUP(M152,Sheet9!$I$1:$J$17,2,FALSE)</f>
        <v>8</v>
      </c>
      <c r="C152">
        <f>VLOOKUP(N152,Sheet9!$M$1:$N$2,2,FALSE)</f>
        <v>1</v>
      </c>
      <c r="D152">
        <v>32</v>
      </c>
      <c r="E152" t="s">
        <v>96</v>
      </c>
      <c r="F152">
        <v>80</v>
      </c>
      <c r="H152">
        <v>12</v>
      </c>
      <c r="I152">
        <v>1.2</v>
      </c>
      <c r="J152">
        <v>14.4</v>
      </c>
      <c r="K152">
        <v>1.18</v>
      </c>
      <c r="L152">
        <v>1.91</v>
      </c>
      <c r="M152" t="s">
        <v>12</v>
      </c>
      <c r="N152" t="s">
        <v>162</v>
      </c>
    </row>
    <row r="153" spans="1:14" x14ac:dyDescent="0.3">
      <c r="A153" t="s">
        <v>12</v>
      </c>
      <c r="B153">
        <f>VLOOKUP(M153,Sheet9!$I$1:$J$17,2,FALSE)</f>
        <v>8</v>
      </c>
      <c r="C153">
        <f>VLOOKUP(N153,Sheet9!$M$1:$N$2,2,FALSE)</f>
        <v>1</v>
      </c>
      <c r="D153">
        <v>32</v>
      </c>
      <c r="E153" t="s">
        <v>96</v>
      </c>
      <c r="F153">
        <v>80</v>
      </c>
      <c r="H153">
        <v>32</v>
      </c>
      <c r="I153">
        <v>0.6</v>
      </c>
      <c r="J153">
        <v>19.2</v>
      </c>
      <c r="K153">
        <v>1.1599999999999999</v>
      </c>
      <c r="L153">
        <v>1.86</v>
      </c>
      <c r="M153" t="s">
        <v>12</v>
      </c>
      <c r="N153" t="s">
        <v>162</v>
      </c>
    </row>
    <row r="154" spans="1:14" x14ac:dyDescent="0.3">
      <c r="A154" t="s">
        <v>12</v>
      </c>
      <c r="B154">
        <f>VLOOKUP(M154,Sheet9!$I$1:$J$17,2,FALSE)</f>
        <v>8</v>
      </c>
      <c r="C154">
        <f>VLOOKUP(N154,Sheet9!$M$1:$N$2,2,FALSE)</f>
        <v>1</v>
      </c>
      <c r="D154">
        <v>32</v>
      </c>
      <c r="E154" t="s">
        <v>96</v>
      </c>
      <c r="F154">
        <v>80</v>
      </c>
      <c r="H154">
        <v>16</v>
      </c>
      <c r="I154">
        <v>1.2</v>
      </c>
      <c r="J154">
        <v>19.2</v>
      </c>
      <c r="K154">
        <v>1.1299999999999999</v>
      </c>
      <c r="L154">
        <v>1.83</v>
      </c>
      <c r="M154" t="s">
        <v>12</v>
      </c>
      <c r="N154" t="s">
        <v>162</v>
      </c>
    </row>
    <row r="155" spans="1:14" x14ac:dyDescent="0.3">
      <c r="A155" t="s">
        <v>12</v>
      </c>
      <c r="B155">
        <f>VLOOKUP(M155,Sheet9!$I$1:$J$17,2,FALSE)</f>
        <v>8</v>
      </c>
      <c r="C155">
        <f>VLOOKUP(N155,Sheet9!$M$1:$N$2,2,FALSE)</f>
        <v>1</v>
      </c>
      <c r="D155">
        <v>32</v>
      </c>
      <c r="E155" t="s">
        <v>96</v>
      </c>
      <c r="F155">
        <v>100</v>
      </c>
      <c r="H155">
        <v>2</v>
      </c>
      <c r="I155">
        <v>1</v>
      </c>
      <c r="J155">
        <v>2</v>
      </c>
      <c r="K155">
        <v>2.25</v>
      </c>
      <c r="L155">
        <v>3.35</v>
      </c>
      <c r="M155" t="s">
        <v>12</v>
      </c>
      <c r="N155" t="s">
        <v>162</v>
      </c>
    </row>
    <row r="156" spans="1:14" x14ac:dyDescent="0.3">
      <c r="A156" t="s">
        <v>12</v>
      </c>
      <c r="B156">
        <f>VLOOKUP(M156,Sheet9!$I$1:$J$17,2,FALSE)</f>
        <v>8</v>
      </c>
      <c r="C156">
        <f>VLOOKUP(N156,Sheet9!$M$1:$N$2,2,FALSE)</f>
        <v>1</v>
      </c>
      <c r="D156">
        <v>32</v>
      </c>
      <c r="E156" t="s">
        <v>96</v>
      </c>
      <c r="F156">
        <v>100</v>
      </c>
      <c r="H156">
        <v>1</v>
      </c>
      <c r="I156">
        <v>5</v>
      </c>
      <c r="J156">
        <v>5</v>
      </c>
      <c r="K156">
        <v>2.02</v>
      </c>
      <c r="L156">
        <v>3.01</v>
      </c>
      <c r="M156" t="s">
        <v>12</v>
      </c>
      <c r="N156" t="s">
        <v>162</v>
      </c>
    </row>
    <row r="157" spans="1:14" x14ac:dyDescent="0.3">
      <c r="A157" t="s">
        <v>12</v>
      </c>
      <c r="B157">
        <f>VLOOKUP(M157,Sheet9!$I$1:$J$17,2,FALSE)</f>
        <v>8</v>
      </c>
      <c r="C157">
        <f>VLOOKUP(N157,Sheet9!$M$1:$N$2,2,FALSE)</f>
        <v>1</v>
      </c>
      <c r="D157">
        <v>32</v>
      </c>
      <c r="E157" t="s">
        <v>96</v>
      </c>
      <c r="F157">
        <v>100</v>
      </c>
      <c r="H157">
        <v>10</v>
      </c>
      <c r="I157">
        <v>0.6</v>
      </c>
      <c r="J157">
        <v>6</v>
      </c>
      <c r="K157">
        <v>2.67</v>
      </c>
      <c r="L157">
        <v>3.95</v>
      </c>
      <c r="M157" t="s">
        <v>12</v>
      </c>
      <c r="N157" t="s">
        <v>162</v>
      </c>
    </row>
    <row r="158" spans="1:14" x14ac:dyDescent="0.3">
      <c r="A158" t="s">
        <v>12</v>
      </c>
      <c r="B158">
        <f>VLOOKUP(M158,Sheet9!$I$1:$J$17,2,FALSE)</f>
        <v>8</v>
      </c>
      <c r="C158">
        <f>VLOOKUP(N158,Sheet9!$M$1:$N$2,2,FALSE)</f>
        <v>1</v>
      </c>
      <c r="D158">
        <v>32</v>
      </c>
      <c r="E158" t="s">
        <v>96</v>
      </c>
      <c r="F158">
        <v>100</v>
      </c>
      <c r="H158">
        <v>6</v>
      </c>
      <c r="I158">
        <v>1.2</v>
      </c>
      <c r="J158">
        <v>7.2</v>
      </c>
      <c r="K158">
        <v>2.9</v>
      </c>
      <c r="L158">
        <v>4.32</v>
      </c>
      <c r="M158" t="s">
        <v>12</v>
      </c>
      <c r="N158" t="s">
        <v>162</v>
      </c>
    </row>
    <row r="159" spans="1:14" x14ac:dyDescent="0.3">
      <c r="A159" t="s">
        <v>12</v>
      </c>
      <c r="B159">
        <f>VLOOKUP(M159,Sheet9!$I$1:$J$17,2,FALSE)</f>
        <v>8</v>
      </c>
      <c r="C159">
        <f>VLOOKUP(N159,Sheet9!$M$1:$N$2,2,FALSE)</f>
        <v>1</v>
      </c>
      <c r="D159">
        <v>32</v>
      </c>
      <c r="E159" t="s">
        <v>96</v>
      </c>
      <c r="F159">
        <v>100</v>
      </c>
      <c r="H159">
        <v>1</v>
      </c>
      <c r="I159">
        <v>10</v>
      </c>
      <c r="J159">
        <v>10</v>
      </c>
      <c r="K159">
        <v>2.02</v>
      </c>
      <c r="L159">
        <v>3.01</v>
      </c>
      <c r="M159" t="s">
        <v>12</v>
      </c>
      <c r="N159" t="s">
        <v>162</v>
      </c>
    </row>
    <row r="160" spans="1:14" x14ac:dyDescent="0.3">
      <c r="A160" t="s">
        <v>12</v>
      </c>
      <c r="B160">
        <f>VLOOKUP(M160,Sheet9!$I$1:$J$17,2,FALSE)</f>
        <v>8</v>
      </c>
      <c r="C160">
        <f>VLOOKUP(N160,Sheet9!$M$1:$N$2,2,FALSE)</f>
        <v>1</v>
      </c>
      <c r="D160">
        <v>32</v>
      </c>
      <c r="E160" t="s">
        <v>96</v>
      </c>
      <c r="F160">
        <v>100</v>
      </c>
      <c r="H160">
        <v>20</v>
      </c>
      <c r="I160">
        <v>0.6</v>
      </c>
      <c r="J160">
        <v>12</v>
      </c>
      <c r="K160">
        <v>2.72</v>
      </c>
      <c r="L160">
        <v>4.03</v>
      </c>
      <c r="M160" t="s">
        <v>12</v>
      </c>
      <c r="N160" t="s">
        <v>162</v>
      </c>
    </row>
    <row r="161" spans="1:14" x14ac:dyDescent="0.3">
      <c r="A161" t="s">
        <v>12</v>
      </c>
      <c r="B161">
        <f>VLOOKUP(M161,Sheet9!$I$1:$J$17,2,FALSE)</f>
        <v>8</v>
      </c>
      <c r="C161">
        <f>VLOOKUP(N161,Sheet9!$M$1:$N$2,2,FALSE)</f>
        <v>1</v>
      </c>
      <c r="D161">
        <v>32</v>
      </c>
      <c r="E161" t="s">
        <v>96</v>
      </c>
      <c r="F161">
        <v>100</v>
      </c>
      <c r="H161">
        <v>12</v>
      </c>
      <c r="I161">
        <v>1.2</v>
      </c>
      <c r="J161">
        <v>14.4</v>
      </c>
      <c r="K161">
        <v>2.59</v>
      </c>
      <c r="L161">
        <v>3.86</v>
      </c>
      <c r="M161" t="s">
        <v>12</v>
      </c>
      <c r="N161" t="s">
        <v>162</v>
      </c>
    </row>
    <row r="162" spans="1:14" x14ac:dyDescent="0.3">
      <c r="A162" t="s">
        <v>12</v>
      </c>
      <c r="B162">
        <f>VLOOKUP(M162,Sheet9!$I$1:$J$17,2,FALSE)</f>
        <v>8</v>
      </c>
      <c r="C162">
        <f>VLOOKUP(N162,Sheet9!$M$1:$N$2,2,FALSE)</f>
        <v>1</v>
      </c>
      <c r="D162">
        <v>32</v>
      </c>
      <c r="E162" t="s">
        <v>96</v>
      </c>
      <c r="F162">
        <v>100</v>
      </c>
      <c r="H162">
        <v>32</v>
      </c>
      <c r="I162">
        <v>0.6</v>
      </c>
      <c r="J162">
        <v>19.2</v>
      </c>
      <c r="K162">
        <v>2.54</v>
      </c>
      <c r="L162">
        <v>3.75</v>
      </c>
      <c r="M162" t="s">
        <v>12</v>
      </c>
      <c r="N162" t="s">
        <v>162</v>
      </c>
    </row>
    <row r="163" spans="1:14" x14ac:dyDescent="0.3">
      <c r="A163" t="s">
        <v>12</v>
      </c>
      <c r="B163">
        <f>VLOOKUP(M163,Sheet9!$I$1:$J$17,2,FALSE)</f>
        <v>8</v>
      </c>
      <c r="C163">
        <f>VLOOKUP(N163,Sheet9!$M$1:$N$2,2,FALSE)</f>
        <v>1</v>
      </c>
      <c r="D163">
        <v>32</v>
      </c>
      <c r="E163" t="s">
        <v>96</v>
      </c>
      <c r="F163">
        <v>100</v>
      </c>
      <c r="H163">
        <v>16</v>
      </c>
      <c r="I163">
        <v>1.2</v>
      </c>
      <c r="J163">
        <v>19.2</v>
      </c>
      <c r="K163">
        <v>2.4700000000000002</v>
      </c>
      <c r="L163">
        <v>3.69</v>
      </c>
      <c r="M163" t="s">
        <v>12</v>
      </c>
      <c r="N163" t="s">
        <v>162</v>
      </c>
    </row>
    <row r="164" spans="1:14" x14ac:dyDescent="0.3">
      <c r="A164" t="s">
        <v>12</v>
      </c>
      <c r="B164">
        <f>VLOOKUP(M164,Sheet9!$I$1:$J$17,2,FALSE)</f>
        <v>8</v>
      </c>
      <c r="C164">
        <f>VLOOKUP(N164,Sheet9!$M$1:$N$2,2,FALSE)</f>
        <v>1</v>
      </c>
      <c r="D164">
        <v>32</v>
      </c>
      <c r="E164" t="s">
        <v>96</v>
      </c>
      <c r="F164">
        <v>120</v>
      </c>
      <c r="H164">
        <v>2</v>
      </c>
      <c r="I164">
        <v>1</v>
      </c>
      <c r="J164">
        <v>2</v>
      </c>
      <c r="K164">
        <v>4.09</v>
      </c>
      <c r="L164">
        <v>5.86</v>
      </c>
      <c r="M164" t="s">
        <v>12</v>
      </c>
      <c r="N164" t="s">
        <v>162</v>
      </c>
    </row>
    <row r="165" spans="1:14" x14ac:dyDescent="0.3">
      <c r="A165" t="s">
        <v>12</v>
      </c>
      <c r="B165">
        <f>VLOOKUP(M165,Sheet9!$I$1:$J$17,2,FALSE)</f>
        <v>8</v>
      </c>
      <c r="C165">
        <f>VLOOKUP(N165,Sheet9!$M$1:$N$2,2,FALSE)</f>
        <v>1</v>
      </c>
      <c r="D165">
        <v>32</v>
      </c>
      <c r="E165" t="s">
        <v>96</v>
      </c>
      <c r="F165">
        <v>120</v>
      </c>
      <c r="H165">
        <v>1</v>
      </c>
      <c r="I165">
        <v>5</v>
      </c>
      <c r="J165">
        <v>5</v>
      </c>
      <c r="K165">
        <v>3.67</v>
      </c>
      <c r="L165">
        <v>5.26</v>
      </c>
      <c r="M165" t="s">
        <v>12</v>
      </c>
      <c r="N165" t="s">
        <v>162</v>
      </c>
    </row>
    <row r="166" spans="1:14" x14ac:dyDescent="0.3">
      <c r="A166" t="s">
        <v>12</v>
      </c>
      <c r="B166">
        <f>VLOOKUP(M166,Sheet9!$I$1:$J$17,2,FALSE)</f>
        <v>8</v>
      </c>
      <c r="C166">
        <f>VLOOKUP(N166,Sheet9!$M$1:$N$2,2,FALSE)</f>
        <v>1</v>
      </c>
      <c r="D166">
        <v>32</v>
      </c>
      <c r="E166" t="s">
        <v>96</v>
      </c>
      <c r="F166">
        <v>120</v>
      </c>
      <c r="H166">
        <v>10</v>
      </c>
      <c r="I166">
        <v>0.6</v>
      </c>
      <c r="J166">
        <v>6</v>
      </c>
      <c r="K166">
        <v>4.87</v>
      </c>
      <c r="L166">
        <v>6.89</v>
      </c>
      <c r="M166" t="s">
        <v>12</v>
      </c>
      <c r="N166" t="s">
        <v>162</v>
      </c>
    </row>
    <row r="167" spans="1:14" x14ac:dyDescent="0.3">
      <c r="A167" t="s">
        <v>12</v>
      </c>
      <c r="B167">
        <f>VLOOKUP(M167,Sheet9!$I$1:$J$17,2,FALSE)</f>
        <v>8</v>
      </c>
      <c r="C167">
        <f>VLOOKUP(N167,Sheet9!$M$1:$N$2,2,FALSE)</f>
        <v>1</v>
      </c>
      <c r="D167">
        <v>32</v>
      </c>
      <c r="E167" t="s">
        <v>96</v>
      </c>
      <c r="F167">
        <v>120</v>
      </c>
      <c r="H167">
        <v>6</v>
      </c>
      <c r="I167">
        <v>1.2</v>
      </c>
      <c r="J167">
        <v>7.2</v>
      </c>
      <c r="K167">
        <v>5.28</v>
      </c>
      <c r="L167">
        <v>7.56</v>
      </c>
      <c r="M167" t="s">
        <v>12</v>
      </c>
      <c r="N167" t="s">
        <v>162</v>
      </c>
    </row>
    <row r="168" spans="1:14" x14ac:dyDescent="0.3">
      <c r="A168" t="s">
        <v>12</v>
      </c>
      <c r="B168">
        <f>VLOOKUP(M168,Sheet9!$I$1:$J$17,2,FALSE)</f>
        <v>8</v>
      </c>
      <c r="C168">
        <f>VLOOKUP(N168,Sheet9!$M$1:$N$2,2,FALSE)</f>
        <v>1</v>
      </c>
      <c r="D168">
        <v>32</v>
      </c>
      <c r="E168" t="s">
        <v>96</v>
      </c>
      <c r="F168">
        <v>120</v>
      </c>
      <c r="H168">
        <v>1</v>
      </c>
      <c r="I168">
        <v>10</v>
      </c>
      <c r="J168">
        <v>10</v>
      </c>
      <c r="K168">
        <v>3.67</v>
      </c>
      <c r="L168">
        <v>5.26</v>
      </c>
      <c r="M168" t="s">
        <v>12</v>
      </c>
      <c r="N168" t="s">
        <v>162</v>
      </c>
    </row>
    <row r="169" spans="1:14" x14ac:dyDescent="0.3">
      <c r="A169" t="s">
        <v>12</v>
      </c>
      <c r="B169">
        <f>VLOOKUP(M169,Sheet9!$I$1:$J$17,2,FALSE)</f>
        <v>8</v>
      </c>
      <c r="C169">
        <f>VLOOKUP(N169,Sheet9!$M$1:$N$2,2,FALSE)</f>
        <v>1</v>
      </c>
      <c r="D169">
        <v>32</v>
      </c>
      <c r="E169" t="s">
        <v>96</v>
      </c>
      <c r="F169">
        <v>120</v>
      </c>
      <c r="H169">
        <v>20</v>
      </c>
      <c r="I169">
        <v>0.6</v>
      </c>
      <c r="J169">
        <v>12</v>
      </c>
      <c r="K169">
        <v>4.96</v>
      </c>
      <c r="L169">
        <v>7.02</v>
      </c>
      <c r="M169" t="s">
        <v>12</v>
      </c>
      <c r="N169" t="s">
        <v>162</v>
      </c>
    </row>
    <row r="170" spans="1:14" x14ac:dyDescent="0.3">
      <c r="A170" t="s">
        <v>12</v>
      </c>
      <c r="B170">
        <f>VLOOKUP(M170,Sheet9!$I$1:$J$17,2,FALSE)</f>
        <v>8</v>
      </c>
      <c r="C170">
        <f>VLOOKUP(N170,Sheet9!$M$1:$N$2,2,FALSE)</f>
        <v>1</v>
      </c>
      <c r="D170">
        <v>32</v>
      </c>
      <c r="E170" t="s">
        <v>96</v>
      </c>
      <c r="F170">
        <v>120</v>
      </c>
      <c r="H170">
        <v>12</v>
      </c>
      <c r="I170">
        <v>1.2</v>
      </c>
      <c r="J170">
        <v>14.4</v>
      </c>
      <c r="K170">
        <v>4.71</v>
      </c>
      <c r="L170">
        <v>6.75</v>
      </c>
      <c r="M170" t="s">
        <v>12</v>
      </c>
      <c r="N170" t="s">
        <v>162</v>
      </c>
    </row>
    <row r="171" spans="1:14" x14ac:dyDescent="0.3">
      <c r="A171" t="s">
        <v>12</v>
      </c>
      <c r="B171">
        <f>VLOOKUP(M171,Sheet9!$I$1:$J$17,2,FALSE)</f>
        <v>8</v>
      </c>
      <c r="C171">
        <f>VLOOKUP(N171,Sheet9!$M$1:$N$2,2,FALSE)</f>
        <v>1</v>
      </c>
      <c r="D171">
        <v>32</v>
      </c>
      <c r="E171" t="s">
        <v>96</v>
      </c>
      <c r="F171">
        <v>120</v>
      </c>
      <c r="H171">
        <v>32</v>
      </c>
      <c r="I171">
        <v>0.6</v>
      </c>
      <c r="J171">
        <v>19.2</v>
      </c>
      <c r="K171">
        <v>4.62</v>
      </c>
      <c r="L171">
        <v>6.54</v>
      </c>
      <c r="M171" t="s">
        <v>12</v>
      </c>
      <c r="N171" t="s">
        <v>162</v>
      </c>
    </row>
    <row r="172" spans="1:14" x14ac:dyDescent="0.3">
      <c r="A172" t="s">
        <v>12</v>
      </c>
      <c r="B172">
        <f>VLOOKUP(M172,Sheet9!$I$1:$J$17,2,FALSE)</f>
        <v>8</v>
      </c>
      <c r="C172">
        <f>VLOOKUP(N172,Sheet9!$M$1:$N$2,2,FALSE)</f>
        <v>1</v>
      </c>
      <c r="D172">
        <v>32</v>
      </c>
      <c r="E172" t="s">
        <v>96</v>
      </c>
      <c r="F172">
        <v>120</v>
      </c>
      <c r="H172">
        <v>16</v>
      </c>
      <c r="I172">
        <v>1.2</v>
      </c>
      <c r="J172">
        <v>19.2</v>
      </c>
      <c r="K172">
        <v>4.51</v>
      </c>
      <c r="L172">
        <v>6.46</v>
      </c>
      <c r="M172" t="s">
        <v>12</v>
      </c>
      <c r="N172" t="s">
        <v>162</v>
      </c>
    </row>
    <row r="173" spans="1:14" x14ac:dyDescent="0.3">
      <c r="A173" t="s">
        <v>12</v>
      </c>
      <c r="B173">
        <f>VLOOKUP(M173,Sheet9!$I$1:$J$17,2,FALSE)</f>
        <v>8</v>
      </c>
      <c r="C173">
        <f>VLOOKUP(N173,Sheet9!$M$1:$N$2,2,FALSE)</f>
        <v>1</v>
      </c>
      <c r="D173">
        <v>32</v>
      </c>
      <c r="E173" t="s">
        <v>96</v>
      </c>
      <c r="F173">
        <v>140</v>
      </c>
      <c r="H173">
        <v>2</v>
      </c>
      <c r="I173">
        <v>1</v>
      </c>
      <c r="J173">
        <v>2</v>
      </c>
      <c r="K173">
        <v>6.16</v>
      </c>
      <c r="L173">
        <v>8.6</v>
      </c>
      <c r="M173" t="s">
        <v>12</v>
      </c>
      <c r="N173" t="s">
        <v>162</v>
      </c>
    </row>
    <row r="174" spans="1:14" x14ac:dyDescent="0.3">
      <c r="A174" t="s">
        <v>12</v>
      </c>
      <c r="B174">
        <f>VLOOKUP(M174,Sheet9!$I$1:$J$17,2,FALSE)</f>
        <v>8</v>
      </c>
      <c r="C174">
        <f>VLOOKUP(N174,Sheet9!$M$1:$N$2,2,FALSE)</f>
        <v>1</v>
      </c>
      <c r="D174">
        <v>32</v>
      </c>
      <c r="E174" t="s">
        <v>96</v>
      </c>
      <c r="F174">
        <v>140</v>
      </c>
      <c r="H174">
        <v>1</v>
      </c>
      <c r="I174">
        <v>5</v>
      </c>
      <c r="J174">
        <v>5</v>
      </c>
      <c r="K174">
        <v>5.52</v>
      </c>
      <c r="L174">
        <v>7.71</v>
      </c>
      <c r="M174" t="s">
        <v>12</v>
      </c>
      <c r="N174" t="s">
        <v>162</v>
      </c>
    </row>
    <row r="175" spans="1:14" x14ac:dyDescent="0.3">
      <c r="A175" t="s">
        <v>12</v>
      </c>
      <c r="B175">
        <f>VLOOKUP(M175,Sheet9!$I$1:$J$17,2,FALSE)</f>
        <v>8</v>
      </c>
      <c r="C175">
        <f>VLOOKUP(N175,Sheet9!$M$1:$N$2,2,FALSE)</f>
        <v>1</v>
      </c>
      <c r="D175">
        <v>32</v>
      </c>
      <c r="E175" t="s">
        <v>96</v>
      </c>
      <c r="F175">
        <v>140</v>
      </c>
      <c r="H175">
        <v>10</v>
      </c>
      <c r="I175">
        <v>0.6</v>
      </c>
      <c r="J175">
        <v>6</v>
      </c>
      <c r="K175">
        <v>7.29</v>
      </c>
      <c r="L175">
        <v>10.119999999999999</v>
      </c>
      <c r="M175" t="s">
        <v>12</v>
      </c>
      <c r="N175" t="s">
        <v>162</v>
      </c>
    </row>
    <row r="176" spans="1:14" x14ac:dyDescent="0.3">
      <c r="A176" t="s">
        <v>12</v>
      </c>
      <c r="B176">
        <f>VLOOKUP(M176,Sheet9!$I$1:$J$17,2,FALSE)</f>
        <v>8</v>
      </c>
      <c r="C176">
        <f>VLOOKUP(N176,Sheet9!$M$1:$N$2,2,FALSE)</f>
        <v>1</v>
      </c>
      <c r="D176">
        <v>32</v>
      </c>
      <c r="E176" t="s">
        <v>96</v>
      </c>
      <c r="F176">
        <v>140</v>
      </c>
      <c r="H176">
        <v>6</v>
      </c>
      <c r="I176">
        <v>1.2</v>
      </c>
      <c r="J176">
        <v>7.2</v>
      </c>
      <c r="K176">
        <v>7.94</v>
      </c>
      <c r="L176">
        <v>11.09</v>
      </c>
      <c r="M176" t="s">
        <v>12</v>
      </c>
      <c r="N176" t="s">
        <v>162</v>
      </c>
    </row>
    <row r="177" spans="1:14" x14ac:dyDescent="0.3">
      <c r="A177" t="s">
        <v>12</v>
      </c>
      <c r="B177">
        <f>VLOOKUP(M177,Sheet9!$I$1:$J$17,2,FALSE)</f>
        <v>8</v>
      </c>
      <c r="C177">
        <f>VLOOKUP(N177,Sheet9!$M$1:$N$2,2,FALSE)</f>
        <v>1</v>
      </c>
      <c r="D177">
        <v>32</v>
      </c>
      <c r="E177" t="s">
        <v>96</v>
      </c>
      <c r="F177">
        <v>140</v>
      </c>
      <c r="H177">
        <v>1</v>
      </c>
      <c r="I177">
        <v>10</v>
      </c>
      <c r="J177">
        <v>10</v>
      </c>
      <c r="K177">
        <v>5.52</v>
      </c>
      <c r="L177">
        <v>7.71</v>
      </c>
      <c r="M177" t="s">
        <v>12</v>
      </c>
      <c r="N177" t="s">
        <v>162</v>
      </c>
    </row>
    <row r="178" spans="1:14" x14ac:dyDescent="0.3">
      <c r="A178" t="s">
        <v>12</v>
      </c>
      <c r="B178">
        <f>VLOOKUP(M178,Sheet9!$I$1:$J$17,2,FALSE)</f>
        <v>8</v>
      </c>
      <c r="C178">
        <f>VLOOKUP(N178,Sheet9!$M$1:$N$2,2,FALSE)</f>
        <v>1</v>
      </c>
      <c r="D178">
        <v>32</v>
      </c>
      <c r="E178" t="s">
        <v>96</v>
      </c>
      <c r="F178">
        <v>140</v>
      </c>
      <c r="H178">
        <v>20</v>
      </c>
      <c r="I178">
        <v>0.6</v>
      </c>
      <c r="J178">
        <v>12</v>
      </c>
      <c r="K178">
        <v>7.43</v>
      </c>
      <c r="L178">
        <v>10.32</v>
      </c>
      <c r="M178" t="s">
        <v>12</v>
      </c>
      <c r="N178" t="s">
        <v>162</v>
      </c>
    </row>
    <row r="179" spans="1:14" x14ac:dyDescent="0.3">
      <c r="A179" t="s">
        <v>12</v>
      </c>
      <c r="B179">
        <f>VLOOKUP(M179,Sheet9!$I$1:$J$17,2,FALSE)</f>
        <v>8</v>
      </c>
      <c r="C179">
        <f>VLOOKUP(N179,Sheet9!$M$1:$N$2,2,FALSE)</f>
        <v>1</v>
      </c>
      <c r="D179">
        <v>32</v>
      </c>
      <c r="E179" t="s">
        <v>96</v>
      </c>
      <c r="F179">
        <v>140</v>
      </c>
      <c r="H179">
        <v>12</v>
      </c>
      <c r="I179">
        <v>1.2</v>
      </c>
      <c r="J179">
        <v>14.4</v>
      </c>
      <c r="K179">
        <v>7.09</v>
      </c>
      <c r="L179">
        <v>9.89</v>
      </c>
      <c r="M179" t="s">
        <v>12</v>
      </c>
      <c r="N179" t="s">
        <v>162</v>
      </c>
    </row>
    <row r="180" spans="1:14" x14ac:dyDescent="0.3">
      <c r="A180" t="s">
        <v>12</v>
      </c>
      <c r="B180">
        <f>VLOOKUP(M180,Sheet9!$I$1:$J$17,2,FALSE)</f>
        <v>8</v>
      </c>
      <c r="C180">
        <f>VLOOKUP(N180,Sheet9!$M$1:$N$2,2,FALSE)</f>
        <v>1</v>
      </c>
      <c r="D180">
        <v>32</v>
      </c>
      <c r="E180" t="s">
        <v>96</v>
      </c>
      <c r="F180">
        <v>140</v>
      </c>
      <c r="H180">
        <v>32</v>
      </c>
      <c r="I180">
        <v>0.6</v>
      </c>
      <c r="J180">
        <v>19.2</v>
      </c>
      <c r="K180">
        <v>6.92</v>
      </c>
      <c r="L180">
        <v>9.61</v>
      </c>
      <c r="M180" t="s">
        <v>12</v>
      </c>
      <c r="N180" t="s">
        <v>162</v>
      </c>
    </row>
    <row r="181" spans="1:14" x14ac:dyDescent="0.3">
      <c r="A181" t="s">
        <v>12</v>
      </c>
      <c r="B181">
        <f>VLOOKUP(M181,Sheet9!$I$1:$J$17,2,FALSE)</f>
        <v>8</v>
      </c>
      <c r="C181">
        <f>VLOOKUP(N181,Sheet9!$M$1:$N$2,2,FALSE)</f>
        <v>1</v>
      </c>
      <c r="D181">
        <v>32</v>
      </c>
      <c r="E181" t="s">
        <v>96</v>
      </c>
      <c r="F181">
        <v>140</v>
      </c>
      <c r="H181">
        <v>16</v>
      </c>
      <c r="I181">
        <v>1.2</v>
      </c>
      <c r="J181">
        <v>19.2</v>
      </c>
      <c r="K181">
        <v>6.78</v>
      </c>
      <c r="L181">
        <v>9.4700000000000006</v>
      </c>
      <c r="M181" t="s">
        <v>12</v>
      </c>
      <c r="N181" t="s">
        <v>162</v>
      </c>
    </row>
    <row r="182" spans="1:14" x14ac:dyDescent="0.3">
      <c r="A182" s="124" t="s">
        <v>24</v>
      </c>
      <c r="B182">
        <f>VLOOKUP(M182,Sheet9!$I$1:$J$17,2,FALSE)</f>
        <v>9</v>
      </c>
      <c r="C182">
        <f>VLOOKUP(N182,Sheet9!$M$1:$N$2,2,FALSE)</f>
        <v>1</v>
      </c>
      <c r="D182">
        <v>16</v>
      </c>
      <c r="E182" s="124" t="s">
        <v>95</v>
      </c>
      <c r="F182">
        <v>70</v>
      </c>
      <c r="H182">
        <v>2</v>
      </c>
      <c r="I182">
        <v>1</v>
      </c>
      <c r="J182">
        <v>2</v>
      </c>
      <c r="K182">
        <v>2.86</v>
      </c>
      <c r="L182">
        <v>3.06</v>
      </c>
      <c r="M182" s="124" t="s">
        <v>24</v>
      </c>
      <c r="N182" t="s">
        <v>162</v>
      </c>
    </row>
    <row r="183" spans="1:14" x14ac:dyDescent="0.3">
      <c r="A183" s="124" t="s">
        <v>24</v>
      </c>
      <c r="B183">
        <f>VLOOKUP(M183,Sheet9!$I$1:$J$17,2,FALSE)</f>
        <v>9</v>
      </c>
      <c r="C183">
        <f>VLOOKUP(N183,Sheet9!$M$1:$N$2,2,FALSE)</f>
        <v>1</v>
      </c>
      <c r="D183">
        <v>16</v>
      </c>
      <c r="E183" t="s">
        <v>95</v>
      </c>
      <c r="F183">
        <v>70</v>
      </c>
      <c r="H183">
        <v>1</v>
      </c>
      <c r="I183">
        <v>5</v>
      </c>
      <c r="J183">
        <v>5</v>
      </c>
      <c r="K183">
        <v>2.57</v>
      </c>
      <c r="L183">
        <v>2.74</v>
      </c>
      <c r="M183" s="124" t="s">
        <v>24</v>
      </c>
      <c r="N183" t="s">
        <v>162</v>
      </c>
    </row>
    <row r="184" spans="1:14" x14ac:dyDescent="0.3">
      <c r="A184" s="124" t="s">
        <v>24</v>
      </c>
      <c r="B184">
        <f>VLOOKUP(M184,Sheet9!$I$1:$J$17,2,FALSE)</f>
        <v>9</v>
      </c>
      <c r="C184">
        <f>VLOOKUP(N184,Sheet9!$M$1:$N$2,2,FALSE)</f>
        <v>1</v>
      </c>
      <c r="D184">
        <v>16</v>
      </c>
      <c r="E184" t="s">
        <v>95</v>
      </c>
      <c r="F184">
        <v>70</v>
      </c>
      <c r="H184">
        <v>10</v>
      </c>
      <c r="I184">
        <v>0.6</v>
      </c>
      <c r="J184">
        <v>6</v>
      </c>
      <c r="K184">
        <v>3.54</v>
      </c>
      <c r="L184">
        <v>3.79</v>
      </c>
      <c r="M184" s="124" t="s">
        <v>24</v>
      </c>
      <c r="N184" t="s">
        <v>162</v>
      </c>
    </row>
    <row r="185" spans="1:14" x14ac:dyDescent="0.3">
      <c r="A185" s="124" t="s">
        <v>24</v>
      </c>
      <c r="B185">
        <f>VLOOKUP(M185,Sheet9!$I$1:$J$17,2,FALSE)</f>
        <v>9</v>
      </c>
      <c r="C185">
        <f>VLOOKUP(N185,Sheet9!$M$1:$N$2,2,FALSE)</f>
        <v>1</v>
      </c>
      <c r="D185">
        <v>16</v>
      </c>
      <c r="E185" t="s">
        <v>95</v>
      </c>
      <c r="F185">
        <v>70</v>
      </c>
      <c r="H185">
        <v>6</v>
      </c>
      <c r="I185">
        <v>1.2</v>
      </c>
      <c r="J185">
        <v>7.1999999999999993</v>
      </c>
      <c r="K185">
        <v>3.69</v>
      </c>
      <c r="L185">
        <v>3.94</v>
      </c>
      <c r="M185" s="124" t="s">
        <v>24</v>
      </c>
      <c r="N185" t="s">
        <v>162</v>
      </c>
    </row>
    <row r="186" spans="1:14" x14ac:dyDescent="0.3">
      <c r="A186" s="124" t="s">
        <v>24</v>
      </c>
      <c r="B186">
        <f>VLOOKUP(M186,Sheet9!$I$1:$J$17,2,FALSE)</f>
        <v>9</v>
      </c>
      <c r="C186">
        <f>VLOOKUP(N186,Sheet9!$M$1:$N$2,2,FALSE)</f>
        <v>1</v>
      </c>
      <c r="D186">
        <v>16</v>
      </c>
      <c r="E186" t="s">
        <v>95</v>
      </c>
      <c r="F186">
        <v>70</v>
      </c>
      <c r="H186">
        <v>1</v>
      </c>
      <c r="I186">
        <v>10</v>
      </c>
      <c r="J186">
        <v>10</v>
      </c>
      <c r="K186">
        <v>2.57</v>
      </c>
      <c r="L186">
        <v>2.74</v>
      </c>
      <c r="M186" s="124" t="s">
        <v>24</v>
      </c>
      <c r="N186" t="s">
        <v>162</v>
      </c>
    </row>
    <row r="187" spans="1:14" x14ac:dyDescent="0.3">
      <c r="A187" s="124" t="s">
        <v>24</v>
      </c>
      <c r="B187">
        <f>VLOOKUP(M187,Sheet9!$I$1:$J$17,2,FALSE)</f>
        <v>9</v>
      </c>
      <c r="C187">
        <f>VLOOKUP(N187,Sheet9!$M$1:$N$2,2,FALSE)</f>
        <v>1</v>
      </c>
      <c r="D187">
        <v>16</v>
      </c>
      <c r="E187" t="s">
        <v>95</v>
      </c>
      <c r="F187">
        <v>70</v>
      </c>
      <c r="H187">
        <v>20</v>
      </c>
      <c r="I187">
        <v>0.6</v>
      </c>
      <c r="J187">
        <v>12</v>
      </c>
      <c r="K187">
        <v>3.48</v>
      </c>
      <c r="L187">
        <v>3.71</v>
      </c>
      <c r="M187" s="124" t="s">
        <v>24</v>
      </c>
      <c r="N187" t="s">
        <v>162</v>
      </c>
    </row>
    <row r="188" spans="1:14" x14ac:dyDescent="0.3">
      <c r="A188" s="124" t="s">
        <v>24</v>
      </c>
      <c r="B188">
        <f>VLOOKUP(M188,Sheet9!$I$1:$J$17,2,FALSE)</f>
        <v>9</v>
      </c>
      <c r="C188">
        <f>VLOOKUP(N188,Sheet9!$M$1:$N$2,2,FALSE)</f>
        <v>1</v>
      </c>
      <c r="D188">
        <v>16</v>
      </c>
      <c r="E188" t="s">
        <v>95</v>
      </c>
      <c r="F188">
        <v>70</v>
      </c>
      <c r="H188">
        <v>12</v>
      </c>
      <c r="I188">
        <v>1.2</v>
      </c>
      <c r="J188">
        <v>14.399999999999999</v>
      </c>
      <c r="K188">
        <v>3.29</v>
      </c>
      <c r="L188">
        <v>3.52</v>
      </c>
      <c r="M188" s="124" t="s">
        <v>24</v>
      </c>
      <c r="N188" t="s">
        <v>162</v>
      </c>
    </row>
    <row r="189" spans="1:14" x14ac:dyDescent="0.3">
      <c r="A189" s="124" t="s">
        <v>24</v>
      </c>
      <c r="B189">
        <f>VLOOKUP(M189,Sheet9!$I$1:$J$17,2,FALSE)</f>
        <v>9</v>
      </c>
      <c r="C189">
        <f>VLOOKUP(N189,Sheet9!$M$1:$N$2,2,FALSE)</f>
        <v>1</v>
      </c>
      <c r="D189">
        <v>16</v>
      </c>
      <c r="E189" t="s">
        <v>95</v>
      </c>
      <c r="F189">
        <v>70</v>
      </c>
      <c r="H189">
        <v>16</v>
      </c>
      <c r="I189">
        <v>1.2</v>
      </c>
      <c r="J189">
        <v>19.2</v>
      </c>
      <c r="K189">
        <v>3.15</v>
      </c>
      <c r="L189">
        <v>3.37</v>
      </c>
      <c r="M189" s="124" t="s">
        <v>24</v>
      </c>
      <c r="N189" t="s">
        <v>162</v>
      </c>
    </row>
    <row r="190" spans="1:14" x14ac:dyDescent="0.3">
      <c r="A190" s="124" t="s">
        <v>24</v>
      </c>
      <c r="B190">
        <f>VLOOKUP(M190,Sheet9!$I$1:$J$17,2,FALSE)</f>
        <v>9</v>
      </c>
      <c r="C190">
        <f>VLOOKUP(N190,Sheet9!$M$1:$N$2,2,FALSE)</f>
        <v>1</v>
      </c>
      <c r="D190">
        <v>16</v>
      </c>
      <c r="E190" s="124" t="s">
        <v>95</v>
      </c>
      <c r="F190">
        <v>80</v>
      </c>
      <c r="H190">
        <v>2</v>
      </c>
      <c r="I190">
        <v>1</v>
      </c>
      <c r="J190">
        <v>2</v>
      </c>
      <c r="K190">
        <v>4.57</v>
      </c>
      <c r="L190">
        <v>4.7699999999999996</v>
      </c>
      <c r="M190" s="124" t="s">
        <v>24</v>
      </c>
      <c r="N190" t="s">
        <v>162</v>
      </c>
    </row>
    <row r="191" spans="1:14" x14ac:dyDescent="0.3">
      <c r="A191" s="124" t="s">
        <v>24</v>
      </c>
      <c r="B191">
        <f>VLOOKUP(M191,Sheet9!$I$1:$J$17,2,FALSE)</f>
        <v>9</v>
      </c>
      <c r="C191">
        <f>VLOOKUP(N191,Sheet9!$M$1:$N$2,2,FALSE)</f>
        <v>1</v>
      </c>
      <c r="D191">
        <v>16</v>
      </c>
      <c r="E191" t="s">
        <v>95</v>
      </c>
      <c r="F191">
        <v>80</v>
      </c>
      <c r="H191">
        <v>1</v>
      </c>
      <c r="I191">
        <v>5</v>
      </c>
      <c r="J191">
        <v>5</v>
      </c>
      <c r="K191">
        <v>4.0999999999999996</v>
      </c>
      <c r="L191">
        <v>4.28</v>
      </c>
      <c r="M191" s="124" t="s">
        <v>24</v>
      </c>
      <c r="N191" t="s">
        <v>162</v>
      </c>
    </row>
    <row r="192" spans="1:14" x14ac:dyDescent="0.3">
      <c r="A192" s="124" t="s">
        <v>24</v>
      </c>
      <c r="B192">
        <f>VLOOKUP(M192,Sheet9!$I$1:$J$17,2,FALSE)</f>
        <v>9</v>
      </c>
      <c r="C192">
        <f>VLOOKUP(N192,Sheet9!$M$1:$N$2,2,FALSE)</f>
        <v>1</v>
      </c>
      <c r="D192">
        <v>16</v>
      </c>
      <c r="E192" t="s">
        <v>95</v>
      </c>
      <c r="F192">
        <v>80</v>
      </c>
      <c r="H192">
        <v>10</v>
      </c>
      <c r="I192">
        <v>0.6</v>
      </c>
      <c r="J192">
        <v>6</v>
      </c>
      <c r="K192">
        <v>5.65</v>
      </c>
      <c r="L192">
        <v>5.91</v>
      </c>
      <c r="M192" s="124" t="s">
        <v>24</v>
      </c>
      <c r="N192" t="s">
        <v>162</v>
      </c>
    </row>
    <row r="193" spans="1:14" x14ac:dyDescent="0.3">
      <c r="A193" s="124" t="s">
        <v>24</v>
      </c>
      <c r="B193">
        <f>VLOOKUP(M193,Sheet9!$I$1:$J$17,2,FALSE)</f>
        <v>9</v>
      </c>
      <c r="C193">
        <f>VLOOKUP(N193,Sheet9!$M$1:$N$2,2,FALSE)</f>
        <v>1</v>
      </c>
      <c r="D193">
        <v>16</v>
      </c>
      <c r="E193" t="s">
        <v>95</v>
      </c>
      <c r="F193">
        <v>80</v>
      </c>
      <c r="H193">
        <v>6</v>
      </c>
      <c r="I193">
        <v>1.2</v>
      </c>
      <c r="J193">
        <v>7.1999999999999993</v>
      </c>
      <c r="K193">
        <v>5.89</v>
      </c>
      <c r="L193">
        <v>6.16</v>
      </c>
      <c r="M193" s="124" t="s">
        <v>24</v>
      </c>
      <c r="N193" t="s">
        <v>162</v>
      </c>
    </row>
    <row r="194" spans="1:14" x14ac:dyDescent="0.3">
      <c r="A194" s="124" t="s">
        <v>24</v>
      </c>
      <c r="B194">
        <f>VLOOKUP(M194,Sheet9!$I$1:$J$17,2,FALSE)</f>
        <v>9</v>
      </c>
      <c r="C194">
        <f>VLOOKUP(N194,Sheet9!$M$1:$N$2,2,FALSE)</f>
        <v>1</v>
      </c>
      <c r="D194">
        <v>16</v>
      </c>
      <c r="E194" t="s">
        <v>95</v>
      </c>
      <c r="F194">
        <v>80</v>
      </c>
      <c r="H194">
        <v>1</v>
      </c>
      <c r="I194">
        <v>10</v>
      </c>
      <c r="J194">
        <v>10</v>
      </c>
      <c r="K194">
        <v>4.0999999999999996</v>
      </c>
      <c r="L194">
        <v>4.28</v>
      </c>
      <c r="M194" s="124" t="s">
        <v>24</v>
      </c>
      <c r="N194" t="s">
        <v>162</v>
      </c>
    </row>
    <row r="195" spans="1:14" x14ac:dyDescent="0.3">
      <c r="A195" s="124" t="s">
        <v>24</v>
      </c>
      <c r="B195">
        <f>VLOOKUP(M195,Sheet9!$I$1:$J$17,2,FALSE)</f>
        <v>9</v>
      </c>
      <c r="C195">
        <f>VLOOKUP(N195,Sheet9!$M$1:$N$2,2,FALSE)</f>
        <v>1</v>
      </c>
      <c r="D195">
        <v>16</v>
      </c>
      <c r="E195" t="s">
        <v>95</v>
      </c>
      <c r="F195">
        <v>80</v>
      </c>
      <c r="H195">
        <v>20</v>
      </c>
      <c r="I195">
        <v>0.6</v>
      </c>
      <c r="J195">
        <v>12</v>
      </c>
      <c r="K195">
        <v>5.54</v>
      </c>
      <c r="L195">
        <v>5.8</v>
      </c>
      <c r="M195" s="124" t="s">
        <v>24</v>
      </c>
      <c r="N195" t="s">
        <v>162</v>
      </c>
    </row>
    <row r="196" spans="1:14" x14ac:dyDescent="0.3">
      <c r="A196" s="124" t="s">
        <v>24</v>
      </c>
      <c r="B196">
        <f>VLOOKUP(M196,Sheet9!$I$1:$J$17,2,FALSE)</f>
        <v>9</v>
      </c>
      <c r="C196">
        <f>VLOOKUP(N196,Sheet9!$M$1:$N$2,2,FALSE)</f>
        <v>1</v>
      </c>
      <c r="D196">
        <v>16</v>
      </c>
      <c r="E196" t="s">
        <v>95</v>
      </c>
      <c r="F196">
        <v>80</v>
      </c>
      <c r="H196">
        <v>12</v>
      </c>
      <c r="I196">
        <v>1.2</v>
      </c>
      <c r="J196">
        <v>14.399999999999999</v>
      </c>
      <c r="K196">
        <v>5.25</v>
      </c>
      <c r="L196">
        <v>5.49</v>
      </c>
      <c r="M196" s="124" t="s">
        <v>24</v>
      </c>
      <c r="N196" t="s">
        <v>162</v>
      </c>
    </row>
    <row r="197" spans="1:14" x14ac:dyDescent="0.3">
      <c r="A197" s="124" t="s">
        <v>24</v>
      </c>
      <c r="B197">
        <f>VLOOKUP(M197,Sheet9!$I$1:$J$17,2,FALSE)</f>
        <v>9</v>
      </c>
      <c r="C197">
        <f>VLOOKUP(N197,Sheet9!$M$1:$N$2,2,FALSE)</f>
        <v>1</v>
      </c>
      <c r="D197">
        <v>16</v>
      </c>
      <c r="E197" t="s">
        <v>95</v>
      </c>
      <c r="F197">
        <v>80</v>
      </c>
      <c r="H197">
        <v>16</v>
      </c>
      <c r="I197">
        <v>1.2</v>
      </c>
      <c r="J197">
        <v>19.2</v>
      </c>
      <c r="K197">
        <v>5.03</v>
      </c>
      <c r="L197">
        <v>5.26</v>
      </c>
      <c r="M197" s="124" t="s">
        <v>24</v>
      </c>
      <c r="N197" t="s">
        <v>162</v>
      </c>
    </row>
    <row r="198" spans="1:14" x14ac:dyDescent="0.3">
      <c r="A198" s="124" t="s">
        <v>24</v>
      </c>
      <c r="B198">
        <f>VLOOKUP(M198,Sheet9!$I$1:$J$17,2,FALSE)</f>
        <v>9</v>
      </c>
      <c r="C198">
        <f>VLOOKUP(N198,Sheet9!$M$1:$N$2,2,FALSE)</f>
        <v>1</v>
      </c>
      <c r="D198">
        <v>16</v>
      </c>
      <c r="E198" s="124" t="s">
        <v>95</v>
      </c>
      <c r="F198">
        <v>100</v>
      </c>
      <c r="H198">
        <v>2</v>
      </c>
      <c r="I198">
        <v>1</v>
      </c>
      <c r="J198">
        <v>2</v>
      </c>
      <c r="K198">
        <v>8.84</v>
      </c>
      <c r="L198">
        <v>9.02</v>
      </c>
      <c r="M198" s="124" t="s">
        <v>24</v>
      </c>
      <c r="N198" t="s">
        <v>162</v>
      </c>
    </row>
    <row r="199" spans="1:14" x14ac:dyDescent="0.3">
      <c r="A199" s="124" t="s">
        <v>24</v>
      </c>
      <c r="B199">
        <f>VLOOKUP(M199,Sheet9!$I$1:$J$17,2,FALSE)</f>
        <v>9</v>
      </c>
      <c r="C199">
        <f>VLOOKUP(N199,Sheet9!$M$1:$N$2,2,FALSE)</f>
        <v>1</v>
      </c>
      <c r="D199">
        <v>16</v>
      </c>
      <c r="E199" t="s">
        <v>95</v>
      </c>
      <c r="F199">
        <v>100</v>
      </c>
      <c r="H199">
        <v>1</v>
      </c>
      <c r="I199">
        <v>5</v>
      </c>
      <c r="J199">
        <v>5</v>
      </c>
      <c r="K199">
        <v>7.93</v>
      </c>
      <c r="L199">
        <v>8.1</v>
      </c>
      <c r="M199" s="124" t="s">
        <v>24</v>
      </c>
      <c r="N199" t="s">
        <v>162</v>
      </c>
    </row>
    <row r="200" spans="1:14" x14ac:dyDescent="0.3">
      <c r="A200" s="124" t="s">
        <v>24</v>
      </c>
      <c r="B200">
        <f>VLOOKUP(M200,Sheet9!$I$1:$J$17,2,FALSE)</f>
        <v>9</v>
      </c>
      <c r="C200">
        <f>VLOOKUP(N200,Sheet9!$M$1:$N$2,2,FALSE)</f>
        <v>1</v>
      </c>
      <c r="D200">
        <v>16</v>
      </c>
      <c r="E200" t="s">
        <v>95</v>
      </c>
      <c r="F200">
        <v>100</v>
      </c>
      <c r="H200">
        <v>10</v>
      </c>
      <c r="I200">
        <v>0.6</v>
      </c>
      <c r="J200">
        <v>6</v>
      </c>
      <c r="K200">
        <v>10.94</v>
      </c>
      <c r="L200">
        <v>11.17</v>
      </c>
      <c r="M200" s="124" t="s">
        <v>24</v>
      </c>
      <c r="N200" t="s">
        <v>162</v>
      </c>
    </row>
    <row r="201" spans="1:14" x14ac:dyDescent="0.3">
      <c r="A201" s="124" t="s">
        <v>24</v>
      </c>
      <c r="B201">
        <f>VLOOKUP(M201,Sheet9!$I$1:$J$17,2,FALSE)</f>
        <v>9</v>
      </c>
      <c r="C201">
        <f>VLOOKUP(N201,Sheet9!$M$1:$N$2,2,FALSE)</f>
        <v>1</v>
      </c>
      <c r="D201">
        <v>16</v>
      </c>
      <c r="E201" t="s">
        <v>95</v>
      </c>
      <c r="F201">
        <v>100</v>
      </c>
      <c r="H201">
        <v>6</v>
      </c>
      <c r="I201">
        <v>1.2</v>
      </c>
      <c r="J201">
        <v>7.1999999999999993</v>
      </c>
      <c r="K201">
        <v>11.4</v>
      </c>
      <c r="L201">
        <v>11.64</v>
      </c>
      <c r="M201" s="124" t="s">
        <v>24</v>
      </c>
      <c r="N201" t="s">
        <v>162</v>
      </c>
    </row>
    <row r="202" spans="1:14" x14ac:dyDescent="0.3">
      <c r="A202" s="124" t="s">
        <v>24</v>
      </c>
      <c r="B202">
        <f>VLOOKUP(M202,Sheet9!$I$1:$J$17,2,FALSE)</f>
        <v>9</v>
      </c>
      <c r="C202">
        <f>VLOOKUP(N202,Sheet9!$M$1:$N$2,2,FALSE)</f>
        <v>1</v>
      </c>
      <c r="D202">
        <v>16</v>
      </c>
      <c r="E202" t="s">
        <v>95</v>
      </c>
      <c r="F202">
        <v>100</v>
      </c>
      <c r="H202">
        <v>1</v>
      </c>
      <c r="I202">
        <v>10</v>
      </c>
      <c r="J202">
        <v>10</v>
      </c>
      <c r="K202">
        <v>7.93</v>
      </c>
      <c r="L202">
        <v>8.1</v>
      </c>
      <c r="M202" s="124" t="s">
        <v>24</v>
      </c>
      <c r="N202" t="s">
        <v>162</v>
      </c>
    </row>
    <row r="203" spans="1:14" x14ac:dyDescent="0.3">
      <c r="A203" s="124" t="s">
        <v>24</v>
      </c>
      <c r="B203">
        <f>VLOOKUP(M203,Sheet9!$I$1:$J$17,2,FALSE)</f>
        <v>9</v>
      </c>
      <c r="C203">
        <f>VLOOKUP(N203,Sheet9!$M$1:$N$2,2,FALSE)</f>
        <v>1</v>
      </c>
      <c r="D203">
        <v>16</v>
      </c>
      <c r="E203" t="s">
        <v>95</v>
      </c>
      <c r="F203">
        <v>100</v>
      </c>
      <c r="H203">
        <v>20</v>
      </c>
      <c r="I203">
        <v>0.6</v>
      </c>
      <c r="J203">
        <v>12</v>
      </c>
      <c r="K203">
        <v>10.73</v>
      </c>
      <c r="L203">
        <v>10.96</v>
      </c>
      <c r="M203" s="124" t="s">
        <v>24</v>
      </c>
      <c r="N203" t="s">
        <v>162</v>
      </c>
    </row>
    <row r="204" spans="1:14" x14ac:dyDescent="0.3">
      <c r="A204" s="124" t="s">
        <v>24</v>
      </c>
      <c r="B204">
        <f>VLOOKUP(M204,Sheet9!$I$1:$J$17,2,FALSE)</f>
        <v>9</v>
      </c>
      <c r="C204">
        <f>VLOOKUP(N204,Sheet9!$M$1:$N$2,2,FALSE)</f>
        <v>1</v>
      </c>
      <c r="D204">
        <v>16</v>
      </c>
      <c r="E204" t="s">
        <v>95</v>
      </c>
      <c r="F204">
        <v>100</v>
      </c>
      <c r="H204">
        <v>12</v>
      </c>
      <c r="I204">
        <v>1.2</v>
      </c>
      <c r="J204">
        <v>14.399999999999999</v>
      </c>
      <c r="K204">
        <v>10.17</v>
      </c>
      <c r="L204">
        <v>10.39</v>
      </c>
      <c r="M204" s="124" t="s">
        <v>24</v>
      </c>
      <c r="N204" t="s">
        <v>162</v>
      </c>
    </row>
    <row r="205" spans="1:14" x14ac:dyDescent="0.3">
      <c r="A205" s="124" t="s">
        <v>24</v>
      </c>
      <c r="B205">
        <f>VLOOKUP(M205,Sheet9!$I$1:$J$17,2,FALSE)</f>
        <v>9</v>
      </c>
      <c r="C205">
        <f>VLOOKUP(N205,Sheet9!$M$1:$N$2,2,FALSE)</f>
        <v>1</v>
      </c>
      <c r="D205">
        <v>16</v>
      </c>
      <c r="E205" t="s">
        <v>95</v>
      </c>
      <c r="F205">
        <v>100</v>
      </c>
      <c r="H205">
        <v>16</v>
      </c>
      <c r="I205">
        <v>1.2</v>
      </c>
      <c r="J205">
        <v>19.2</v>
      </c>
      <c r="K205">
        <v>9.73</v>
      </c>
      <c r="L205">
        <v>9.94</v>
      </c>
      <c r="M205" s="124" t="s">
        <v>24</v>
      </c>
      <c r="N205" t="s">
        <v>162</v>
      </c>
    </row>
    <row r="206" spans="1:14" x14ac:dyDescent="0.3">
      <c r="A206" s="124" t="s">
        <v>24</v>
      </c>
      <c r="B206">
        <f>VLOOKUP(M206,Sheet9!$I$1:$J$17,2,FALSE)</f>
        <v>9</v>
      </c>
      <c r="C206">
        <f>VLOOKUP(N206,Sheet9!$M$1:$N$2,2,FALSE)</f>
        <v>1</v>
      </c>
      <c r="D206">
        <v>16</v>
      </c>
      <c r="E206" s="124" t="s">
        <v>95</v>
      </c>
      <c r="F206">
        <v>120</v>
      </c>
      <c r="H206">
        <v>2</v>
      </c>
      <c r="I206">
        <v>1</v>
      </c>
      <c r="J206">
        <v>2</v>
      </c>
      <c r="K206">
        <v>14.89</v>
      </c>
      <c r="L206">
        <v>15.07</v>
      </c>
      <c r="M206" s="124" t="s">
        <v>24</v>
      </c>
      <c r="N206" t="s">
        <v>162</v>
      </c>
    </row>
    <row r="207" spans="1:14" x14ac:dyDescent="0.3">
      <c r="A207" s="124" t="s">
        <v>24</v>
      </c>
      <c r="B207">
        <f>VLOOKUP(M207,Sheet9!$I$1:$J$17,2,FALSE)</f>
        <v>9</v>
      </c>
      <c r="C207">
        <f>VLOOKUP(N207,Sheet9!$M$1:$N$2,2,FALSE)</f>
        <v>1</v>
      </c>
      <c r="D207">
        <v>16</v>
      </c>
      <c r="E207" t="s">
        <v>95</v>
      </c>
      <c r="F207">
        <v>120</v>
      </c>
      <c r="H207">
        <v>1</v>
      </c>
      <c r="I207">
        <v>5</v>
      </c>
      <c r="J207">
        <v>5</v>
      </c>
      <c r="K207">
        <v>13.36</v>
      </c>
      <c r="L207">
        <v>13.52</v>
      </c>
      <c r="M207" s="124" t="s">
        <v>24</v>
      </c>
      <c r="N207" t="s">
        <v>162</v>
      </c>
    </row>
    <row r="208" spans="1:14" x14ac:dyDescent="0.3">
      <c r="A208" s="124" t="s">
        <v>24</v>
      </c>
      <c r="B208">
        <f>VLOOKUP(M208,Sheet9!$I$1:$J$17,2,FALSE)</f>
        <v>9</v>
      </c>
      <c r="C208">
        <f>VLOOKUP(N208,Sheet9!$M$1:$N$2,2,FALSE)</f>
        <v>1</v>
      </c>
      <c r="D208">
        <v>16</v>
      </c>
      <c r="E208" t="s">
        <v>95</v>
      </c>
      <c r="F208">
        <v>120</v>
      </c>
      <c r="H208">
        <v>10</v>
      </c>
      <c r="I208">
        <v>0.6</v>
      </c>
      <c r="J208">
        <v>6</v>
      </c>
      <c r="K208">
        <v>18.440000000000001</v>
      </c>
      <c r="L208">
        <v>18.66</v>
      </c>
      <c r="M208" s="124" t="s">
        <v>24</v>
      </c>
      <c r="N208" t="s">
        <v>162</v>
      </c>
    </row>
    <row r="209" spans="1:14" x14ac:dyDescent="0.3">
      <c r="A209" s="124" t="s">
        <v>24</v>
      </c>
      <c r="B209">
        <f>VLOOKUP(M209,Sheet9!$I$1:$J$17,2,FALSE)</f>
        <v>9</v>
      </c>
      <c r="C209">
        <f>VLOOKUP(N209,Sheet9!$M$1:$N$2,2,FALSE)</f>
        <v>1</v>
      </c>
      <c r="D209">
        <v>16</v>
      </c>
      <c r="E209" t="s">
        <v>95</v>
      </c>
      <c r="F209">
        <v>120</v>
      </c>
      <c r="H209">
        <v>6</v>
      </c>
      <c r="I209">
        <v>1.2</v>
      </c>
      <c r="J209">
        <v>7.1999999999999993</v>
      </c>
      <c r="K209">
        <v>19.21</v>
      </c>
      <c r="L209">
        <v>19.43</v>
      </c>
      <c r="M209" s="124" t="s">
        <v>24</v>
      </c>
      <c r="N209" t="s">
        <v>162</v>
      </c>
    </row>
    <row r="210" spans="1:14" x14ac:dyDescent="0.3">
      <c r="A210" s="124" t="s">
        <v>24</v>
      </c>
      <c r="B210">
        <f>VLOOKUP(M210,Sheet9!$I$1:$J$17,2,FALSE)</f>
        <v>9</v>
      </c>
      <c r="C210">
        <f>VLOOKUP(N210,Sheet9!$M$1:$N$2,2,FALSE)</f>
        <v>1</v>
      </c>
      <c r="D210">
        <v>16</v>
      </c>
      <c r="E210" t="s">
        <v>95</v>
      </c>
      <c r="F210">
        <v>120</v>
      </c>
      <c r="H210">
        <v>1</v>
      </c>
      <c r="I210">
        <v>10</v>
      </c>
      <c r="J210">
        <v>10</v>
      </c>
      <c r="K210">
        <v>13.36</v>
      </c>
      <c r="L210">
        <v>13.52</v>
      </c>
      <c r="M210" s="124" t="s">
        <v>24</v>
      </c>
      <c r="N210" t="s">
        <v>162</v>
      </c>
    </row>
    <row r="211" spans="1:14" x14ac:dyDescent="0.3">
      <c r="A211" s="124" t="s">
        <v>24</v>
      </c>
      <c r="B211">
        <f>VLOOKUP(M211,Sheet9!$I$1:$J$17,2,FALSE)</f>
        <v>9</v>
      </c>
      <c r="C211">
        <f>VLOOKUP(N211,Sheet9!$M$1:$N$2,2,FALSE)</f>
        <v>1</v>
      </c>
      <c r="D211">
        <v>16</v>
      </c>
      <c r="E211" t="s">
        <v>95</v>
      </c>
      <c r="F211">
        <v>120</v>
      </c>
      <c r="H211">
        <v>20</v>
      </c>
      <c r="I211">
        <v>0.6</v>
      </c>
      <c r="J211">
        <v>12</v>
      </c>
      <c r="K211">
        <v>18.079999999999998</v>
      </c>
      <c r="L211">
        <v>18.3</v>
      </c>
      <c r="M211" s="124" t="s">
        <v>24</v>
      </c>
      <c r="N211" t="s">
        <v>162</v>
      </c>
    </row>
    <row r="212" spans="1:14" x14ac:dyDescent="0.3">
      <c r="A212" s="124" t="s">
        <v>24</v>
      </c>
      <c r="B212">
        <f>VLOOKUP(M212,Sheet9!$I$1:$J$17,2,FALSE)</f>
        <v>9</v>
      </c>
      <c r="C212">
        <f>VLOOKUP(N212,Sheet9!$M$1:$N$2,2,FALSE)</f>
        <v>1</v>
      </c>
      <c r="D212">
        <v>16</v>
      </c>
      <c r="E212" t="s">
        <v>95</v>
      </c>
      <c r="F212">
        <v>120</v>
      </c>
      <c r="H212">
        <v>12</v>
      </c>
      <c r="I212">
        <v>1.2</v>
      </c>
      <c r="J212">
        <v>14.399999999999999</v>
      </c>
      <c r="K212">
        <v>17.14</v>
      </c>
      <c r="L212">
        <v>17.34</v>
      </c>
      <c r="M212" s="124" t="s">
        <v>24</v>
      </c>
      <c r="N212" t="s">
        <v>162</v>
      </c>
    </row>
    <row r="213" spans="1:14" x14ac:dyDescent="0.3">
      <c r="A213" s="124" t="s">
        <v>24</v>
      </c>
      <c r="B213">
        <f>VLOOKUP(M213,Sheet9!$I$1:$J$17,2,FALSE)</f>
        <v>9</v>
      </c>
      <c r="C213">
        <f>VLOOKUP(N213,Sheet9!$M$1:$N$2,2,FALSE)</f>
        <v>1</v>
      </c>
      <c r="D213">
        <v>16</v>
      </c>
      <c r="E213" t="s">
        <v>95</v>
      </c>
      <c r="F213">
        <v>120</v>
      </c>
      <c r="H213">
        <v>16</v>
      </c>
      <c r="I213">
        <v>1.2</v>
      </c>
      <c r="J213">
        <v>19.2</v>
      </c>
      <c r="K213">
        <v>16.399999999999999</v>
      </c>
      <c r="L213">
        <v>16.59</v>
      </c>
      <c r="M213" s="124" t="s">
        <v>24</v>
      </c>
      <c r="N213" t="s">
        <v>162</v>
      </c>
    </row>
    <row r="214" spans="1:14" x14ac:dyDescent="0.3">
      <c r="A214" s="124" t="s">
        <v>24</v>
      </c>
      <c r="B214">
        <f>VLOOKUP(M214,Sheet9!$I$1:$J$17,2,FALSE)</f>
        <v>9</v>
      </c>
      <c r="C214">
        <f>VLOOKUP(N214,Sheet9!$M$1:$N$2,2,FALSE)</f>
        <v>1</v>
      </c>
      <c r="D214">
        <v>16</v>
      </c>
      <c r="E214" s="124" t="s">
        <v>95</v>
      </c>
      <c r="F214">
        <v>140</v>
      </c>
      <c r="H214">
        <v>2</v>
      </c>
      <c r="I214">
        <v>1</v>
      </c>
      <c r="J214">
        <v>2</v>
      </c>
      <c r="K214">
        <v>21.22</v>
      </c>
      <c r="L214">
        <v>21.38</v>
      </c>
      <c r="M214" s="124" t="s">
        <v>24</v>
      </c>
      <c r="N214" t="s">
        <v>162</v>
      </c>
    </row>
    <row r="215" spans="1:14" x14ac:dyDescent="0.3">
      <c r="A215" s="124" t="s">
        <v>24</v>
      </c>
      <c r="B215">
        <f>VLOOKUP(M215,Sheet9!$I$1:$J$17,2,FALSE)</f>
        <v>9</v>
      </c>
      <c r="C215">
        <f>VLOOKUP(N215,Sheet9!$M$1:$N$2,2,FALSE)</f>
        <v>1</v>
      </c>
      <c r="D215">
        <v>16</v>
      </c>
      <c r="E215" t="s">
        <v>95</v>
      </c>
      <c r="F215">
        <v>140</v>
      </c>
      <c r="H215">
        <v>1</v>
      </c>
      <c r="I215">
        <v>5</v>
      </c>
      <c r="J215">
        <v>5</v>
      </c>
      <c r="K215">
        <v>19.04</v>
      </c>
      <c r="L215">
        <v>19.18</v>
      </c>
      <c r="M215" s="124" t="s">
        <v>24</v>
      </c>
      <c r="N215" t="s">
        <v>162</v>
      </c>
    </row>
    <row r="216" spans="1:14" x14ac:dyDescent="0.3">
      <c r="A216" s="124" t="s">
        <v>24</v>
      </c>
      <c r="B216">
        <f>VLOOKUP(M216,Sheet9!$I$1:$J$17,2,FALSE)</f>
        <v>9</v>
      </c>
      <c r="C216">
        <f>VLOOKUP(N216,Sheet9!$M$1:$N$2,2,FALSE)</f>
        <v>1</v>
      </c>
      <c r="D216">
        <v>16</v>
      </c>
      <c r="E216" t="s">
        <v>95</v>
      </c>
      <c r="F216">
        <v>140</v>
      </c>
      <c r="H216">
        <v>10</v>
      </c>
      <c r="I216">
        <v>0.6</v>
      </c>
      <c r="J216">
        <v>6</v>
      </c>
      <c r="K216">
        <v>26.27</v>
      </c>
      <c r="L216">
        <v>26.47</v>
      </c>
      <c r="M216" s="124" t="s">
        <v>24</v>
      </c>
      <c r="N216" t="s">
        <v>162</v>
      </c>
    </row>
    <row r="217" spans="1:14" x14ac:dyDescent="0.3">
      <c r="A217" s="124" t="s">
        <v>24</v>
      </c>
      <c r="B217">
        <f>VLOOKUP(M217,Sheet9!$I$1:$J$17,2,FALSE)</f>
        <v>9</v>
      </c>
      <c r="C217">
        <f>VLOOKUP(N217,Sheet9!$M$1:$N$2,2,FALSE)</f>
        <v>1</v>
      </c>
      <c r="D217">
        <v>16</v>
      </c>
      <c r="E217" t="s">
        <v>95</v>
      </c>
      <c r="F217">
        <v>140</v>
      </c>
      <c r="H217">
        <v>6</v>
      </c>
      <c r="I217">
        <v>1.2</v>
      </c>
      <c r="J217">
        <v>7.1999999999999993</v>
      </c>
      <c r="K217">
        <v>27.37</v>
      </c>
      <c r="L217">
        <v>27.57</v>
      </c>
      <c r="M217" s="124" t="s">
        <v>24</v>
      </c>
      <c r="N217" t="s">
        <v>162</v>
      </c>
    </row>
    <row r="218" spans="1:14" x14ac:dyDescent="0.3">
      <c r="A218" s="124" t="s">
        <v>24</v>
      </c>
      <c r="B218">
        <f>VLOOKUP(M218,Sheet9!$I$1:$J$17,2,FALSE)</f>
        <v>9</v>
      </c>
      <c r="C218">
        <f>VLOOKUP(N218,Sheet9!$M$1:$N$2,2,FALSE)</f>
        <v>1</v>
      </c>
      <c r="D218">
        <v>16</v>
      </c>
      <c r="E218" t="s">
        <v>95</v>
      </c>
      <c r="F218">
        <v>140</v>
      </c>
      <c r="H218">
        <v>1</v>
      </c>
      <c r="I218">
        <v>10</v>
      </c>
      <c r="J218">
        <v>10</v>
      </c>
      <c r="K218">
        <v>19.04</v>
      </c>
      <c r="L218">
        <v>19.18</v>
      </c>
      <c r="M218" s="124" t="s">
        <v>24</v>
      </c>
      <c r="N218" t="s">
        <v>162</v>
      </c>
    </row>
    <row r="219" spans="1:14" x14ac:dyDescent="0.3">
      <c r="A219" s="124" t="s">
        <v>24</v>
      </c>
      <c r="B219">
        <f>VLOOKUP(M219,Sheet9!$I$1:$J$17,2,FALSE)</f>
        <v>9</v>
      </c>
      <c r="C219">
        <f>VLOOKUP(N219,Sheet9!$M$1:$N$2,2,FALSE)</f>
        <v>1</v>
      </c>
      <c r="D219">
        <v>16</v>
      </c>
      <c r="E219" t="s">
        <v>95</v>
      </c>
      <c r="F219">
        <v>140</v>
      </c>
      <c r="H219">
        <v>20</v>
      </c>
      <c r="I219">
        <v>0.6</v>
      </c>
      <c r="J219">
        <v>12</v>
      </c>
      <c r="K219">
        <v>25.77</v>
      </c>
      <c r="L219">
        <v>15.96</v>
      </c>
      <c r="M219" s="124" t="s">
        <v>24</v>
      </c>
      <c r="N219" t="s">
        <v>162</v>
      </c>
    </row>
    <row r="220" spans="1:14" x14ac:dyDescent="0.3">
      <c r="A220" s="124" t="s">
        <v>24</v>
      </c>
      <c r="B220">
        <f>VLOOKUP(M220,Sheet9!$I$1:$J$17,2,FALSE)</f>
        <v>9</v>
      </c>
      <c r="C220">
        <f>VLOOKUP(N220,Sheet9!$M$1:$N$2,2,FALSE)</f>
        <v>1</v>
      </c>
      <c r="D220">
        <v>16</v>
      </c>
      <c r="E220" t="s">
        <v>95</v>
      </c>
      <c r="F220">
        <v>140</v>
      </c>
      <c r="H220">
        <v>12</v>
      </c>
      <c r="I220">
        <v>1.2</v>
      </c>
      <c r="J220">
        <v>14.399999999999999</v>
      </c>
      <c r="K220">
        <v>24.42</v>
      </c>
      <c r="L220">
        <v>24.6</v>
      </c>
      <c r="M220" s="124" t="s">
        <v>24</v>
      </c>
      <c r="N220" t="s">
        <v>162</v>
      </c>
    </row>
    <row r="221" spans="1:14" x14ac:dyDescent="0.3">
      <c r="A221" s="124" t="s">
        <v>24</v>
      </c>
      <c r="B221">
        <f>VLOOKUP(M221,Sheet9!$I$1:$J$17,2,FALSE)</f>
        <v>9</v>
      </c>
      <c r="C221">
        <f>VLOOKUP(N221,Sheet9!$M$1:$N$2,2,FALSE)</f>
        <v>1</v>
      </c>
      <c r="D221">
        <v>16</v>
      </c>
      <c r="E221" t="s">
        <v>95</v>
      </c>
      <c r="F221">
        <v>140</v>
      </c>
      <c r="H221">
        <v>16</v>
      </c>
      <c r="I221">
        <v>1.2</v>
      </c>
      <c r="J221">
        <v>19.2</v>
      </c>
      <c r="K221">
        <v>23.37</v>
      </c>
      <c r="L221">
        <v>23.54</v>
      </c>
      <c r="M221" s="124" t="s">
        <v>24</v>
      </c>
      <c r="N221" t="s">
        <v>162</v>
      </c>
    </row>
    <row r="222" spans="1:14" x14ac:dyDescent="0.3">
      <c r="A222" s="124" t="s">
        <v>24</v>
      </c>
      <c r="B222">
        <f>VLOOKUP(M222,Sheet9!$I$1:$J$17,2,FALSE)</f>
        <v>9</v>
      </c>
      <c r="C222">
        <f>VLOOKUP(N222,Sheet9!$M$1:$N$2,2,FALSE)</f>
        <v>1</v>
      </c>
      <c r="D222">
        <v>16</v>
      </c>
      <c r="E222" s="124" t="s">
        <v>96</v>
      </c>
      <c r="F222">
        <v>70</v>
      </c>
      <c r="H222">
        <v>2</v>
      </c>
      <c r="I222">
        <v>1</v>
      </c>
      <c r="J222">
        <v>2</v>
      </c>
      <c r="K222">
        <v>2.54</v>
      </c>
      <c r="L222">
        <v>2.5499999999999998</v>
      </c>
      <c r="M222" s="124" t="s">
        <v>24</v>
      </c>
      <c r="N222" t="s">
        <v>162</v>
      </c>
    </row>
    <row r="223" spans="1:14" x14ac:dyDescent="0.3">
      <c r="A223" s="124" t="s">
        <v>24</v>
      </c>
      <c r="B223">
        <f>VLOOKUP(M223,Sheet9!$I$1:$J$17,2,FALSE)</f>
        <v>9</v>
      </c>
      <c r="C223">
        <f>VLOOKUP(N223,Sheet9!$M$1:$N$2,2,FALSE)</f>
        <v>1</v>
      </c>
      <c r="D223">
        <v>16</v>
      </c>
      <c r="E223" t="s">
        <v>96</v>
      </c>
      <c r="F223">
        <v>70</v>
      </c>
      <c r="H223">
        <v>1</v>
      </c>
      <c r="I223">
        <v>5</v>
      </c>
      <c r="J223">
        <v>5</v>
      </c>
      <c r="K223">
        <v>2.2799999999999998</v>
      </c>
      <c r="L223">
        <v>2.2799999999999998</v>
      </c>
      <c r="M223" s="124" t="s">
        <v>24</v>
      </c>
      <c r="N223" t="s">
        <v>162</v>
      </c>
    </row>
    <row r="224" spans="1:14" x14ac:dyDescent="0.3">
      <c r="A224" s="124" t="s">
        <v>24</v>
      </c>
      <c r="B224">
        <f>VLOOKUP(M224,Sheet9!$I$1:$J$17,2,FALSE)</f>
        <v>9</v>
      </c>
      <c r="C224">
        <f>VLOOKUP(N224,Sheet9!$M$1:$N$2,2,FALSE)</f>
        <v>1</v>
      </c>
      <c r="D224">
        <v>16</v>
      </c>
      <c r="E224" t="s">
        <v>96</v>
      </c>
      <c r="F224">
        <v>70</v>
      </c>
      <c r="H224">
        <v>10</v>
      </c>
      <c r="I224">
        <v>0.6</v>
      </c>
      <c r="J224">
        <v>6</v>
      </c>
      <c r="K224">
        <v>3.15</v>
      </c>
      <c r="L224">
        <v>3.15</v>
      </c>
      <c r="M224" s="124" t="s">
        <v>24</v>
      </c>
      <c r="N224" t="s">
        <v>162</v>
      </c>
    </row>
    <row r="225" spans="1:14" x14ac:dyDescent="0.3">
      <c r="A225" s="124" t="s">
        <v>24</v>
      </c>
      <c r="B225">
        <f>VLOOKUP(M225,Sheet9!$I$1:$J$17,2,FALSE)</f>
        <v>9</v>
      </c>
      <c r="C225">
        <f>VLOOKUP(N225,Sheet9!$M$1:$N$2,2,FALSE)</f>
        <v>1</v>
      </c>
      <c r="D225">
        <v>16</v>
      </c>
      <c r="E225" t="s">
        <v>96</v>
      </c>
      <c r="F225">
        <v>70</v>
      </c>
      <c r="H225">
        <v>6</v>
      </c>
      <c r="I225">
        <v>1.2</v>
      </c>
      <c r="J225">
        <v>7.1999999999999993</v>
      </c>
      <c r="K225">
        <v>3.28</v>
      </c>
      <c r="L225">
        <v>3.28</v>
      </c>
      <c r="M225" s="124" t="s">
        <v>24</v>
      </c>
      <c r="N225" t="s">
        <v>162</v>
      </c>
    </row>
    <row r="226" spans="1:14" x14ac:dyDescent="0.3">
      <c r="A226" s="124" t="s">
        <v>24</v>
      </c>
      <c r="B226">
        <f>VLOOKUP(M226,Sheet9!$I$1:$J$17,2,FALSE)</f>
        <v>9</v>
      </c>
      <c r="C226">
        <f>VLOOKUP(N226,Sheet9!$M$1:$N$2,2,FALSE)</f>
        <v>1</v>
      </c>
      <c r="D226">
        <v>16</v>
      </c>
      <c r="E226" t="s">
        <v>96</v>
      </c>
      <c r="F226">
        <v>70</v>
      </c>
      <c r="H226">
        <v>1</v>
      </c>
      <c r="I226">
        <v>10</v>
      </c>
      <c r="J226">
        <v>10</v>
      </c>
      <c r="K226">
        <v>2.2799999999999998</v>
      </c>
      <c r="L226">
        <v>2.2799999999999998</v>
      </c>
      <c r="M226" s="124" t="s">
        <v>24</v>
      </c>
      <c r="N226" t="s">
        <v>162</v>
      </c>
    </row>
    <row r="227" spans="1:14" x14ac:dyDescent="0.3">
      <c r="A227" s="124" t="s">
        <v>24</v>
      </c>
      <c r="B227">
        <f>VLOOKUP(M227,Sheet9!$I$1:$J$17,2,FALSE)</f>
        <v>9</v>
      </c>
      <c r="C227">
        <f>VLOOKUP(N227,Sheet9!$M$1:$N$2,2,FALSE)</f>
        <v>1</v>
      </c>
      <c r="D227">
        <v>16</v>
      </c>
      <c r="E227" t="s">
        <v>96</v>
      </c>
      <c r="F227">
        <v>70</v>
      </c>
      <c r="H227">
        <v>20</v>
      </c>
      <c r="I227">
        <v>0.6</v>
      </c>
      <c r="J227">
        <v>12</v>
      </c>
      <c r="K227">
        <v>3.09</v>
      </c>
      <c r="L227">
        <v>3.09</v>
      </c>
      <c r="M227" s="124" t="s">
        <v>24</v>
      </c>
      <c r="N227" t="s">
        <v>162</v>
      </c>
    </row>
    <row r="228" spans="1:14" x14ac:dyDescent="0.3">
      <c r="A228" s="124" t="s">
        <v>24</v>
      </c>
      <c r="B228">
        <f>VLOOKUP(M228,Sheet9!$I$1:$J$17,2,FALSE)</f>
        <v>9</v>
      </c>
      <c r="C228">
        <f>VLOOKUP(N228,Sheet9!$M$1:$N$2,2,FALSE)</f>
        <v>1</v>
      </c>
      <c r="D228">
        <v>16</v>
      </c>
      <c r="E228" t="s">
        <v>96</v>
      </c>
      <c r="F228">
        <v>70</v>
      </c>
      <c r="H228">
        <v>12</v>
      </c>
      <c r="I228">
        <v>1.2</v>
      </c>
      <c r="J228">
        <v>14.399999999999999</v>
      </c>
      <c r="K228">
        <v>2.93</v>
      </c>
      <c r="L228">
        <v>2.93</v>
      </c>
      <c r="M228" s="124" t="s">
        <v>24</v>
      </c>
      <c r="N228" t="s">
        <v>162</v>
      </c>
    </row>
    <row r="229" spans="1:14" x14ac:dyDescent="0.3">
      <c r="A229" s="124" t="s">
        <v>24</v>
      </c>
      <c r="B229">
        <f>VLOOKUP(M229,Sheet9!$I$1:$J$17,2,FALSE)</f>
        <v>9</v>
      </c>
      <c r="C229">
        <f>VLOOKUP(N229,Sheet9!$M$1:$N$2,2,FALSE)</f>
        <v>1</v>
      </c>
      <c r="D229">
        <v>16</v>
      </c>
      <c r="E229" t="s">
        <v>96</v>
      </c>
      <c r="F229">
        <v>70</v>
      </c>
      <c r="H229">
        <v>16</v>
      </c>
      <c r="I229">
        <v>1.2</v>
      </c>
      <c r="J229">
        <v>19.2</v>
      </c>
      <c r="K229">
        <v>2.8</v>
      </c>
      <c r="L229">
        <v>2.8</v>
      </c>
      <c r="M229" s="124" t="s">
        <v>24</v>
      </c>
      <c r="N229" t="s">
        <v>162</v>
      </c>
    </row>
    <row r="230" spans="1:14" x14ac:dyDescent="0.3">
      <c r="A230" s="124" t="s">
        <v>24</v>
      </c>
      <c r="B230">
        <f>VLOOKUP(M230,Sheet9!$I$1:$J$17,2,FALSE)</f>
        <v>9</v>
      </c>
      <c r="C230">
        <f>VLOOKUP(N230,Sheet9!$M$1:$N$2,2,FALSE)</f>
        <v>1</v>
      </c>
      <c r="D230">
        <v>16</v>
      </c>
      <c r="E230" t="s">
        <v>96</v>
      </c>
      <c r="F230">
        <v>80</v>
      </c>
      <c r="H230">
        <v>2</v>
      </c>
      <c r="I230">
        <v>1</v>
      </c>
      <c r="J230">
        <v>2</v>
      </c>
      <c r="K230">
        <v>4.1100000000000003</v>
      </c>
      <c r="L230">
        <v>4.05</v>
      </c>
      <c r="M230" s="124" t="s">
        <v>24</v>
      </c>
      <c r="N230" t="s">
        <v>162</v>
      </c>
    </row>
    <row r="231" spans="1:14" x14ac:dyDescent="0.3">
      <c r="A231" s="124" t="s">
        <v>24</v>
      </c>
      <c r="B231">
        <f>VLOOKUP(M231,Sheet9!$I$1:$J$17,2,FALSE)</f>
        <v>9</v>
      </c>
      <c r="C231">
        <f>VLOOKUP(N231,Sheet9!$M$1:$N$2,2,FALSE)</f>
        <v>1</v>
      </c>
      <c r="D231">
        <v>16</v>
      </c>
      <c r="E231" t="s">
        <v>96</v>
      </c>
      <c r="F231">
        <v>80</v>
      </c>
      <c r="H231">
        <v>1</v>
      </c>
      <c r="I231">
        <v>5</v>
      </c>
      <c r="J231">
        <v>5</v>
      </c>
      <c r="K231">
        <v>3.69</v>
      </c>
      <c r="L231">
        <v>3.64</v>
      </c>
      <c r="M231" s="124" t="s">
        <v>24</v>
      </c>
      <c r="N231" t="s">
        <v>162</v>
      </c>
    </row>
    <row r="232" spans="1:14" x14ac:dyDescent="0.3">
      <c r="A232" s="124" t="s">
        <v>24</v>
      </c>
      <c r="B232">
        <f>VLOOKUP(M232,Sheet9!$I$1:$J$17,2,FALSE)</f>
        <v>9</v>
      </c>
      <c r="C232">
        <f>VLOOKUP(N232,Sheet9!$M$1:$N$2,2,FALSE)</f>
        <v>1</v>
      </c>
      <c r="D232">
        <v>16</v>
      </c>
      <c r="E232" t="s">
        <v>96</v>
      </c>
      <c r="F232">
        <v>80</v>
      </c>
      <c r="H232">
        <v>10</v>
      </c>
      <c r="I232">
        <v>0.6</v>
      </c>
      <c r="J232">
        <v>6</v>
      </c>
      <c r="K232">
        <v>5.09</v>
      </c>
      <c r="L232">
        <v>5.0199999999999996</v>
      </c>
      <c r="M232" s="124" t="s">
        <v>24</v>
      </c>
      <c r="N232" t="s">
        <v>162</v>
      </c>
    </row>
    <row r="233" spans="1:14" x14ac:dyDescent="0.3">
      <c r="A233" s="124" t="s">
        <v>24</v>
      </c>
      <c r="B233">
        <f>VLOOKUP(M233,Sheet9!$I$1:$J$17,2,FALSE)</f>
        <v>9</v>
      </c>
      <c r="C233">
        <f>VLOOKUP(N233,Sheet9!$M$1:$N$2,2,FALSE)</f>
        <v>1</v>
      </c>
      <c r="D233">
        <v>16</v>
      </c>
      <c r="E233" t="s">
        <v>96</v>
      </c>
      <c r="F233">
        <v>80</v>
      </c>
      <c r="H233">
        <v>6</v>
      </c>
      <c r="I233">
        <v>1.2</v>
      </c>
      <c r="J233">
        <v>7.1999999999999993</v>
      </c>
      <c r="K233">
        <v>5.3</v>
      </c>
      <c r="L233">
        <v>5.23</v>
      </c>
      <c r="M233" s="124" t="s">
        <v>24</v>
      </c>
      <c r="N233" t="s">
        <v>162</v>
      </c>
    </row>
    <row r="234" spans="1:14" x14ac:dyDescent="0.3">
      <c r="A234" s="124" t="s">
        <v>24</v>
      </c>
      <c r="B234">
        <f>VLOOKUP(M234,Sheet9!$I$1:$J$17,2,FALSE)</f>
        <v>9</v>
      </c>
      <c r="C234">
        <f>VLOOKUP(N234,Sheet9!$M$1:$N$2,2,FALSE)</f>
        <v>1</v>
      </c>
      <c r="D234">
        <v>16</v>
      </c>
      <c r="E234" t="s">
        <v>96</v>
      </c>
      <c r="F234">
        <v>80</v>
      </c>
      <c r="H234">
        <v>1</v>
      </c>
      <c r="I234">
        <v>10</v>
      </c>
      <c r="J234">
        <v>10</v>
      </c>
      <c r="K234">
        <v>3.69</v>
      </c>
      <c r="L234">
        <v>3.64</v>
      </c>
      <c r="M234" s="124" t="s">
        <v>24</v>
      </c>
      <c r="N234" t="s">
        <v>162</v>
      </c>
    </row>
    <row r="235" spans="1:14" x14ac:dyDescent="0.3">
      <c r="A235" s="124" t="s">
        <v>24</v>
      </c>
      <c r="B235">
        <f>VLOOKUP(M235,Sheet9!$I$1:$J$17,2,FALSE)</f>
        <v>9</v>
      </c>
      <c r="C235">
        <f>VLOOKUP(N235,Sheet9!$M$1:$N$2,2,FALSE)</f>
        <v>1</v>
      </c>
      <c r="D235">
        <v>16</v>
      </c>
      <c r="E235" t="s">
        <v>96</v>
      </c>
      <c r="F235">
        <v>80</v>
      </c>
      <c r="H235">
        <v>20</v>
      </c>
      <c r="I235">
        <v>0.6</v>
      </c>
      <c r="J235">
        <v>12</v>
      </c>
      <c r="K235">
        <v>4.99</v>
      </c>
      <c r="L235">
        <v>4.92</v>
      </c>
      <c r="M235" s="124" t="s">
        <v>24</v>
      </c>
      <c r="N235" t="s">
        <v>162</v>
      </c>
    </row>
    <row r="236" spans="1:14" x14ac:dyDescent="0.3">
      <c r="A236" s="124" t="s">
        <v>24</v>
      </c>
      <c r="B236">
        <f>VLOOKUP(M236,Sheet9!$I$1:$J$17,2,FALSE)</f>
        <v>9</v>
      </c>
      <c r="C236">
        <f>VLOOKUP(N236,Sheet9!$M$1:$N$2,2,FALSE)</f>
        <v>1</v>
      </c>
      <c r="D236">
        <v>16</v>
      </c>
      <c r="E236" t="s">
        <v>96</v>
      </c>
      <c r="F236">
        <v>80</v>
      </c>
      <c r="H236">
        <v>12</v>
      </c>
      <c r="I236">
        <v>1.2</v>
      </c>
      <c r="J236">
        <v>14.399999999999999</v>
      </c>
      <c r="K236">
        <v>4.7300000000000004</v>
      </c>
      <c r="L236">
        <v>4.66</v>
      </c>
      <c r="M236" s="124" t="s">
        <v>24</v>
      </c>
      <c r="N236" t="s">
        <v>162</v>
      </c>
    </row>
    <row r="237" spans="1:14" x14ac:dyDescent="0.3">
      <c r="A237" s="124" t="s">
        <v>24</v>
      </c>
      <c r="B237">
        <f>VLOOKUP(M237,Sheet9!$I$1:$J$17,2,FALSE)</f>
        <v>9</v>
      </c>
      <c r="C237">
        <f>VLOOKUP(N237,Sheet9!$M$1:$N$2,2,FALSE)</f>
        <v>1</v>
      </c>
      <c r="D237">
        <v>16</v>
      </c>
      <c r="E237" t="s">
        <v>96</v>
      </c>
      <c r="F237">
        <v>80</v>
      </c>
      <c r="H237">
        <v>16</v>
      </c>
      <c r="I237">
        <v>1.2</v>
      </c>
      <c r="J237">
        <v>19.2</v>
      </c>
      <c r="K237">
        <v>4.53</v>
      </c>
      <c r="L237">
        <v>5.26</v>
      </c>
      <c r="M237" s="124" t="s">
        <v>24</v>
      </c>
      <c r="N237" t="s">
        <v>162</v>
      </c>
    </row>
    <row r="238" spans="1:14" x14ac:dyDescent="0.3">
      <c r="A238" s="124" t="s">
        <v>24</v>
      </c>
      <c r="B238">
        <f>VLOOKUP(M238,Sheet9!$I$1:$J$17,2,FALSE)</f>
        <v>9</v>
      </c>
      <c r="C238">
        <f>VLOOKUP(N238,Sheet9!$M$1:$N$2,2,FALSE)</f>
        <v>1</v>
      </c>
      <c r="D238">
        <v>16</v>
      </c>
      <c r="E238" t="s">
        <v>96</v>
      </c>
      <c r="F238">
        <v>100</v>
      </c>
      <c r="H238">
        <v>2</v>
      </c>
      <c r="I238">
        <v>1</v>
      </c>
      <c r="J238">
        <v>2</v>
      </c>
      <c r="K238">
        <v>8.0399999999999991</v>
      </c>
      <c r="L238">
        <v>7.82</v>
      </c>
      <c r="M238" s="124" t="s">
        <v>24</v>
      </c>
      <c r="N238" t="s">
        <v>162</v>
      </c>
    </row>
    <row r="239" spans="1:14" x14ac:dyDescent="0.3">
      <c r="A239" s="124" t="s">
        <v>24</v>
      </c>
      <c r="B239">
        <f>VLOOKUP(M239,Sheet9!$I$1:$J$17,2,FALSE)</f>
        <v>9</v>
      </c>
      <c r="C239">
        <f>VLOOKUP(N239,Sheet9!$M$1:$N$2,2,FALSE)</f>
        <v>1</v>
      </c>
      <c r="D239">
        <v>16</v>
      </c>
      <c r="E239" t="s">
        <v>96</v>
      </c>
      <c r="F239">
        <v>100</v>
      </c>
      <c r="H239">
        <v>1</v>
      </c>
      <c r="I239">
        <v>5</v>
      </c>
      <c r="J239">
        <v>5</v>
      </c>
      <c r="K239">
        <v>7.21</v>
      </c>
      <c r="L239">
        <v>7.02</v>
      </c>
      <c r="M239" s="124" t="s">
        <v>24</v>
      </c>
      <c r="N239" t="s">
        <v>162</v>
      </c>
    </row>
    <row r="240" spans="1:14" x14ac:dyDescent="0.3">
      <c r="A240" s="124" t="s">
        <v>24</v>
      </c>
      <c r="B240">
        <f>VLOOKUP(M240,Sheet9!$I$1:$J$17,2,FALSE)</f>
        <v>9</v>
      </c>
      <c r="C240">
        <f>VLOOKUP(N240,Sheet9!$M$1:$N$2,2,FALSE)</f>
        <v>1</v>
      </c>
      <c r="D240">
        <v>16</v>
      </c>
      <c r="E240" t="s">
        <v>96</v>
      </c>
      <c r="F240">
        <v>100</v>
      </c>
      <c r="H240">
        <v>10</v>
      </c>
      <c r="I240">
        <v>0.6</v>
      </c>
      <c r="J240">
        <v>6</v>
      </c>
      <c r="K240">
        <v>9.9499999999999993</v>
      </c>
      <c r="L240">
        <v>9.68</v>
      </c>
      <c r="M240" s="124" t="s">
        <v>24</v>
      </c>
      <c r="N240" t="s">
        <v>162</v>
      </c>
    </row>
    <row r="241" spans="1:14" x14ac:dyDescent="0.3">
      <c r="A241" s="124" t="s">
        <v>24</v>
      </c>
      <c r="B241">
        <f>VLOOKUP(M241,Sheet9!$I$1:$J$17,2,FALSE)</f>
        <v>9</v>
      </c>
      <c r="C241">
        <f>VLOOKUP(N241,Sheet9!$M$1:$N$2,2,FALSE)</f>
        <v>1</v>
      </c>
      <c r="D241">
        <v>16</v>
      </c>
      <c r="E241" t="s">
        <v>96</v>
      </c>
      <c r="F241">
        <v>100</v>
      </c>
      <c r="H241">
        <v>6</v>
      </c>
      <c r="I241">
        <v>1.2</v>
      </c>
      <c r="J241">
        <v>7.1999999999999993</v>
      </c>
      <c r="K241">
        <v>10.37</v>
      </c>
      <c r="L241">
        <v>10.09</v>
      </c>
      <c r="M241" s="124" t="s">
        <v>24</v>
      </c>
      <c r="N241" t="s">
        <v>162</v>
      </c>
    </row>
    <row r="242" spans="1:14" x14ac:dyDescent="0.3">
      <c r="A242" s="124" t="s">
        <v>24</v>
      </c>
      <c r="B242">
        <f>VLOOKUP(M242,Sheet9!$I$1:$J$17,2,FALSE)</f>
        <v>9</v>
      </c>
      <c r="C242">
        <f>VLOOKUP(N242,Sheet9!$M$1:$N$2,2,FALSE)</f>
        <v>1</v>
      </c>
      <c r="D242">
        <v>16</v>
      </c>
      <c r="E242" t="s">
        <v>96</v>
      </c>
      <c r="F242">
        <v>100</v>
      </c>
      <c r="H242">
        <v>1</v>
      </c>
      <c r="I242">
        <v>10</v>
      </c>
      <c r="J242">
        <v>10</v>
      </c>
      <c r="K242">
        <v>7.21</v>
      </c>
      <c r="L242">
        <v>7.02</v>
      </c>
      <c r="M242" s="124" t="s">
        <v>24</v>
      </c>
      <c r="N242" t="s">
        <v>162</v>
      </c>
    </row>
    <row r="243" spans="1:14" x14ac:dyDescent="0.3">
      <c r="A243" s="124" t="s">
        <v>24</v>
      </c>
      <c r="B243">
        <f>VLOOKUP(M243,Sheet9!$I$1:$J$17,2,FALSE)</f>
        <v>9</v>
      </c>
      <c r="C243">
        <f>VLOOKUP(N243,Sheet9!$M$1:$N$2,2,FALSE)</f>
        <v>1</v>
      </c>
      <c r="D243">
        <v>16</v>
      </c>
      <c r="E243" t="s">
        <v>96</v>
      </c>
      <c r="F243">
        <v>100</v>
      </c>
      <c r="H243">
        <v>20</v>
      </c>
      <c r="I243">
        <v>0.6</v>
      </c>
      <c r="J243">
        <v>12</v>
      </c>
      <c r="K243">
        <v>9.76</v>
      </c>
      <c r="L243">
        <v>9.5</v>
      </c>
      <c r="M243" s="124" t="s">
        <v>24</v>
      </c>
      <c r="N243" t="s">
        <v>162</v>
      </c>
    </row>
    <row r="244" spans="1:14" x14ac:dyDescent="0.3">
      <c r="A244" s="124" t="s">
        <v>24</v>
      </c>
      <c r="B244">
        <f>VLOOKUP(M244,Sheet9!$I$1:$J$17,2,FALSE)</f>
        <v>9</v>
      </c>
      <c r="C244">
        <f>VLOOKUP(N244,Sheet9!$M$1:$N$2,2,FALSE)</f>
        <v>1</v>
      </c>
      <c r="D244">
        <v>16</v>
      </c>
      <c r="E244" t="s">
        <v>96</v>
      </c>
      <c r="F244">
        <v>100</v>
      </c>
      <c r="H244">
        <v>12</v>
      </c>
      <c r="I244">
        <v>1.2</v>
      </c>
      <c r="J244">
        <v>14.399999999999999</v>
      </c>
      <c r="K244">
        <v>9.25</v>
      </c>
      <c r="L244">
        <v>9</v>
      </c>
      <c r="M244" s="124" t="s">
        <v>24</v>
      </c>
      <c r="N244" t="s">
        <v>162</v>
      </c>
    </row>
    <row r="245" spans="1:14" x14ac:dyDescent="0.3">
      <c r="A245" s="124" t="s">
        <v>24</v>
      </c>
      <c r="B245">
        <f>VLOOKUP(M245,Sheet9!$I$1:$J$17,2,FALSE)</f>
        <v>9</v>
      </c>
      <c r="C245">
        <f>VLOOKUP(N245,Sheet9!$M$1:$N$2,2,FALSE)</f>
        <v>1</v>
      </c>
      <c r="D245">
        <v>16</v>
      </c>
      <c r="E245" t="s">
        <v>96</v>
      </c>
      <c r="F245">
        <v>100</v>
      </c>
      <c r="H245">
        <v>16</v>
      </c>
      <c r="I245">
        <v>1.2</v>
      </c>
      <c r="J245">
        <v>19.2</v>
      </c>
      <c r="K245">
        <v>8.85</v>
      </c>
      <c r="L245">
        <v>8.61</v>
      </c>
      <c r="M245" s="124" t="s">
        <v>24</v>
      </c>
      <c r="N245" t="s">
        <v>162</v>
      </c>
    </row>
    <row r="246" spans="1:14" x14ac:dyDescent="0.3">
      <c r="A246" s="124" t="s">
        <v>24</v>
      </c>
      <c r="B246">
        <f>VLOOKUP(M246,Sheet9!$I$1:$J$17,2,FALSE)</f>
        <v>9</v>
      </c>
      <c r="C246">
        <f>VLOOKUP(N246,Sheet9!$M$1:$N$2,2,FALSE)</f>
        <v>1</v>
      </c>
      <c r="D246">
        <v>16</v>
      </c>
      <c r="E246" t="s">
        <v>96</v>
      </c>
      <c r="F246">
        <v>120</v>
      </c>
      <c r="H246">
        <v>2</v>
      </c>
      <c r="I246">
        <v>1</v>
      </c>
      <c r="J246">
        <v>2</v>
      </c>
      <c r="K246">
        <v>11.68</v>
      </c>
      <c r="L246">
        <v>13.28</v>
      </c>
      <c r="M246" s="124" t="s">
        <v>24</v>
      </c>
      <c r="N246" t="s">
        <v>162</v>
      </c>
    </row>
    <row r="247" spans="1:14" x14ac:dyDescent="0.3">
      <c r="A247" s="124" t="s">
        <v>24</v>
      </c>
      <c r="B247">
        <f>VLOOKUP(M247,Sheet9!$I$1:$J$17,2,FALSE)</f>
        <v>9</v>
      </c>
      <c r="C247">
        <f>VLOOKUP(N247,Sheet9!$M$1:$N$2,2,FALSE)</f>
        <v>1</v>
      </c>
      <c r="D247">
        <v>16</v>
      </c>
      <c r="E247" t="s">
        <v>96</v>
      </c>
      <c r="F247">
        <v>120</v>
      </c>
      <c r="H247">
        <v>1</v>
      </c>
      <c r="I247">
        <v>5</v>
      </c>
      <c r="J247">
        <v>5</v>
      </c>
      <c r="K247">
        <v>12.28</v>
      </c>
      <c r="L247">
        <v>11.92</v>
      </c>
      <c r="M247" s="124" t="s">
        <v>24</v>
      </c>
      <c r="N247" t="s">
        <v>162</v>
      </c>
    </row>
    <row r="248" spans="1:14" x14ac:dyDescent="0.3">
      <c r="A248" s="124" t="s">
        <v>24</v>
      </c>
      <c r="B248">
        <f>VLOOKUP(M248,Sheet9!$I$1:$J$17,2,FALSE)</f>
        <v>9</v>
      </c>
      <c r="C248">
        <f>VLOOKUP(N248,Sheet9!$M$1:$N$2,2,FALSE)</f>
        <v>1</v>
      </c>
      <c r="D248">
        <v>16</v>
      </c>
      <c r="E248" t="s">
        <v>96</v>
      </c>
      <c r="F248">
        <v>120</v>
      </c>
      <c r="H248">
        <v>10</v>
      </c>
      <c r="I248">
        <v>0.6</v>
      </c>
      <c r="J248">
        <v>6</v>
      </c>
      <c r="K248">
        <v>16.940000000000001</v>
      </c>
      <c r="L248">
        <v>16.440000000000001</v>
      </c>
      <c r="M248" s="124" t="s">
        <v>24</v>
      </c>
      <c r="N248" t="s">
        <v>162</v>
      </c>
    </row>
    <row r="249" spans="1:14" x14ac:dyDescent="0.3">
      <c r="A249" s="124" t="s">
        <v>24</v>
      </c>
      <c r="B249">
        <f>VLOOKUP(M249,Sheet9!$I$1:$J$17,2,FALSE)</f>
        <v>9</v>
      </c>
      <c r="C249">
        <f>VLOOKUP(N249,Sheet9!$M$1:$N$2,2,FALSE)</f>
        <v>1</v>
      </c>
      <c r="D249">
        <v>16</v>
      </c>
      <c r="E249" t="s">
        <v>96</v>
      </c>
      <c r="F249">
        <v>120</v>
      </c>
      <c r="H249">
        <v>6</v>
      </c>
      <c r="I249">
        <v>1.2</v>
      </c>
      <c r="J249">
        <v>7.1999999999999993</v>
      </c>
      <c r="K249">
        <v>17.649999999999999</v>
      </c>
      <c r="L249">
        <v>17.13</v>
      </c>
      <c r="M249" s="124" t="s">
        <v>24</v>
      </c>
      <c r="N249" t="s">
        <v>162</v>
      </c>
    </row>
    <row r="250" spans="1:14" x14ac:dyDescent="0.3">
      <c r="A250" s="124" t="s">
        <v>24</v>
      </c>
      <c r="B250">
        <f>VLOOKUP(M250,Sheet9!$I$1:$J$17,2,FALSE)</f>
        <v>9</v>
      </c>
      <c r="C250">
        <f>VLOOKUP(N250,Sheet9!$M$1:$N$2,2,FALSE)</f>
        <v>1</v>
      </c>
      <c r="D250">
        <v>16</v>
      </c>
      <c r="E250" t="s">
        <v>96</v>
      </c>
      <c r="F250">
        <v>120</v>
      </c>
      <c r="H250">
        <v>1</v>
      </c>
      <c r="I250">
        <v>10</v>
      </c>
      <c r="J250">
        <v>10</v>
      </c>
      <c r="K250">
        <v>12.28</v>
      </c>
      <c r="L250">
        <v>11.92</v>
      </c>
      <c r="M250" s="124" t="s">
        <v>24</v>
      </c>
      <c r="N250" t="s">
        <v>162</v>
      </c>
    </row>
    <row r="251" spans="1:14" x14ac:dyDescent="0.3">
      <c r="A251" s="124" t="s">
        <v>24</v>
      </c>
      <c r="B251">
        <f>VLOOKUP(M251,Sheet9!$I$1:$J$17,2,FALSE)</f>
        <v>9</v>
      </c>
      <c r="C251">
        <f>VLOOKUP(N251,Sheet9!$M$1:$N$2,2,FALSE)</f>
        <v>1</v>
      </c>
      <c r="D251">
        <v>16</v>
      </c>
      <c r="E251" t="s">
        <v>96</v>
      </c>
      <c r="F251">
        <v>120</v>
      </c>
      <c r="H251">
        <v>20</v>
      </c>
      <c r="I251">
        <v>0.6</v>
      </c>
      <c r="J251">
        <v>12</v>
      </c>
      <c r="K251">
        <v>16.62</v>
      </c>
      <c r="L251">
        <v>16.13</v>
      </c>
      <c r="M251" s="124" t="s">
        <v>24</v>
      </c>
      <c r="N251" t="s">
        <v>162</v>
      </c>
    </row>
    <row r="252" spans="1:14" x14ac:dyDescent="0.3">
      <c r="A252" s="124" t="s">
        <v>24</v>
      </c>
      <c r="B252">
        <f>VLOOKUP(M252,Sheet9!$I$1:$J$17,2,FALSE)</f>
        <v>9</v>
      </c>
      <c r="C252">
        <f>VLOOKUP(N252,Sheet9!$M$1:$N$2,2,FALSE)</f>
        <v>1</v>
      </c>
      <c r="D252">
        <v>16</v>
      </c>
      <c r="E252" t="s">
        <v>96</v>
      </c>
      <c r="F252">
        <v>120</v>
      </c>
      <c r="H252">
        <v>12</v>
      </c>
      <c r="I252">
        <v>1.2</v>
      </c>
      <c r="J252">
        <v>14.399999999999999</v>
      </c>
      <c r="K252">
        <v>15.75</v>
      </c>
      <c r="L252">
        <v>15.28</v>
      </c>
      <c r="M252" s="124" t="s">
        <v>24</v>
      </c>
      <c r="N252" t="s">
        <v>162</v>
      </c>
    </row>
    <row r="253" spans="1:14" x14ac:dyDescent="0.3">
      <c r="A253" s="124" t="s">
        <v>24</v>
      </c>
      <c r="B253">
        <f>VLOOKUP(M253,Sheet9!$I$1:$J$17,2,FALSE)</f>
        <v>9</v>
      </c>
      <c r="C253">
        <f>VLOOKUP(N253,Sheet9!$M$1:$N$2,2,FALSE)</f>
        <v>1</v>
      </c>
      <c r="D253">
        <v>16</v>
      </c>
      <c r="E253" t="s">
        <v>96</v>
      </c>
      <c r="F253">
        <v>120</v>
      </c>
      <c r="H253">
        <v>16</v>
      </c>
      <c r="I253">
        <v>1.2</v>
      </c>
      <c r="J253">
        <v>19.2</v>
      </c>
      <c r="K253">
        <v>15.07</v>
      </c>
      <c r="L253">
        <v>14.63</v>
      </c>
      <c r="M253" s="124" t="s">
        <v>24</v>
      </c>
      <c r="N253" t="s">
        <v>162</v>
      </c>
    </row>
    <row r="254" spans="1:14" x14ac:dyDescent="0.3">
      <c r="A254" s="124" t="s">
        <v>24</v>
      </c>
      <c r="B254">
        <f>VLOOKUP(M254,Sheet9!$I$1:$J$17,2,FALSE)</f>
        <v>9</v>
      </c>
      <c r="C254">
        <f>VLOOKUP(N254,Sheet9!$M$1:$N$2,2,FALSE)</f>
        <v>1</v>
      </c>
      <c r="D254">
        <v>16</v>
      </c>
      <c r="E254" t="s">
        <v>96</v>
      </c>
      <c r="F254">
        <v>140</v>
      </c>
      <c r="H254">
        <v>2</v>
      </c>
      <c r="I254">
        <v>1</v>
      </c>
      <c r="J254">
        <v>2</v>
      </c>
      <c r="K254">
        <v>19.600000000000001</v>
      </c>
      <c r="L254">
        <v>19.010000000000002</v>
      </c>
      <c r="M254" s="124" t="s">
        <v>24</v>
      </c>
      <c r="N254" t="s">
        <v>162</v>
      </c>
    </row>
    <row r="255" spans="1:14" x14ac:dyDescent="0.3">
      <c r="A255" s="124" t="s">
        <v>24</v>
      </c>
      <c r="B255">
        <f>VLOOKUP(M255,Sheet9!$I$1:$J$17,2,FALSE)</f>
        <v>9</v>
      </c>
      <c r="C255">
        <f>VLOOKUP(N255,Sheet9!$M$1:$N$2,2,FALSE)</f>
        <v>1</v>
      </c>
      <c r="D255">
        <v>16</v>
      </c>
      <c r="E255" t="s">
        <v>96</v>
      </c>
      <c r="F255">
        <v>140</v>
      </c>
      <c r="H255">
        <v>1</v>
      </c>
      <c r="I255">
        <v>5</v>
      </c>
      <c r="J255">
        <v>5</v>
      </c>
      <c r="K255">
        <v>17.579999999999998</v>
      </c>
      <c r="L255">
        <v>17.05</v>
      </c>
      <c r="M255" s="124" t="s">
        <v>24</v>
      </c>
      <c r="N255" t="s">
        <v>162</v>
      </c>
    </row>
    <row r="256" spans="1:14" x14ac:dyDescent="0.3">
      <c r="A256" s="124" t="s">
        <v>24</v>
      </c>
      <c r="B256">
        <f>VLOOKUP(M256,Sheet9!$I$1:$J$17,2,FALSE)</f>
        <v>9</v>
      </c>
      <c r="C256">
        <f>VLOOKUP(N256,Sheet9!$M$1:$N$2,2,FALSE)</f>
        <v>1</v>
      </c>
      <c r="D256">
        <v>16</v>
      </c>
      <c r="E256" t="s">
        <v>96</v>
      </c>
      <c r="F256">
        <v>140</v>
      </c>
      <c r="H256">
        <v>10</v>
      </c>
      <c r="I256">
        <v>0.6</v>
      </c>
      <c r="J256">
        <v>6</v>
      </c>
      <c r="K256">
        <v>24.27</v>
      </c>
      <c r="L256">
        <v>23.53</v>
      </c>
      <c r="M256" s="124" t="s">
        <v>24</v>
      </c>
      <c r="N256" t="s">
        <v>162</v>
      </c>
    </row>
    <row r="257" spans="1:14" x14ac:dyDescent="0.3">
      <c r="A257" s="124" t="s">
        <v>24</v>
      </c>
      <c r="B257">
        <f>VLOOKUP(M257,Sheet9!$I$1:$J$17,2,FALSE)</f>
        <v>9</v>
      </c>
      <c r="C257">
        <f>VLOOKUP(N257,Sheet9!$M$1:$N$2,2,FALSE)</f>
        <v>1</v>
      </c>
      <c r="D257">
        <v>16</v>
      </c>
      <c r="E257" t="s">
        <v>96</v>
      </c>
      <c r="F257">
        <v>140</v>
      </c>
      <c r="H257">
        <v>6</v>
      </c>
      <c r="I257">
        <v>1.2</v>
      </c>
      <c r="J257">
        <v>7.1999999999999993</v>
      </c>
      <c r="K257">
        <v>25.28</v>
      </c>
      <c r="L257">
        <v>24.51</v>
      </c>
      <c r="M257" s="124" t="s">
        <v>24</v>
      </c>
      <c r="N257" t="s">
        <v>162</v>
      </c>
    </row>
    <row r="258" spans="1:14" x14ac:dyDescent="0.3">
      <c r="A258" s="124" t="s">
        <v>24</v>
      </c>
      <c r="B258">
        <f>VLOOKUP(M258,Sheet9!$I$1:$J$17,2,FALSE)</f>
        <v>9</v>
      </c>
      <c r="C258">
        <f>VLOOKUP(N258,Sheet9!$M$1:$N$2,2,FALSE)</f>
        <v>1</v>
      </c>
      <c r="D258">
        <v>16</v>
      </c>
      <c r="E258" t="s">
        <v>96</v>
      </c>
      <c r="F258">
        <v>140</v>
      </c>
      <c r="H258">
        <v>1</v>
      </c>
      <c r="I258">
        <v>10</v>
      </c>
      <c r="J258">
        <v>10</v>
      </c>
      <c r="K258">
        <v>17.579999999999998</v>
      </c>
      <c r="L258">
        <v>17.05</v>
      </c>
      <c r="M258" s="124" t="s">
        <v>24</v>
      </c>
      <c r="N258" t="s">
        <v>162</v>
      </c>
    </row>
    <row r="259" spans="1:14" x14ac:dyDescent="0.3">
      <c r="A259" s="124" t="s">
        <v>24</v>
      </c>
      <c r="B259">
        <f>VLOOKUP(M259,Sheet9!$I$1:$J$17,2,FALSE)</f>
        <v>9</v>
      </c>
      <c r="C259">
        <f>VLOOKUP(N259,Sheet9!$M$1:$N$2,2,FALSE)</f>
        <v>1</v>
      </c>
      <c r="D259">
        <v>16</v>
      </c>
      <c r="E259" t="s">
        <v>96</v>
      </c>
      <c r="F259">
        <v>140</v>
      </c>
      <c r="H259">
        <v>20</v>
      </c>
      <c r="I259">
        <v>0.6</v>
      </c>
      <c r="J259">
        <v>12</v>
      </c>
      <c r="K259">
        <v>23.8</v>
      </c>
      <c r="L259">
        <v>23.08</v>
      </c>
      <c r="M259" s="124" t="s">
        <v>24</v>
      </c>
      <c r="N259" t="s">
        <v>162</v>
      </c>
    </row>
    <row r="260" spans="1:14" x14ac:dyDescent="0.3">
      <c r="A260" s="124" t="s">
        <v>24</v>
      </c>
      <c r="B260">
        <f>VLOOKUP(M260,Sheet9!$I$1:$J$17,2,FALSE)</f>
        <v>9</v>
      </c>
      <c r="C260">
        <f>VLOOKUP(N260,Sheet9!$M$1:$N$2,2,FALSE)</f>
        <v>1</v>
      </c>
      <c r="D260">
        <v>16</v>
      </c>
      <c r="E260" t="s">
        <v>96</v>
      </c>
      <c r="F260">
        <v>140</v>
      </c>
      <c r="H260">
        <v>12</v>
      </c>
      <c r="I260">
        <v>1.2</v>
      </c>
      <c r="J260">
        <v>14.399999999999999</v>
      </c>
      <c r="K260">
        <v>22.56</v>
      </c>
      <c r="L260">
        <v>21.87</v>
      </c>
      <c r="M260" s="124" t="s">
        <v>24</v>
      </c>
      <c r="N260" t="s">
        <v>162</v>
      </c>
    </row>
    <row r="261" spans="1:14" x14ac:dyDescent="0.3">
      <c r="A261" s="124" t="s">
        <v>24</v>
      </c>
      <c r="B261">
        <f>VLOOKUP(M261,Sheet9!$I$1:$J$17,2,FALSE)</f>
        <v>9</v>
      </c>
      <c r="C261">
        <f>VLOOKUP(N261,Sheet9!$M$1:$N$2,2,FALSE)</f>
        <v>1</v>
      </c>
      <c r="D261">
        <v>16</v>
      </c>
      <c r="E261" t="s">
        <v>96</v>
      </c>
      <c r="F261">
        <v>140</v>
      </c>
      <c r="H261">
        <v>16</v>
      </c>
      <c r="I261">
        <v>1.2</v>
      </c>
      <c r="J261">
        <v>19.2</v>
      </c>
      <c r="K261">
        <v>21.58</v>
      </c>
      <c r="L261">
        <v>20.93</v>
      </c>
      <c r="M261" s="124" t="s">
        <v>24</v>
      </c>
      <c r="N261" t="s">
        <v>162</v>
      </c>
    </row>
    <row r="262" spans="1:14" x14ac:dyDescent="0.3">
      <c r="A262" s="124" t="s">
        <v>24</v>
      </c>
      <c r="B262">
        <f>VLOOKUP(M262,Sheet9!$I$1:$J$17,2,FALSE)</f>
        <v>9</v>
      </c>
      <c r="C262">
        <f>VLOOKUP(N262,Sheet9!$M$1:$N$2,2,FALSE)</f>
        <v>1</v>
      </c>
      <c r="D262">
        <v>32</v>
      </c>
      <c r="E262" t="s">
        <v>95</v>
      </c>
      <c r="F262">
        <v>70</v>
      </c>
      <c r="H262">
        <v>2</v>
      </c>
      <c r="I262">
        <v>1</v>
      </c>
      <c r="J262">
        <v>2</v>
      </c>
      <c r="K262">
        <v>0.68</v>
      </c>
      <c r="L262">
        <v>1.37</v>
      </c>
      <c r="M262" s="124" t="s">
        <v>24</v>
      </c>
      <c r="N262" t="s">
        <v>162</v>
      </c>
    </row>
    <row r="263" spans="1:14" x14ac:dyDescent="0.3">
      <c r="A263" s="124" t="s">
        <v>24</v>
      </c>
      <c r="B263">
        <f>VLOOKUP(M263,Sheet9!$I$1:$J$17,2,FALSE)</f>
        <v>9</v>
      </c>
      <c r="C263">
        <f>VLOOKUP(N263,Sheet9!$M$1:$N$2,2,FALSE)</f>
        <v>1</v>
      </c>
      <c r="D263">
        <v>32</v>
      </c>
      <c r="E263" t="s">
        <v>95</v>
      </c>
      <c r="F263">
        <v>70</v>
      </c>
      <c r="H263">
        <v>1</v>
      </c>
      <c r="I263">
        <v>5</v>
      </c>
      <c r="J263">
        <v>5</v>
      </c>
      <c r="K263">
        <v>0.61</v>
      </c>
      <c r="L263">
        <v>1.22</v>
      </c>
      <c r="M263" s="124" t="s">
        <v>24</v>
      </c>
      <c r="N263" t="s">
        <v>162</v>
      </c>
    </row>
    <row r="264" spans="1:14" x14ac:dyDescent="0.3">
      <c r="A264" s="124" t="s">
        <v>24</v>
      </c>
      <c r="B264">
        <f>VLOOKUP(M264,Sheet9!$I$1:$J$17,2,FALSE)</f>
        <v>9</v>
      </c>
      <c r="C264">
        <f>VLOOKUP(N264,Sheet9!$M$1:$N$2,2,FALSE)</f>
        <v>1</v>
      </c>
      <c r="D264">
        <v>32</v>
      </c>
      <c r="E264" t="s">
        <v>95</v>
      </c>
      <c r="F264">
        <v>70</v>
      </c>
      <c r="H264">
        <v>10</v>
      </c>
      <c r="I264">
        <v>0.6</v>
      </c>
      <c r="J264">
        <v>6</v>
      </c>
      <c r="K264">
        <v>0.84</v>
      </c>
      <c r="L264">
        <v>1.69</v>
      </c>
      <c r="M264" s="124" t="s">
        <v>24</v>
      </c>
      <c r="N264" t="s">
        <v>162</v>
      </c>
    </row>
    <row r="265" spans="1:14" x14ac:dyDescent="0.3">
      <c r="A265" s="124" t="s">
        <v>24</v>
      </c>
      <c r="B265">
        <f>VLOOKUP(M265,Sheet9!$I$1:$J$17,2,FALSE)</f>
        <v>9</v>
      </c>
      <c r="C265">
        <f>VLOOKUP(N265,Sheet9!$M$1:$N$2,2,FALSE)</f>
        <v>1</v>
      </c>
      <c r="D265">
        <v>32</v>
      </c>
      <c r="E265" t="s">
        <v>95</v>
      </c>
      <c r="F265">
        <v>70</v>
      </c>
      <c r="H265">
        <v>6</v>
      </c>
      <c r="I265">
        <v>1.2</v>
      </c>
      <c r="J265">
        <v>7.1999999999999993</v>
      </c>
      <c r="K265">
        <v>0.88</v>
      </c>
      <c r="L265">
        <v>1.76</v>
      </c>
      <c r="M265" s="124" t="s">
        <v>24</v>
      </c>
      <c r="N265" t="s">
        <v>162</v>
      </c>
    </row>
    <row r="266" spans="1:14" x14ac:dyDescent="0.3">
      <c r="A266" s="124" t="s">
        <v>24</v>
      </c>
      <c r="B266">
        <f>VLOOKUP(M266,Sheet9!$I$1:$J$17,2,FALSE)</f>
        <v>9</v>
      </c>
      <c r="C266">
        <f>VLOOKUP(N266,Sheet9!$M$1:$N$2,2,FALSE)</f>
        <v>1</v>
      </c>
      <c r="D266">
        <v>32</v>
      </c>
      <c r="E266" t="s">
        <v>95</v>
      </c>
      <c r="F266">
        <v>70</v>
      </c>
      <c r="H266">
        <v>1</v>
      </c>
      <c r="I266">
        <v>10</v>
      </c>
      <c r="J266">
        <v>10</v>
      </c>
      <c r="K266">
        <v>0.61</v>
      </c>
      <c r="L266">
        <v>1.22</v>
      </c>
      <c r="M266" s="124" t="s">
        <v>24</v>
      </c>
      <c r="N266" t="s">
        <v>162</v>
      </c>
    </row>
    <row r="267" spans="1:14" x14ac:dyDescent="0.3">
      <c r="A267" s="124" t="s">
        <v>24</v>
      </c>
      <c r="B267">
        <f>VLOOKUP(M267,Sheet9!$I$1:$J$17,2,FALSE)</f>
        <v>9</v>
      </c>
      <c r="C267">
        <f>VLOOKUP(N267,Sheet9!$M$1:$N$2,2,FALSE)</f>
        <v>1</v>
      </c>
      <c r="D267">
        <v>32</v>
      </c>
      <c r="E267" t="s">
        <v>95</v>
      </c>
      <c r="F267">
        <v>70</v>
      </c>
      <c r="H267">
        <v>20</v>
      </c>
      <c r="I267">
        <v>0.6</v>
      </c>
      <c r="J267">
        <v>12</v>
      </c>
      <c r="K267">
        <v>0.83</v>
      </c>
      <c r="L267">
        <v>1.66</v>
      </c>
      <c r="M267" s="124" t="s">
        <v>24</v>
      </c>
      <c r="N267" t="s">
        <v>162</v>
      </c>
    </row>
    <row r="268" spans="1:14" x14ac:dyDescent="0.3">
      <c r="A268" s="124" t="s">
        <v>24</v>
      </c>
      <c r="B268">
        <f>VLOOKUP(M268,Sheet9!$I$1:$J$17,2,FALSE)</f>
        <v>9</v>
      </c>
      <c r="C268">
        <f>VLOOKUP(N268,Sheet9!$M$1:$N$2,2,FALSE)</f>
        <v>1</v>
      </c>
      <c r="D268">
        <v>32</v>
      </c>
      <c r="E268" t="s">
        <v>95</v>
      </c>
      <c r="F268">
        <v>70</v>
      </c>
      <c r="H268">
        <v>12</v>
      </c>
      <c r="I268">
        <v>1.2</v>
      </c>
      <c r="J268">
        <v>14.399999999999999</v>
      </c>
      <c r="K268">
        <v>0.79</v>
      </c>
      <c r="L268">
        <v>1.57</v>
      </c>
      <c r="M268" s="124" t="s">
        <v>24</v>
      </c>
      <c r="N268" t="s">
        <v>162</v>
      </c>
    </row>
    <row r="269" spans="1:14" x14ac:dyDescent="0.3">
      <c r="A269" s="124" t="s">
        <v>24</v>
      </c>
      <c r="B269">
        <f>VLOOKUP(M269,Sheet9!$I$1:$J$17,2,FALSE)</f>
        <v>9</v>
      </c>
      <c r="C269">
        <f>VLOOKUP(N269,Sheet9!$M$1:$N$2,2,FALSE)</f>
        <v>1</v>
      </c>
      <c r="D269">
        <v>32</v>
      </c>
      <c r="E269" t="s">
        <v>95</v>
      </c>
      <c r="F269">
        <v>70</v>
      </c>
      <c r="H269">
        <v>16</v>
      </c>
      <c r="I269">
        <v>1.2</v>
      </c>
      <c r="J269">
        <v>19.2</v>
      </c>
      <c r="K269">
        <v>0.75</v>
      </c>
      <c r="L269">
        <v>1.59</v>
      </c>
      <c r="M269" s="124" t="s">
        <v>24</v>
      </c>
      <c r="N269" t="s">
        <v>162</v>
      </c>
    </row>
    <row r="270" spans="1:14" x14ac:dyDescent="0.3">
      <c r="A270" s="124" t="s">
        <v>24</v>
      </c>
      <c r="B270">
        <f>VLOOKUP(M270,Sheet9!$I$1:$J$17,2,FALSE)</f>
        <v>9</v>
      </c>
      <c r="C270">
        <f>VLOOKUP(N270,Sheet9!$M$1:$N$2,2,FALSE)</f>
        <v>1</v>
      </c>
      <c r="D270">
        <v>32</v>
      </c>
      <c r="E270" t="s">
        <v>95</v>
      </c>
      <c r="F270">
        <v>80</v>
      </c>
      <c r="H270">
        <v>2</v>
      </c>
      <c r="I270">
        <v>1</v>
      </c>
      <c r="J270">
        <v>2</v>
      </c>
      <c r="K270">
        <v>1.18</v>
      </c>
      <c r="L270">
        <v>2.1800000000000002</v>
      </c>
      <c r="M270" s="124" t="s">
        <v>24</v>
      </c>
      <c r="N270" t="s">
        <v>162</v>
      </c>
    </row>
    <row r="271" spans="1:14" x14ac:dyDescent="0.3">
      <c r="A271" s="124" t="s">
        <v>24</v>
      </c>
      <c r="B271">
        <f>VLOOKUP(M271,Sheet9!$I$1:$J$17,2,FALSE)</f>
        <v>9</v>
      </c>
      <c r="C271">
        <f>VLOOKUP(N271,Sheet9!$M$1:$N$2,2,FALSE)</f>
        <v>1</v>
      </c>
      <c r="D271">
        <v>32</v>
      </c>
      <c r="E271" t="s">
        <v>95</v>
      </c>
      <c r="F271">
        <v>80</v>
      </c>
      <c r="H271">
        <v>1</v>
      </c>
      <c r="I271">
        <v>5</v>
      </c>
      <c r="J271">
        <v>5</v>
      </c>
      <c r="K271">
        <v>1.06</v>
      </c>
      <c r="L271">
        <v>1.96</v>
      </c>
      <c r="M271" s="124" t="s">
        <v>24</v>
      </c>
      <c r="N271" t="s">
        <v>162</v>
      </c>
    </row>
    <row r="272" spans="1:14" x14ac:dyDescent="0.3">
      <c r="A272" s="124" t="s">
        <v>24</v>
      </c>
      <c r="B272">
        <f>VLOOKUP(M272,Sheet9!$I$1:$J$17,2,FALSE)</f>
        <v>9</v>
      </c>
      <c r="C272">
        <f>VLOOKUP(N272,Sheet9!$M$1:$N$2,2,FALSE)</f>
        <v>1</v>
      </c>
      <c r="D272">
        <v>32</v>
      </c>
      <c r="E272" t="s">
        <v>95</v>
      </c>
      <c r="F272">
        <v>80</v>
      </c>
      <c r="H272">
        <v>10</v>
      </c>
      <c r="I272">
        <v>0.6</v>
      </c>
      <c r="J272">
        <v>6</v>
      </c>
      <c r="K272">
        <v>1.46</v>
      </c>
      <c r="L272">
        <v>2.7</v>
      </c>
      <c r="M272" s="124" t="s">
        <v>24</v>
      </c>
      <c r="N272" t="s">
        <v>162</v>
      </c>
    </row>
    <row r="273" spans="1:14" x14ac:dyDescent="0.3">
      <c r="A273" s="124" t="s">
        <v>24</v>
      </c>
      <c r="B273">
        <f>VLOOKUP(M273,Sheet9!$I$1:$J$17,2,FALSE)</f>
        <v>9</v>
      </c>
      <c r="C273">
        <f>VLOOKUP(N273,Sheet9!$M$1:$N$2,2,FALSE)</f>
        <v>1</v>
      </c>
      <c r="D273">
        <v>32</v>
      </c>
      <c r="E273" t="s">
        <v>95</v>
      </c>
      <c r="F273">
        <v>80</v>
      </c>
      <c r="H273">
        <v>6</v>
      </c>
      <c r="I273">
        <v>1.2</v>
      </c>
      <c r="J273">
        <v>7.1999999999999993</v>
      </c>
      <c r="K273">
        <v>1.52</v>
      </c>
      <c r="L273">
        <v>2.81</v>
      </c>
      <c r="M273" s="124" t="s">
        <v>24</v>
      </c>
      <c r="N273" t="s">
        <v>162</v>
      </c>
    </row>
    <row r="274" spans="1:14" x14ac:dyDescent="0.3">
      <c r="A274" s="124" t="s">
        <v>24</v>
      </c>
      <c r="B274">
        <f>VLOOKUP(M274,Sheet9!$I$1:$J$17,2,FALSE)</f>
        <v>9</v>
      </c>
      <c r="C274">
        <f>VLOOKUP(N274,Sheet9!$M$1:$N$2,2,FALSE)</f>
        <v>1</v>
      </c>
      <c r="D274">
        <v>32</v>
      </c>
      <c r="E274" t="s">
        <v>95</v>
      </c>
      <c r="F274">
        <v>80</v>
      </c>
      <c r="H274">
        <v>1</v>
      </c>
      <c r="I274">
        <v>10</v>
      </c>
      <c r="J274">
        <v>10</v>
      </c>
      <c r="K274">
        <v>1.06</v>
      </c>
      <c r="L274">
        <v>1.96</v>
      </c>
      <c r="M274" s="124" t="s">
        <v>24</v>
      </c>
      <c r="N274" t="s">
        <v>162</v>
      </c>
    </row>
    <row r="275" spans="1:14" x14ac:dyDescent="0.3">
      <c r="A275" s="124" t="s">
        <v>24</v>
      </c>
      <c r="B275">
        <f>VLOOKUP(M275,Sheet9!$I$1:$J$17,2,FALSE)</f>
        <v>9</v>
      </c>
      <c r="C275">
        <f>VLOOKUP(N275,Sheet9!$M$1:$N$2,2,FALSE)</f>
        <v>1</v>
      </c>
      <c r="D275">
        <v>32</v>
      </c>
      <c r="E275" t="s">
        <v>95</v>
      </c>
      <c r="F275">
        <v>80</v>
      </c>
      <c r="H275">
        <v>20</v>
      </c>
      <c r="I275">
        <v>0.6</v>
      </c>
      <c r="J275">
        <v>12</v>
      </c>
      <c r="K275">
        <v>1.43</v>
      </c>
      <c r="L275">
        <v>2.65</v>
      </c>
      <c r="M275" s="124" t="s">
        <v>24</v>
      </c>
      <c r="N275" t="s">
        <v>162</v>
      </c>
    </row>
    <row r="276" spans="1:14" x14ac:dyDescent="0.3">
      <c r="A276" s="124" t="s">
        <v>24</v>
      </c>
      <c r="B276">
        <f>VLOOKUP(M276,Sheet9!$I$1:$J$17,2,FALSE)</f>
        <v>9</v>
      </c>
      <c r="C276">
        <f>VLOOKUP(N276,Sheet9!$M$1:$N$2,2,FALSE)</f>
        <v>1</v>
      </c>
      <c r="D276">
        <v>32</v>
      </c>
      <c r="E276" t="s">
        <v>95</v>
      </c>
      <c r="F276">
        <v>80</v>
      </c>
      <c r="H276">
        <v>12</v>
      </c>
      <c r="I276">
        <v>1.2</v>
      </c>
      <c r="J276">
        <v>14.399999999999999</v>
      </c>
      <c r="K276">
        <v>1.36</v>
      </c>
      <c r="L276">
        <v>2.5099999999999998</v>
      </c>
      <c r="M276" s="124" t="s">
        <v>24</v>
      </c>
      <c r="N276" t="s">
        <v>162</v>
      </c>
    </row>
    <row r="277" spans="1:14" x14ac:dyDescent="0.3">
      <c r="A277" s="124" t="s">
        <v>24</v>
      </c>
      <c r="B277">
        <f>VLOOKUP(M277,Sheet9!$I$1:$J$17,2,FALSE)</f>
        <v>9</v>
      </c>
      <c r="C277">
        <f>VLOOKUP(N277,Sheet9!$M$1:$N$2,2,FALSE)</f>
        <v>1</v>
      </c>
      <c r="D277">
        <v>32</v>
      </c>
      <c r="E277" t="s">
        <v>95</v>
      </c>
      <c r="F277">
        <v>80</v>
      </c>
      <c r="H277">
        <v>16</v>
      </c>
      <c r="I277">
        <v>1.2</v>
      </c>
      <c r="J277">
        <v>19.2</v>
      </c>
      <c r="K277">
        <v>1.3</v>
      </c>
      <c r="L277">
        <v>2.4</v>
      </c>
      <c r="M277" s="124" t="s">
        <v>24</v>
      </c>
      <c r="N277" t="s">
        <v>162</v>
      </c>
    </row>
    <row r="278" spans="1:14" x14ac:dyDescent="0.3">
      <c r="A278" s="124" t="s">
        <v>24</v>
      </c>
      <c r="B278">
        <f>VLOOKUP(M278,Sheet9!$I$1:$J$17,2,FALSE)</f>
        <v>9</v>
      </c>
      <c r="C278">
        <f>VLOOKUP(N278,Sheet9!$M$1:$N$2,2,FALSE)</f>
        <v>1</v>
      </c>
      <c r="D278">
        <v>32</v>
      </c>
      <c r="E278" t="s">
        <v>95</v>
      </c>
      <c r="F278">
        <v>100</v>
      </c>
      <c r="H278">
        <v>2</v>
      </c>
      <c r="I278">
        <v>1</v>
      </c>
      <c r="J278">
        <v>2</v>
      </c>
      <c r="K278">
        <v>2.56</v>
      </c>
      <c r="L278">
        <v>4.28</v>
      </c>
      <c r="M278" s="124" t="s">
        <v>24</v>
      </c>
      <c r="N278" t="s">
        <v>162</v>
      </c>
    </row>
    <row r="279" spans="1:14" x14ac:dyDescent="0.3">
      <c r="A279" s="124" t="s">
        <v>24</v>
      </c>
      <c r="B279">
        <f>VLOOKUP(M279,Sheet9!$I$1:$J$17,2,FALSE)</f>
        <v>9</v>
      </c>
      <c r="C279">
        <f>VLOOKUP(N279,Sheet9!$M$1:$N$2,2,FALSE)</f>
        <v>1</v>
      </c>
      <c r="D279">
        <v>32</v>
      </c>
      <c r="E279" t="s">
        <v>95</v>
      </c>
      <c r="F279">
        <v>100</v>
      </c>
      <c r="H279">
        <v>1</v>
      </c>
      <c r="I279">
        <v>5</v>
      </c>
      <c r="J279">
        <v>5</v>
      </c>
      <c r="K279">
        <v>2.29</v>
      </c>
      <c r="L279">
        <v>3.84</v>
      </c>
      <c r="M279" s="124" t="s">
        <v>24</v>
      </c>
      <c r="N279" t="s">
        <v>162</v>
      </c>
    </row>
    <row r="280" spans="1:14" x14ac:dyDescent="0.3">
      <c r="A280" s="124" t="s">
        <v>24</v>
      </c>
      <c r="B280">
        <f>VLOOKUP(M280,Sheet9!$I$1:$J$17,2,FALSE)</f>
        <v>9</v>
      </c>
      <c r="C280">
        <f>VLOOKUP(N280,Sheet9!$M$1:$N$2,2,FALSE)</f>
        <v>1</v>
      </c>
      <c r="D280">
        <v>32</v>
      </c>
      <c r="E280" t="s">
        <v>95</v>
      </c>
      <c r="F280">
        <v>100</v>
      </c>
      <c r="H280">
        <v>10</v>
      </c>
      <c r="I280">
        <v>0.6</v>
      </c>
      <c r="J280">
        <v>6</v>
      </c>
      <c r="K280">
        <v>3.17</v>
      </c>
      <c r="L280">
        <v>5.3</v>
      </c>
      <c r="M280" s="124" t="s">
        <v>24</v>
      </c>
      <c r="N280" t="s">
        <v>162</v>
      </c>
    </row>
    <row r="281" spans="1:14" x14ac:dyDescent="0.3">
      <c r="A281" s="124" t="s">
        <v>24</v>
      </c>
      <c r="B281">
        <f>VLOOKUP(M281,Sheet9!$I$1:$J$17,2,FALSE)</f>
        <v>9</v>
      </c>
      <c r="C281">
        <f>VLOOKUP(N281,Sheet9!$M$1:$N$2,2,FALSE)</f>
        <v>1</v>
      </c>
      <c r="D281">
        <v>32</v>
      </c>
      <c r="E281" t="s">
        <v>95</v>
      </c>
      <c r="F281">
        <v>100</v>
      </c>
      <c r="H281">
        <v>6</v>
      </c>
      <c r="I281">
        <v>1.2</v>
      </c>
      <c r="J281">
        <v>7.1999999999999993</v>
      </c>
      <c r="K281">
        <v>3.3</v>
      </c>
      <c r="L281">
        <v>5.52</v>
      </c>
      <c r="M281" s="124" t="s">
        <v>24</v>
      </c>
      <c r="N281" t="s">
        <v>162</v>
      </c>
    </row>
    <row r="282" spans="1:14" x14ac:dyDescent="0.3">
      <c r="A282" s="124" t="s">
        <v>24</v>
      </c>
      <c r="B282">
        <f>VLOOKUP(M282,Sheet9!$I$1:$J$17,2,FALSE)</f>
        <v>9</v>
      </c>
      <c r="C282">
        <f>VLOOKUP(N282,Sheet9!$M$1:$N$2,2,FALSE)</f>
        <v>1</v>
      </c>
      <c r="D282">
        <v>32</v>
      </c>
      <c r="E282" t="s">
        <v>95</v>
      </c>
      <c r="F282">
        <v>100</v>
      </c>
      <c r="H282">
        <v>1</v>
      </c>
      <c r="I282">
        <v>10</v>
      </c>
      <c r="J282">
        <v>10</v>
      </c>
      <c r="K282">
        <v>2.29</v>
      </c>
      <c r="L282">
        <v>3.84</v>
      </c>
      <c r="M282" s="124" t="s">
        <v>24</v>
      </c>
      <c r="N282" t="s">
        <v>162</v>
      </c>
    </row>
    <row r="283" spans="1:14" x14ac:dyDescent="0.3">
      <c r="A283" s="124" t="s">
        <v>24</v>
      </c>
      <c r="B283">
        <f>VLOOKUP(M283,Sheet9!$I$1:$J$17,2,FALSE)</f>
        <v>9</v>
      </c>
      <c r="C283">
        <f>VLOOKUP(N283,Sheet9!$M$1:$N$2,2,FALSE)</f>
        <v>1</v>
      </c>
      <c r="D283">
        <v>32</v>
      </c>
      <c r="E283" t="s">
        <v>95</v>
      </c>
      <c r="F283">
        <v>100</v>
      </c>
      <c r="H283">
        <v>20</v>
      </c>
      <c r="I283">
        <v>0.6</v>
      </c>
      <c r="J283">
        <v>12</v>
      </c>
      <c r="K283">
        <v>3.1</v>
      </c>
      <c r="L283">
        <v>5.19</v>
      </c>
      <c r="M283" s="124" t="s">
        <v>24</v>
      </c>
      <c r="N283" t="s">
        <v>162</v>
      </c>
    </row>
    <row r="284" spans="1:14" x14ac:dyDescent="0.3">
      <c r="A284" s="124" t="s">
        <v>24</v>
      </c>
      <c r="B284">
        <f>VLOOKUP(M284,Sheet9!$I$1:$J$17,2,FALSE)</f>
        <v>9</v>
      </c>
      <c r="C284">
        <f>VLOOKUP(N284,Sheet9!$M$1:$N$2,2,FALSE)</f>
        <v>1</v>
      </c>
      <c r="D284">
        <v>32</v>
      </c>
      <c r="E284" t="s">
        <v>95</v>
      </c>
      <c r="F284">
        <v>100</v>
      </c>
      <c r="H284">
        <v>12</v>
      </c>
      <c r="I284">
        <v>1.2</v>
      </c>
      <c r="J284">
        <v>14.399999999999999</v>
      </c>
      <c r="K284">
        <v>2.94</v>
      </c>
      <c r="L284">
        <v>4.92</v>
      </c>
      <c r="M284" s="124" t="s">
        <v>24</v>
      </c>
      <c r="N284" t="s">
        <v>162</v>
      </c>
    </row>
    <row r="285" spans="1:14" x14ac:dyDescent="0.3">
      <c r="A285" s="124" t="s">
        <v>24</v>
      </c>
      <c r="B285">
        <f>VLOOKUP(M285,Sheet9!$I$1:$J$17,2,FALSE)</f>
        <v>9</v>
      </c>
      <c r="C285">
        <f>VLOOKUP(N285,Sheet9!$M$1:$N$2,2,FALSE)</f>
        <v>1</v>
      </c>
      <c r="D285">
        <v>32</v>
      </c>
      <c r="E285" t="s">
        <v>95</v>
      </c>
      <c r="F285">
        <v>100</v>
      </c>
      <c r="H285">
        <v>16</v>
      </c>
      <c r="I285">
        <v>1.2</v>
      </c>
      <c r="J285">
        <v>19.2</v>
      </c>
      <c r="K285">
        <v>2.82</v>
      </c>
      <c r="L285">
        <v>4.71</v>
      </c>
      <c r="M285" s="124" t="s">
        <v>24</v>
      </c>
      <c r="N285" t="s">
        <v>162</v>
      </c>
    </row>
    <row r="286" spans="1:14" x14ac:dyDescent="0.3">
      <c r="A286" s="124" t="s">
        <v>24</v>
      </c>
      <c r="B286">
        <f>VLOOKUP(M286,Sheet9!$I$1:$J$17,2,FALSE)</f>
        <v>9</v>
      </c>
      <c r="C286">
        <f>VLOOKUP(N286,Sheet9!$M$1:$N$2,2,FALSE)</f>
        <v>1</v>
      </c>
      <c r="D286">
        <v>32</v>
      </c>
      <c r="E286" t="s">
        <v>95</v>
      </c>
      <c r="F286">
        <v>120</v>
      </c>
      <c r="H286">
        <v>2</v>
      </c>
      <c r="I286">
        <v>1</v>
      </c>
      <c r="J286">
        <v>2</v>
      </c>
      <c r="K286">
        <v>4.6100000000000003</v>
      </c>
      <c r="L286">
        <v>7.33</v>
      </c>
      <c r="M286" s="124" t="s">
        <v>24</v>
      </c>
      <c r="N286" t="s">
        <v>162</v>
      </c>
    </row>
    <row r="287" spans="1:14" x14ac:dyDescent="0.3">
      <c r="A287" s="124" t="s">
        <v>24</v>
      </c>
      <c r="B287">
        <f>VLOOKUP(M287,Sheet9!$I$1:$J$17,2,FALSE)</f>
        <v>9</v>
      </c>
      <c r="C287">
        <f>VLOOKUP(N287,Sheet9!$M$1:$N$2,2,FALSE)</f>
        <v>1</v>
      </c>
      <c r="D287">
        <v>32</v>
      </c>
      <c r="E287" t="s">
        <v>95</v>
      </c>
      <c r="F287">
        <v>120</v>
      </c>
      <c r="H287">
        <v>1</v>
      </c>
      <c r="I287">
        <v>5</v>
      </c>
      <c r="J287">
        <v>5</v>
      </c>
      <c r="K287">
        <v>4.1399999999999997</v>
      </c>
      <c r="L287">
        <v>6.58</v>
      </c>
      <c r="M287" s="124" t="s">
        <v>24</v>
      </c>
      <c r="N287" t="s">
        <v>162</v>
      </c>
    </row>
    <row r="288" spans="1:14" x14ac:dyDescent="0.3">
      <c r="A288" s="124" t="s">
        <v>24</v>
      </c>
      <c r="B288">
        <f>VLOOKUP(M288,Sheet9!$I$1:$J$17,2,FALSE)</f>
        <v>9</v>
      </c>
      <c r="C288">
        <f>VLOOKUP(N288,Sheet9!$M$1:$N$2,2,FALSE)</f>
        <v>1</v>
      </c>
      <c r="D288">
        <v>32</v>
      </c>
      <c r="E288" t="s">
        <v>95</v>
      </c>
      <c r="F288">
        <v>120</v>
      </c>
      <c r="H288">
        <v>10</v>
      </c>
      <c r="I288">
        <v>0.6</v>
      </c>
      <c r="J288">
        <v>6</v>
      </c>
      <c r="K288">
        <v>5.71</v>
      </c>
      <c r="L288">
        <v>9.08</v>
      </c>
      <c r="M288" s="124" t="s">
        <v>24</v>
      </c>
      <c r="N288" t="s">
        <v>162</v>
      </c>
    </row>
    <row r="289" spans="1:14" x14ac:dyDescent="0.3">
      <c r="A289" s="124" t="s">
        <v>24</v>
      </c>
      <c r="B289">
        <f>VLOOKUP(M289,Sheet9!$I$1:$J$17,2,FALSE)</f>
        <v>9</v>
      </c>
      <c r="C289">
        <f>VLOOKUP(N289,Sheet9!$M$1:$N$2,2,FALSE)</f>
        <v>1</v>
      </c>
      <c r="D289">
        <v>32</v>
      </c>
      <c r="E289" t="s">
        <v>95</v>
      </c>
      <c r="F289">
        <v>120</v>
      </c>
      <c r="H289">
        <v>6</v>
      </c>
      <c r="I289">
        <v>1.2</v>
      </c>
      <c r="J289">
        <v>7.1999999999999993</v>
      </c>
      <c r="K289">
        <v>5.95</v>
      </c>
      <c r="L289">
        <v>9.4600000000000009</v>
      </c>
      <c r="M289" s="124" t="s">
        <v>24</v>
      </c>
      <c r="N289" t="s">
        <v>162</v>
      </c>
    </row>
    <row r="290" spans="1:14" x14ac:dyDescent="0.3">
      <c r="A290" s="124" t="s">
        <v>24</v>
      </c>
      <c r="B290">
        <f>VLOOKUP(M290,Sheet9!$I$1:$J$17,2,FALSE)</f>
        <v>9</v>
      </c>
      <c r="C290">
        <f>VLOOKUP(N290,Sheet9!$M$1:$N$2,2,FALSE)</f>
        <v>1</v>
      </c>
      <c r="D290">
        <v>32</v>
      </c>
      <c r="E290" t="s">
        <v>95</v>
      </c>
      <c r="F290">
        <v>120</v>
      </c>
      <c r="H290">
        <v>1</v>
      </c>
      <c r="I290">
        <v>10</v>
      </c>
      <c r="J290">
        <v>10</v>
      </c>
      <c r="K290">
        <v>4.1399999999999997</v>
      </c>
      <c r="L290">
        <v>6.58</v>
      </c>
      <c r="M290" s="124" t="s">
        <v>24</v>
      </c>
      <c r="N290" t="s">
        <v>162</v>
      </c>
    </row>
    <row r="291" spans="1:14" x14ac:dyDescent="0.3">
      <c r="A291" s="124" t="s">
        <v>24</v>
      </c>
      <c r="B291">
        <f>VLOOKUP(M291,Sheet9!$I$1:$J$17,2,FALSE)</f>
        <v>9</v>
      </c>
      <c r="C291">
        <f>VLOOKUP(N291,Sheet9!$M$1:$N$2,2,FALSE)</f>
        <v>1</v>
      </c>
      <c r="D291">
        <v>32</v>
      </c>
      <c r="E291" t="s">
        <v>95</v>
      </c>
      <c r="F291">
        <v>120</v>
      </c>
      <c r="H291">
        <v>20</v>
      </c>
      <c r="I291">
        <v>0.6</v>
      </c>
      <c r="J291">
        <v>12</v>
      </c>
      <c r="K291">
        <v>5.6</v>
      </c>
      <c r="L291">
        <v>8.91</v>
      </c>
      <c r="M291" s="124" t="s">
        <v>24</v>
      </c>
      <c r="N291" t="s">
        <v>162</v>
      </c>
    </row>
    <row r="292" spans="1:14" x14ac:dyDescent="0.3">
      <c r="A292" s="124" t="s">
        <v>24</v>
      </c>
      <c r="B292">
        <f>VLOOKUP(M292,Sheet9!$I$1:$J$17,2,FALSE)</f>
        <v>9</v>
      </c>
      <c r="C292">
        <f>VLOOKUP(N292,Sheet9!$M$1:$N$2,2,FALSE)</f>
        <v>1</v>
      </c>
      <c r="D292">
        <v>32</v>
      </c>
      <c r="E292" t="s">
        <v>95</v>
      </c>
      <c r="F292">
        <v>120</v>
      </c>
      <c r="H292">
        <v>12</v>
      </c>
      <c r="I292">
        <v>1.2</v>
      </c>
      <c r="J292">
        <v>14.399999999999999</v>
      </c>
      <c r="K292">
        <v>5.31</v>
      </c>
      <c r="L292">
        <v>8.44</v>
      </c>
      <c r="M292" s="124" t="s">
        <v>24</v>
      </c>
      <c r="N292" t="s">
        <v>162</v>
      </c>
    </row>
    <row r="293" spans="1:14" x14ac:dyDescent="0.3">
      <c r="A293" s="124" t="s">
        <v>24</v>
      </c>
      <c r="B293">
        <f>VLOOKUP(M293,Sheet9!$I$1:$J$17,2,FALSE)</f>
        <v>9</v>
      </c>
      <c r="C293">
        <f>VLOOKUP(N293,Sheet9!$M$1:$N$2,2,FALSE)</f>
        <v>1</v>
      </c>
      <c r="D293">
        <v>32</v>
      </c>
      <c r="E293" t="s">
        <v>95</v>
      </c>
      <c r="F293">
        <v>120</v>
      </c>
      <c r="H293">
        <v>16</v>
      </c>
      <c r="I293">
        <v>1.2</v>
      </c>
      <c r="J293">
        <v>19.2</v>
      </c>
      <c r="K293">
        <v>5.08</v>
      </c>
      <c r="L293">
        <v>8.08</v>
      </c>
      <c r="M293" s="124" t="s">
        <v>24</v>
      </c>
      <c r="N293" t="s">
        <v>162</v>
      </c>
    </row>
    <row r="294" spans="1:14" x14ac:dyDescent="0.3">
      <c r="A294" s="124" t="s">
        <v>24</v>
      </c>
      <c r="B294">
        <f>VLOOKUP(M294,Sheet9!$I$1:$J$17,2,FALSE)</f>
        <v>9</v>
      </c>
      <c r="C294">
        <f>VLOOKUP(N294,Sheet9!$M$1:$N$2,2,FALSE)</f>
        <v>1</v>
      </c>
      <c r="D294">
        <v>32</v>
      </c>
      <c r="E294" t="s">
        <v>95</v>
      </c>
      <c r="F294">
        <v>140</v>
      </c>
      <c r="H294">
        <v>2</v>
      </c>
      <c r="I294">
        <v>1</v>
      </c>
      <c r="J294">
        <v>2</v>
      </c>
      <c r="K294">
        <v>6.88</v>
      </c>
      <c r="L294">
        <v>10.59</v>
      </c>
      <c r="M294" s="124" t="s">
        <v>24</v>
      </c>
      <c r="N294" t="s">
        <v>162</v>
      </c>
    </row>
    <row r="295" spans="1:14" x14ac:dyDescent="0.3">
      <c r="A295" s="124" t="s">
        <v>24</v>
      </c>
      <c r="B295">
        <f>VLOOKUP(M295,Sheet9!$I$1:$J$17,2,FALSE)</f>
        <v>9</v>
      </c>
      <c r="C295">
        <f>VLOOKUP(N295,Sheet9!$M$1:$N$2,2,FALSE)</f>
        <v>1</v>
      </c>
      <c r="D295">
        <v>32</v>
      </c>
      <c r="E295" t="s">
        <v>95</v>
      </c>
      <c r="F295">
        <v>140</v>
      </c>
      <c r="H295">
        <v>1</v>
      </c>
      <c r="I295">
        <v>5</v>
      </c>
      <c r="J295">
        <v>5</v>
      </c>
      <c r="K295">
        <v>6.17</v>
      </c>
      <c r="L295">
        <v>9.5</v>
      </c>
      <c r="M295" s="124" t="s">
        <v>24</v>
      </c>
      <c r="N295" t="s">
        <v>162</v>
      </c>
    </row>
    <row r="296" spans="1:14" x14ac:dyDescent="0.3">
      <c r="A296" s="124" t="s">
        <v>24</v>
      </c>
      <c r="B296">
        <f>VLOOKUP(M296,Sheet9!$I$1:$J$17,2,FALSE)</f>
        <v>9</v>
      </c>
      <c r="C296">
        <f>VLOOKUP(N296,Sheet9!$M$1:$N$2,2,FALSE)</f>
        <v>1</v>
      </c>
      <c r="D296">
        <v>32</v>
      </c>
      <c r="E296" t="s">
        <v>95</v>
      </c>
      <c r="F296">
        <v>140</v>
      </c>
      <c r="H296">
        <v>10</v>
      </c>
      <c r="I296">
        <v>0.6</v>
      </c>
      <c r="J296">
        <v>6</v>
      </c>
      <c r="K296">
        <v>8.52</v>
      </c>
      <c r="L296">
        <v>13.11</v>
      </c>
      <c r="M296" s="124" t="s">
        <v>24</v>
      </c>
      <c r="N296" t="s">
        <v>162</v>
      </c>
    </row>
    <row r="297" spans="1:14" x14ac:dyDescent="0.3">
      <c r="A297" s="124" t="s">
        <v>24</v>
      </c>
      <c r="B297">
        <f>VLOOKUP(M297,Sheet9!$I$1:$J$17,2,FALSE)</f>
        <v>9</v>
      </c>
      <c r="C297">
        <f>VLOOKUP(N297,Sheet9!$M$1:$N$2,2,FALSE)</f>
        <v>1</v>
      </c>
      <c r="D297">
        <v>32</v>
      </c>
      <c r="E297" t="s">
        <v>95</v>
      </c>
      <c r="F297">
        <v>140</v>
      </c>
      <c r="H297">
        <v>6</v>
      </c>
      <c r="I297">
        <v>1.2</v>
      </c>
      <c r="J297">
        <v>7.1999999999999993</v>
      </c>
      <c r="K297">
        <v>8.8699999999999992</v>
      </c>
      <c r="L297">
        <v>13.66</v>
      </c>
      <c r="M297" s="124" t="s">
        <v>24</v>
      </c>
      <c r="N297" t="s">
        <v>162</v>
      </c>
    </row>
    <row r="298" spans="1:14" x14ac:dyDescent="0.3">
      <c r="A298" s="124" t="s">
        <v>24</v>
      </c>
      <c r="B298">
        <f>VLOOKUP(M298,Sheet9!$I$1:$J$17,2,FALSE)</f>
        <v>9</v>
      </c>
      <c r="C298">
        <f>VLOOKUP(N298,Sheet9!$M$1:$N$2,2,FALSE)</f>
        <v>1</v>
      </c>
      <c r="D298">
        <v>32</v>
      </c>
      <c r="E298" t="s">
        <v>95</v>
      </c>
      <c r="F298">
        <v>140</v>
      </c>
      <c r="H298">
        <v>1</v>
      </c>
      <c r="I298">
        <v>10</v>
      </c>
      <c r="J298">
        <v>10</v>
      </c>
      <c r="K298">
        <v>6.17</v>
      </c>
      <c r="L298">
        <v>9.5</v>
      </c>
      <c r="M298" s="124" t="s">
        <v>24</v>
      </c>
      <c r="N298" t="s">
        <v>162</v>
      </c>
    </row>
    <row r="299" spans="1:14" x14ac:dyDescent="0.3">
      <c r="A299" s="124" t="s">
        <v>24</v>
      </c>
      <c r="B299">
        <f>VLOOKUP(M299,Sheet9!$I$1:$J$17,2,FALSE)</f>
        <v>9</v>
      </c>
      <c r="C299">
        <f>VLOOKUP(N299,Sheet9!$M$1:$N$2,2,FALSE)</f>
        <v>1</v>
      </c>
      <c r="D299">
        <v>32</v>
      </c>
      <c r="E299" t="s">
        <v>95</v>
      </c>
      <c r="F299">
        <v>140</v>
      </c>
      <c r="H299">
        <v>20</v>
      </c>
      <c r="I299">
        <v>0.6</v>
      </c>
      <c r="J299">
        <v>12</v>
      </c>
      <c r="K299">
        <v>8.36</v>
      </c>
      <c r="L299">
        <v>12.86</v>
      </c>
      <c r="M299" s="124" t="s">
        <v>24</v>
      </c>
      <c r="N299" t="s">
        <v>162</v>
      </c>
    </row>
    <row r="300" spans="1:14" x14ac:dyDescent="0.3">
      <c r="A300" s="124" t="s">
        <v>24</v>
      </c>
      <c r="B300">
        <f>VLOOKUP(M300,Sheet9!$I$1:$J$17,2,FALSE)</f>
        <v>9</v>
      </c>
      <c r="C300">
        <f>VLOOKUP(N300,Sheet9!$M$1:$N$2,2,FALSE)</f>
        <v>1</v>
      </c>
      <c r="D300">
        <v>32</v>
      </c>
      <c r="E300" t="s">
        <v>95</v>
      </c>
      <c r="F300">
        <v>140</v>
      </c>
      <c r="H300">
        <v>12</v>
      </c>
      <c r="I300">
        <v>1.2</v>
      </c>
      <c r="J300">
        <v>14.399999999999999</v>
      </c>
      <c r="K300">
        <v>7.92</v>
      </c>
      <c r="L300">
        <v>12.19</v>
      </c>
      <c r="M300" s="124" t="s">
        <v>24</v>
      </c>
      <c r="N300" t="s">
        <v>162</v>
      </c>
    </row>
    <row r="301" spans="1:14" x14ac:dyDescent="0.3">
      <c r="A301" s="124" t="s">
        <v>24</v>
      </c>
      <c r="B301">
        <f>VLOOKUP(M301,Sheet9!$I$1:$J$17,2,FALSE)</f>
        <v>9</v>
      </c>
      <c r="C301">
        <f>VLOOKUP(N301,Sheet9!$M$1:$N$2,2,FALSE)</f>
        <v>1</v>
      </c>
      <c r="D301">
        <v>32</v>
      </c>
      <c r="E301" t="s">
        <v>95</v>
      </c>
      <c r="F301">
        <v>140</v>
      </c>
      <c r="H301">
        <v>16</v>
      </c>
      <c r="I301">
        <v>1.2</v>
      </c>
      <c r="J301">
        <v>19.2</v>
      </c>
      <c r="K301">
        <v>7.58</v>
      </c>
      <c r="L301">
        <v>11.66</v>
      </c>
      <c r="M301" s="124" t="s">
        <v>24</v>
      </c>
      <c r="N301" t="s">
        <v>162</v>
      </c>
    </row>
    <row r="302" spans="1:14" x14ac:dyDescent="0.3">
      <c r="A302" s="124" t="s">
        <v>24</v>
      </c>
      <c r="B302">
        <f>VLOOKUP(M302,Sheet9!$I$1:$J$17,2,FALSE)</f>
        <v>9</v>
      </c>
      <c r="C302">
        <f>VLOOKUP(N302,Sheet9!$M$1:$N$2,2,FALSE)</f>
        <v>1</v>
      </c>
      <c r="D302">
        <v>32</v>
      </c>
      <c r="E302" t="s">
        <v>96</v>
      </c>
      <c r="F302">
        <v>70</v>
      </c>
      <c r="H302">
        <v>2</v>
      </c>
      <c r="I302">
        <v>1</v>
      </c>
      <c r="J302">
        <v>2</v>
      </c>
      <c r="K302">
        <v>0.57999999999999996</v>
      </c>
      <c r="L302">
        <v>1.01</v>
      </c>
      <c r="M302" s="124" t="s">
        <v>24</v>
      </c>
      <c r="N302" t="s">
        <v>162</v>
      </c>
    </row>
    <row r="303" spans="1:14" x14ac:dyDescent="0.3">
      <c r="A303" s="124" t="s">
        <v>24</v>
      </c>
      <c r="B303">
        <f>VLOOKUP(M303,Sheet9!$I$1:$J$17,2,FALSE)</f>
        <v>9</v>
      </c>
      <c r="C303">
        <f>VLOOKUP(N303,Sheet9!$M$1:$N$2,2,FALSE)</f>
        <v>1</v>
      </c>
      <c r="D303">
        <v>32</v>
      </c>
      <c r="E303" t="s">
        <v>96</v>
      </c>
      <c r="F303">
        <v>70</v>
      </c>
      <c r="H303">
        <v>1</v>
      </c>
      <c r="I303">
        <v>5</v>
      </c>
      <c r="J303">
        <v>5</v>
      </c>
      <c r="K303">
        <v>0.52</v>
      </c>
      <c r="L303">
        <v>0.91</v>
      </c>
      <c r="M303" s="124" t="s">
        <v>24</v>
      </c>
      <c r="N303" t="s">
        <v>162</v>
      </c>
    </row>
    <row r="304" spans="1:14" x14ac:dyDescent="0.3">
      <c r="A304" s="124" t="s">
        <v>24</v>
      </c>
      <c r="B304">
        <f>VLOOKUP(M304,Sheet9!$I$1:$J$17,2,FALSE)</f>
        <v>9</v>
      </c>
      <c r="C304">
        <f>VLOOKUP(N304,Sheet9!$M$1:$N$2,2,FALSE)</f>
        <v>1</v>
      </c>
      <c r="D304">
        <v>32</v>
      </c>
      <c r="E304" t="s">
        <v>96</v>
      </c>
      <c r="F304">
        <v>70</v>
      </c>
      <c r="H304">
        <v>10</v>
      </c>
      <c r="I304">
        <v>0.6</v>
      </c>
      <c r="J304">
        <v>6</v>
      </c>
      <c r="K304">
        <v>0.72</v>
      </c>
      <c r="L304">
        <v>1.25</v>
      </c>
      <c r="M304" s="124" t="s">
        <v>24</v>
      </c>
      <c r="N304" t="s">
        <v>162</v>
      </c>
    </row>
    <row r="305" spans="1:14" x14ac:dyDescent="0.3">
      <c r="A305" s="124" t="s">
        <v>24</v>
      </c>
      <c r="B305">
        <f>VLOOKUP(M305,Sheet9!$I$1:$J$17,2,FALSE)</f>
        <v>9</v>
      </c>
      <c r="C305">
        <f>VLOOKUP(N305,Sheet9!$M$1:$N$2,2,FALSE)</f>
        <v>1</v>
      </c>
      <c r="D305">
        <v>32</v>
      </c>
      <c r="E305" t="s">
        <v>96</v>
      </c>
      <c r="F305">
        <v>70</v>
      </c>
      <c r="H305">
        <v>6</v>
      </c>
      <c r="I305">
        <v>1.2</v>
      </c>
      <c r="J305">
        <v>7.1999999999999993</v>
      </c>
      <c r="K305">
        <v>0.75</v>
      </c>
      <c r="L305">
        <v>1.3</v>
      </c>
      <c r="M305" s="124" t="s">
        <v>24</v>
      </c>
      <c r="N305" t="s">
        <v>162</v>
      </c>
    </row>
    <row r="306" spans="1:14" x14ac:dyDescent="0.3">
      <c r="A306" s="124" t="s">
        <v>24</v>
      </c>
      <c r="B306">
        <f>VLOOKUP(M306,Sheet9!$I$1:$J$17,2,FALSE)</f>
        <v>9</v>
      </c>
      <c r="C306">
        <f>VLOOKUP(N306,Sheet9!$M$1:$N$2,2,FALSE)</f>
        <v>1</v>
      </c>
      <c r="D306">
        <v>32</v>
      </c>
      <c r="E306" t="s">
        <v>96</v>
      </c>
      <c r="F306">
        <v>70</v>
      </c>
      <c r="H306">
        <v>1</v>
      </c>
      <c r="I306">
        <v>10</v>
      </c>
      <c r="J306">
        <v>10</v>
      </c>
      <c r="K306">
        <v>0.52</v>
      </c>
      <c r="L306">
        <v>0.91</v>
      </c>
      <c r="M306" s="124" t="s">
        <v>24</v>
      </c>
      <c r="N306" t="s">
        <v>162</v>
      </c>
    </row>
    <row r="307" spans="1:14" x14ac:dyDescent="0.3">
      <c r="A307" s="124" t="s">
        <v>24</v>
      </c>
      <c r="B307">
        <f>VLOOKUP(M307,Sheet9!$I$1:$J$17,2,FALSE)</f>
        <v>9</v>
      </c>
      <c r="C307">
        <f>VLOOKUP(N307,Sheet9!$M$1:$N$2,2,FALSE)</f>
        <v>1</v>
      </c>
      <c r="D307">
        <v>32</v>
      </c>
      <c r="E307" t="s">
        <v>96</v>
      </c>
      <c r="F307">
        <v>70</v>
      </c>
      <c r="H307">
        <v>20</v>
      </c>
      <c r="I307">
        <v>0.6</v>
      </c>
      <c r="J307">
        <v>12</v>
      </c>
      <c r="K307">
        <v>0.7</v>
      </c>
      <c r="L307">
        <v>1.23</v>
      </c>
      <c r="M307" s="124" t="s">
        <v>24</v>
      </c>
      <c r="N307" t="s">
        <v>162</v>
      </c>
    </row>
    <row r="308" spans="1:14" x14ac:dyDescent="0.3">
      <c r="A308" s="124" t="s">
        <v>24</v>
      </c>
      <c r="B308">
        <f>VLOOKUP(M308,Sheet9!$I$1:$J$17,2,FALSE)</f>
        <v>9</v>
      </c>
      <c r="C308">
        <f>VLOOKUP(N308,Sheet9!$M$1:$N$2,2,FALSE)</f>
        <v>1</v>
      </c>
      <c r="D308">
        <v>32</v>
      </c>
      <c r="E308" t="s">
        <v>96</v>
      </c>
      <c r="F308">
        <v>70</v>
      </c>
      <c r="H308">
        <v>12</v>
      </c>
      <c r="I308">
        <v>1.2</v>
      </c>
      <c r="J308">
        <v>14.399999999999999</v>
      </c>
      <c r="K308">
        <v>0.67</v>
      </c>
      <c r="L308">
        <v>1.1599999999999999</v>
      </c>
      <c r="M308" s="124" t="s">
        <v>24</v>
      </c>
      <c r="N308" t="s">
        <v>162</v>
      </c>
    </row>
    <row r="309" spans="1:14" x14ac:dyDescent="0.3">
      <c r="A309" s="124" t="s">
        <v>24</v>
      </c>
      <c r="B309">
        <f>VLOOKUP(M309,Sheet9!$I$1:$J$17,2,FALSE)</f>
        <v>9</v>
      </c>
      <c r="C309">
        <f>VLOOKUP(N309,Sheet9!$M$1:$N$2,2,FALSE)</f>
        <v>1</v>
      </c>
      <c r="D309">
        <v>32</v>
      </c>
      <c r="E309" t="s">
        <v>96</v>
      </c>
      <c r="F309">
        <v>70</v>
      </c>
      <c r="H309">
        <v>16</v>
      </c>
      <c r="I309">
        <v>1.2</v>
      </c>
      <c r="J309">
        <v>19.2</v>
      </c>
      <c r="K309">
        <v>0.64</v>
      </c>
      <c r="L309">
        <v>1.1100000000000001</v>
      </c>
      <c r="M309" s="124" t="s">
        <v>24</v>
      </c>
      <c r="N309" t="s">
        <v>162</v>
      </c>
    </row>
    <row r="310" spans="1:14" x14ac:dyDescent="0.3">
      <c r="A310" s="124" t="s">
        <v>24</v>
      </c>
      <c r="B310">
        <f>VLOOKUP(M310,Sheet9!$I$1:$J$17,2,FALSE)</f>
        <v>9</v>
      </c>
      <c r="C310">
        <f>VLOOKUP(N310,Sheet9!$M$1:$N$2,2,FALSE)</f>
        <v>1</v>
      </c>
      <c r="D310">
        <v>32</v>
      </c>
      <c r="E310" t="s">
        <v>96</v>
      </c>
      <c r="F310">
        <v>80</v>
      </c>
      <c r="H310">
        <v>2</v>
      </c>
      <c r="I310">
        <v>1</v>
      </c>
      <c r="J310">
        <v>2</v>
      </c>
      <c r="K310">
        <v>1.03</v>
      </c>
      <c r="L310">
        <v>1.66</v>
      </c>
      <c r="M310" s="124" t="s">
        <v>24</v>
      </c>
      <c r="N310" t="s">
        <v>162</v>
      </c>
    </row>
    <row r="311" spans="1:14" x14ac:dyDescent="0.3">
      <c r="A311" s="124" t="s">
        <v>24</v>
      </c>
      <c r="B311">
        <f>VLOOKUP(M311,Sheet9!$I$1:$J$17,2,FALSE)</f>
        <v>9</v>
      </c>
      <c r="C311">
        <f>VLOOKUP(N311,Sheet9!$M$1:$N$2,2,FALSE)</f>
        <v>1</v>
      </c>
      <c r="D311">
        <v>32</v>
      </c>
      <c r="E311" t="s">
        <v>96</v>
      </c>
      <c r="F311">
        <v>80</v>
      </c>
      <c r="H311">
        <v>1</v>
      </c>
      <c r="I311">
        <v>5</v>
      </c>
      <c r="J311">
        <v>5</v>
      </c>
      <c r="K311">
        <v>0.92</v>
      </c>
      <c r="L311">
        <v>1.49</v>
      </c>
      <c r="M311" s="124" t="s">
        <v>24</v>
      </c>
      <c r="N311" t="s">
        <v>162</v>
      </c>
    </row>
    <row r="312" spans="1:14" x14ac:dyDescent="0.3">
      <c r="A312" s="124" t="s">
        <v>24</v>
      </c>
      <c r="B312">
        <f>VLOOKUP(M312,Sheet9!$I$1:$J$17,2,FALSE)</f>
        <v>9</v>
      </c>
      <c r="C312">
        <f>VLOOKUP(N312,Sheet9!$M$1:$N$2,2,FALSE)</f>
        <v>1</v>
      </c>
      <c r="D312">
        <v>32</v>
      </c>
      <c r="E312" t="s">
        <v>96</v>
      </c>
      <c r="F312">
        <v>80</v>
      </c>
      <c r="H312">
        <v>10</v>
      </c>
      <c r="I312">
        <v>0.6</v>
      </c>
      <c r="J312">
        <v>6</v>
      </c>
      <c r="K312">
        <v>1.27</v>
      </c>
      <c r="L312">
        <v>2.06</v>
      </c>
      <c r="M312" s="124" t="s">
        <v>24</v>
      </c>
      <c r="N312" t="s">
        <v>162</v>
      </c>
    </row>
    <row r="313" spans="1:14" x14ac:dyDescent="0.3">
      <c r="A313" s="124" t="s">
        <v>24</v>
      </c>
      <c r="B313">
        <f>VLOOKUP(M313,Sheet9!$I$1:$J$17,2,FALSE)</f>
        <v>9</v>
      </c>
      <c r="C313">
        <f>VLOOKUP(N313,Sheet9!$M$1:$N$2,2,FALSE)</f>
        <v>1</v>
      </c>
      <c r="D313">
        <v>32</v>
      </c>
      <c r="E313" t="s">
        <v>96</v>
      </c>
      <c r="F313">
        <v>80</v>
      </c>
      <c r="H313">
        <v>6</v>
      </c>
      <c r="I313">
        <v>1.2</v>
      </c>
      <c r="J313">
        <v>7.1999999999999993</v>
      </c>
      <c r="K313">
        <v>1.33</v>
      </c>
      <c r="L313">
        <v>2.14</v>
      </c>
      <c r="M313" s="124" t="s">
        <v>24</v>
      </c>
      <c r="N313" t="s">
        <v>162</v>
      </c>
    </row>
    <row r="314" spans="1:14" x14ac:dyDescent="0.3">
      <c r="A314" s="124" t="s">
        <v>24</v>
      </c>
      <c r="B314">
        <f>VLOOKUP(M314,Sheet9!$I$1:$J$17,2,FALSE)</f>
        <v>9</v>
      </c>
      <c r="C314">
        <f>VLOOKUP(N314,Sheet9!$M$1:$N$2,2,FALSE)</f>
        <v>1</v>
      </c>
      <c r="D314">
        <v>32</v>
      </c>
      <c r="E314" t="s">
        <v>96</v>
      </c>
      <c r="F314">
        <v>80</v>
      </c>
      <c r="H314">
        <v>1</v>
      </c>
      <c r="I314">
        <v>10</v>
      </c>
      <c r="J314">
        <v>10</v>
      </c>
      <c r="K314">
        <v>0.92</v>
      </c>
      <c r="L314">
        <v>1.49</v>
      </c>
      <c r="M314" s="124" t="s">
        <v>24</v>
      </c>
      <c r="N314" t="s">
        <v>162</v>
      </c>
    </row>
    <row r="315" spans="1:14" x14ac:dyDescent="0.3">
      <c r="A315" s="124" t="s">
        <v>24</v>
      </c>
      <c r="B315">
        <f>VLOOKUP(M315,Sheet9!$I$1:$J$17,2,FALSE)</f>
        <v>9</v>
      </c>
      <c r="C315">
        <f>VLOOKUP(N315,Sheet9!$M$1:$N$2,2,FALSE)</f>
        <v>1</v>
      </c>
      <c r="D315">
        <v>32</v>
      </c>
      <c r="E315" t="s">
        <v>96</v>
      </c>
      <c r="F315">
        <v>80</v>
      </c>
      <c r="H315">
        <v>20</v>
      </c>
      <c r="I315">
        <v>0.6</v>
      </c>
      <c r="J315">
        <v>12</v>
      </c>
      <c r="K315">
        <v>1.25</v>
      </c>
      <c r="L315">
        <v>2.02</v>
      </c>
      <c r="M315" s="124" t="s">
        <v>24</v>
      </c>
      <c r="N315" t="s">
        <v>162</v>
      </c>
    </row>
    <row r="316" spans="1:14" x14ac:dyDescent="0.3">
      <c r="A316" s="124" t="s">
        <v>24</v>
      </c>
      <c r="B316">
        <f>VLOOKUP(M316,Sheet9!$I$1:$J$17,2,FALSE)</f>
        <v>9</v>
      </c>
      <c r="C316">
        <f>VLOOKUP(N316,Sheet9!$M$1:$N$2,2,FALSE)</f>
        <v>1</v>
      </c>
      <c r="D316">
        <v>32</v>
      </c>
      <c r="E316" t="s">
        <v>96</v>
      </c>
      <c r="F316">
        <v>80</v>
      </c>
      <c r="H316">
        <v>12</v>
      </c>
      <c r="I316">
        <v>1.2</v>
      </c>
      <c r="J316">
        <v>14.399999999999999</v>
      </c>
      <c r="K316">
        <v>1.18</v>
      </c>
      <c r="L316">
        <v>1.91</v>
      </c>
      <c r="M316" s="124" t="s">
        <v>24</v>
      </c>
      <c r="N316" t="s">
        <v>162</v>
      </c>
    </row>
    <row r="317" spans="1:14" x14ac:dyDescent="0.3">
      <c r="A317" s="124" t="s">
        <v>24</v>
      </c>
      <c r="B317">
        <f>VLOOKUP(M317,Sheet9!$I$1:$J$17,2,FALSE)</f>
        <v>9</v>
      </c>
      <c r="C317">
        <f>VLOOKUP(N317,Sheet9!$M$1:$N$2,2,FALSE)</f>
        <v>1</v>
      </c>
      <c r="D317">
        <v>32</v>
      </c>
      <c r="E317" t="s">
        <v>96</v>
      </c>
      <c r="F317">
        <v>80</v>
      </c>
      <c r="H317">
        <v>16</v>
      </c>
      <c r="I317">
        <v>1.2</v>
      </c>
      <c r="J317">
        <v>19.2</v>
      </c>
      <c r="K317">
        <v>1.1299999999999999</v>
      </c>
      <c r="L317">
        <v>1.83</v>
      </c>
      <c r="M317" s="124" t="s">
        <v>24</v>
      </c>
      <c r="N317" t="s">
        <v>162</v>
      </c>
    </row>
    <row r="318" spans="1:14" x14ac:dyDescent="0.3">
      <c r="A318" s="124" t="s">
        <v>24</v>
      </c>
      <c r="B318">
        <f>VLOOKUP(M318,Sheet9!$I$1:$J$17,2,FALSE)</f>
        <v>9</v>
      </c>
      <c r="C318">
        <f>VLOOKUP(N318,Sheet9!$M$1:$N$2,2,FALSE)</f>
        <v>1</v>
      </c>
      <c r="D318">
        <v>32</v>
      </c>
      <c r="E318" t="s">
        <v>96</v>
      </c>
      <c r="F318">
        <v>100</v>
      </c>
      <c r="H318">
        <v>2</v>
      </c>
      <c r="I318">
        <v>1</v>
      </c>
      <c r="J318">
        <v>2</v>
      </c>
      <c r="K318">
        <v>2.25</v>
      </c>
      <c r="L318">
        <v>3.35</v>
      </c>
      <c r="M318" s="124" t="s">
        <v>24</v>
      </c>
      <c r="N318" t="s">
        <v>162</v>
      </c>
    </row>
    <row r="319" spans="1:14" x14ac:dyDescent="0.3">
      <c r="A319" s="124" t="s">
        <v>24</v>
      </c>
      <c r="B319">
        <f>VLOOKUP(M319,Sheet9!$I$1:$J$17,2,FALSE)</f>
        <v>9</v>
      </c>
      <c r="C319">
        <f>VLOOKUP(N319,Sheet9!$M$1:$N$2,2,FALSE)</f>
        <v>1</v>
      </c>
      <c r="D319">
        <v>32</v>
      </c>
      <c r="E319" t="s">
        <v>96</v>
      </c>
      <c r="F319">
        <v>100</v>
      </c>
      <c r="H319">
        <v>1</v>
      </c>
      <c r="I319">
        <v>5</v>
      </c>
      <c r="J319">
        <v>5</v>
      </c>
      <c r="K319">
        <v>2.02</v>
      </c>
      <c r="L319">
        <v>3.01</v>
      </c>
      <c r="M319" s="124" t="s">
        <v>24</v>
      </c>
      <c r="N319" t="s">
        <v>162</v>
      </c>
    </row>
    <row r="320" spans="1:14" x14ac:dyDescent="0.3">
      <c r="A320" s="124" t="s">
        <v>24</v>
      </c>
      <c r="B320">
        <f>VLOOKUP(M320,Sheet9!$I$1:$J$17,2,FALSE)</f>
        <v>9</v>
      </c>
      <c r="C320">
        <f>VLOOKUP(N320,Sheet9!$M$1:$N$2,2,FALSE)</f>
        <v>1</v>
      </c>
      <c r="D320">
        <v>32</v>
      </c>
      <c r="E320" t="s">
        <v>96</v>
      </c>
      <c r="F320">
        <v>100</v>
      </c>
      <c r="H320">
        <v>10</v>
      </c>
      <c r="I320">
        <v>0.6</v>
      </c>
      <c r="J320">
        <v>6</v>
      </c>
      <c r="K320">
        <v>2.78</v>
      </c>
      <c r="L320">
        <v>4.1500000000000004</v>
      </c>
      <c r="M320" s="124" t="s">
        <v>24</v>
      </c>
      <c r="N320" t="s">
        <v>162</v>
      </c>
    </row>
    <row r="321" spans="1:14" x14ac:dyDescent="0.3">
      <c r="A321" s="124" t="s">
        <v>24</v>
      </c>
      <c r="B321">
        <f>VLOOKUP(M321,Sheet9!$I$1:$J$17,2,FALSE)</f>
        <v>9</v>
      </c>
      <c r="C321">
        <f>VLOOKUP(N321,Sheet9!$M$1:$N$2,2,FALSE)</f>
        <v>1</v>
      </c>
      <c r="D321">
        <v>32</v>
      </c>
      <c r="E321" t="s">
        <v>96</v>
      </c>
      <c r="F321">
        <v>100</v>
      </c>
      <c r="H321">
        <v>6</v>
      </c>
      <c r="I321">
        <v>1.2</v>
      </c>
      <c r="J321">
        <v>7.1999999999999993</v>
      </c>
      <c r="K321">
        <v>2.9</v>
      </c>
      <c r="L321">
        <v>4.32</v>
      </c>
      <c r="M321" s="124" t="s">
        <v>24</v>
      </c>
      <c r="N321" t="s">
        <v>162</v>
      </c>
    </row>
    <row r="322" spans="1:14" x14ac:dyDescent="0.3">
      <c r="A322" s="124" t="s">
        <v>24</v>
      </c>
      <c r="B322">
        <f>VLOOKUP(M322,Sheet9!$I$1:$J$17,2,FALSE)</f>
        <v>9</v>
      </c>
      <c r="C322">
        <f>VLOOKUP(N322,Sheet9!$M$1:$N$2,2,FALSE)</f>
        <v>1</v>
      </c>
      <c r="D322">
        <v>32</v>
      </c>
      <c r="E322" t="s">
        <v>96</v>
      </c>
      <c r="F322">
        <v>100</v>
      </c>
      <c r="H322">
        <v>1</v>
      </c>
      <c r="I322">
        <v>10</v>
      </c>
      <c r="J322">
        <v>10</v>
      </c>
      <c r="K322">
        <v>2.02</v>
      </c>
      <c r="L322">
        <v>3.01</v>
      </c>
      <c r="M322" s="124" t="s">
        <v>24</v>
      </c>
      <c r="N322" t="s">
        <v>162</v>
      </c>
    </row>
    <row r="323" spans="1:14" x14ac:dyDescent="0.3">
      <c r="A323" s="124" t="s">
        <v>24</v>
      </c>
      <c r="B323">
        <f>VLOOKUP(M323,Sheet9!$I$1:$J$17,2,FALSE)</f>
        <v>9</v>
      </c>
      <c r="C323">
        <f>VLOOKUP(N323,Sheet9!$M$1:$N$2,2,FALSE)</f>
        <v>1</v>
      </c>
      <c r="D323">
        <v>32</v>
      </c>
      <c r="E323" t="s">
        <v>96</v>
      </c>
      <c r="F323">
        <v>100</v>
      </c>
      <c r="H323">
        <v>20</v>
      </c>
      <c r="I323">
        <v>0.6</v>
      </c>
      <c r="J323">
        <v>12</v>
      </c>
      <c r="K323">
        <v>2.73</v>
      </c>
      <c r="L323">
        <v>4.07</v>
      </c>
      <c r="M323" s="124" t="s">
        <v>24</v>
      </c>
      <c r="N323" t="s">
        <v>162</v>
      </c>
    </row>
    <row r="324" spans="1:14" x14ac:dyDescent="0.3">
      <c r="A324" s="124" t="s">
        <v>24</v>
      </c>
      <c r="B324">
        <f>VLOOKUP(M324,Sheet9!$I$1:$J$17,2,FALSE)</f>
        <v>9</v>
      </c>
      <c r="C324">
        <f>VLOOKUP(N324,Sheet9!$M$1:$N$2,2,FALSE)</f>
        <v>1</v>
      </c>
      <c r="D324">
        <v>32</v>
      </c>
      <c r="E324" t="s">
        <v>96</v>
      </c>
      <c r="F324">
        <v>100</v>
      </c>
      <c r="H324">
        <v>12</v>
      </c>
      <c r="I324">
        <v>1.2</v>
      </c>
      <c r="J324">
        <v>14.399999999999999</v>
      </c>
      <c r="K324">
        <v>2.59</v>
      </c>
      <c r="L324">
        <v>3.86</v>
      </c>
      <c r="M324" s="124" t="s">
        <v>24</v>
      </c>
      <c r="N324" t="s">
        <v>162</v>
      </c>
    </row>
    <row r="325" spans="1:14" x14ac:dyDescent="0.3">
      <c r="A325" s="124" t="s">
        <v>24</v>
      </c>
      <c r="B325">
        <f>VLOOKUP(M325,Sheet9!$I$1:$J$17,2,FALSE)</f>
        <v>9</v>
      </c>
      <c r="C325">
        <f>VLOOKUP(N325,Sheet9!$M$1:$N$2,2,FALSE)</f>
        <v>1</v>
      </c>
      <c r="D325">
        <v>32</v>
      </c>
      <c r="E325" t="s">
        <v>96</v>
      </c>
      <c r="F325">
        <v>100</v>
      </c>
      <c r="H325">
        <v>16</v>
      </c>
      <c r="I325">
        <v>1.2</v>
      </c>
      <c r="J325">
        <v>19.2</v>
      </c>
      <c r="K325">
        <v>2.4700000000000002</v>
      </c>
      <c r="L325">
        <v>3.69</v>
      </c>
      <c r="M325" s="124" t="s">
        <v>24</v>
      </c>
      <c r="N325" t="s">
        <v>162</v>
      </c>
    </row>
    <row r="326" spans="1:14" x14ac:dyDescent="0.3">
      <c r="A326" s="124" t="s">
        <v>24</v>
      </c>
      <c r="B326">
        <f>VLOOKUP(M326,Sheet9!$I$1:$J$17,2,FALSE)</f>
        <v>9</v>
      </c>
      <c r="C326">
        <f>VLOOKUP(N326,Sheet9!$M$1:$N$2,2,FALSE)</f>
        <v>1</v>
      </c>
      <c r="D326">
        <v>32</v>
      </c>
      <c r="E326" t="s">
        <v>96</v>
      </c>
      <c r="F326">
        <v>120</v>
      </c>
      <c r="H326">
        <v>2</v>
      </c>
      <c r="I326">
        <v>1</v>
      </c>
      <c r="J326">
        <v>2</v>
      </c>
      <c r="K326">
        <v>4.09</v>
      </c>
      <c r="L326">
        <v>5.86</v>
      </c>
      <c r="M326" s="124" t="s">
        <v>24</v>
      </c>
      <c r="N326" t="s">
        <v>162</v>
      </c>
    </row>
    <row r="327" spans="1:14" x14ac:dyDescent="0.3">
      <c r="A327" s="124" t="s">
        <v>24</v>
      </c>
      <c r="B327">
        <f>VLOOKUP(M327,Sheet9!$I$1:$J$17,2,FALSE)</f>
        <v>9</v>
      </c>
      <c r="C327">
        <f>VLOOKUP(N327,Sheet9!$M$1:$N$2,2,FALSE)</f>
        <v>1</v>
      </c>
      <c r="D327">
        <v>32</v>
      </c>
      <c r="E327" t="s">
        <v>96</v>
      </c>
      <c r="F327">
        <v>120</v>
      </c>
      <c r="H327">
        <v>1</v>
      </c>
      <c r="I327">
        <v>5</v>
      </c>
      <c r="J327">
        <v>5</v>
      </c>
      <c r="K327">
        <v>3.67</v>
      </c>
      <c r="L327">
        <v>5.26</v>
      </c>
      <c r="M327" s="124" t="s">
        <v>24</v>
      </c>
      <c r="N327" t="s">
        <v>162</v>
      </c>
    </row>
    <row r="328" spans="1:14" x14ac:dyDescent="0.3">
      <c r="A328" t="s">
        <v>24</v>
      </c>
      <c r="B328">
        <f>VLOOKUP(M328,Sheet9!$I$1:$J$17,2,FALSE)</f>
        <v>9</v>
      </c>
      <c r="C328">
        <f>VLOOKUP(N328,Sheet9!$M$1:$N$2,2,FALSE)</f>
        <v>1</v>
      </c>
      <c r="D328">
        <v>32</v>
      </c>
      <c r="E328" t="s">
        <v>96</v>
      </c>
      <c r="F328">
        <v>120</v>
      </c>
      <c r="H328">
        <v>10</v>
      </c>
      <c r="I328">
        <v>0.6</v>
      </c>
      <c r="J328">
        <v>6</v>
      </c>
      <c r="K328">
        <v>5.07</v>
      </c>
      <c r="L328">
        <v>7.26</v>
      </c>
      <c r="M328" t="s">
        <v>24</v>
      </c>
      <c r="N328" t="s">
        <v>162</v>
      </c>
    </row>
    <row r="329" spans="1:14" x14ac:dyDescent="0.3">
      <c r="A329" t="s">
        <v>24</v>
      </c>
      <c r="B329">
        <f>VLOOKUP(M329,Sheet9!$I$1:$J$17,2,FALSE)</f>
        <v>9</v>
      </c>
      <c r="C329">
        <f>VLOOKUP(N329,Sheet9!$M$1:$N$2,2,FALSE)</f>
        <v>1</v>
      </c>
      <c r="D329">
        <v>32</v>
      </c>
      <c r="E329" t="s">
        <v>96</v>
      </c>
      <c r="F329">
        <v>120</v>
      </c>
      <c r="H329">
        <v>6</v>
      </c>
      <c r="I329">
        <v>1.2</v>
      </c>
      <c r="J329">
        <v>7.1999999999999993</v>
      </c>
      <c r="K329">
        <v>5.28</v>
      </c>
      <c r="L329">
        <v>7.56</v>
      </c>
      <c r="M329" t="s">
        <v>24</v>
      </c>
      <c r="N329" t="s">
        <v>162</v>
      </c>
    </row>
    <row r="330" spans="1:14" x14ac:dyDescent="0.3">
      <c r="A330" t="s">
        <v>24</v>
      </c>
      <c r="B330">
        <f>VLOOKUP(M330,Sheet9!$I$1:$J$17,2,FALSE)</f>
        <v>9</v>
      </c>
      <c r="C330">
        <f>VLOOKUP(N330,Sheet9!$M$1:$N$2,2,FALSE)</f>
        <v>1</v>
      </c>
      <c r="D330">
        <v>32</v>
      </c>
      <c r="E330" t="s">
        <v>96</v>
      </c>
      <c r="F330">
        <v>120</v>
      </c>
      <c r="H330">
        <v>1</v>
      </c>
      <c r="I330">
        <v>10</v>
      </c>
      <c r="J330">
        <v>10</v>
      </c>
      <c r="K330">
        <v>3.67</v>
      </c>
      <c r="L330">
        <v>5.26</v>
      </c>
      <c r="M330" t="s">
        <v>24</v>
      </c>
      <c r="N330" t="s">
        <v>162</v>
      </c>
    </row>
    <row r="331" spans="1:14" x14ac:dyDescent="0.3">
      <c r="A331" t="s">
        <v>24</v>
      </c>
      <c r="B331">
        <f>VLOOKUP(M331,Sheet9!$I$1:$J$17,2,FALSE)</f>
        <v>9</v>
      </c>
      <c r="C331">
        <f>VLOOKUP(N331,Sheet9!$M$1:$N$2,2,FALSE)</f>
        <v>1</v>
      </c>
      <c r="D331">
        <v>32</v>
      </c>
      <c r="E331" t="s">
        <v>96</v>
      </c>
      <c r="F331">
        <v>120</v>
      </c>
      <c r="H331">
        <v>20</v>
      </c>
      <c r="I331">
        <v>0.6</v>
      </c>
      <c r="J331">
        <v>12</v>
      </c>
      <c r="K331">
        <v>4.97</v>
      </c>
      <c r="L331">
        <v>7.12</v>
      </c>
      <c r="M331" t="s">
        <v>24</v>
      </c>
      <c r="N331" t="s">
        <v>162</v>
      </c>
    </row>
    <row r="332" spans="1:14" x14ac:dyDescent="0.3">
      <c r="A332" t="s">
        <v>24</v>
      </c>
      <c r="B332">
        <f>VLOOKUP(M332,Sheet9!$I$1:$J$17,2,FALSE)</f>
        <v>9</v>
      </c>
      <c r="C332">
        <f>VLOOKUP(N332,Sheet9!$M$1:$N$2,2,FALSE)</f>
        <v>1</v>
      </c>
      <c r="D332">
        <v>32</v>
      </c>
      <c r="E332" t="s">
        <v>96</v>
      </c>
      <c r="F332">
        <v>120</v>
      </c>
      <c r="H332">
        <v>12</v>
      </c>
      <c r="I332">
        <v>1.2</v>
      </c>
      <c r="J332">
        <v>14.399999999999999</v>
      </c>
      <c r="K332">
        <v>4.71</v>
      </c>
      <c r="L332">
        <v>6.75</v>
      </c>
      <c r="M332" t="s">
        <v>24</v>
      </c>
      <c r="N332" t="s">
        <v>162</v>
      </c>
    </row>
    <row r="333" spans="1:14" x14ac:dyDescent="0.3">
      <c r="A333" t="s">
        <v>24</v>
      </c>
      <c r="B333">
        <f>VLOOKUP(M333,Sheet9!$I$1:$J$17,2,FALSE)</f>
        <v>9</v>
      </c>
      <c r="C333">
        <f>VLOOKUP(N333,Sheet9!$M$1:$N$2,2,FALSE)</f>
        <v>1</v>
      </c>
      <c r="D333">
        <v>32</v>
      </c>
      <c r="E333" t="s">
        <v>96</v>
      </c>
      <c r="F333">
        <v>120</v>
      </c>
      <c r="H333">
        <v>16</v>
      </c>
      <c r="I333">
        <v>1.2</v>
      </c>
      <c r="J333">
        <v>19.2</v>
      </c>
      <c r="K333">
        <v>4.51</v>
      </c>
      <c r="L333">
        <v>6.46</v>
      </c>
      <c r="M333" t="s">
        <v>24</v>
      </c>
      <c r="N333" t="s">
        <v>162</v>
      </c>
    </row>
    <row r="334" spans="1:14" x14ac:dyDescent="0.3">
      <c r="A334" t="s">
        <v>24</v>
      </c>
      <c r="B334">
        <f>VLOOKUP(M334,Sheet9!$I$1:$J$17,2,FALSE)</f>
        <v>9</v>
      </c>
      <c r="C334">
        <f>VLOOKUP(N334,Sheet9!$M$1:$N$2,2,FALSE)</f>
        <v>1</v>
      </c>
      <c r="D334">
        <v>32</v>
      </c>
      <c r="E334" t="s">
        <v>96</v>
      </c>
      <c r="F334">
        <v>140</v>
      </c>
      <c r="H334">
        <v>2</v>
      </c>
      <c r="I334">
        <v>1</v>
      </c>
      <c r="J334">
        <v>2</v>
      </c>
      <c r="K334">
        <v>6.16</v>
      </c>
      <c r="L334">
        <v>8.6</v>
      </c>
      <c r="M334" t="s">
        <v>24</v>
      </c>
      <c r="N334" t="s">
        <v>162</v>
      </c>
    </row>
    <row r="335" spans="1:14" x14ac:dyDescent="0.3">
      <c r="A335" t="s">
        <v>24</v>
      </c>
      <c r="B335">
        <f>VLOOKUP(M335,Sheet9!$I$1:$J$17,2,FALSE)</f>
        <v>9</v>
      </c>
      <c r="C335">
        <f>VLOOKUP(N335,Sheet9!$M$1:$N$2,2,FALSE)</f>
        <v>1</v>
      </c>
      <c r="D335">
        <v>32</v>
      </c>
      <c r="E335" t="s">
        <v>96</v>
      </c>
      <c r="F335">
        <v>140</v>
      </c>
      <c r="H335">
        <v>1</v>
      </c>
      <c r="I335">
        <v>5</v>
      </c>
      <c r="J335">
        <v>5</v>
      </c>
      <c r="K335">
        <v>5.52</v>
      </c>
      <c r="L335">
        <v>7.71</v>
      </c>
      <c r="M335" t="s">
        <v>24</v>
      </c>
      <c r="N335" t="s">
        <v>162</v>
      </c>
    </row>
    <row r="336" spans="1:14" x14ac:dyDescent="0.3">
      <c r="A336" t="s">
        <v>24</v>
      </c>
      <c r="B336">
        <f>VLOOKUP(M336,Sheet9!$I$1:$J$17,2,FALSE)</f>
        <v>9</v>
      </c>
      <c r="C336">
        <f>VLOOKUP(N336,Sheet9!$M$1:$N$2,2,FALSE)</f>
        <v>1</v>
      </c>
      <c r="D336">
        <v>32</v>
      </c>
      <c r="E336" t="s">
        <v>96</v>
      </c>
      <c r="F336">
        <v>140</v>
      </c>
      <c r="H336">
        <v>10</v>
      </c>
      <c r="I336">
        <v>0.6</v>
      </c>
      <c r="J336">
        <v>6</v>
      </c>
      <c r="K336">
        <v>7.62</v>
      </c>
      <c r="L336">
        <v>10.64</v>
      </c>
      <c r="M336" t="s">
        <v>24</v>
      </c>
      <c r="N336" t="s">
        <v>162</v>
      </c>
    </row>
    <row r="337" spans="1:14" x14ac:dyDescent="0.3">
      <c r="A337" t="s">
        <v>24</v>
      </c>
      <c r="B337">
        <f>VLOOKUP(M337,Sheet9!$I$1:$J$17,2,FALSE)</f>
        <v>9</v>
      </c>
      <c r="C337">
        <f>VLOOKUP(N337,Sheet9!$M$1:$N$2,2,FALSE)</f>
        <v>1</v>
      </c>
      <c r="D337">
        <v>32</v>
      </c>
      <c r="E337" t="s">
        <v>96</v>
      </c>
      <c r="F337">
        <v>140</v>
      </c>
      <c r="H337">
        <v>6</v>
      </c>
      <c r="I337">
        <v>1.2</v>
      </c>
      <c r="J337">
        <v>7.1999999999999993</v>
      </c>
      <c r="K337">
        <v>7.94</v>
      </c>
      <c r="L337">
        <v>11.09</v>
      </c>
      <c r="M337" t="s">
        <v>24</v>
      </c>
      <c r="N337" t="s">
        <v>162</v>
      </c>
    </row>
    <row r="338" spans="1:14" x14ac:dyDescent="0.3">
      <c r="A338" t="s">
        <v>24</v>
      </c>
      <c r="B338">
        <f>VLOOKUP(M338,Sheet9!$I$1:$J$17,2,FALSE)</f>
        <v>9</v>
      </c>
      <c r="C338">
        <f>VLOOKUP(N338,Sheet9!$M$1:$N$2,2,FALSE)</f>
        <v>1</v>
      </c>
      <c r="D338">
        <v>32</v>
      </c>
      <c r="E338" t="s">
        <v>96</v>
      </c>
      <c r="F338">
        <v>140</v>
      </c>
      <c r="H338">
        <v>1</v>
      </c>
      <c r="I338">
        <v>10</v>
      </c>
      <c r="J338">
        <v>10</v>
      </c>
      <c r="K338">
        <v>5.52</v>
      </c>
      <c r="L338">
        <v>7.71</v>
      </c>
      <c r="M338" t="s">
        <v>24</v>
      </c>
      <c r="N338" t="s">
        <v>162</v>
      </c>
    </row>
    <row r="339" spans="1:14" x14ac:dyDescent="0.3">
      <c r="A339" t="s">
        <v>24</v>
      </c>
      <c r="B339">
        <f>VLOOKUP(M339,Sheet9!$I$1:$J$17,2,FALSE)</f>
        <v>9</v>
      </c>
      <c r="C339">
        <f>VLOOKUP(N339,Sheet9!$M$1:$N$2,2,FALSE)</f>
        <v>1</v>
      </c>
      <c r="D339">
        <v>32</v>
      </c>
      <c r="E339" t="s">
        <v>96</v>
      </c>
      <c r="F339">
        <v>140</v>
      </c>
      <c r="H339">
        <v>20</v>
      </c>
      <c r="I339">
        <v>0.6</v>
      </c>
      <c r="J339">
        <v>12</v>
      </c>
      <c r="K339">
        <v>7.48</v>
      </c>
      <c r="L339">
        <v>10.44</v>
      </c>
      <c r="M339" t="s">
        <v>24</v>
      </c>
      <c r="N339" t="s">
        <v>162</v>
      </c>
    </row>
    <row r="340" spans="1:14" x14ac:dyDescent="0.3">
      <c r="A340" t="s">
        <v>24</v>
      </c>
      <c r="B340">
        <f>VLOOKUP(M340,Sheet9!$I$1:$J$17,2,FALSE)</f>
        <v>9</v>
      </c>
      <c r="C340">
        <f>VLOOKUP(N340,Sheet9!$M$1:$N$2,2,FALSE)</f>
        <v>1</v>
      </c>
      <c r="D340">
        <v>32</v>
      </c>
      <c r="E340" t="s">
        <v>96</v>
      </c>
      <c r="F340">
        <v>140</v>
      </c>
      <c r="H340">
        <v>12</v>
      </c>
      <c r="I340">
        <v>1.2</v>
      </c>
      <c r="J340">
        <v>14.399999999999999</v>
      </c>
      <c r="K340">
        <v>7.09</v>
      </c>
      <c r="L340">
        <v>9.89</v>
      </c>
      <c r="M340" t="s">
        <v>24</v>
      </c>
      <c r="N340" t="s">
        <v>162</v>
      </c>
    </row>
    <row r="341" spans="1:14" x14ac:dyDescent="0.3">
      <c r="A341" t="s">
        <v>24</v>
      </c>
      <c r="B341">
        <f>VLOOKUP(M341,Sheet9!$I$1:$J$17,2,FALSE)</f>
        <v>9</v>
      </c>
      <c r="C341">
        <f>VLOOKUP(N341,Sheet9!$M$1:$N$2,2,FALSE)</f>
        <v>1</v>
      </c>
      <c r="D341">
        <v>32</v>
      </c>
      <c r="E341" t="s">
        <v>96</v>
      </c>
      <c r="F341">
        <v>140</v>
      </c>
      <c r="H341">
        <v>16</v>
      </c>
      <c r="I341">
        <v>1.2</v>
      </c>
      <c r="J341">
        <v>19.2</v>
      </c>
      <c r="K341">
        <v>6.78</v>
      </c>
      <c r="L341">
        <v>9.4700000000000006</v>
      </c>
      <c r="M341" t="s">
        <v>24</v>
      </c>
      <c r="N341" t="s">
        <v>162</v>
      </c>
    </row>
    <row r="342" spans="1:14" x14ac:dyDescent="0.3">
      <c r="A342" t="s">
        <v>164</v>
      </c>
      <c r="B342">
        <f>VLOOKUP(M342,Sheet9!$I$1:$J$17,2,FALSE)</f>
        <v>14</v>
      </c>
      <c r="C342">
        <f>VLOOKUP(N342,Sheet9!$M$1:$N$2,2,FALSE)</f>
        <v>1</v>
      </c>
      <c r="D342">
        <v>16</v>
      </c>
      <c r="E342" t="s">
        <v>95</v>
      </c>
      <c r="F342">
        <v>70</v>
      </c>
      <c r="H342">
        <v>1</v>
      </c>
      <c r="I342">
        <v>5</v>
      </c>
      <c r="J342">
        <v>5</v>
      </c>
      <c r="K342">
        <v>4.07</v>
      </c>
      <c r="L342">
        <v>4.3899999999999997</v>
      </c>
      <c r="M342" t="s">
        <v>164</v>
      </c>
      <c r="N342" t="s">
        <v>162</v>
      </c>
    </row>
    <row r="343" spans="1:14" x14ac:dyDescent="0.3">
      <c r="A343" t="s">
        <v>164</v>
      </c>
      <c r="B343">
        <f>VLOOKUP(M343,Sheet9!$I$1:$J$17,2,FALSE)</f>
        <v>14</v>
      </c>
      <c r="C343">
        <f>VLOOKUP(N343,Sheet9!$M$1:$N$2,2,FALSE)</f>
        <v>1</v>
      </c>
      <c r="D343">
        <v>16</v>
      </c>
      <c r="E343" t="s">
        <v>95</v>
      </c>
      <c r="F343">
        <v>70</v>
      </c>
      <c r="H343">
        <v>1</v>
      </c>
      <c r="I343">
        <v>10</v>
      </c>
      <c r="J343">
        <v>10</v>
      </c>
      <c r="K343">
        <v>4.01</v>
      </c>
      <c r="L343">
        <v>4.32</v>
      </c>
      <c r="M343" t="s">
        <v>164</v>
      </c>
      <c r="N343" t="s">
        <v>162</v>
      </c>
    </row>
    <row r="344" spans="1:14" x14ac:dyDescent="0.3">
      <c r="A344" t="s">
        <v>164</v>
      </c>
      <c r="B344">
        <f>VLOOKUP(M344,Sheet9!$I$1:$J$17,2,FALSE)</f>
        <v>14</v>
      </c>
      <c r="C344">
        <f>VLOOKUP(N344,Sheet9!$M$1:$N$2,2,FALSE)</f>
        <v>1</v>
      </c>
      <c r="D344">
        <v>16</v>
      </c>
      <c r="E344" t="s">
        <v>95</v>
      </c>
      <c r="F344">
        <v>70</v>
      </c>
      <c r="H344">
        <v>3</v>
      </c>
      <c r="I344">
        <v>3</v>
      </c>
      <c r="J344">
        <v>9</v>
      </c>
      <c r="K344">
        <v>4.45</v>
      </c>
      <c r="L344">
        <v>4.8</v>
      </c>
      <c r="M344" t="s">
        <v>164</v>
      </c>
      <c r="N344" t="s">
        <v>162</v>
      </c>
    </row>
    <row r="345" spans="1:14" x14ac:dyDescent="0.3">
      <c r="A345" t="s">
        <v>164</v>
      </c>
      <c r="B345">
        <f>VLOOKUP(M345,Sheet9!$I$1:$J$17,2,FALSE)</f>
        <v>14</v>
      </c>
      <c r="C345">
        <f>VLOOKUP(N345,Sheet9!$M$1:$N$2,2,FALSE)</f>
        <v>1</v>
      </c>
      <c r="D345">
        <v>16</v>
      </c>
      <c r="E345" t="s">
        <v>95</v>
      </c>
      <c r="F345">
        <v>70</v>
      </c>
      <c r="H345">
        <v>3</v>
      </c>
      <c r="I345">
        <v>5</v>
      </c>
      <c r="J345">
        <v>15</v>
      </c>
      <c r="K345">
        <v>4.04</v>
      </c>
      <c r="L345">
        <v>4.3499999999999996</v>
      </c>
      <c r="M345" t="s">
        <v>164</v>
      </c>
      <c r="N345" t="s">
        <v>162</v>
      </c>
    </row>
    <row r="346" spans="1:14" x14ac:dyDescent="0.3">
      <c r="A346" t="s">
        <v>164</v>
      </c>
      <c r="B346">
        <f>VLOOKUP(M346,Sheet9!$I$1:$J$17,2,FALSE)</f>
        <v>14</v>
      </c>
      <c r="C346">
        <f>VLOOKUP(N346,Sheet9!$M$1:$N$2,2,FALSE)</f>
        <v>1</v>
      </c>
      <c r="D346">
        <v>16</v>
      </c>
      <c r="E346" t="s">
        <v>95</v>
      </c>
      <c r="F346">
        <v>70</v>
      </c>
      <c r="H346">
        <v>32</v>
      </c>
      <c r="I346">
        <v>0.6</v>
      </c>
      <c r="J346">
        <v>19.2</v>
      </c>
      <c r="K346">
        <v>4.7300000000000004</v>
      </c>
      <c r="L346">
        <v>5.0999999999999996</v>
      </c>
      <c r="M346" t="s">
        <v>164</v>
      </c>
      <c r="N346" t="s">
        <v>162</v>
      </c>
    </row>
    <row r="347" spans="1:14" x14ac:dyDescent="0.3">
      <c r="A347" t="s">
        <v>164</v>
      </c>
      <c r="B347">
        <f>VLOOKUP(M347,Sheet9!$I$1:$J$17,2,FALSE)</f>
        <v>14</v>
      </c>
      <c r="C347">
        <f>VLOOKUP(N347,Sheet9!$M$1:$N$2,2,FALSE)</f>
        <v>1</v>
      </c>
      <c r="D347">
        <v>16</v>
      </c>
      <c r="E347" t="s">
        <v>95</v>
      </c>
      <c r="F347">
        <v>70</v>
      </c>
      <c r="H347">
        <v>64</v>
      </c>
      <c r="I347">
        <v>0.6</v>
      </c>
      <c r="J347">
        <v>38.4</v>
      </c>
      <c r="K347">
        <v>4.18</v>
      </c>
      <c r="L347">
        <v>4.5199999999999996</v>
      </c>
      <c r="M347" t="s">
        <v>164</v>
      </c>
      <c r="N347" t="s">
        <v>162</v>
      </c>
    </row>
    <row r="348" spans="1:14" x14ac:dyDescent="0.3">
      <c r="A348" t="s">
        <v>164</v>
      </c>
      <c r="B348">
        <f>VLOOKUP(M348,Sheet9!$I$1:$J$17,2,FALSE)</f>
        <v>14</v>
      </c>
      <c r="C348">
        <f>VLOOKUP(N348,Sheet9!$M$1:$N$2,2,FALSE)</f>
        <v>1</v>
      </c>
      <c r="D348">
        <v>16</v>
      </c>
      <c r="E348" t="s">
        <v>95</v>
      </c>
      <c r="F348">
        <v>80</v>
      </c>
      <c r="H348">
        <v>1</v>
      </c>
      <c r="I348">
        <v>5</v>
      </c>
      <c r="J348">
        <v>5</v>
      </c>
      <c r="K348">
        <v>6.44</v>
      </c>
      <c r="L348">
        <v>6.81</v>
      </c>
      <c r="M348" t="s">
        <v>164</v>
      </c>
      <c r="N348" t="s">
        <v>162</v>
      </c>
    </row>
    <row r="349" spans="1:14" x14ac:dyDescent="0.3">
      <c r="A349" t="s">
        <v>164</v>
      </c>
      <c r="B349">
        <f>VLOOKUP(M349,Sheet9!$I$1:$J$17,2,FALSE)</f>
        <v>14</v>
      </c>
      <c r="C349">
        <f>VLOOKUP(N349,Sheet9!$M$1:$N$2,2,FALSE)</f>
        <v>1</v>
      </c>
      <c r="D349">
        <v>16</v>
      </c>
      <c r="E349" t="s">
        <v>95</v>
      </c>
      <c r="F349">
        <v>80</v>
      </c>
      <c r="H349">
        <v>1</v>
      </c>
      <c r="I349">
        <v>10</v>
      </c>
      <c r="J349">
        <v>10</v>
      </c>
      <c r="K349">
        <v>6.34</v>
      </c>
      <c r="L349">
        <v>6.69</v>
      </c>
      <c r="M349" t="s">
        <v>164</v>
      </c>
      <c r="N349" t="s">
        <v>162</v>
      </c>
    </row>
    <row r="350" spans="1:14" x14ac:dyDescent="0.3">
      <c r="A350" t="s">
        <v>164</v>
      </c>
      <c r="B350">
        <f>VLOOKUP(M350,Sheet9!$I$1:$J$17,2,FALSE)</f>
        <v>14</v>
      </c>
      <c r="C350">
        <f>VLOOKUP(N350,Sheet9!$M$1:$N$2,2,FALSE)</f>
        <v>1</v>
      </c>
      <c r="D350">
        <v>16</v>
      </c>
      <c r="E350" t="s">
        <v>95</v>
      </c>
      <c r="F350">
        <v>80</v>
      </c>
      <c r="H350">
        <v>3</v>
      </c>
      <c r="I350">
        <v>3</v>
      </c>
      <c r="J350">
        <v>9</v>
      </c>
      <c r="K350">
        <v>7.04</v>
      </c>
      <c r="L350">
        <v>7.43</v>
      </c>
      <c r="M350" t="s">
        <v>164</v>
      </c>
      <c r="N350" t="s">
        <v>162</v>
      </c>
    </row>
    <row r="351" spans="1:14" x14ac:dyDescent="0.3">
      <c r="A351" t="s">
        <v>164</v>
      </c>
      <c r="B351">
        <f>VLOOKUP(M351,Sheet9!$I$1:$J$17,2,FALSE)</f>
        <v>14</v>
      </c>
      <c r="C351">
        <f>VLOOKUP(N351,Sheet9!$M$1:$N$2,2,FALSE)</f>
        <v>1</v>
      </c>
      <c r="D351">
        <v>16</v>
      </c>
      <c r="E351" t="s">
        <v>95</v>
      </c>
      <c r="F351">
        <v>80</v>
      </c>
      <c r="H351">
        <v>3</v>
      </c>
      <c r="I351">
        <v>5</v>
      </c>
      <c r="J351">
        <v>15</v>
      </c>
      <c r="K351">
        <v>6.39</v>
      </c>
      <c r="L351">
        <v>6.74</v>
      </c>
      <c r="M351" t="s">
        <v>164</v>
      </c>
      <c r="N351" t="s">
        <v>162</v>
      </c>
    </row>
    <row r="352" spans="1:14" x14ac:dyDescent="0.3">
      <c r="A352" t="s">
        <v>164</v>
      </c>
      <c r="B352">
        <f>VLOOKUP(M352,Sheet9!$I$1:$J$17,2,FALSE)</f>
        <v>14</v>
      </c>
      <c r="C352">
        <f>VLOOKUP(N352,Sheet9!$M$1:$N$2,2,FALSE)</f>
        <v>1</v>
      </c>
      <c r="D352">
        <v>16</v>
      </c>
      <c r="E352" t="s">
        <v>95</v>
      </c>
      <c r="F352">
        <v>80</v>
      </c>
      <c r="H352">
        <v>32</v>
      </c>
      <c r="I352">
        <v>0.6</v>
      </c>
      <c r="J352">
        <v>19.2</v>
      </c>
      <c r="K352">
        <v>7.49</v>
      </c>
      <c r="L352">
        <v>7.9</v>
      </c>
      <c r="M352" t="s">
        <v>164</v>
      </c>
      <c r="N352" t="s">
        <v>162</v>
      </c>
    </row>
    <row r="353" spans="1:14" x14ac:dyDescent="0.3">
      <c r="A353" t="s">
        <v>164</v>
      </c>
      <c r="B353">
        <f>VLOOKUP(M353,Sheet9!$I$1:$J$17,2,FALSE)</f>
        <v>14</v>
      </c>
      <c r="C353">
        <f>VLOOKUP(N353,Sheet9!$M$1:$N$2,2,FALSE)</f>
        <v>1</v>
      </c>
      <c r="D353">
        <v>16</v>
      </c>
      <c r="E353" t="s">
        <v>95</v>
      </c>
      <c r="F353">
        <v>80</v>
      </c>
      <c r="H353">
        <v>64</v>
      </c>
      <c r="I353">
        <v>0.6</v>
      </c>
      <c r="J353">
        <v>38.4</v>
      </c>
      <c r="K353">
        <v>6.61</v>
      </c>
      <c r="L353">
        <v>7</v>
      </c>
      <c r="M353" t="s">
        <v>164</v>
      </c>
      <c r="N353" t="s">
        <v>162</v>
      </c>
    </row>
    <row r="354" spans="1:14" x14ac:dyDescent="0.3">
      <c r="A354" t="s">
        <v>164</v>
      </c>
      <c r="B354">
        <f>VLOOKUP(M354,Sheet9!$I$1:$J$17,2,FALSE)</f>
        <v>14</v>
      </c>
      <c r="C354">
        <f>VLOOKUP(N354,Sheet9!$M$1:$N$2,2,FALSE)</f>
        <v>1</v>
      </c>
      <c r="D354">
        <v>16</v>
      </c>
      <c r="E354" t="s">
        <v>95</v>
      </c>
      <c r="F354">
        <v>90</v>
      </c>
      <c r="H354">
        <v>1</v>
      </c>
      <c r="I354">
        <v>5</v>
      </c>
      <c r="J354">
        <v>5</v>
      </c>
      <c r="K354">
        <v>9.2899999999999991</v>
      </c>
      <c r="L354">
        <v>9.69</v>
      </c>
      <c r="M354" t="s">
        <v>164</v>
      </c>
      <c r="N354" t="s">
        <v>162</v>
      </c>
    </row>
    <row r="355" spans="1:14" x14ac:dyDescent="0.3">
      <c r="A355" t="s">
        <v>164</v>
      </c>
      <c r="B355">
        <f>VLOOKUP(M355,Sheet9!$I$1:$J$17,2,FALSE)</f>
        <v>14</v>
      </c>
      <c r="C355">
        <f>VLOOKUP(N355,Sheet9!$M$1:$N$2,2,FALSE)</f>
        <v>1</v>
      </c>
      <c r="D355">
        <v>16</v>
      </c>
      <c r="E355" t="s">
        <v>95</v>
      </c>
      <c r="F355">
        <v>90</v>
      </c>
      <c r="H355">
        <v>1</v>
      </c>
      <c r="I355">
        <v>10</v>
      </c>
      <c r="J355">
        <v>10</v>
      </c>
      <c r="K355">
        <v>9.1300000000000008</v>
      </c>
      <c r="L355">
        <v>9.5299999999999994</v>
      </c>
      <c r="M355" t="s">
        <v>164</v>
      </c>
      <c r="N355" t="s">
        <v>162</v>
      </c>
    </row>
    <row r="356" spans="1:14" x14ac:dyDescent="0.3">
      <c r="A356" t="s">
        <v>164</v>
      </c>
      <c r="B356">
        <f>VLOOKUP(M356,Sheet9!$I$1:$J$17,2,FALSE)</f>
        <v>14</v>
      </c>
      <c r="C356">
        <f>VLOOKUP(N356,Sheet9!$M$1:$N$2,2,FALSE)</f>
        <v>1</v>
      </c>
      <c r="D356">
        <v>16</v>
      </c>
      <c r="E356" t="s">
        <v>95</v>
      </c>
      <c r="F356">
        <v>90</v>
      </c>
      <c r="H356">
        <v>3</v>
      </c>
      <c r="I356">
        <v>3</v>
      </c>
      <c r="J356">
        <v>9</v>
      </c>
      <c r="K356">
        <v>10.14</v>
      </c>
      <c r="L356">
        <v>10.59</v>
      </c>
      <c r="M356" t="s">
        <v>164</v>
      </c>
      <c r="N356" t="s">
        <v>162</v>
      </c>
    </row>
    <row r="357" spans="1:14" x14ac:dyDescent="0.3">
      <c r="A357" t="s">
        <v>164</v>
      </c>
      <c r="B357">
        <f>VLOOKUP(M357,Sheet9!$I$1:$J$17,2,FALSE)</f>
        <v>14</v>
      </c>
      <c r="C357">
        <f>VLOOKUP(N357,Sheet9!$M$1:$N$2,2,FALSE)</f>
        <v>1</v>
      </c>
      <c r="D357">
        <v>16</v>
      </c>
      <c r="E357" t="s">
        <v>95</v>
      </c>
      <c r="F357">
        <v>90</v>
      </c>
      <c r="H357">
        <v>3</v>
      </c>
      <c r="I357">
        <v>5</v>
      </c>
      <c r="J357">
        <v>15</v>
      </c>
      <c r="K357">
        <v>9.1999999999999993</v>
      </c>
      <c r="L357">
        <v>9.6</v>
      </c>
      <c r="M357" t="s">
        <v>164</v>
      </c>
      <c r="N357" t="s">
        <v>162</v>
      </c>
    </row>
    <row r="358" spans="1:14" x14ac:dyDescent="0.3">
      <c r="A358" t="s">
        <v>164</v>
      </c>
      <c r="B358">
        <f>VLOOKUP(M358,Sheet9!$I$1:$J$17,2,FALSE)</f>
        <v>14</v>
      </c>
      <c r="C358">
        <f>VLOOKUP(N358,Sheet9!$M$1:$N$2,2,FALSE)</f>
        <v>1</v>
      </c>
      <c r="D358">
        <v>16</v>
      </c>
      <c r="E358" t="s">
        <v>95</v>
      </c>
      <c r="F358">
        <v>90</v>
      </c>
      <c r="H358">
        <v>32</v>
      </c>
      <c r="I358">
        <v>0.6</v>
      </c>
      <c r="J358">
        <v>19.2</v>
      </c>
      <c r="K358">
        <v>10.77</v>
      </c>
      <c r="L358">
        <v>11.25</v>
      </c>
      <c r="M358" t="s">
        <v>164</v>
      </c>
      <c r="N358" t="s">
        <v>162</v>
      </c>
    </row>
    <row r="359" spans="1:14" x14ac:dyDescent="0.3">
      <c r="A359" t="s">
        <v>164</v>
      </c>
      <c r="B359">
        <f>VLOOKUP(M359,Sheet9!$I$1:$J$17,2,FALSE)</f>
        <v>14</v>
      </c>
      <c r="C359">
        <f>VLOOKUP(N359,Sheet9!$M$1:$N$2,2,FALSE)</f>
        <v>1</v>
      </c>
      <c r="D359">
        <v>16</v>
      </c>
      <c r="E359" t="s">
        <v>95</v>
      </c>
      <c r="F359">
        <v>90</v>
      </c>
      <c r="H359">
        <v>64</v>
      </c>
      <c r="I359">
        <v>0.6</v>
      </c>
      <c r="J359">
        <v>38.4</v>
      </c>
      <c r="K359">
        <v>9.51</v>
      </c>
      <c r="L359">
        <v>9.9600000000000009</v>
      </c>
      <c r="M359" t="s">
        <v>164</v>
      </c>
      <c r="N359" t="s">
        <v>162</v>
      </c>
    </row>
    <row r="360" spans="1:14" x14ac:dyDescent="0.3">
      <c r="A360" t="s">
        <v>164</v>
      </c>
      <c r="B360">
        <f>VLOOKUP(M360,Sheet9!$I$1:$J$17,2,FALSE)</f>
        <v>14</v>
      </c>
      <c r="C360">
        <f>VLOOKUP(N360,Sheet9!$M$1:$N$2,2,FALSE)</f>
        <v>1</v>
      </c>
      <c r="D360">
        <v>16</v>
      </c>
      <c r="E360" t="s">
        <v>95</v>
      </c>
      <c r="F360">
        <v>100</v>
      </c>
      <c r="H360">
        <v>1</v>
      </c>
      <c r="I360">
        <v>5</v>
      </c>
      <c r="J360">
        <v>5</v>
      </c>
      <c r="K360">
        <v>12.52</v>
      </c>
      <c r="L360">
        <v>12.96</v>
      </c>
      <c r="M360" t="s">
        <v>164</v>
      </c>
      <c r="N360" t="s">
        <v>162</v>
      </c>
    </row>
    <row r="361" spans="1:14" x14ac:dyDescent="0.3">
      <c r="A361" t="s">
        <v>164</v>
      </c>
      <c r="B361">
        <f>VLOOKUP(M361,Sheet9!$I$1:$J$17,2,FALSE)</f>
        <v>14</v>
      </c>
      <c r="C361">
        <f>VLOOKUP(N361,Sheet9!$M$1:$N$2,2,FALSE)</f>
        <v>1</v>
      </c>
      <c r="D361">
        <v>16</v>
      </c>
      <c r="E361" t="s">
        <v>95</v>
      </c>
      <c r="F361">
        <v>100</v>
      </c>
      <c r="H361">
        <v>1</v>
      </c>
      <c r="I361">
        <v>10</v>
      </c>
      <c r="J361">
        <v>10</v>
      </c>
      <c r="K361">
        <v>12.31</v>
      </c>
      <c r="L361">
        <v>12.75</v>
      </c>
      <c r="M361" t="s">
        <v>164</v>
      </c>
      <c r="N361" t="s">
        <v>162</v>
      </c>
    </row>
    <row r="362" spans="1:14" x14ac:dyDescent="0.3">
      <c r="A362" t="s">
        <v>164</v>
      </c>
      <c r="B362">
        <f>VLOOKUP(M362,Sheet9!$I$1:$J$17,2,FALSE)</f>
        <v>14</v>
      </c>
      <c r="C362">
        <f>VLOOKUP(N362,Sheet9!$M$1:$N$2,2,FALSE)</f>
        <v>1</v>
      </c>
      <c r="D362">
        <v>16</v>
      </c>
      <c r="E362" t="s">
        <v>95</v>
      </c>
      <c r="F362">
        <v>100</v>
      </c>
      <c r="H362">
        <v>3</v>
      </c>
      <c r="I362">
        <v>3</v>
      </c>
      <c r="J362">
        <v>9</v>
      </c>
      <c r="K362">
        <v>13.68</v>
      </c>
      <c r="L362">
        <v>14.17</v>
      </c>
      <c r="M362" t="s">
        <v>164</v>
      </c>
      <c r="N362" t="s">
        <v>162</v>
      </c>
    </row>
    <row r="363" spans="1:14" x14ac:dyDescent="0.3">
      <c r="A363" t="s">
        <v>164</v>
      </c>
      <c r="B363">
        <f>VLOOKUP(M363,Sheet9!$I$1:$J$17,2,FALSE)</f>
        <v>14</v>
      </c>
      <c r="C363">
        <f>VLOOKUP(N363,Sheet9!$M$1:$N$2,2,FALSE)</f>
        <v>1</v>
      </c>
      <c r="D363">
        <v>16</v>
      </c>
      <c r="E363" t="s">
        <v>95</v>
      </c>
      <c r="F363">
        <v>100</v>
      </c>
      <c r="H363">
        <v>3</v>
      </c>
      <c r="I363">
        <v>5</v>
      </c>
      <c r="J363">
        <v>15</v>
      </c>
      <c r="K363">
        <v>12.42</v>
      </c>
      <c r="L363">
        <v>12.85</v>
      </c>
      <c r="M363" t="s">
        <v>164</v>
      </c>
      <c r="N363" t="s">
        <v>162</v>
      </c>
    </row>
    <row r="364" spans="1:14" x14ac:dyDescent="0.3">
      <c r="A364" t="s">
        <v>164</v>
      </c>
      <c r="B364">
        <f>VLOOKUP(M364,Sheet9!$I$1:$J$17,2,FALSE)</f>
        <v>14</v>
      </c>
      <c r="C364">
        <f>VLOOKUP(N364,Sheet9!$M$1:$N$2,2,FALSE)</f>
        <v>1</v>
      </c>
      <c r="D364">
        <v>16</v>
      </c>
      <c r="E364" t="s">
        <v>95</v>
      </c>
      <c r="F364">
        <v>100</v>
      </c>
      <c r="H364">
        <v>32</v>
      </c>
      <c r="I364">
        <v>0.6</v>
      </c>
      <c r="J364">
        <v>19.2</v>
      </c>
      <c r="K364">
        <v>14.53</v>
      </c>
      <c r="L364">
        <v>15.04</v>
      </c>
      <c r="M364" t="s">
        <v>164</v>
      </c>
      <c r="N364" t="s">
        <v>162</v>
      </c>
    </row>
    <row r="365" spans="1:14" x14ac:dyDescent="0.3">
      <c r="A365" t="s">
        <v>164</v>
      </c>
      <c r="B365">
        <f>VLOOKUP(M365,Sheet9!$I$1:$J$17,2,FALSE)</f>
        <v>14</v>
      </c>
      <c r="C365">
        <f>VLOOKUP(N365,Sheet9!$M$1:$N$2,2,FALSE)</f>
        <v>1</v>
      </c>
      <c r="D365">
        <v>16</v>
      </c>
      <c r="E365" t="s">
        <v>95</v>
      </c>
      <c r="F365">
        <v>100</v>
      </c>
      <c r="H365">
        <v>64</v>
      </c>
      <c r="I365">
        <v>0.6</v>
      </c>
      <c r="J365">
        <v>38.4</v>
      </c>
      <c r="K365">
        <v>12.81</v>
      </c>
      <c r="L365">
        <v>13.3</v>
      </c>
      <c r="M365" t="s">
        <v>164</v>
      </c>
      <c r="N365" t="s">
        <v>162</v>
      </c>
    </row>
    <row r="366" spans="1:14" x14ac:dyDescent="0.3">
      <c r="A366" t="s">
        <v>164</v>
      </c>
      <c r="B366">
        <f>VLOOKUP(M366,Sheet9!$I$1:$J$17,2,FALSE)</f>
        <v>14</v>
      </c>
      <c r="C366">
        <f>VLOOKUP(N366,Sheet9!$M$1:$N$2,2,FALSE)</f>
        <v>1</v>
      </c>
      <c r="D366">
        <v>16</v>
      </c>
      <c r="E366" t="s">
        <v>95</v>
      </c>
      <c r="F366">
        <v>110</v>
      </c>
      <c r="H366">
        <v>1</v>
      </c>
      <c r="I366">
        <v>5</v>
      </c>
      <c r="J366">
        <v>5</v>
      </c>
      <c r="K366">
        <v>15.99</v>
      </c>
      <c r="L366">
        <v>16.57</v>
      </c>
      <c r="M366" t="s">
        <v>164</v>
      </c>
      <c r="N366" t="s">
        <v>162</v>
      </c>
    </row>
    <row r="367" spans="1:14" x14ac:dyDescent="0.3">
      <c r="A367" t="s">
        <v>164</v>
      </c>
      <c r="B367">
        <f>VLOOKUP(M367,Sheet9!$I$1:$J$17,2,FALSE)</f>
        <v>14</v>
      </c>
      <c r="C367">
        <f>VLOOKUP(N367,Sheet9!$M$1:$N$2,2,FALSE)</f>
        <v>1</v>
      </c>
      <c r="D367">
        <v>16</v>
      </c>
      <c r="E367" t="s">
        <v>95</v>
      </c>
      <c r="F367">
        <v>110</v>
      </c>
      <c r="H367">
        <v>1</v>
      </c>
      <c r="I367">
        <v>10</v>
      </c>
      <c r="J367">
        <v>10</v>
      </c>
      <c r="K367">
        <v>15.79</v>
      </c>
      <c r="L367">
        <v>16.3</v>
      </c>
      <c r="M367" t="s">
        <v>164</v>
      </c>
      <c r="N367" t="s">
        <v>162</v>
      </c>
    </row>
    <row r="368" spans="1:14" x14ac:dyDescent="0.3">
      <c r="A368" t="s">
        <v>164</v>
      </c>
      <c r="B368">
        <f>VLOOKUP(M368,Sheet9!$I$1:$J$17,2,FALSE)</f>
        <v>14</v>
      </c>
      <c r="C368">
        <f>VLOOKUP(N368,Sheet9!$M$1:$N$2,2,FALSE)</f>
        <v>1</v>
      </c>
      <c r="D368">
        <v>16</v>
      </c>
      <c r="E368" t="s">
        <v>95</v>
      </c>
      <c r="F368">
        <v>110</v>
      </c>
      <c r="H368">
        <v>3</v>
      </c>
      <c r="I368">
        <v>3</v>
      </c>
      <c r="J368">
        <v>9</v>
      </c>
      <c r="K368">
        <v>17.54</v>
      </c>
      <c r="L368">
        <v>18.11</v>
      </c>
      <c r="M368" t="s">
        <v>164</v>
      </c>
      <c r="N368" t="s">
        <v>162</v>
      </c>
    </row>
    <row r="369" spans="1:14" x14ac:dyDescent="0.3">
      <c r="A369" t="s">
        <v>164</v>
      </c>
      <c r="B369">
        <f>VLOOKUP(M369,Sheet9!$I$1:$J$17,2,FALSE)</f>
        <v>14</v>
      </c>
      <c r="C369">
        <f>VLOOKUP(N369,Sheet9!$M$1:$N$2,2,FALSE)</f>
        <v>1</v>
      </c>
      <c r="D369">
        <v>16</v>
      </c>
      <c r="E369" t="s">
        <v>95</v>
      </c>
      <c r="F369">
        <v>110</v>
      </c>
      <c r="H369">
        <v>3</v>
      </c>
      <c r="I369">
        <v>5</v>
      </c>
      <c r="J369">
        <v>15</v>
      </c>
      <c r="K369">
        <v>15.9</v>
      </c>
      <c r="L369">
        <v>16.399999999999999</v>
      </c>
      <c r="M369" t="s">
        <v>164</v>
      </c>
      <c r="N369" t="s">
        <v>162</v>
      </c>
    </row>
    <row r="370" spans="1:14" x14ac:dyDescent="0.3">
      <c r="A370" t="s">
        <v>164</v>
      </c>
      <c r="B370">
        <f>VLOOKUP(M370,Sheet9!$I$1:$J$17,2,FALSE)</f>
        <v>14</v>
      </c>
      <c r="C370">
        <f>VLOOKUP(N370,Sheet9!$M$1:$N$2,2,FALSE)</f>
        <v>1</v>
      </c>
      <c r="D370">
        <v>16</v>
      </c>
      <c r="E370" t="s">
        <v>95</v>
      </c>
      <c r="F370">
        <v>110</v>
      </c>
      <c r="H370">
        <v>32</v>
      </c>
      <c r="I370">
        <v>0.6</v>
      </c>
      <c r="J370">
        <v>19.2</v>
      </c>
      <c r="K370">
        <v>18.64</v>
      </c>
      <c r="L370">
        <v>19.21</v>
      </c>
      <c r="M370" t="s">
        <v>164</v>
      </c>
      <c r="N370" t="s">
        <v>162</v>
      </c>
    </row>
    <row r="371" spans="1:14" x14ac:dyDescent="0.3">
      <c r="A371" t="s">
        <v>164</v>
      </c>
      <c r="B371">
        <f>VLOOKUP(M371,Sheet9!$I$1:$J$17,2,FALSE)</f>
        <v>14</v>
      </c>
      <c r="C371">
        <f>VLOOKUP(N371,Sheet9!$M$1:$N$2,2,FALSE)</f>
        <v>1</v>
      </c>
      <c r="D371">
        <v>16</v>
      </c>
      <c r="E371" t="s">
        <v>95</v>
      </c>
      <c r="F371">
        <v>110</v>
      </c>
      <c r="H371">
        <v>64</v>
      </c>
      <c r="I371">
        <v>0.6</v>
      </c>
      <c r="J371">
        <v>38.4</v>
      </c>
      <c r="K371">
        <v>16.420000000000002</v>
      </c>
      <c r="L371">
        <v>16.98</v>
      </c>
      <c r="M371" t="s">
        <v>164</v>
      </c>
      <c r="N371" t="s">
        <v>162</v>
      </c>
    </row>
    <row r="372" spans="1:14" x14ac:dyDescent="0.3">
      <c r="A372" t="s">
        <v>164</v>
      </c>
      <c r="B372">
        <f>VLOOKUP(M372,Sheet9!$I$1:$J$17,2,FALSE)</f>
        <v>14</v>
      </c>
      <c r="C372">
        <f>VLOOKUP(N372,Sheet9!$M$1:$N$2,2,FALSE)</f>
        <v>1</v>
      </c>
      <c r="D372">
        <v>16</v>
      </c>
      <c r="E372" t="s">
        <v>95</v>
      </c>
      <c r="F372">
        <v>120</v>
      </c>
      <c r="H372">
        <v>1</v>
      </c>
      <c r="I372">
        <v>5</v>
      </c>
      <c r="J372">
        <v>5</v>
      </c>
      <c r="K372">
        <v>19.920000000000002</v>
      </c>
      <c r="L372">
        <v>20.5</v>
      </c>
      <c r="M372" t="s">
        <v>164</v>
      </c>
      <c r="N372" t="s">
        <v>162</v>
      </c>
    </row>
    <row r="373" spans="1:14" x14ac:dyDescent="0.3">
      <c r="A373" t="s">
        <v>164</v>
      </c>
      <c r="B373">
        <f>VLOOKUP(M373,Sheet9!$I$1:$J$17,2,FALSE)</f>
        <v>14</v>
      </c>
      <c r="C373">
        <f>VLOOKUP(N373,Sheet9!$M$1:$N$2,2,FALSE)</f>
        <v>1</v>
      </c>
      <c r="D373">
        <v>16</v>
      </c>
      <c r="E373" t="s">
        <v>95</v>
      </c>
      <c r="F373">
        <v>120</v>
      </c>
      <c r="H373">
        <v>1</v>
      </c>
      <c r="I373">
        <v>10</v>
      </c>
      <c r="J373">
        <v>10</v>
      </c>
      <c r="K373">
        <v>19.600000000000001</v>
      </c>
      <c r="L373">
        <v>20.13</v>
      </c>
      <c r="M373" t="s">
        <v>164</v>
      </c>
      <c r="N373" t="s">
        <v>162</v>
      </c>
    </row>
    <row r="374" spans="1:14" x14ac:dyDescent="0.3">
      <c r="A374" t="s">
        <v>164</v>
      </c>
      <c r="B374">
        <f>VLOOKUP(M374,Sheet9!$I$1:$J$17,2,FALSE)</f>
        <v>14</v>
      </c>
      <c r="C374">
        <f>VLOOKUP(N374,Sheet9!$M$1:$N$2,2,FALSE)</f>
        <v>1</v>
      </c>
      <c r="D374">
        <v>16</v>
      </c>
      <c r="E374" t="s">
        <v>95</v>
      </c>
      <c r="F374">
        <v>120</v>
      </c>
      <c r="H374">
        <v>3</v>
      </c>
      <c r="I374">
        <v>3</v>
      </c>
      <c r="J374">
        <v>9</v>
      </c>
      <c r="K374">
        <v>21.77</v>
      </c>
      <c r="L374">
        <v>22.37</v>
      </c>
      <c r="M374" t="s">
        <v>164</v>
      </c>
      <c r="N374" t="s">
        <v>162</v>
      </c>
    </row>
    <row r="375" spans="1:14" x14ac:dyDescent="0.3">
      <c r="A375" t="s">
        <v>164</v>
      </c>
      <c r="B375">
        <f>VLOOKUP(M375,Sheet9!$I$1:$J$17,2,FALSE)</f>
        <v>14</v>
      </c>
      <c r="C375">
        <f>VLOOKUP(N375,Sheet9!$M$1:$N$2,2,FALSE)</f>
        <v>1</v>
      </c>
      <c r="D375">
        <v>16</v>
      </c>
      <c r="E375" t="s">
        <v>95</v>
      </c>
      <c r="F375">
        <v>120</v>
      </c>
      <c r="H375">
        <v>3</v>
      </c>
      <c r="I375">
        <v>5</v>
      </c>
      <c r="J375">
        <v>15</v>
      </c>
      <c r="K375">
        <v>19.71</v>
      </c>
      <c r="L375">
        <v>20.260000000000002</v>
      </c>
      <c r="M375" t="s">
        <v>164</v>
      </c>
      <c r="N375" t="s">
        <v>162</v>
      </c>
    </row>
    <row r="376" spans="1:14" x14ac:dyDescent="0.3">
      <c r="A376" t="s">
        <v>164</v>
      </c>
      <c r="B376">
        <f>VLOOKUP(M376,Sheet9!$I$1:$J$17,2,FALSE)</f>
        <v>14</v>
      </c>
      <c r="C376">
        <f>VLOOKUP(N376,Sheet9!$M$1:$N$2,2,FALSE)</f>
        <v>1</v>
      </c>
      <c r="D376">
        <v>16</v>
      </c>
      <c r="E376" t="s">
        <v>95</v>
      </c>
      <c r="F376">
        <v>120</v>
      </c>
      <c r="H376">
        <v>32</v>
      </c>
      <c r="I376">
        <v>0.6</v>
      </c>
      <c r="J376">
        <v>19.2</v>
      </c>
      <c r="K376">
        <v>23.08</v>
      </c>
      <c r="L376">
        <v>23.73</v>
      </c>
      <c r="M376" t="s">
        <v>164</v>
      </c>
      <c r="N376" t="s">
        <v>162</v>
      </c>
    </row>
    <row r="377" spans="1:14" x14ac:dyDescent="0.3">
      <c r="A377" t="s">
        <v>164</v>
      </c>
      <c r="B377">
        <f>VLOOKUP(M377,Sheet9!$I$1:$J$17,2,FALSE)</f>
        <v>14</v>
      </c>
      <c r="C377">
        <f>VLOOKUP(N377,Sheet9!$M$1:$N$2,2,FALSE)</f>
        <v>1</v>
      </c>
      <c r="D377">
        <v>16</v>
      </c>
      <c r="E377" t="s">
        <v>95</v>
      </c>
      <c r="F377">
        <v>120</v>
      </c>
      <c r="H377">
        <v>64</v>
      </c>
      <c r="I377">
        <v>0.6</v>
      </c>
      <c r="J377">
        <v>38.4</v>
      </c>
      <c r="K377">
        <v>20.34</v>
      </c>
      <c r="L377">
        <v>20.96</v>
      </c>
      <c r="M377" t="s">
        <v>164</v>
      </c>
      <c r="N377" t="s">
        <v>162</v>
      </c>
    </row>
    <row r="378" spans="1:14" x14ac:dyDescent="0.3">
      <c r="A378" t="s">
        <v>164</v>
      </c>
      <c r="B378">
        <f>VLOOKUP(M378,Sheet9!$I$1:$J$17,2,FALSE)</f>
        <v>14</v>
      </c>
      <c r="C378">
        <f>VLOOKUP(N378,Sheet9!$M$1:$N$2,2,FALSE)</f>
        <v>1</v>
      </c>
      <c r="D378">
        <v>16</v>
      </c>
      <c r="E378" t="s">
        <v>95</v>
      </c>
      <c r="F378">
        <v>130</v>
      </c>
      <c r="H378">
        <v>1</v>
      </c>
      <c r="I378">
        <v>5</v>
      </c>
      <c r="J378">
        <v>5</v>
      </c>
      <c r="K378">
        <v>24.1</v>
      </c>
      <c r="L378">
        <v>24.72</v>
      </c>
      <c r="M378" t="s">
        <v>164</v>
      </c>
      <c r="N378" t="s">
        <v>162</v>
      </c>
    </row>
    <row r="379" spans="1:14" x14ac:dyDescent="0.3">
      <c r="A379" t="s">
        <v>164</v>
      </c>
      <c r="B379">
        <f>VLOOKUP(M379,Sheet9!$I$1:$J$17,2,FALSE)</f>
        <v>14</v>
      </c>
      <c r="C379">
        <f>VLOOKUP(N379,Sheet9!$M$1:$N$2,2,FALSE)</f>
        <v>1</v>
      </c>
      <c r="D379">
        <v>16</v>
      </c>
      <c r="E379" t="s">
        <v>95</v>
      </c>
      <c r="F379">
        <v>130</v>
      </c>
      <c r="H379">
        <v>1</v>
      </c>
      <c r="I379">
        <v>10</v>
      </c>
      <c r="J379">
        <v>10</v>
      </c>
      <c r="K379">
        <v>23.69</v>
      </c>
      <c r="L379">
        <v>24.26</v>
      </c>
      <c r="M379" t="s">
        <v>164</v>
      </c>
      <c r="N379" t="s">
        <v>162</v>
      </c>
    </row>
    <row r="380" spans="1:14" x14ac:dyDescent="0.3">
      <c r="A380" t="s">
        <v>164</v>
      </c>
      <c r="B380">
        <f>VLOOKUP(M380,Sheet9!$I$1:$J$17,2,FALSE)</f>
        <v>14</v>
      </c>
      <c r="C380">
        <f>VLOOKUP(N380,Sheet9!$M$1:$N$2,2,FALSE)</f>
        <v>1</v>
      </c>
      <c r="D380">
        <v>16</v>
      </c>
      <c r="E380" t="s">
        <v>95</v>
      </c>
      <c r="F380">
        <v>130</v>
      </c>
      <c r="H380">
        <v>3</v>
      </c>
      <c r="I380">
        <v>3</v>
      </c>
      <c r="J380">
        <v>9</v>
      </c>
      <c r="K380">
        <v>26.32</v>
      </c>
      <c r="L380">
        <v>26.95</v>
      </c>
      <c r="M380" t="s">
        <v>164</v>
      </c>
      <c r="N380" t="s">
        <v>162</v>
      </c>
    </row>
    <row r="381" spans="1:14" x14ac:dyDescent="0.3">
      <c r="A381" t="s">
        <v>164</v>
      </c>
      <c r="B381">
        <f>VLOOKUP(M381,Sheet9!$I$1:$J$17,2,FALSE)</f>
        <v>14</v>
      </c>
      <c r="C381">
        <f>VLOOKUP(N381,Sheet9!$M$1:$N$2,2,FALSE)</f>
        <v>1</v>
      </c>
      <c r="D381">
        <v>16</v>
      </c>
      <c r="E381" t="s">
        <v>95</v>
      </c>
      <c r="F381">
        <v>130</v>
      </c>
      <c r="H381">
        <v>3</v>
      </c>
      <c r="I381">
        <v>5</v>
      </c>
      <c r="J381">
        <v>15</v>
      </c>
      <c r="K381">
        <v>23.81</v>
      </c>
      <c r="L381">
        <v>24.41</v>
      </c>
      <c r="M381" t="s">
        <v>164</v>
      </c>
      <c r="N381" t="s">
        <v>162</v>
      </c>
    </row>
    <row r="382" spans="1:14" x14ac:dyDescent="0.3">
      <c r="A382" t="s">
        <v>164</v>
      </c>
      <c r="B382">
        <f>VLOOKUP(M382,Sheet9!$I$1:$J$17,2,FALSE)</f>
        <v>14</v>
      </c>
      <c r="C382">
        <f>VLOOKUP(N382,Sheet9!$M$1:$N$2,2,FALSE)</f>
        <v>1</v>
      </c>
      <c r="D382">
        <v>16</v>
      </c>
      <c r="E382" t="s">
        <v>95</v>
      </c>
      <c r="F382">
        <v>130</v>
      </c>
      <c r="H382">
        <v>32</v>
      </c>
      <c r="I382">
        <v>0.6</v>
      </c>
      <c r="J382">
        <v>19.2</v>
      </c>
      <c r="K382">
        <v>27.89</v>
      </c>
      <c r="L382">
        <v>28.57</v>
      </c>
      <c r="M382" t="s">
        <v>164</v>
      </c>
      <c r="N382" t="s">
        <v>162</v>
      </c>
    </row>
    <row r="383" spans="1:14" x14ac:dyDescent="0.3">
      <c r="A383" t="s">
        <v>164</v>
      </c>
      <c r="B383">
        <f>VLOOKUP(M383,Sheet9!$I$1:$J$17,2,FALSE)</f>
        <v>14</v>
      </c>
      <c r="C383">
        <f>VLOOKUP(N383,Sheet9!$M$1:$N$2,2,FALSE)</f>
        <v>1</v>
      </c>
      <c r="D383">
        <v>16</v>
      </c>
      <c r="E383" t="s">
        <v>95</v>
      </c>
      <c r="F383">
        <v>130</v>
      </c>
      <c r="H383">
        <v>64</v>
      </c>
      <c r="I383">
        <v>0.6</v>
      </c>
      <c r="J383">
        <v>38.4</v>
      </c>
      <c r="K383">
        <v>24.52</v>
      </c>
      <c r="L383">
        <v>25.22</v>
      </c>
      <c r="M383" t="s">
        <v>164</v>
      </c>
      <c r="N383" t="s">
        <v>162</v>
      </c>
    </row>
    <row r="384" spans="1:14" x14ac:dyDescent="0.3">
      <c r="A384" t="s">
        <v>164</v>
      </c>
      <c r="B384">
        <f>VLOOKUP(M384,Sheet9!$I$1:$J$17,2,FALSE)</f>
        <v>14</v>
      </c>
      <c r="C384">
        <f>VLOOKUP(N384,Sheet9!$M$1:$N$2,2,FALSE)</f>
        <v>1</v>
      </c>
      <c r="D384">
        <v>16</v>
      </c>
      <c r="E384" t="s">
        <v>95</v>
      </c>
      <c r="F384">
        <v>140</v>
      </c>
      <c r="H384">
        <v>1</v>
      </c>
      <c r="I384">
        <v>5</v>
      </c>
      <c r="J384">
        <v>5</v>
      </c>
      <c r="K384">
        <v>28.32</v>
      </c>
      <c r="L384">
        <v>29.08</v>
      </c>
      <c r="M384" t="s">
        <v>164</v>
      </c>
      <c r="N384" t="s">
        <v>162</v>
      </c>
    </row>
    <row r="385" spans="1:14" x14ac:dyDescent="0.3">
      <c r="A385" t="s">
        <v>164</v>
      </c>
      <c r="B385">
        <f>VLOOKUP(M385,Sheet9!$I$1:$J$17,2,FALSE)</f>
        <v>14</v>
      </c>
      <c r="C385">
        <f>VLOOKUP(N385,Sheet9!$M$1:$N$2,2,FALSE)</f>
        <v>1</v>
      </c>
      <c r="D385">
        <v>16</v>
      </c>
      <c r="E385" t="s">
        <v>95</v>
      </c>
      <c r="F385">
        <v>140</v>
      </c>
      <c r="H385">
        <v>1</v>
      </c>
      <c r="I385">
        <v>10</v>
      </c>
      <c r="J385">
        <v>10</v>
      </c>
      <c r="K385">
        <v>27.94</v>
      </c>
      <c r="L385">
        <v>28.6</v>
      </c>
      <c r="M385" t="s">
        <v>164</v>
      </c>
      <c r="N385" t="s">
        <v>162</v>
      </c>
    </row>
    <row r="386" spans="1:14" x14ac:dyDescent="0.3">
      <c r="A386" t="s">
        <v>164</v>
      </c>
      <c r="B386">
        <f>VLOOKUP(M386,Sheet9!$I$1:$J$17,2,FALSE)</f>
        <v>14</v>
      </c>
      <c r="C386">
        <f>VLOOKUP(N386,Sheet9!$M$1:$N$2,2,FALSE)</f>
        <v>1</v>
      </c>
      <c r="D386">
        <v>16</v>
      </c>
      <c r="E386" t="s">
        <v>95</v>
      </c>
      <c r="F386">
        <v>140</v>
      </c>
      <c r="H386">
        <v>3</v>
      </c>
      <c r="I386">
        <v>3</v>
      </c>
      <c r="J386">
        <v>9</v>
      </c>
      <c r="K386">
        <v>31.04</v>
      </c>
      <c r="L386">
        <v>31.78</v>
      </c>
      <c r="M386" t="s">
        <v>164</v>
      </c>
      <c r="N386" t="s">
        <v>162</v>
      </c>
    </row>
    <row r="387" spans="1:14" x14ac:dyDescent="0.3">
      <c r="A387" t="s">
        <v>164</v>
      </c>
      <c r="B387">
        <f>VLOOKUP(M387,Sheet9!$I$1:$J$17,2,FALSE)</f>
        <v>14</v>
      </c>
      <c r="C387">
        <f>VLOOKUP(N387,Sheet9!$M$1:$N$2,2,FALSE)</f>
        <v>1</v>
      </c>
      <c r="D387">
        <v>16</v>
      </c>
      <c r="E387" t="s">
        <v>95</v>
      </c>
      <c r="F387">
        <v>140</v>
      </c>
      <c r="H387">
        <v>3</v>
      </c>
      <c r="I387">
        <v>5</v>
      </c>
      <c r="J387">
        <v>15</v>
      </c>
      <c r="K387">
        <v>28.13</v>
      </c>
      <c r="L387">
        <v>28.77</v>
      </c>
      <c r="M387" t="s">
        <v>164</v>
      </c>
      <c r="N387" t="s">
        <v>162</v>
      </c>
    </row>
    <row r="388" spans="1:14" x14ac:dyDescent="0.3">
      <c r="A388" t="s">
        <v>164</v>
      </c>
      <c r="B388">
        <f>VLOOKUP(M388,Sheet9!$I$1:$J$17,2,FALSE)</f>
        <v>14</v>
      </c>
      <c r="C388">
        <f>VLOOKUP(N388,Sheet9!$M$1:$N$2,2,FALSE)</f>
        <v>1</v>
      </c>
      <c r="D388">
        <v>16</v>
      </c>
      <c r="E388" t="s">
        <v>95</v>
      </c>
      <c r="F388">
        <v>140</v>
      </c>
      <c r="H388">
        <v>32</v>
      </c>
      <c r="I388">
        <v>0.6</v>
      </c>
      <c r="J388">
        <v>19.2</v>
      </c>
      <c r="K388">
        <v>23.89</v>
      </c>
      <c r="L388">
        <v>33.69</v>
      </c>
      <c r="M388" t="s">
        <v>164</v>
      </c>
      <c r="N388" t="s">
        <v>162</v>
      </c>
    </row>
    <row r="389" spans="1:14" x14ac:dyDescent="0.3">
      <c r="A389" t="s">
        <v>164</v>
      </c>
      <c r="B389">
        <f>VLOOKUP(M389,Sheet9!$I$1:$J$17,2,FALSE)</f>
        <v>14</v>
      </c>
      <c r="C389">
        <f>VLOOKUP(N389,Sheet9!$M$1:$N$2,2,FALSE)</f>
        <v>1</v>
      </c>
      <c r="D389">
        <v>16</v>
      </c>
      <c r="E389" t="s">
        <v>95</v>
      </c>
      <c r="F389">
        <v>140</v>
      </c>
      <c r="H389">
        <v>64</v>
      </c>
      <c r="I389">
        <v>0.6</v>
      </c>
      <c r="J389">
        <v>38.4</v>
      </c>
      <c r="K389">
        <v>29</v>
      </c>
      <c r="L389">
        <v>29.75</v>
      </c>
      <c r="M389" t="s">
        <v>164</v>
      </c>
      <c r="N389" t="s">
        <v>162</v>
      </c>
    </row>
    <row r="390" spans="1:14" x14ac:dyDescent="0.3">
      <c r="A390" t="s">
        <v>164</v>
      </c>
      <c r="B390">
        <f>VLOOKUP(M390,Sheet9!$I$1:$J$17,2,FALSE)</f>
        <v>14</v>
      </c>
      <c r="C390">
        <f>VLOOKUP(N390,Sheet9!$M$1:$N$2,2,FALSE)</f>
        <v>1</v>
      </c>
      <c r="D390">
        <v>16</v>
      </c>
      <c r="E390" t="s">
        <v>95</v>
      </c>
      <c r="F390">
        <v>100</v>
      </c>
      <c r="G390" t="s">
        <v>139</v>
      </c>
      <c r="H390">
        <v>1</v>
      </c>
      <c r="I390">
        <v>5</v>
      </c>
      <c r="J390">
        <v>5</v>
      </c>
      <c r="M390" t="s">
        <v>164</v>
      </c>
      <c r="N390" t="s">
        <v>162</v>
      </c>
    </row>
    <row r="391" spans="1:14" x14ac:dyDescent="0.3">
      <c r="A391" t="s">
        <v>164</v>
      </c>
      <c r="B391">
        <f>VLOOKUP(M391,Sheet9!$I$1:$J$17,2,FALSE)</f>
        <v>14</v>
      </c>
      <c r="C391">
        <f>VLOOKUP(N391,Sheet9!$M$1:$N$2,2,FALSE)</f>
        <v>1</v>
      </c>
      <c r="D391">
        <v>16</v>
      </c>
      <c r="E391" t="s">
        <v>95</v>
      </c>
      <c r="F391">
        <v>100</v>
      </c>
      <c r="G391" t="s">
        <v>139</v>
      </c>
      <c r="H391">
        <v>1</v>
      </c>
      <c r="I391">
        <v>10</v>
      </c>
      <c r="J391">
        <v>10</v>
      </c>
      <c r="M391" t="s">
        <v>164</v>
      </c>
      <c r="N391" t="s">
        <v>162</v>
      </c>
    </row>
    <row r="392" spans="1:14" x14ac:dyDescent="0.3">
      <c r="A392" t="s">
        <v>164</v>
      </c>
      <c r="B392">
        <f>VLOOKUP(M392,Sheet9!$I$1:$J$17,2,FALSE)</f>
        <v>14</v>
      </c>
      <c r="C392">
        <f>VLOOKUP(N392,Sheet9!$M$1:$N$2,2,FALSE)</f>
        <v>1</v>
      </c>
      <c r="D392">
        <v>16</v>
      </c>
      <c r="E392" t="s">
        <v>95</v>
      </c>
      <c r="F392">
        <v>100</v>
      </c>
      <c r="G392" t="s">
        <v>139</v>
      </c>
      <c r="H392">
        <v>3</v>
      </c>
      <c r="I392">
        <v>3</v>
      </c>
      <c r="J392">
        <v>9</v>
      </c>
      <c r="K392">
        <v>2.11</v>
      </c>
      <c r="L392">
        <v>2.13</v>
      </c>
      <c r="M392" t="s">
        <v>164</v>
      </c>
      <c r="N392" t="s">
        <v>162</v>
      </c>
    </row>
    <row r="393" spans="1:14" x14ac:dyDescent="0.3">
      <c r="A393" t="s">
        <v>164</v>
      </c>
      <c r="B393">
        <f>VLOOKUP(M393,Sheet9!$I$1:$J$17,2,FALSE)</f>
        <v>14</v>
      </c>
      <c r="C393">
        <f>VLOOKUP(N393,Sheet9!$M$1:$N$2,2,FALSE)</f>
        <v>1</v>
      </c>
      <c r="D393">
        <v>16</v>
      </c>
      <c r="E393" t="s">
        <v>95</v>
      </c>
      <c r="F393">
        <v>100</v>
      </c>
      <c r="G393" t="s">
        <v>139</v>
      </c>
      <c r="H393">
        <v>3</v>
      </c>
      <c r="I393">
        <v>5</v>
      </c>
      <c r="J393">
        <v>15</v>
      </c>
      <c r="K393">
        <v>1.92</v>
      </c>
      <c r="L393">
        <v>1.93</v>
      </c>
      <c r="M393" t="s">
        <v>164</v>
      </c>
      <c r="N393" t="s">
        <v>162</v>
      </c>
    </row>
    <row r="394" spans="1:14" x14ac:dyDescent="0.3">
      <c r="A394" t="s">
        <v>164</v>
      </c>
      <c r="B394">
        <f>VLOOKUP(M394,Sheet9!$I$1:$J$17,2,FALSE)</f>
        <v>14</v>
      </c>
      <c r="C394">
        <f>VLOOKUP(N394,Sheet9!$M$1:$N$2,2,FALSE)</f>
        <v>1</v>
      </c>
      <c r="D394">
        <v>16</v>
      </c>
      <c r="E394" t="s">
        <v>95</v>
      </c>
      <c r="F394">
        <v>100</v>
      </c>
      <c r="G394" t="s">
        <v>139</v>
      </c>
      <c r="H394">
        <v>32</v>
      </c>
      <c r="I394">
        <v>0.6</v>
      </c>
      <c r="J394">
        <v>19.2</v>
      </c>
      <c r="M394" t="s">
        <v>164</v>
      </c>
      <c r="N394" t="s">
        <v>162</v>
      </c>
    </row>
    <row r="395" spans="1:14" x14ac:dyDescent="0.3">
      <c r="A395" t="s">
        <v>164</v>
      </c>
      <c r="B395">
        <f>VLOOKUP(M395,Sheet9!$I$1:$J$17,2,FALSE)</f>
        <v>14</v>
      </c>
      <c r="C395">
        <f>VLOOKUP(N395,Sheet9!$M$1:$N$2,2,FALSE)</f>
        <v>1</v>
      </c>
      <c r="D395">
        <v>16</v>
      </c>
      <c r="E395" t="s">
        <v>95</v>
      </c>
      <c r="F395">
        <v>100</v>
      </c>
      <c r="G395" t="s">
        <v>139</v>
      </c>
      <c r="H395">
        <v>64</v>
      </c>
      <c r="I395">
        <v>0.6</v>
      </c>
      <c r="J395">
        <v>38.4</v>
      </c>
      <c r="K395">
        <v>2</v>
      </c>
      <c r="L395">
        <v>2.02</v>
      </c>
      <c r="M395" t="s">
        <v>164</v>
      </c>
      <c r="N395" t="s">
        <v>162</v>
      </c>
    </row>
    <row r="396" spans="1:14" x14ac:dyDescent="0.3">
      <c r="A396" t="s">
        <v>164</v>
      </c>
      <c r="B396">
        <f>VLOOKUP(M396,Sheet9!$I$1:$J$17,2,FALSE)</f>
        <v>14</v>
      </c>
      <c r="C396">
        <f>VLOOKUP(N396,Sheet9!$M$1:$N$2,2,FALSE)</f>
        <v>1</v>
      </c>
      <c r="D396">
        <v>16</v>
      </c>
      <c r="E396" t="s">
        <v>95</v>
      </c>
      <c r="F396">
        <v>110</v>
      </c>
      <c r="G396" t="s">
        <v>139</v>
      </c>
      <c r="H396">
        <v>1</v>
      </c>
      <c r="I396">
        <v>5</v>
      </c>
      <c r="J396">
        <v>5</v>
      </c>
      <c r="M396" t="s">
        <v>164</v>
      </c>
      <c r="N396" t="s">
        <v>162</v>
      </c>
    </row>
    <row r="397" spans="1:14" x14ac:dyDescent="0.3">
      <c r="A397" t="s">
        <v>164</v>
      </c>
      <c r="B397">
        <f>VLOOKUP(M397,Sheet9!$I$1:$J$17,2,FALSE)</f>
        <v>14</v>
      </c>
      <c r="C397">
        <f>VLOOKUP(N397,Sheet9!$M$1:$N$2,2,FALSE)</f>
        <v>1</v>
      </c>
      <c r="D397">
        <v>16</v>
      </c>
      <c r="E397" t="s">
        <v>95</v>
      </c>
      <c r="F397">
        <v>110</v>
      </c>
      <c r="G397" t="s">
        <v>139</v>
      </c>
      <c r="H397">
        <v>1</v>
      </c>
      <c r="I397">
        <v>10</v>
      </c>
      <c r="J397">
        <v>10</v>
      </c>
      <c r="M397" t="s">
        <v>164</v>
      </c>
      <c r="N397" t="s">
        <v>162</v>
      </c>
    </row>
    <row r="398" spans="1:14" x14ac:dyDescent="0.3">
      <c r="A398" t="s">
        <v>164</v>
      </c>
      <c r="B398">
        <f>VLOOKUP(M398,Sheet9!$I$1:$J$17,2,FALSE)</f>
        <v>14</v>
      </c>
      <c r="C398">
        <f>VLOOKUP(N398,Sheet9!$M$1:$N$2,2,FALSE)</f>
        <v>1</v>
      </c>
      <c r="D398">
        <v>16</v>
      </c>
      <c r="E398" t="s">
        <v>95</v>
      </c>
      <c r="F398">
        <v>110</v>
      </c>
      <c r="G398" t="s">
        <v>139</v>
      </c>
      <c r="H398">
        <v>3</v>
      </c>
      <c r="I398">
        <v>3</v>
      </c>
      <c r="J398">
        <v>9</v>
      </c>
      <c r="K398">
        <v>3.26</v>
      </c>
      <c r="L398">
        <v>3.3</v>
      </c>
      <c r="M398" t="s">
        <v>164</v>
      </c>
      <c r="N398" t="s">
        <v>162</v>
      </c>
    </row>
    <row r="399" spans="1:14" x14ac:dyDescent="0.3">
      <c r="A399" t="s">
        <v>164</v>
      </c>
      <c r="B399">
        <f>VLOOKUP(M399,Sheet9!$I$1:$J$17,2,FALSE)</f>
        <v>14</v>
      </c>
      <c r="C399">
        <f>VLOOKUP(N399,Sheet9!$M$1:$N$2,2,FALSE)</f>
        <v>1</v>
      </c>
      <c r="D399">
        <v>16</v>
      </c>
      <c r="E399" t="s">
        <v>95</v>
      </c>
      <c r="F399">
        <v>110</v>
      </c>
      <c r="G399" t="s">
        <v>139</v>
      </c>
      <c r="H399">
        <v>3</v>
      </c>
      <c r="I399">
        <v>5</v>
      </c>
      <c r="J399">
        <v>15</v>
      </c>
      <c r="K399">
        <v>2.97</v>
      </c>
      <c r="L399">
        <v>3</v>
      </c>
      <c r="M399" t="s">
        <v>164</v>
      </c>
      <c r="N399" t="s">
        <v>162</v>
      </c>
    </row>
    <row r="400" spans="1:14" x14ac:dyDescent="0.3">
      <c r="A400" t="s">
        <v>164</v>
      </c>
      <c r="B400">
        <f>VLOOKUP(M400,Sheet9!$I$1:$J$17,2,FALSE)</f>
        <v>14</v>
      </c>
      <c r="C400">
        <f>VLOOKUP(N400,Sheet9!$M$1:$N$2,2,FALSE)</f>
        <v>1</v>
      </c>
      <c r="D400">
        <v>16</v>
      </c>
      <c r="E400" t="s">
        <v>95</v>
      </c>
      <c r="F400">
        <v>110</v>
      </c>
      <c r="G400" t="s">
        <v>139</v>
      </c>
      <c r="H400">
        <v>32</v>
      </c>
      <c r="I400">
        <v>0.6</v>
      </c>
      <c r="J400">
        <v>19.2</v>
      </c>
      <c r="M400" t="s">
        <v>164</v>
      </c>
      <c r="N400" t="s">
        <v>162</v>
      </c>
    </row>
    <row r="401" spans="1:14" x14ac:dyDescent="0.3">
      <c r="A401" t="s">
        <v>164</v>
      </c>
      <c r="B401">
        <f>VLOOKUP(M401,Sheet9!$I$1:$J$17,2,FALSE)</f>
        <v>14</v>
      </c>
      <c r="C401">
        <f>VLOOKUP(N401,Sheet9!$M$1:$N$2,2,FALSE)</f>
        <v>1</v>
      </c>
      <c r="D401">
        <v>16</v>
      </c>
      <c r="E401" t="s">
        <v>95</v>
      </c>
      <c r="F401">
        <v>110</v>
      </c>
      <c r="G401" t="s">
        <v>139</v>
      </c>
      <c r="H401">
        <v>64</v>
      </c>
      <c r="I401">
        <v>0.6</v>
      </c>
      <c r="J401">
        <v>38.4</v>
      </c>
      <c r="K401">
        <v>3.1</v>
      </c>
      <c r="L401">
        <v>3.14</v>
      </c>
      <c r="M401" t="s">
        <v>164</v>
      </c>
      <c r="N401" t="s">
        <v>162</v>
      </c>
    </row>
    <row r="402" spans="1:14" x14ac:dyDescent="0.3">
      <c r="A402" t="s">
        <v>164</v>
      </c>
      <c r="B402">
        <f>VLOOKUP(M402,Sheet9!$I$1:$J$17,2,FALSE)</f>
        <v>14</v>
      </c>
      <c r="C402">
        <f>VLOOKUP(N402,Sheet9!$M$1:$N$2,2,FALSE)</f>
        <v>1</v>
      </c>
      <c r="D402">
        <v>16</v>
      </c>
      <c r="E402" t="s">
        <v>95</v>
      </c>
      <c r="F402">
        <v>120</v>
      </c>
      <c r="G402" t="s">
        <v>139</v>
      </c>
      <c r="H402">
        <v>1</v>
      </c>
      <c r="I402">
        <v>5</v>
      </c>
      <c r="J402">
        <v>5</v>
      </c>
      <c r="M402" t="s">
        <v>164</v>
      </c>
      <c r="N402" t="s">
        <v>162</v>
      </c>
    </row>
    <row r="403" spans="1:14" x14ac:dyDescent="0.3">
      <c r="A403" t="s">
        <v>164</v>
      </c>
      <c r="B403">
        <f>VLOOKUP(M403,Sheet9!$I$1:$J$17,2,FALSE)</f>
        <v>14</v>
      </c>
      <c r="C403">
        <f>VLOOKUP(N403,Sheet9!$M$1:$N$2,2,FALSE)</f>
        <v>1</v>
      </c>
      <c r="D403">
        <v>16</v>
      </c>
      <c r="E403" t="s">
        <v>95</v>
      </c>
      <c r="F403">
        <v>120</v>
      </c>
      <c r="G403" t="s">
        <v>139</v>
      </c>
      <c r="H403">
        <v>1</v>
      </c>
      <c r="I403">
        <v>10</v>
      </c>
      <c r="J403">
        <v>10</v>
      </c>
      <c r="M403" t="s">
        <v>164</v>
      </c>
      <c r="N403" t="s">
        <v>162</v>
      </c>
    </row>
    <row r="404" spans="1:14" x14ac:dyDescent="0.3">
      <c r="A404" t="s">
        <v>164</v>
      </c>
      <c r="B404">
        <f>VLOOKUP(M404,Sheet9!$I$1:$J$17,2,FALSE)</f>
        <v>14</v>
      </c>
      <c r="C404">
        <f>VLOOKUP(N404,Sheet9!$M$1:$N$2,2,FALSE)</f>
        <v>1</v>
      </c>
      <c r="D404">
        <v>16</v>
      </c>
      <c r="E404" t="s">
        <v>95</v>
      </c>
      <c r="F404">
        <v>120</v>
      </c>
      <c r="G404" t="s">
        <v>139</v>
      </c>
      <c r="H404">
        <v>3</v>
      </c>
      <c r="I404">
        <v>3</v>
      </c>
      <c r="J404">
        <v>9</v>
      </c>
      <c r="K404">
        <v>4.72</v>
      </c>
      <c r="L404">
        <v>4.7699999999999996</v>
      </c>
      <c r="M404" t="s">
        <v>164</v>
      </c>
      <c r="N404" t="s">
        <v>162</v>
      </c>
    </row>
    <row r="405" spans="1:14" x14ac:dyDescent="0.3">
      <c r="A405" t="s">
        <v>164</v>
      </c>
      <c r="B405">
        <f>VLOOKUP(M405,Sheet9!$I$1:$J$17,2,FALSE)</f>
        <v>14</v>
      </c>
      <c r="C405">
        <f>VLOOKUP(N405,Sheet9!$M$1:$N$2,2,FALSE)</f>
        <v>1</v>
      </c>
      <c r="D405">
        <v>16</v>
      </c>
      <c r="E405" t="s">
        <v>95</v>
      </c>
      <c r="F405">
        <v>120</v>
      </c>
      <c r="G405" t="s">
        <v>139</v>
      </c>
      <c r="H405">
        <v>3</v>
      </c>
      <c r="I405">
        <v>5</v>
      </c>
      <c r="J405">
        <v>15</v>
      </c>
      <c r="K405">
        <v>4.29</v>
      </c>
      <c r="L405">
        <v>4.33</v>
      </c>
      <c r="M405" t="s">
        <v>164</v>
      </c>
      <c r="N405" t="s">
        <v>162</v>
      </c>
    </row>
    <row r="406" spans="1:14" x14ac:dyDescent="0.3">
      <c r="A406" t="s">
        <v>164</v>
      </c>
      <c r="B406">
        <f>VLOOKUP(M406,Sheet9!$I$1:$J$17,2,FALSE)</f>
        <v>14</v>
      </c>
      <c r="C406">
        <f>VLOOKUP(N406,Sheet9!$M$1:$N$2,2,FALSE)</f>
        <v>1</v>
      </c>
      <c r="D406">
        <v>16</v>
      </c>
      <c r="E406" t="s">
        <v>95</v>
      </c>
      <c r="F406">
        <v>120</v>
      </c>
      <c r="G406" t="s">
        <v>139</v>
      </c>
      <c r="H406">
        <v>32</v>
      </c>
      <c r="I406">
        <v>0.6</v>
      </c>
      <c r="J406">
        <v>19.2</v>
      </c>
      <c r="M406" t="s">
        <v>164</v>
      </c>
      <c r="N406" t="s">
        <v>162</v>
      </c>
    </row>
    <row r="407" spans="1:14" x14ac:dyDescent="0.3">
      <c r="A407" t="s">
        <v>164</v>
      </c>
      <c r="B407">
        <f>VLOOKUP(M407,Sheet9!$I$1:$J$17,2,FALSE)</f>
        <v>14</v>
      </c>
      <c r="C407">
        <f>VLOOKUP(N407,Sheet9!$M$1:$N$2,2,FALSE)</f>
        <v>1</v>
      </c>
      <c r="D407">
        <v>16</v>
      </c>
      <c r="E407" t="s">
        <v>95</v>
      </c>
      <c r="F407">
        <v>120</v>
      </c>
      <c r="G407" t="s">
        <v>139</v>
      </c>
      <c r="H407">
        <v>64</v>
      </c>
      <c r="I407">
        <v>0.6</v>
      </c>
      <c r="J407">
        <v>38.4</v>
      </c>
      <c r="K407">
        <v>4.47</v>
      </c>
      <c r="L407">
        <v>4.53</v>
      </c>
      <c r="M407" t="s">
        <v>164</v>
      </c>
      <c r="N407" t="s">
        <v>162</v>
      </c>
    </row>
    <row r="408" spans="1:14" x14ac:dyDescent="0.3">
      <c r="A408" t="s">
        <v>164</v>
      </c>
      <c r="B408">
        <f>VLOOKUP(M408,Sheet9!$I$1:$J$17,2,FALSE)</f>
        <v>14</v>
      </c>
      <c r="C408">
        <f>VLOOKUP(N408,Sheet9!$M$1:$N$2,2,FALSE)</f>
        <v>1</v>
      </c>
      <c r="D408">
        <v>16</v>
      </c>
      <c r="E408" t="s">
        <v>95</v>
      </c>
      <c r="F408">
        <v>130</v>
      </c>
      <c r="G408" t="s">
        <v>139</v>
      </c>
      <c r="H408">
        <v>1</v>
      </c>
      <c r="I408">
        <v>5</v>
      </c>
      <c r="J408">
        <v>5</v>
      </c>
      <c r="M408" t="s">
        <v>164</v>
      </c>
      <c r="N408" t="s">
        <v>162</v>
      </c>
    </row>
    <row r="409" spans="1:14" x14ac:dyDescent="0.3">
      <c r="A409" t="s">
        <v>164</v>
      </c>
      <c r="B409">
        <f>VLOOKUP(M409,Sheet9!$I$1:$J$17,2,FALSE)</f>
        <v>14</v>
      </c>
      <c r="C409">
        <f>VLOOKUP(N409,Sheet9!$M$1:$N$2,2,FALSE)</f>
        <v>1</v>
      </c>
      <c r="D409">
        <v>16</v>
      </c>
      <c r="E409" t="s">
        <v>95</v>
      </c>
      <c r="F409">
        <v>130</v>
      </c>
      <c r="G409" t="s">
        <v>139</v>
      </c>
      <c r="H409">
        <v>1</v>
      </c>
      <c r="I409">
        <v>10</v>
      </c>
      <c r="J409">
        <v>10</v>
      </c>
      <c r="M409" t="s">
        <v>164</v>
      </c>
      <c r="N409" t="s">
        <v>162</v>
      </c>
    </row>
    <row r="410" spans="1:14" x14ac:dyDescent="0.3">
      <c r="A410" t="s">
        <v>164</v>
      </c>
      <c r="B410">
        <f>VLOOKUP(M410,Sheet9!$I$1:$J$17,2,FALSE)</f>
        <v>14</v>
      </c>
      <c r="C410">
        <f>VLOOKUP(N410,Sheet9!$M$1:$N$2,2,FALSE)</f>
        <v>1</v>
      </c>
      <c r="D410">
        <v>16</v>
      </c>
      <c r="E410" t="s">
        <v>95</v>
      </c>
      <c r="F410">
        <v>130</v>
      </c>
      <c r="G410" t="s">
        <v>139</v>
      </c>
      <c r="H410">
        <v>3</v>
      </c>
      <c r="I410">
        <v>3</v>
      </c>
      <c r="J410">
        <v>9</v>
      </c>
      <c r="K410">
        <v>6.47</v>
      </c>
      <c r="L410">
        <v>6.55</v>
      </c>
      <c r="M410" t="s">
        <v>164</v>
      </c>
      <c r="N410" t="s">
        <v>162</v>
      </c>
    </row>
    <row r="411" spans="1:14" x14ac:dyDescent="0.3">
      <c r="A411" t="s">
        <v>164</v>
      </c>
      <c r="B411">
        <f>VLOOKUP(M411,Sheet9!$I$1:$J$17,2,FALSE)</f>
        <v>14</v>
      </c>
      <c r="C411">
        <f>VLOOKUP(N411,Sheet9!$M$1:$N$2,2,FALSE)</f>
        <v>1</v>
      </c>
      <c r="D411">
        <v>16</v>
      </c>
      <c r="E411" t="s">
        <v>95</v>
      </c>
      <c r="F411">
        <v>130</v>
      </c>
      <c r="G411" t="s">
        <v>139</v>
      </c>
      <c r="H411">
        <v>3</v>
      </c>
      <c r="I411">
        <v>5</v>
      </c>
      <c r="J411">
        <v>15</v>
      </c>
      <c r="K411">
        <v>5.87</v>
      </c>
      <c r="L411">
        <v>5.95</v>
      </c>
      <c r="M411" t="s">
        <v>164</v>
      </c>
      <c r="N411" t="s">
        <v>162</v>
      </c>
    </row>
    <row r="412" spans="1:14" x14ac:dyDescent="0.3">
      <c r="A412" t="s">
        <v>164</v>
      </c>
      <c r="B412">
        <f>VLOOKUP(M412,Sheet9!$I$1:$J$17,2,FALSE)</f>
        <v>14</v>
      </c>
      <c r="C412">
        <f>VLOOKUP(N412,Sheet9!$M$1:$N$2,2,FALSE)</f>
        <v>1</v>
      </c>
      <c r="D412">
        <v>16</v>
      </c>
      <c r="E412" t="s">
        <v>95</v>
      </c>
      <c r="F412">
        <v>130</v>
      </c>
      <c r="G412" t="s">
        <v>139</v>
      </c>
      <c r="H412">
        <v>32</v>
      </c>
      <c r="I412">
        <v>0.6</v>
      </c>
      <c r="J412">
        <v>19.2</v>
      </c>
      <c r="M412" t="s">
        <v>164</v>
      </c>
      <c r="N412" t="s">
        <v>162</v>
      </c>
    </row>
    <row r="413" spans="1:14" x14ac:dyDescent="0.3">
      <c r="A413" t="s">
        <v>164</v>
      </c>
      <c r="B413">
        <f>VLOOKUP(M413,Sheet9!$I$1:$J$17,2,FALSE)</f>
        <v>14</v>
      </c>
      <c r="C413">
        <f>VLOOKUP(N413,Sheet9!$M$1:$N$2,2,FALSE)</f>
        <v>1</v>
      </c>
      <c r="D413">
        <v>16</v>
      </c>
      <c r="E413" t="s">
        <v>95</v>
      </c>
      <c r="F413">
        <v>130</v>
      </c>
      <c r="G413" t="s">
        <v>139</v>
      </c>
      <c r="H413">
        <v>64</v>
      </c>
      <c r="I413">
        <v>0.6</v>
      </c>
      <c r="J413">
        <v>38.4</v>
      </c>
      <c r="K413">
        <v>6.11</v>
      </c>
      <c r="L413">
        <v>6.21</v>
      </c>
      <c r="M413" t="s">
        <v>164</v>
      </c>
      <c r="N413" t="s">
        <v>162</v>
      </c>
    </row>
    <row r="414" spans="1:14" x14ac:dyDescent="0.3">
      <c r="A414" t="s">
        <v>164</v>
      </c>
      <c r="B414">
        <f>VLOOKUP(M414,Sheet9!$I$1:$J$17,2,FALSE)</f>
        <v>14</v>
      </c>
      <c r="C414">
        <f>VLOOKUP(N414,Sheet9!$M$1:$N$2,2,FALSE)</f>
        <v>1</v>
      </c>
      <c r="D414">
        <v>16</v>
      </c>
      <c r="E414" t="s">
        <v>95</v>
      </c>
      <c r="F414">
        <v>140</v>
      </c>
      <c r="G414" t="s">
        <v>139</v>
      </c>
      <c r="H414">
        <v>1</v>
      </c>
      <c r="I414">
        <v>5</v>
      </c>
      <c r="J414">
        <v>5</v>
      </c>
      <c r="M414" t="s">
        <v>164</v>
      </c>
      <c r="N414" t="s">
        <v>162</v>
      </c>
    </row>
    <row r="415" spans="1:14" x14ac:dyDescent="0.3">
      <c r="A415" t="s">
        <v>164</v>
      </c>
      <c r="B415">
        <f>VLOOKUP(M415,Sheet9!$I$1:$J$17,2,FALSE)</f>
        <v>14</v>
      </c>
      <c r="C415">
        <f>VLOOKUP(N415,Sheet9!$M$1:$N$2,2,FALSE)</f>
        <v>1</v>
      </c>
      <c r="D415">
        <v>16</v>
      </c>
      <c r="E415" t="s">
        <v>95</v>
      </c>
      <c r="F415">
        <v>140</v>
      </c>
      <c r="G415" t="s">
        <v>139</v>
      </c>
      <c r="H415">
        <v>1</v>
      </c>
      <c r="I415">
        <v>10</v>
      </c>
      <c r="J415">
        <v>10</v>
      </c>
      <c r="M415" t="s">
        <v>164</v>
      </c>
      <c r="N415" t="s">
        <v>162</v>
      </c>
    </row>
    <row r="416" spans="1:14" x14ac:dyDescent="0.3">
      <c r="A416" t="s">
        <v>164</v>
      </c>
      <c r="B416">
        <f>VLOOKUP(M416,Sheet9!$I$1:$J$17,2,FALSE)</f>
        <v>14</v>
      </c>
      <c r="C416">
        <f>VLOOKUP(N416,Sheet9!$M$1:$N$2,2,FALSE)</f>
        <v>1</v>
      </c>
      <c r="D416">
        <v>16</v>
      </c>
      <c r="E416" t="s">
        <v>95</v>
      </c>
      <c r="F416">
        <v>140</v>
      </c>
      <c r="G416" t="s">
        <v>139</v>
      </c>
      <c r="H416">
        <v>3</v>
      </c>
      <c r="I416">
        <v>3</v>
      </c>
      <c r="J416">
        <v>9</v>
      </c>
      <c r="K416">
        <v>8.5</v>
      </c>
      <c r="L416">
        <v>8.6300000000000008</v>
      </c>
      <c r="M416" t="s">
        <v>164</v>
      </c>
      <c r="N416" t="s">
        <v>162</v>
      </c>
    </row>
    <row r="417" spans="1:14" x14ac:dyDescent="0.3">
      <c r="A417" t="s">
        <v>164</v>
      </c>
      <c r="B417">
        <f>VLOOKUP(M417,Sheet9!$I$1:$J$17,2,FALSE)</f>
        <v>14</v>
      </c>
      <c r="C417">
        <f>VLOOKUP(N417,Sheet9!$M$1:$N$2,2,FALSE)</f>
        <v>1</v>
      </c>
      <c r="D417">
        <v>16</v>
      </c>
      <c r="E417" t="s">
        <v>95</v>
      </c>
      <c r="F417">
        <v>140</v>
      </c>
      <c r="G417" t="s">
        <v>139</v>
      </c>
      <c r="H417">
        <v>3</v>
      </c>
      <c r="I417">
        <v>5</v>
      </c>
      <c r="J417">
        <v>15</v>
      </c>
      <c r="K417">
        <v>7.73</v>
      </c>
      <c r="L417">
        <v>7.83</v>
      </c>
      <c r="M417" t="s">
        <v>164</v>
      </c>
      <c r="N417" t="s">
        <v>162</v>
      </c>
    </row>
    <row r="418" spans="1:14" x14ac:dyDescent="0.3">
      <c r="A418" t="s">
        <v>164</v>
      </c>
      <c r="B418">
        <f>VLOOKUP(M418,Sheet9!$I$1:$J$17,2,FALSE)</f>
        <v>14</v>
      </c>
      <c r="C418">
        <f>VLOOKUP(N418,Sheet9!$M$1:$N$2,2,FALSE)</f>
        <v>1</v>
      </c>
      <c r="D418">
        <v>16</v>
      </c>
      <c r="E418" t="s">
        <v>95</v>
      </c>
      <c r="F418">
        <v>140</v>
      </c>
      <c r="G418" t="s">
        <v>139</v>
      </c>
      <c r="H418">
        <v>32</v>
      </c>
      <c r="I418">
        <v>0.6</v>
      </c>
      <c r="J418">
        <v>19.2</v>
      </c>
      <c r="M418" t="s">
        <v>164</v>
      </c>
      <c r="N418" t="s">
        <v>162</v>
      </c>
    </row>
    <row r="419" spans="1:14" x14ac:dyDescent="0.3">
      <c r="A419" t="s">
        <v>164</v>
      </c>
      <c r="B419">
        <f>VLOOKUP(M419,Sheet9!$I$1:$J$17,2,FALSE)</f>
        <v>14</v>
      </c>
      <c r="C419">
        <f>VLOOKUP(N419,Sheet9!$M$1:$N$2,2,FALSE)</f>
        <v>1</v>
      </c>
      <c r="D419">
        <v>16</v>
      </c>
      <c r="E419" t="s">
        <v>95</v>
      </c>
      <c r="F419">
        <v>140</v>
      </c>
      <c r="G419" t="s">
        <v>139</v>
      </c>
      <c r="H419">
        <v>64</v>
      </c>
      <c r="I419">
        <v>0.6</v>
      </c>
      <c r="J419">
        <v>38.4</v>
      </c>
      <c r="K419">
        <v>8.0399999999999991</v>
      </c>
      <c r="L419">
        <v>8.19</v>
      </c>
      <c r="M419" t="s">
        <v>164</v>
      </c>
      <c r="N419" t="s">
        <v>162</v>
      </c>
    </row>
    <row r="420" spans="1:14" x14ac:dyDescent="0.3">
      <c r="A420" t="s">
        <v>164</v>
      </c>
      <c r="B420">
        <f>VLOOKUP(M420,Sheet9!$I$1:$J$17,2,FALSE)</f>
        <v>14</v>
      </c>
      <c r="C420">
        <f>VLOOKUP(N420,Sheet9!$M$1:$N$2,2,FALSE)</f>
        <v>1</v>
      </c>
      <c r="D420">
        <v>16</v>
      </c>
      <c r="E420" t="s">
        <v>96</v>
      </c>
      <c r="F420">
        <v>70</v>
      </c>
      <c r="H420">
        <v>1</v>
      </c>
      <c r="I420">
        <v>5</v>
      </c>
      <c r="J420">
        <v>5</v>
      </c>
      <c r="K420">
        <v>3.64</v>
      </c>
      <c r="L420">
        <v>3.68</v>
      </c>
      <c r="M420" t="s">
        <v>164</v>
      </c>
      <c r="N420" t="s">
        <v>162</v>
      </c>
    </row>
    <row r="421" spans="1:14" x14ac:dyDescent="0.3">
      <c r="A421" t="s">
        <v>164</v>
      </c>
      <c r="B421">
        <f>VLOOKUP(M421,Sheet9!$I$1:$J$17,2,FALSE)</f>
        <v>14</v>
      </c>
      <c r="C421">
        <f>VLOOKUP(N421,Sheet9!$M$1:$N$2,2,FALSE)</f>
        <v>1</v>
      </c>
      <c r="D421">
        <v>16</v>
      </c>
      <c r="E421" t="s">
        <v>96</v>
      </c>
      <c r="F421">
        <v>70</v>
      </c>
      <c r="H421">
        <v>1</v>
      </c>
      <c r="I421">
        <v>10</v>
      </c>
      <c r="J421">
        <v>10</v>
      </c>
      <c r="K421">
        <v>3.61</v>
      </c>
      <c r="L421">
        <v>3.63</v>
      </c>
      <c r="M421" t="s">
        <v>164</v>
      </c>
      <c r="N421" t="s">
        <v>162</v>
      </c>
    </row>
    <row r="422" spans="1:14" x14ac:dyDescent="0.3">
      <c r="A422" t="s">
        <v>164</v>
      </c>
      <c r="B422">
        <f>VLOOKUP(M422,Sheet9!$I$1:$J$17,2,FALSE)</f>
        <v>14</v>
      </c>
      <c r="C422">
        <f>VLOOKUP(N422,Sheet9!$M$1:$N$2,2,FALSE)</f>
        <v>1</v>
      </c>
      <c r="D422">
        <v>16</v>
      </c>
      <c r="E422" t="s">
        <v>96</v>
      </c>
      <c r="F422">
        <v>70</v>
      </c>
      <c r="H422">
        <v>3</v>
      </c>
      <c r="I422">
        <v>3</v>
      </c>
      <c r="J422">
        <v>9</v>
      </c>
      <c r="K422">
        <v>4.01</v>
      </c>
      <c r="L422">
        <v>4.03</v>
      </c>
      <c r="M422" t="s">
        <v>164</v>
      </c>
      <c r="N422" t="s">
        <v>162</v>
      </c>
    </row>
    <row r="423" spans="1:14" x14ac:dyDescent="0.3">
      <c r="A423" t="s">
        <v>164</v>
      </c>
      <c r="B423">
        <f>VLOOKUP(M423,Sheet9!$I$1:$J$17,2,FALSE)</f>
        <v>14</v>
      </c>
      <c r="C423">
        <f>VLOOKUP(N423,Sheet9!$M$1:$N$2,2,FALSE)</f>
        <v>1</v>
      </c>
      <c r="D423">
        <v>16</v>
      </c>
      <c r="E423" t="s">
        <v>96</v>
      </c>
      <c r="F423">
        <v>70</v>
      </c>
      <c r="H423">
        <v>3</v>
      </c>
      <c r="I423">
        <v>5</v>
      </c>
      <c r="J423">
        <v>15</v>
      </c>
      <c r="K423">
        <v>3.63</v>
      </c>
      <c r="L423">
        <v>3.65</v>
      </c>
      <c r="M423" t="s">
        <v>164</v>
      </c>
      <c r="N423" t="s">
        <v>162</v>
      </c>
    </row>
    <row r="424" spans="1:14" x14ac:dyDescent="0.3">
      <c r="A424" t="s">
        <v>164</v>
      </c>
      <c r="B424">
        <f>VLOOKUP(M424,Sheet9!$I$1:$J$17,2,FALSE)</f>
        <v>14</v>
      </c>
      <c r="C424">
        <f>VLOOKUP(N424,Sheet9!$M$1:$N$2,2,FALSE)</f>
        <v>1</v>
      </c>
      <c r="D424">
        <v>16</v>
      </c>
      <c r="E424" t="s">
        <v>96</v>
      </c>
      <c r="F424">
        <v>70</v>
      </c>
      <c r="H424">
        <v>32</v>
      </c>
      <c r="I424">
        <v>0.6</v>
      </c>
      <c r="J424">
        <v>19.2</v>
      </c>
      <c r="K424">
        <v>4.24</v>
      </c>
      <c r="L424">
        <v>4.2699999999999996</v>
      </c>
      <c r="M424" t="s">
        <v>164</v>
      </c>
      <c r="N424" t="s">
        <v>162</v>
      </c>
    </row>
    <row r="425" spans="1:14" x14ac:dyDescent="0.3">
      <c r="A425" t="s">
        <v>164</v>
      </c>
      <c r="B425">
        <f>VLOOKUP(M425,Sheet9!$I$1:$J$17,2,FALSE)</f>
        <v>14</v>
      </c>
      <c r="C425">
        <f>VLOOKUP(N425,Sheet9!$M$1:$N$2,2,FALSE)</f>
        <v>1</v>
      </c>
      <c r="D425">
        <v>16</v>
      </c>
      <c r="E425" t="s">
        <v>96</v>
      </c>
      <c r="F425">
        <v>70</v>
      </c>
      <c r="H425">
        <v>64</v>
      </c>
      <c r="I425">
        <v>0.6</v>
      </c>
      <c r="J425">
        <v>38.4</v>
      </c>
      <c r="K425">
        <v>3.74</v>
      </c>
      <c r="L425">
        <v>3.77</v>
      </c>
      <c r="M425" t="s">
        <v>164</v>
      </c>
      <c r="N425" t="s">
        <v>162</v>
      </c>
    </row>
    <row r="426" spans="1:14" x14ac:dyDescent="0.3">
      <c r="A426" t="s">
        <v>164</v>
      </c>
      <c r="B426">
        <f>VLOOKUP(M426,Sheet9!$I$1:$J$17,2,FALSE)</f>
        <v>14</v>
      </c>
      <c r="C426">
        <f>VLOOKUP(N426,Sheet9!$M$1:$N$2,2,FALSE)</f>
        <v>1</v>
      </c>
      <c r="D426">
        <v>16</v>
      </c>
      <c r="E426" t="s">
        <v>96</v>
      </c>
      <c r="F426">
        <v>80</v>
      </c>
      <c r="H426">
        <v>1</v>
      </c>
      <c r="I426">
        <v>5</v>
      </c>
      <c r="J426">
        <v>5</v>
      </c>
      <c r="K426">
        <v>5.83</v>
      </c>
      <c r="L426">
        <v>5.8</v>
      </c>
      <c r="M426" t="s">
        <v>164</v>
      </c>
      <c r="N426" t="s">
        <v>162</v>
      </c>
    </row>
    <row r="427" spans="1:14" x14ac:dyDescent="0.3">
      <c r="A427" t="s">
        <v>164</v>
      </c>
      <c r="B427">
        <f>VLOOKUP(M427,Sheet9!$I$1:$J$17,2,FALSE)</f>
        <v>14</v>
      </c>
      <c r="C427">
        <f>VLOOKUP(N427,Sheet9!$M$1:$N$2,2,FALSE)</f>
        <v>1</v>
      </c>
      <c r="D427">
        <v>16</v>
      </c>
      <c r="E427" t="s">
        <v>96</v>
      </c>
      <c r="F427">
        <v>80</v>
      </c>
      <c r="H427">
        <v>1</v>
      </c>
      <c r="I427">
        <v>10</v>
      </c>
      <c r="J427">
        <v>10</v>
      </c>
      <c r="K427">
        <v>5.76</v>
      </c>
      <c r="L427">
        <v>5.72</v>
      </c>
      <c r="M427" t="s">
        <v>164</v>
      </c>
      <c r="N427" t="s">
        <v>162</v>
      </c>
    </row>
    <row r="428" spans="1:14" x14ac:dyDescent="0.3">
      <c r="A428" t="s">
        <v>164</v>
      </c>
      <c r="B428">
        <f>VLOOKUP(M428,Sheet9!$I$1:$J$17,2,FALSE)</f>
        <v>14</v>
      </c>
      <c r="C428">
        <f>VLOOKUP(N428,Sheet9!$M$1:$N$2,2,FALSE)</f>
        <v>1</v>
      </c>
      <c r="D428">
        <v>16</v>
      </c>
      <c r="E428" t="s">
        <v>96</v>
      </c>
      <c r="F428">
        <v>80</v>
      </c>
      <c r="H428">
        <v>3</v>
      </c>
      <c r="I428">
        <v>3</v>
      </c>
      <c r="J428">
        <v>9</v>
      </c>
      <c r="K428">
        <v>6.39</v>
      </c>
      <c r="L428">
        <v>6.36</v>
      </c>
      <c r="M428" t="s">
        <v>164</v>
      </c>
      <c r="N428" t="s">
        <v>162</v>
      </c>
    </row>
    <row r="429" spans="1:14" x14ac:dyDescent="0.3">
      <c r="A429" t="s">
        <v>164</v>
      </c>
      <c r="B429">
        <f>VLOOKUP(M429,Sheet9!$I$1:$J$17,2,FALSE)</f>
        <v>14</v>
      </c>
      <c r="C429">
        <f>VLOOKUP(N429,Sheet9!$M$1:$N$2,2,FALSE)</f>
        <v>1</v>
      </c>
      <c r="D429">
        <v>16</v>
      </c>
      <c r="E429" t="s">
        <v>96</v>
      </c>
      <c r="F429">
        <v>80</v>
      </c>
      <c r="H429">
        <v>3</v>
      </c>
      <c r="I429">
        <v>5</v>
      </c>
      <c r="J429">
        <v>15</v>
      </c>
      <c r="K429">
        <v>5.8</v>
      </c>
      <c r="L429">
        <v>5.76</v>
      </c>
      <c r="M429" t="s">
        <v>164</v>
      </c>
      <c r="N429" t="s">
        <v>162</v>
      </c>
    </row>
    <row r="430" spans="1:14" x14ac:dyDescent="0.3">
      <c r="A430" t="s">
        <v>164</v>
      </c>
      <c r="B430">
        <f>VLOOKUP(M430,Sheet9!$I$1:$J$17,2,FALSE)</f>
        <v>14</v>
      </c>
      <c r="C430">
        <f>VLOOKUP(N430,Sheet9!$M$1:$N$2,2,FALSE)</f>
        <v>1</v>
      </c>
      <c r="D430">
        <v>16</v>
      </c>
      <c r="E430" t="s">
        <v>96</v>
      </c>
      <c r="F430">
        <v>80</v>
      </c>
      <c r="H430">
        <v>32</v>
      </c>
      <c r="I430">
        <v>0.6</v>
      </c>
      <c r="J430">
        <v>19.2</v>
      </c>
      <c r="K430">
        <v>6.79</v>
      </c>
      <c r="L430">
        <v>6.74</v>
      </c>
      <c r="M430" t="s">
        <v>164</v>
      </c>
      <c r="N430" t="s">
        <v>162</v>
      </c>
    </row>
    <row r="431" spans="1:14" x14ac:dyDescent="0.3">
      <c r="A431" t="s">
        <v>164</v>
      </c>
      <c r="B431">
        <f>VLOOKUP(M431,Sheet9!$I$1:$J$17,2,FALSE)</f>
        <v>14</v>
      </c>
      <c r="C431">
        <f>VLOOKUP(N431,Sheet9!$M$1:$N$2,2,FALSE)</f>
        <v>1</v>
      </c>
      <c r="D431">
        <v>16</v>
      </c>
      <c r="E431" t="s">
        <v>96</v>
      </c>
      <c r="F431">
        <v>80</v>
      </c>
      <c r="H431">
        <v>64</v>
      </c>
      <c r="I431">
        <v>0.6</v>
      </c>
      <c r="J431">
        <v>38.4</v>
      </c>
      <c r="K431">
        <v>5.98</v>
      </c>
      <c r="L431">
        <v>5.95</v>
      </c>
      <c r="M431" t="s">
        <v>164</v>
      </c>
      <c r="N431" t="s">
        <v>162</v>
      </c>
    </row>
    <row r="432" spans="1:14" x14ac:dyDescent="0.3">
      <c r="A432" t="s">
        <v>164</v>
      </c>
      <c r="B432">
        <f>VLOOKUP(M432,Sheet9!$I$1:$J$17,2,FALSE)</f>
        <v>14</v>
      </c>
      <c r="C432">
        <f>VLOOKUP(N432,Sheet9!$M$1:$N$2,2,FALSE)</f>
        <v>1</v>
      </c>
      <c r="D432">
        <v>16</v>
      </c>
      <c r="E432" t="s">
        <v>96</v>
      </c>
      <c r="F432">
        <v>90</v>
      </c>
      <c r="H432">
        <v>1</v>
      </c>
      <c r="I432">
        <v>5</v>
      </c>
      <c r="J432">
        <v>5</v>
      </c>
      <c r="K432">
        <v>8.5</v>
      </c>
      <c r="L432">
        <v>8.39</v>
      </c>
      <c r="M432" t="s">
        <v>164</v>
      </c>
      <c r="N432" t="s">
        <v>162</v>
      </c>
    </row>
    <row r="433" spans="1:14" x14ac:dyDescent="0.3">
      <c r="A433" t="s">
        <v>164</v>
      </c>
      <c r="B433">
        <f>VLOOKUP(M433,Sheet9!$I$1:$J$17,2,FALSE)</f>
        <v>14</v>
      </c>
      <c r="C433">
        <f>VLOOKUP(N433,Sheet9!$M$1:$N$2,2,FALSE)</f>
        <v>1</v>
      </c>
      <c r="D433">
        <v>16</v>
      </c>
      <c r="E433" t="s">
        <v>96</v>
      </c>
      <c r="F433">
        <v>90</v>
      </c>
      <c r="H433">
        <v>1</v>
      </c>
      <c r="I433">
        <v>10</v>
      </c>
      <c r="J433">
        <v>10</v>
      </c>
      <c r="K433">
        <v>8.35</v>
      </c>
      <c r="L433">
        <v>8.25</v>
      </c>
      <c r="M433" t="s">
        <v>164</v>
      </c>
      <c r="N433" t="s">
        <v>162</v>
      </c>
    </row>
    <row r="434" spans="1:14" x14ac:dyDescent="0.3">
      <c r="A434" t="s">
        <v>164</v>
      </c>
      <c r="B434">
        <f>VLOOKUP(M434,Sheet9!$I$1:$J$17,2,FALSE)</f>
        <v>14</v>
      </c>
      <c r="C434">
        <f>VLOOKUP(N434,Sheet9!$M$1:$N$2,2,FALSE)</f>
        <v>1</v>
      </c>
      <c r="D434">
        <v>16</v>
      </c>
      <c r="E434" t="s">
        <v>96</v>
      </c>
      <c r="F434">
        <v>90</v>
      </c>
      <c r="H434">
        <v>3</v>
      </c>
      <c r="I434">
        <v>3</v>
      </c>
      <c r="J434">
        <v>9</v>
      </c>
      <c r="K434">
        <v>9.2799999999999994</v>
      </c>
      <c r="L434">
        <v>9.17</v>
      </c>
      <c r="M434" t="s">
        <v>164</v>
      </c>
      <c r="N434" t="s">
        <v>162</v>
      </c>
    </row>
    <row r="435" spans="1:14" x14ac:dyDescent="0.3">
      <c r="A435" t="s">
        <v>164</v>
      </c>
      <c r="B435">
        <f>VLOOKUP(M435,Sheet9!$I$1:$J$17,2,FALSE)</f>
        <v>14</v>
      </c>
      <c r="C435">
        <f>VLOOKUP(N435,Sheet9!$M$1:$N$2,2,FALSE)</f>
        <v>1</v>
      </c>
      <c r="D435">
        <v>16</v>
      </c>
      <c r="E435" t="s">
        <v>96</v>
      </c>
      <c r="F435">
        <v>90</v>
      </c>
      <c r="H435">
        <v>3</v>
      </c>
      <c r="I435">
        <v>5</v>
      </c>
      <c r="J435">
        <v>15</v>
      </c>
      <c r="K435">
        <v>8.41</v>
      </c>
      <c r="L435">
        <v>8.3000000000000007</v>
      </c>
      <c r="M435" t="s">
        <v>164</v>
      </c>
      <c r="N435" t="s">
        <v>162</v>
      </c>
    </row>
    <row r="436" spans="1:14" x14ac:dyDescent="0.3">
      <c r="A436" t="s">
        <v>164</v>
      </c>
      <c r="B436">
        <f>VLOOKUP(M436,Sheet9!$I$1:$J$17,2,FALSE)</f>
        <v>14</v>
      </c>
      <c r="C436">
        <f>VLOOKUP(N436,Sheet9!$M$1:$N$2,2,FALSE)</f>
        <v>1</v>
      </c>
      <c r="D436">
        <v>16</v>
      </c>
      <c r="E436" t="s">
        <v>96</v>
      </c>
      <c r="F436">
        <v>90</v>
      </c>
      <c r="H436">
        <v>32</v>
      </c>
      <c r="I436">
        <v>0.6</v>
      </c>
      <c r="J436">
        <v>19.2</v>
      </c>
      <c r="K436">
        <v>9.84</v>
      </c>
      <c r="L436">
        <v>9.7200000000000006</v>
      </c>
      <c r="M436" t="s">
        <v>164</v>
      </c>
      <c r="N436" t="s">
        <v>162</v>
      </c>
    </row>
    <row r="437" spans="1:14" x14ac:dyDescent="0.3">
      <c r="A437" t="s">
        <v>164</v>
      </c>
      <c r="B437">
        <f>VLOOKUP(M437,Sheet9!$I$1:$J$17,2,FALSE)</f>
        <v>14</v>
      </c>
      <c r="C437">
        <f>VLOOKUP(N437,Sheet9!$M$1:$N$2,2,FALSE)</f>
        <v>1</v>
      </c>
      <c r="D437">
        <v>16</v>
      </c>
      <c r="E437" t="s">
        <v>96</v>
      </c>
      <c r="F437">
        <v>90</v>
      </c>
      <c r="H437">
        <v>64</v>
      </c>
      <c r="I437">
        <v>0.6</v>
      </c>
      <c r="J437">
        <v>38.4</v>
      </c>
      <c r="K437">
        <v>8.66</v>
      </c>
      <c r="L437">
        <v>8.58</v>
      </c>
      <c r="M437" t="s">
        <v>164</v>
      </c>
      <c r="N437" t="s">
        <v>162</v>
      </c>
    </row>
    <row r="438" spans="1:14" x14ac:dyDescent="0.3">
      <c r="A438" t="s">
        <v>164</v>
      </c>
      <c r="B438">
        <f>VLOOKUP(M438,Sheet9!$I$1:$J$17,2,FALSE)</f>
        <v>14</v>
      </c>
      <c r="C438">
        <f>VLOOKUP(N438,Sheet9!$M$1:$N$2,2,FALSE)</f>
        <v>1</v>
      </c>
      <c r="D438">
        <v>16</v>
      </c>
      <c r="E438" t="s">
        <v>96</v>
      </c>
      <c r="F438">
        <v>100</v>
      </c>
      <c r="H438">
        <v>1</v>
      </c>
      <c r="I438">
        <v>5</v>
      </c>
      <c r="J438">
        <v>5</v>
      </c>
      <c r="K438">
        <v>11.51</v>
      </c>
      <c r="L438">
        <v>11.33</v>
      </c>
      <c r="M438" t="s">
        <v>164</v>
      </c>
      <c r="N438" t="s">
        <v>162</v>
      </c>
    </row>
    <row r="439" spans="1:14" x14ac:dyDescent="0.3">
      <c r="A439" t="s">
        <v>164</v>
      </c>
      <c r="B439">
        <f>VLOOKUP(M439,Sheet9!$I$1:$J$17,2,FALSE)</f>
        <v>14</v>
      </c>
      <c r="C439">
        <f>VLOOKUP(N439,Sheet9!$M$1:$N$2,2,FALSE)</f>
        <v>1</v>
      </c>
      <c r="D439">
        <v>16</v>
      </c>
      <c r="E439" t="s">
        <v>96</v>
      </c>
      <c r="F439">
        <v>100</v>
      </c>
      <c r="H439">
        <v>1</v>
      </c>
      <c r="I439">
        <v>10</v>
      </c>
      <c r="J439">
        <v>10</v>
      </c>
      <c r="K439">
        <v>11.35</v>
      </c>
      <c r="L439">
        <v>11.16</v>
      </c>
      <c r="M439" t="s">
        <v>164</v>
      </c>
      <c r="N439" t="s">
        <v>162</v>
      </c>
    </row>
    <row r="440" spans="1:14" x14ac:dyDescent="0.3">
      <c r="A440" t="s">
        <v>164</v>
      </c>
      <c r="B440">
        <f>VLOOKUP(M440,Sheet9!$I$1:$J$17,2,FALSE)</f>
        <v>14</v>
      </c>
      <c r="C440">
        <f>VLOOKUP(N440,Sheet9!$M$1:$N$2,2,FALSE)</f>
        <v>1</v>
      </c>
      <c r="D440">
        <v>16</v>
      </c>
      <c r="E440" t="s">
        <v>96</v>
      </c>
      <c r="F440">
        <v>100</v>
      </c>
      <c r="H440">
        <v>3</v>
      </c>
      <c r="I440">
        <v>3</v>
      </c>
      <c r="J440">
        <v>9</v>
      </c>
      <c r="K440">
        <v>12.61</v>
      </c>
      <c r="L440">
        <v>12.4</v>
      </c>
      <c r="M440" t="s">
        <v>164</v>
      </c>
      <c r="N440" t="s">
        <v>162</v>
      </c>
    </row>
    <row r="441" spans="1:14" x14ac:dyDescent="0.3">
      <c r="A441" t="s">
        <v>164</v>
      </c>
      <c r="B441">
        <f>VLOOKUP(M441,Sheet9!$I$1:$J$17,2,FALSE)</f>
        <v>14</v>
      </c>
      <c r="C441">
        <f>VLOOKUP(N441,Sheet9!$M$1:$N$2,2,FALSE)</f>
        <v>1</v>
      </c>
      <c r="D441">
        <v>16</v>
      </c>
      <c r="E441" t="s">
        <v>96</v>
      </c>
      <c r="F441">
        <v>100</v>
      </c>
      <c r="H441">
        <v>3</v>
      </c>
      <c r="I441">
        <v>5</v>
      </c>
      <c r="J441">
        <v>15</v>
      </c>
      <c r="K441">
        <v>11.4</v>
      </c>
      <c r="L441">
        <v>11.2</v>
      </c>
      <c r="M441" t="s">
        <v>164</v>
      </c>
      <c r="N441" t="s">
        <v>162</v>
      </c>
    </row>
    <row r="442" spans="1:14" x14ac:dyDescent="0.3">
      <c r="A442" t="s">
        <v>164</v>
      </c>
      <c r="B442">
        <f>VLOOKUP(M442,Sheet9!$I$1:$J$17,2,FALSE)</f>
        <v>14</v>
      </c>
      <c r="C442">
        <f>VLOOKUP(N442,Sheet9!$M$1:$N$2,2,FALSE)</f>
        <v>1</v>
      </c>
      <c r="D442">
        <v>16</v>
      </c>
      <c r="E442" t="s">
        <v>96</v>
      </c>
      <c r="F442">
        <v>100</v>
      </c>
      <c r="H442">
        <v>32</v>
      </c>
      <c r="I442">
        <v>0.6</v>
      </c>
      <c r="J442">
        <v>19.2</v>
      </c>
      <c r="K442">
        <v>13.35</v>
      </c>
      <c r="L442">
        <v>13.12</v>
      </c>
      <c r="M442" t="s">
        <v>164</v>
      </c>
      <c r="N442" t="s">
        <v>162</v>
      </c>
    </row>
    <row r="443" spans="1:14" x14ac:dyDescent="0.3">
      <c r="A443" t="s">
        <v>164</v>
      </c>
      <c r="B443">
        <f>VLOOKUP(M443,Sheet9!$I$1:$J$17,2,FALSE)</f>
        <v>14</v>
      </c>
      <c r="C443">
        <f>VLOOKUP(N443,Sheet9!$M$1:$N$2,2,FALSE)</f>
        <v>1</v>
      </c>
      <c r="D443">
        <v>16</v>
      </c>
      <c r="E443" t="s">
        <v>96</v>
      </c>
      <c r="F443">
        <v>100</v>
      </c>
      <c r="H443">
        <v>64</v>
      </c>
      <c r="I443">
        <v>0.6</v>
      </c>
      <c r="J443">
        <v>38.4</v>
      </c>
      <c r="K443">
        <v>11.73</v>
      </c>
      <c r="L443">
        <v>11.57</v>
      </c>
      <c r="M443" t="s">
        <v>164</v>
      </c>
      <c r="N443" t="s">
        <v>162</v>
      </c>
    </row>
    <row r="444" spans="1:14" x14ac:dyDescent="0.3">
      <c r="A444" t="s">
        <v>164</v>
      </c>
      <c r="B444">
        <f>VLOOKUP(M444,Sheet9!$I$1:$J$17,2,FALSE)</f>
        <v>14</v>
      </c>
      <c r="C444">
        <f>VLOOKUP(N444,Sheet9!$M$1:$N$2,2,FALSE)</f>
        <v>1</v>
      </c>
      <c r="D444">
        <v>16</v>
      </c>
      <c r="E444" t="s">
        <v>96</v>
      </c>
      <c r="F444">
        <v>110</v>
      </c>
      <c r="H444">
        <v>1</v>
      </c>
      <c r="I444">
        <v>5</v>
      </c>
      <c r="J444">
        <v>5</v>
      </c>
      <c r="K444">
        <v>16.899999999999999</v>
      </c>
      <c r="L444">
        <v>16.62</v>
      </c>
      <c r="M444" t="s">
        <v>164</v>
      </c>
      <c r="N444" t="s">
        <v>162</v>
      </c>
    </row>
    <row r="445" spans="1:14" x14ac:dyDescent="0.3">
      <c r="A445" t="s">
        <v>164</v>
      </c>
      <c r="B445">
        <f>VLOOKUP(M445,Sheet9!$I$1:$J$17,2,FALSE)</f>
        <v>14</v>
      </c>
      <c r="C445">
        <f>VLOOKUP(N445,Sheet9!$M$1:$N$2,2,FALSE)</f>
        <v>1</v>
      </c>
      <c r="D445">
        <v>16</v>
      </c>
      <c r="E445" t="s">
        <v>96</v>
      </c>
      <c r="F445">
        <v>110</v>
      </c>
      <c r="H445">
        <v>1</v>
      </c>
      <c r="I445">
        <v>10</v>
      </c>
      <c r="J445">
        <v>10</v>
      </c>
      <c r="K445">
        <v>16.649999999999999</v>
      </c>
      <c r="L445">
        <v>14.38</v>
      </c>
      <c r="M445" t="s">
        <v>164</v>
      </c>
      <c r="N445" t="s">
        <v>162</v>
      </c>
    </row>
    <row r="446" spans="1:14" x14ac:dyDescent="0.3">
      <c r="A446" t="s">
        <v>164</v>
      </c>
      <c r="B446">
        <f>VLOOKUP(M446,Sheet9!$I$1:$J$17,2,FALSE)</f>
        <v>14</v>
      </c>
      <c r="C446">
        <f>VLOOKUP(N446,Sheet9!$M$1:$N$2,2,FALSE)</f>
        <v>1</v>
      </c>
      <c r="D446">
        <v>16</v>
      </c>
      <c r="E446" t="s">
        <v>96</v>
      </c>
      <c r="F446">
        <v>110</v>
      </c>
      <c r="H446">
        <v>3</v>
      </c>
      <c r="I446">
        <v>3</v>
      </c>
      <c r="J446">
        <v>9</v>
      </c>
      <c r="K446">
        <v>16.28</v>
      </c>
      <c r="L446">
        <v>15.98</v>
      </c>
      <c r="M446" t="s">
        <v>164</v>
      </c>
      <c r="N446" t="s">
        <v>162</v>
      </c>
    </row>
    <row r="447" spans="1:14" x14ac:dyDescent="0.3">
      <c r="A447" t="s">
        <v>164</v>
      </c>
      <c r="B447">
        <f>VLOOKUP(M447,Sheet9!$I$1:$J$17,2,FALSE)</f>
        <v>14</v>
      </c>
      <c r="C447">
        <f>VLOOKUP(N447,Sheet9!$M$1:$N$2,2,FALSE)</f>
        <v>1</v>
      </c>
      <c r="D447">
        <v>16</v>
      </c>
      <c r="E447" t="s">
        <v>96</v>
      </c>
      <c r="F447">
        <v>110</v>
      </c>
      <c r="H447">
        <v>3</v>
      </c>
      <c r="I447">
        <v>5</v>
      </c>
      <c r="J447">
        <v>15</v>
      </c>
      <c r="K447">
        <v>14.72</v>
      </c>
      <c r="L447">
        <v>14.44</v>
      </c>
      <c r="M447" t="s">
        <v>164</v>
      </c>
      <c r="N447" t="s">
        <v>162</v>
      </c>
    </row>
    <row r="448" spans="1:14" x14ac:dyDescent="0.3">
      <c r="A448" t="s">
        <v>164</v>
      </c>
      <c r="B448">
        <f>VLOOKUP(M448,Sheet9!$I$1:$J$17,2,FALSE)</f>
        <v>14</v>
      </c>
      <c r="C448">
        <f>VLOOKUP(N448,Sheet9!$M$1:$N$2,2,FALSE)</f>
        <v>1</v>
      </c>
      <c r="D448">
        <v>16</v>
      </c>
      <c r="E448" t="s">
        <v>96</v>
      </c>
      <c r="F448">
        <v>110</v>
      </c>
      <c r="H448">
        <v>32</v>
      </c>
      <c r="I448">
        <v>0.6</v>
      </c>
      <c r="J448">
        <v>19.2</v>
      </c>
      <c r="K448">
        <v>17.190000000000001</v>
      </c>
      <c r="L448">
        <v>16.88</v>
      </c>
      <c r="M448" t="s">
        <v>164</v>
      </c>
      <c r="N448" t="s">
        <v>162</v>
      </c>
    </row>
    <row r="449" spans="1:14" x14ac:dyDescent="0.3">
      <c r="A449" t="s">
        <v>164</v>
      </c>
      <c r="B449">
        <f>VLOOKUP(M449,Sheet9!$I$1:$J$17,2,FALSE)</f>
        <v>14</v>
      </c>
      <c r="C449">
        <f>VLOOKUP(N449,Sheet9!$M$1:$N$2,2,FALSE)</f>
        <v>1</v>
      </c>
      <c r="D449">
        <v>16</v>
      </c>
      <c r="E449" t="s">
        <v>96</v>
      </c>
      <c r="F449">
        <v>110</v>
      </c>
      <c r="H449">
        <v>64</v>
      </c>
      <c r="I449">
        <v>0.6</v>
      </c>
      <c r="J449">
        <v>38.4</v>
      </c>
      <c r="K449">
        <v>15.1</v>
      </c>
      <c r="L449">
        <v>14.88</v>
      </c>
      <c r="M449" t="s">
        <v>164</v>
      </c>
      <c r="N449" t="s">
        <v>162</v>
      </c>
    </row>
    <row r="450" spans="1:14" x14ac:dyDescent="0.3">
      <c r="A450" t="s">
        <v>164</v>
      </c>
      <c r="B450">
        <f>VLOOKUP(M450,Sheet9!$I$1:$J$17,2,FALSE)</f>
        <v>14</v>
      </c>
      <c r="C450">
        <f>VLOOKUP(N450,Sheet9!$M$1:$N$2,2,FALSE)</f>
        <v>1</v>
      </c>
      <c r="D450">
        <v>16</v>
      </c>
      <c r="E450" t="s">
        <v>96</v>
      </c>
      <c r="F450">
        <v>120</v>
      </c>
      <c r="H450">
        <v>1</v>
      </c>
      <c r="I450">
        <v>5</v>
      </c>
      <c r="J450">
        <v>5</v>
      </c>
      <c r="K450">
        <v>18.54</v>
      </c>
      <c r="L450">
        <v>18.190000000000001</v>
      </c>
      <c r="M450" t="s">
        <v>164</v>
      </c>
      <c r="N450" t="s">
        <v>162</v>
      </c>
    </row>
    <row r="451" spans="1:14" x14ac:dyDescent="0.3">
      <c r="A451" t="s">
        <v>164</v>
      </c>
      <c r="B451">
        <f>VLOOKUP(M451,Sheet9!$I$1:$J$17,2,FALSE)</f>
        <v>14</v>
      </c>
      <c r="C451">
        <f>VLOOKUP(N451,Sheet9!$M$1:$N$2,2,FALSE)</f>
        <v>1</v>
      </c>
      <c r="D451">
        <v>16</v>
      </c>
      <c r="E451" t="s">
        <v>96</v>
      </c>
      <c r="F451">
        <v>120</v>
      </c>
      <c r="H451">
        <v>1</v>
      </c>
      <c r="I451">
        <v>10</v>
      </c>
      <c r="J451">
        <v>10</v>
      </c>
      <c r="K451">
        <v>18.2</v>
      </c>
      <c r="L451">
        <v>17.86</v>
      </c>
      <c r="M451" t="s">
        <v>164</v>
      </c>
      <c r="N451" t="s">
        <v>162</v>
      </c>
    </row>
    <row r="452" spans="1:14" x14ac:dyDescent="0.3">
      <c r="A452" t="s">
        <v>164</v>
      </c>
      <c r="B452">
        <f>VLOOKUP(M452,Sheet9!$I$1:$J$17,2,FALSE)</f>
        <v>14</v>
      </c>
      <c r="C452">
        <f>VLOOKUP(N452,Sheet9!$M$1:$N$2,2,FALSE)</f>
        <v>1</v>
      </c>
      <c r="D452">
        <v>16</v>
      </c>
      <c r="E452" t="s">
        <v>96</v>
      </c>
      <c r="F452">
        <v>120</v>
      </c>
      <c r="H452">
        <v>3</v>
      </c>
      <c r="I452">
        <v>3</v>
      </c>
      <c r="J452">
        <v>9</v>
      </c>
      <c r="K452">
        <v>20.22</v>
      </c>
      <c r="L452">
        <v>19.84</v>
      </c>
      <c r="M452" t="s">
        <v>164</v>
      </c>
      <c r="N452" t="s">
        <v>162</v>
      </c>
    </row>
    <row r="453" spans="1:14" x14ac:dyDescent="0.3">
      <c r="A453" t="s">
        <v>164</v>
      </c>
      <c r="B453">
        <f>VLOOKUP(M453,Sheet9!$I$1:$J$17,2,FALSE)</f>
        <v>14</v>
      </c>
      <c r="C453">
        <f>VLOOKUP(N453,Sheet9!$M$1:$N$2,2,FALSE)</f>
        <v>1</v>
      </c>
      <c r="D453">
        <v>16</v>
      </c>
      <c r="E453" t="s">
        <v>96</v>
      </c>
      <c r="F453">
        <v>120</v>
      </c>
      <c r="H453">
        <v>3</v>
      </c>
      <c r="I453">
        <v>5</v>
      </c>
      <c r="J453">
        <v>15</v>
      </c>
      <c r="K453">
        <v>18.27</v>
      </c>
      <c r="L453">
        <v>17.920000000000002</v>
      </c>
      <c r="M453" t="s">
        <v>164</v>
      </c>
      <c r="N453" t="s">
        <v>162</v>
      </c>
    </row>
    <row r="454" spans="1:14" x14ac:dyDescent="0.3">
      <c r="A454" t="s">
        <v>164</v>
      </c>
      <c r="B454">
        <f>VLOOKUP(M454,Sheet9!$I$1:$J$17,2,FALSE)</f>
        <v>14</v>
      </c>
      <c r="C454">
        <f>VLOOKUP(N454,Sheet9!$M$1:$N$2,2,FALSE)</f>
        <v>1</v>
      </c>
      <c r="D454">
        <v>16</v>
      </c>
      <c r="E454" t="s">
        <v>96</v>
      </c>
      <c r="F454">
        <v>120</v>
      </c>
      <c r="H454">
        <v>32</v>
      </c>
      <c r="I454">
        <v>0.6</v>
      </c>
      <c r="J454">
        <v>19.2</v>
      </c>
      <c r="K454">
        <v>21.41</v>
      </c>
      <c r="L454">
        <v>20.99</v>
      </c>
      <c r="M454" t="s">
        <v>164</v>
      </c>
      <c r="N454" t="s">
        <v>162</v>
      </c>
    </row>
    <row r="455" spans="1:14" x14ac:dyDescent="0.3">
      <c r="A455" t="s">
        <v>164</v>
      </c>
      <c r="B455">
        <f>VLOOKUP(M455,Sheet9!$I$1:$J$17,2,FALSE)</f>
        <v>14</v>
      </c>
      <c r="C455">
        <f>VLOOKUP(N455,Sheet9!$M$1:$N$2,2,FALSE)</f>
        <v>1</v>
      </c>
      <c r="D455">
        <v>16</v>
      </c>
      <c r="E455" t="s">
        <v>96</v>
      </c>
      <c r="F455">
        <v>120</v>
      </c>
      <c r="H455">
        <v>64</v>
      </c>
      <c r="I455">
        <v>0.6</v>
      </c>
      <c r="J455">
        <v>38.4</v>
      </c>
      <c r="K455">
        <v>18.8</v>
      </c>
      <c r="L455">
        <v>18.489999999999998</v>
      </c>
      <c r="M455" t="s">
        <v>164</v>
      </c>
      <c r="N455" t="s">
        <v>162</v>
      </c>
    </row>
    <row r="456" spans="1:14" x14ac:dyDescent="0.3">
      <c r="A456" t="s">
        <v>164</v>
      </c>
      <c r="B456">
        <f>VLOOKUP(M456,Sheet9!$I$1:$J$17,2,FALSE)</f>
        <v>14</v>
      </c>
      <c r="C456">
        <f>VLOOKUP(N456,Sheet9!$M$1:$N$2,2,FALSE)</f>
        <v>1</v>
      </c>
      <c r="D456">
        <v>16</v>
      </c>
      <c r="E456" t="s">
        <v>96</v>
      </c>
      <c r="F456">
        <v>130</v>
      </c>
      <c r="H456">
        <v>1</v>
      </c>
      <c r="I456">
        <v>5</v>
      </c>
      <c r="J456">
        <v>5</v>
      </c>
      <c r="K456">
        <v>22.44</v>
      </c>
      <c r="L456">
        <v>22.01</v>
      </c>
      <c r="M456" t="s">
        <v>164</v>
      </c>
      <c r="N456" t="s">
        <v>162</v>
      </c>
    </row>
    <row r="457" spans="1:14" x14ac:dyDescent="0.3">
      <c r="A457" t="s">
        <v>164</v>
      </c>
      <c r="B457">
        <f>VLOOKUP(M457,Sheet9!$I$1:$J$17,2,FALSE)</f>
        <v>14</v>
      </c>
      <c r="C457">
        <f>VLOOKUP(N457,Sheet9!$M$1:$N$2,2,FALSE)</f>
        <v>1</v>
      </c>
      <c r="D457">
        <v>16</v>
      </c>
      <c r="E457" t="s">
        <v>96</v>
      </c>
      <c r="F457">
        <v>130</v>
      </c>
      <c r="H457">
        <v>1</v>
      </c>
      <c r="I457">
        <v>10</v>
      </c>
      <c r="J457">
        <v>10</v>
      </c>
      <c r="K457">
        <v>22.05</v>
      </c>
      <c r="L457">
        <v>21.61</v>
      </c>
      <c r="M457" t="s">
        <v>164</v>
      </c>
      <c r="N457" t="s">
        <v>162</v>
      </c>
    </row>
    <row r="458" spans="1:14" x14ac:dyDescent="0.3">
      <c r="A458" t="s">
        <v>164</v>
      </c>
      <c r="B458">
        <f>VLOOKUP(M458,Sheet9!$I$1:$J$17,2,FALSE)</f>
        <v>14</v>
      </c>
      <c r="C458">
        <f>VLOOKUP(N458,Sheet9!$M$1:$N$2,2,FALSE)</f>
        <v>1</v>
      </c>
      <c r="D458">
        <v>16</v>
      </c>
      <c r="E458" t="s">
        <v>96</v>
      </c>
      <c r="F458">
        <v>130</v>
      </c>
      <c r="H458">
        <v>3</v>
      </c>
      <c r="I458">
        <v>3</v>
      </c>
      <c r="J458">
        <v>9</v>
      </c>
      <c r="K458">
        <v>24.49</v>
      </c>
      <c r="L458">
        <v>24.01</v>
      </c>
      <c r="M458" t="s">
        <v>164</v>
      </c>
      <c r="N458" t="s">
        <v>162</v>
      </c>
    </row>
    <row r="459" spans="1:14" x14ac:dyDescent="0.3">
      <c r="A459" t="s">
        <v>164</v>
      </c>
      <c r="B459">
        <f>VLOOKUP(M459,Sheet9!$I$1:$J$17,2,FALSE)</f>
        <v>14</v>
      </c>
      <c r="C459">
        <f>VLOOKUP(N459,Sheet9!$M$1:$N$2,2,FALSE)</f>
        <v>1</v>
      </c>
      <c r="D459">
        <v>16</v>
      </c>
      <c r="E459" t="s">
        <v>96</v>
      </c>
      <c r="F459">
        <v>130</v>
      </c>
      <c r="H459">
        <v>3</v>
      </c>
      <c r="I459">
        <v>5</v>
      </c>
      <c r="J459">
        <v>15</v>
      </c>
      <c r="K459">
        <v>22.15</v>
      </c>
      <c r="L459">
        <v>21.7</v>
      </c>
      <c r="M459" t="s">
        <v>164</v>
      </c>
      <c r="N459" t="s">
        <v>162</v>
      </c>
    </row>
    <row r="460" spans="1:14" x14ac:dyDescent="0.3">
      <c r="A460" t="s">
        <v>164</v>
      </c>
      <c r="B460">
        <f>VLOOKUP(M460,Sheet9!$I$1:$J$17,2,FALSE)</f>
        <v>14</v>
      </c>
      <c r="C460">
        <f>VLOOKUP(N460,Sheet9!$M$1:$N$2,2,FALSE)</f>
        <v>1</v>
      </c>
      <c r="D460">
        <v>16</v>
      </c>
      <c r="E460" t="s">
        <v>96</v>
      </c>
      <c r="F460">
        <v>130</v>
      </c>
      <c r="H460">
        <v>32</v>
      </c>
      <c r="I460">
        <v>0.6</v>
      </c>
      <c r="J460">
        <v>19.2</v>
      </c>
      <c r="K460">
        <v>25.92</v>
      </c>
      <c r="L460">
        <v>25.41</v>
      </c>
      <c r="M460" t="s">
        <v>164</v>
      </c>
      <c r="N460" t="s">
        <v>162</v>
      </c>
    </row>
    <row r="461" spans="1:14" x14ac:dyDescent="0.3">
      <c r="A461" t="s">
        <v>164</v>
      </c>
      <c r="B461">
        <f>VLOOKUP(M461,Sheet9!$I$1:$J$17,2,FALSE)</f>
        <v>14</v>
      </c>
      <c r="C461">
        <f>VLOOKUP(N461,Sheet9!$M$1:$N$2,2,FALSE)</f>
        <v>1</v>
      </c>
      <c r="D461">
        <v>16</v>
      </c>
      <c r="E461" t="s">
        <v>96</v>
      </c>
      <c r="F461">
        <v>130</v>
      </c>
      <c r="H461">
        <v>64</v>
      </c>
      <c r="I461">
        <v>0.6</v>
      </c>
      <c r="J461">
        <v>38.4</v>
      </c>
      <c r="K461">
        <v>22.75</v>
      </c>
      <c r="L461">
        <v>22.37</v>
      </c>
      <c r="M461" t="s">
        <v>164</v>
      </c>
      <c r="N461" t="s">
        <v>162</v>
      </c>
    </row>
    <row r="462" spans="1:14" x14ac:dyDescent="0.3">
      <c r="A462" t="s">
        <v>164</v>
      </c>
      <c r="B462">
        <f>VLOOKUP(M462,Sheet9!$I$1:$J$17,2,FALSE)</f>
        <v>14</v>
      </c>
      <c r="C462">
        <f>VLOOKUP(N462,Sheet9!$M$1:$N$2,2,FALSE)</f>
        <v>1</v>
      </c>
      <c r="D462">
        <v>16</v>
      </c>
      <c r="E462" t="s">
        <v>96</v>
      </c>
      <c r="F462">
        <v>140</v>
      </c>
      <c r="H462">
        <v>1</v>
      </c>
      <c r="I462">
        <v>5</v>
      </c>
      <c r="J462">
        <v>5</v>
      </c>
      <c r="K462">
        <v>26.59</v>
      </c>
      <c r="L462">
        <v>26.09</v>
      </c>
      <c r="M462" t="s">
        <v>164</v>
      </c>
      <c r="N462" t="s">
        <v>162</v>
      </c>
    </row>
    <row r="463" spans="1:14" x14ac:dyDescent="0.3">
      <c r="A463" t="s">
        <v>164</v>
      </c>
      <c r="B463">
        <f>VLOOKUP(M463,Sheet9!$I$1:$J$17,2,FALSE)</f>
        <v>14</v>
      </c>
      <c r="C463">
        <f>VLOOKUP(N463,Sheet9!$M$1:$N$2,2,FALSE)</f>
        <v>1</v>
      </c>
      <c r="D463">
        <v>16</v>
      </c>
      <c r="E463" t="s">
        <v>96</v>
      </c>
      <c r="F463">
        <v>140</v>
      </c>
      <c r="H463">
        <v>1</v>
      </c>
      <c r="I463">
        <v>10</v>
      </c>
      <c r="J463">
        <v>10</v>
      </c>
      <c r="K463">
        <v>26.16</v>
      </c>
      <c r="L463">
        <v>25.66</v>
      </c>
      <c r="M463" t="s">
        <v>164</v>
      </c>
      <c r="N463" t="s">
        <v>162</v>
      </c>
    </row>
    <row r="464" spans="1:14" x14ac:dyDescent="0.3">
      <c r="A464" t="s">
        <v>164</v>
      </c>
      <c r="B464">
        <f>VLOOKUP(M464,Sheet9!$I$1:$J$17,2,FALSE)</f>
        <v>14</v>
      </c>
      <c r="C464">
        <f>VLOOKUP(N464,Sheet9!$M$1:$N$2,2,FALSE)</f>
        <v>1</v>
      </c>
      <c r="D464">
        <v>16</v>
      </c>
      <c r="E464" t="s">
        <v>96</v>
      </c>
      <c r="F464">
        <v>140</v>
      </c>
      <c r="H464">
        <v>3</v>
      </c>
      <c r="I464">
        <v>3</v>
      </c>
      <c r="J464">
        <v>9</v>
      </c>
      <c r="K464">
        <v>29.06</v>
      </c>
      <c r="L464">
        <v>28.53</v>
      </c>
      <c r="M464" t="s">
        <v>164</v>
      </c>
      <c r="N464" t="s">
        <v>162</v>
      </c>
    </row>
    <row r="465" spans="1:14" x14ac:dyDescent="0.3">
      <c r="A465" t="s">
        <v>164</v>
      </c>
      <c r="B465">
        <f>VLOOKUP(M465,Sheet9!$I$1:$J$17,2,FALSE)</f>
        <v>14</v>
      </c>
      <c r="C465">
        <f>VLOOKUP(N465,Sheet9!$M$1:$N$2,2,FALSE)</f>
        <v>1</v>
      </c>
      <c r="D465">
        <v>16</v>
      </c>
      <c r="E465" t="s">
        <v>96</v>
      </c>
      <c r="F465">
        <v>140</v>
      </c>
      <c r="H465">
        <v>3</v>
      </c>
      <c r="I465">
        <v>5</v>
      </c>
      <c r="J465">
        <v>15</v>
      </c>
      <c r="K465">
        <v>26.26</v>
      </c>
      <c r="L465">
        <v>25.74</v>
      </c>
      <c r="M465" t="s">
        <v>164</v>
      </c>
      <c r="N465" t="s">
        <v>162</v>
      </c>
    </row>
    <row r="466" spans="1:14" x14ac:dyDescent="0.3">
      <c r="A466" t="s">
        <v>164</v>
      </c>
      <c r="B466">
        <f>VLOOKUP(M466,Sheet9!$I$1:$J$17,2,FALSE)</f>
        <v>14</v>
      </c>
      <c r="C466">
        <f>VLOOKUP(N466,Sheet9!$M$1:$N$2,2,FALSE)</f>
        <v>1</v>
      </c>
      <c r="D466">
        <v>16</v>
      </c>
      <c r="E466" t="s">
        <v>96</v>
      </c>
      <c r="F466">
        <v>140</v>
      </c>
      <c r="H466">
        <v>32</v>
      </c>
      <c r="I466">
        <v>0.6</v>
      </c>
      <c r="J466">
        <v>19.2</v>
      </c>
      <c r="K466">
        <v>30.73</v>
      </c>
      <c r="L466">
        <v>30.1</v>
      </c>
      <c r="M466" t="s">
        <v>164</v>
      </c>
      <c r="N466" t="s">
        <v>162</v>
      </c>
    </row>
    <row r="467" spans="1:14" x14ac:dyDescent="0.3">
      <c r="A467" t="s">
        <v>164</v>
      </c>
      <c r="B467">
        <f>VLOOKUP(M467,Sheet9!$I$1:$J$17,2,FALSE)</f>
        <v>14</v>
      </c>
      <c r="C467">
        <f>VLOOKUP(N467,Sheet9!$M$1:$N$2,2,FALSE)</f>
        <v>1</v>
      </c>
      <c r="D467">
        <v>16</v>
      </c>
      <c r="E467" t="s">
        <v>96</v>
      </c>
      <c r="F467">
        <v>140</v>
      </c>
      <c r="H467">
        <v>64</v>
      </c>
      <c r="I467">
        <v>0.6</v>
      </c>
      <c r="J467">
        <v>38.4</v>
      </c>
      <c r="K467">
        <v>26.99</v>
      </c>
      <c r="L467">
        <v>26.53</v>
      </c>
      <c r="M467" t="s">
        <v>164</v>
      </c>
      <c r="N467" t="s">
        <v>162</v>
      </c>
    </row>
    <row r="468" spans="1:14" x14ac:dyDescent="0.3">
      <c r="A468" t="s">
        <v>164</v>
      </c>
      <c r="B468">
        <f>VLOOKUP(M468,Sheet9!$I$1:$J$17,2,FALSE)</f>
        <v>14</v>
      </c>
      <c r="C468">
        <f>VLOOKUP(N468,Sheet9!$M$1:$N$2,2,FALSE)</f>
        <v>1</v>
      </c>
      <c r="D468">
        <v>16</v>
      </c>
      <c r="E468" t="s">
        <v>96</v>
      </c>
      <c r="F468">
        <v>100</v>
      </c>
      <c r="G468" t="s">
        <v>139</v>
      </c>
      <c r="H468">
        <v>1</v>
      </c>
      <c r="I468">
        <v>5</v>
      </c>
      <c r="J468">
        <v>5</v>
      </c>
      <c r="M468" t="s">
        <v>164</v>
      </c>
      <c r="N468" t="s">
        <v>162</v>
      </c>
    </row>
    <row r="469" spans="1:14" x14ac:dyDescent="0.3">
      <c r="A469" t="s">
        <v>164</v>
      </c>
      <c r="B469">
        <f>VLOOKUP(M469,Sheet9!$I$1:$J$17,2,FALSE)</f>
        <v>14</v>
      </c>
      <c r="C469">
        <f>VLOOKUP(N469,Sheet9!$M$1:$N$2,2,FALSE)</f>
        <v>1</v>
      </c>
      <c r="D469">
        <v>16</v>
      </c>
      <c r="E469" t="s">
        <v>96</v>
      </c>
      <c r="F469">
        <v>100</v>
      </c>
      <c r="G469" t="s">
        <v>139</v>
      </c>
      <c r="H469">
        <v>1</v>
      </c>
      <c r="I469">
        <v>10</v>
      </c>
      <c r="J469">
        <v>10</v>
      </c>
      <c r="M469" t="s">
        <v>164</v>
      </c>
      <c r="N469" t="s">
        <v>162</v>
      </c>
    </row>
    <row r="470" spans="1:14" x14ac:dyDescent="0.3">
      <c r="A470" t="s">
        <v>164</v>
      </c>
      <c r="B470">
        <f>VLOOKUP(M470,Sheet9!$I$1:$J$17,2,FALSE)</f>
        <v>14</v>
      </c>
      <c r="C470">
        <f>VLOOKUP(N470,Sheet9!$M$1:$N$2,2,FALSE)</f>
        <v>1</v>
      </c>
      <c r="D470">
        <v>16</v>
      </c>
      <c r="E470" t="s">
        <v>96</v>
      </c>
      <c r="F470">
        <v>100</v>
      </c>
      <c r="G470" t="s">
        <v>139</v>
      </c>
      <c r="H470">
        <v>3</v>
      </c>
      <c r="I470">
        <v>3</v>
      </c>
      <c r="J470">
        <v>9</v>
      </c>
      <c r="K470">
        <v>1.99</v>
      </c>
      <c r="L470">
        <v>1.94</v>
      </c>
      <c r="M470" t="s">
        <v>164</v>
      </c>
      <c r="N470" t="s">
        <v>162</v>
      </c>
    </row>
    <row r="471" spans="1:14" x14ac:dyDescent="0.3">
      <c r="A471" t="s">
        <v>164</v>
      </c>
      <c r="B471">
        <f>VLOOKUP(M471,Sheet9!$I$1:$J$17,2,FALSE)</f>
        <v>14</v>
      </c>
      <c r="C471">
        <f>VLOOKUP(N471,Sheet9!$M$1:$N$2,2,FALSE)</f>
        <v>1</v>
      </c>
      <c r="D471">
        <v>16</v>
      </c>
      <c r="E471" t="s">
        <v>96</v>
      </c>
      <c r="F471">
        <v>100</v>
      </c>
      <c r="G471" t="s">
        <v>139</v>
      </c>
      <c r="H471">
        <v>3</v>
      </c>
      <c r="I471">
        <v>5</v>
      </c>
      <c r="J471">
        <v>15</v>
      </c>
      <c r="K471">
        <v>1.8</v>
      </c>
      <c r="L471">
        <v>1.76</v>
      </c>
      <c r="M471" t="s">
        <v>164</v>
      </c>
      <c r="N471" t="s">
        <v>162</v>
      </c>
    </row>
    <row r="472" spans="1:14" x14ac:dyDescent="0.3">
      <c r="A472" t="s">
        <v>164</v>
      </c>
      <c r="B472">
        <f>VLOOKUP(M472,Sheet9!$I$1:$J$17,2,FALSE)</f>
        <v>14</v>
      </c>
      <c r="C472">
        <f>VLOOKUP(N472,Sheet9!$M$1:$N$2,2,FALSE)</f>
        <v>1</v>
      </c>
      <c r="D472">
        <v>16</v>
      </c>
      <c r="E472" t="s">
        <v>96</v>
      </c>
      <c r="F472">
        <v>100</v>
      </c>
      <c r="G472" t="s">
        <v>139</v>
      </c>
      <c r="H472">
        <v>32</v>
      </c>
      <c r="I472">
        <v>0.6</v>
      </c>
      <c r="J472">
        <v>19.2</v>
      </c>
      <c r="M472" t="s">
        <v>164</v>
      </c>
      <c r="N472" t="s">
        <v>162</v>
      </c>
    </row>
    <row r="473" spans="1:14" x14ac:dyDescent="0.3">
      <c r="A473" t="s">
        <v>164</v>
      </c>
      <c r="B473">
        <f>VLOOKUP(M473,Sheet9!$I$1:$J$17,2,FALSE)</f>
        <v>14</v>
      </c>
      <c r="C473">
        <f>VLOOKUP(N473,Sheet9!$M$1:$N$2,2,FALSE)</f>
        <v>1</v>
      </c>
      <c r="D473">
        <v>16</v>
      </c>
      <c r="E473" t="s">
        <v>96</v>
      </c>
      <c r="F473">
        <v>100</v>
      </c>
      <c r="G473" t="s">
        <v>139</v>
      </c>
      <c r="H473">
        <v>64</v>
      </c>
      <c r="I473">
        <v>0.6</v>
      </c>
      <c r="J473">
        <v>38.4</v>
      </c>
      <c r="K473">
        <v>1.88</v>
      </c>
      <c r="L473">
        <v>1.84</v>
      </c>
      <c r="M473" t="s">
        <v>164</v>
      </c>
      <c r="N473" t="s">
        <v>162</v>
      </c>
    </row>
    <row r="474" spans="1:14" x14ac:dyDescent="0.3">
      <c r="A474" t="s">
        <v>164</v>
      </c>
      <c r="B474">
        <f>VLOOKUP(M474,Sheet9!$I$1:$J$17,2,FALSE)</f>
        <v>14</v>
      </c>
      <c r="C474">
        <f>VLOOKUP(N474,Sheet9!$M$1:$N$2,2,FALSE)</f>
        <v>1</v>
      </c>
      <c r="D474">
        <v>16</v>
      </c>
      <c r="E474" t="s">
        <v>96</v>
      </c>
      <c r="F474">
        <v>110</v>
      </c>
      <c r="G474" t="s">
        <v>139</v>
      </c>
      <c r="H474">
        <v>1</v>
      </c>
      <c r="I474">
        <v>5</v>
      </c>
      <c r="J474">
        <v>5</v>
      </c>
      <c r="M474" t="s">
        <v>164</v>
      </c>
      <c r="N474" t="s">
        <v>162</v>
      </c>
    </row>
    <row r="475" spans="1:14" x14ac:dyDescent="0.3">
      <c r="A475" t="s">
        <v>164</v>
      </c>
      <c r="B475">
        <f>VLOOKUP(M475,Sheet9!$I$1:$J$17,2,FALSE)</f>
        <v>14</v>
      </c>
      <c r="C475">
        <f>VLOOKUP(N475,Sheet9!$M$1:$N$2,2,FALSE)</f>
        <v>1</v>
      </c>
      <c r="D475">
        <v>16</v>
      </c>
      <c r="E475" t="s">
        <v>96</v>
      </c>
      <c r="F475">
        <v>110</v>
      </c>
      <c r="G475" t="s">
        <v>139</v>
      </c>
      <c r="H475">
        <v>1</v>
      </c>
      <c r="I475">
        <v>10</v>
      </c>
      <c r="J475">
        <v>10</v>
      </c>
      <c r="M475" t="s">
        <v>164</v>
      </c>
      <c r="N475" t="s">
        <v>162</v>
      </c>
    </row>
    <row r="476" spans="1:14" x14ac:dyDescent="0.3">
      <c r="A476" t="s">
        <v>164</v>
      </c>
      <c r="B476">
        <f>VLOOKUP(M476,Sheet9!$I$1:$J$17,2,FALSE)</f>
        <v>14</v>
      </c>
      <c r="C476">
        <f>VLOOKUP(N476,Sheet9!$M$1:$N$2,2,FALSE)</f>
        <v>1</v>
      </c>
      <c r="D476">
        <v>16</v>
      </c>
      <c r="E476" t="s">
        <v>96</v>
      </c>
      <c r="F476">
        <v>110</v>
      </c>
      <c r="G476" t="s">
        <v>139</v>
      </c>
      <c r="H476">
        <v>3</v>
      </c>
      <c r="I476">
        <v>3</v>
      </c>
      <c r="J476">
        <v>9</v>
      </c>
      <c r="K476">
        <v>3.1</v>
      </c>
      <c r="L476">
        <v>3.03</v>
      </c>
      <c r="M476" t="s">
        <v>164</v>
      </c>
      <c r="N476" t="s">
        <v>162</v>
      </c>
    </row>
    <row r="477" spans="1:14" x14ac:dyDescent="0.3">
      <c r="A477" t="s">
        <v>164</v>
      </c>
      <c r="B477">
        <f>VLOOKUP(M477,Sheet9!$I$1:$J$17,2,FALSE)</f>
        <v>14</v>
      </c>
      <c r="C477">
        <f>VLOOKUP(N477,Sheet9!$M$1:$N$2,2,FALSE)</f>
        <v>1</v>
      </c>
      <c r="D477">
        <v>16</v>
      </c>
      <c r="E477" t="s">
        <v>96</v>
      </c>
      <c r="F477">
        <v>110</v>
      </c>
      <c r="G477" t="s">
        <v>139</v>
      </c>
      <c r="H477">
        <v>3</v>
      </c>
      <c r="I477">
        <v>5</v>
      </c>
      <c r="J477">
        <v>15</v>
      </c>
      <c r="K477">
        <v>2.81</v>
      </c>
      <c r="L477">
        <v>2.74</v>
      </c>
      <c r="M477" t="s">
        <v>164</v>
      </c>
      <c r="N477" t="s">
        <v>162</v>
      </c>
    </row>
    <row r="478" spans="1:14" x14ac:dyDescent="0.3">
      <c r="A478" t="s">
        <v>164</v>
      </c>
      <c r="B478">
        <f>VLOOKUP(M478,Sheet9!$I$1:$J$17,2,FALSE)</f>
        <v>14</v>
      </c>
      <c r="C478">
        <f>VLOOKUP(N478,Sheet9!$M$1:$N$2,2,FALSE)</f>
        <v>1</v>
      </c>
      <c r="D478">
        <v>16</v>
      </c>
      <c r="E478" t="s">
        <v>96</v>
      </c>
      <c r="F478">
        <v>110</v>
      </c>
      <c r="G478" t="s">
        <v>139</v>
      </c>
      <c r="H478">
        <v>32</v>
      </c>
      <c r="I478">
        <v>0.6</v>
      </c>
      <c r="J478">
        <v>19.2</v>
      </c>
      <c r="M478" t="s">
        <v>164</v>
      </c>
      <c r="N478" t="s">
        <v>162</v>
      </c>
    </row>
    <row r="479" spans="1:14" x14ac:dyDescent="0.3">
      <c r="A479" t="s">
        <v>164</v>
      </c>
      <c r="B479">
        <f>VLOOKUP(M479,Sheet9!$I$1:$J$17,2,FALSE)</f>
        <v>14</v>
      </c>
      <c r="C479">
        <f>VLOOKUP(N479,Sheet9!$M$1:$N$2,2,FALSE)</f>
        <v>1</v>
      </c>
      <c r="D479">
        <v>16</v>
      </c>
      <c r="E479" t="s">
        <v>96</v>
      </c>
      <c r="F479">
        <v>110</v>
      </c>
      <c r="G479" t="s">
        <v>139</v>
      </c>
      <c r="H479">
        <v>64</v>
      </c>
      <c r="I479">
        <v>0.6</v>
      </c>
      <c r="J479">
        <v>38.4</v>
      </c>
      <c r="K479">
        <v>2.92</v>
      </c>
      <c r="L479">
        <v>2.86</v>
      </c>
      <c r="M479" t="s">
        <v>164</v>
      </c>
      <c r="N479" t="s">
        <v>162</v>
      </c>
    </row>
    <row r="480" spans="1:14" x14ac:dyDescent="0.3">
      <c r="A480" t="s">
        <v>164</v>
      </c>
      <c r="B480">
        <f>VLOOKUP(M480,Sheet9!$I$1:$J$17,2,FALSE)</f>
        <v>14</v>
      </c>
      <c r="C480">
        <f>VLOOKUP(N480,Sheet9!$M$1:$N$2,2,FALSE)</f>
        <v>1</v>
      </c>
      <c r="D480">
        <v>16</v>
      </c>
      <c r="E480" t="s">
        <v>96</v>
      </c>
      <c r="F480">
        <v>120</v>
      </c>
      <c r="G480" t="s">
        <v>139</v>
      </c>
      <c r="H480">
        <v>1</v>
      </c>
      <c r="I480">
        <v>5</v>
      </c>
      <c r="J480">
        <v>5</v>
      </c>
      <c r="M480" t="s">
        <v>164</v>
      </c>
      <c r="N480" t="s">
        <v>162</v>
      </c>
    </row>
    <row r="481" spans="1:14" x14ac:dyDescent="0.3">
      <c r="A481" t="s">
        <v>164</v>
      </c>
      <c r="B481">
        <f>VLOOKUP(M481,Sheet9!$I$1:$J$17,2,FALSE)</f>
        <v>14</v>
      </c>
      <c r="C481">
        <f>VLOOKUP(N481,Sheet9!$M$1:$N$2,2,FALSE)</f>
        <v>1</v>
      </c>
      <c r="D481">
        <v>16</v>
      </c>
      <c r="E481" t="s">
        <v>96</v>
      </c>
      <c r="F481">
        <v>120</v>
      </c>
      <c r="G481" t="s">
        <v>139</v>
      </c>
      <c r="H481">
        <v>1</v>
      </c>
      <c r="I481">
        <v>10</v>
      </c>
      <c r="J481">
        <v>10</v>
      </c>
      <c r="M481" t="s">
        <v>164</v>
      </c>
      <c r="N481" t="s">
        <v>162</v>
      </c>
    </row>
    <row r="482" spans="1:14" x14ac:dyDescent="0.3">
      <c r="A482" t="s">
        <v>164</v>
      </c>
      <c r="B482">
        <f>VLOOKUP(M482,Sheet9!$I$1:$J$17,2,FALSE)</f>
        <v>14</v>
      </c>
      <c r="C482">
        <f>VLOOKUP(N482,Sheet9!$M$1:$N$2,2,FALSE)</f>
        <v>1</v>
      </c>
      <c r="D482">
        <v>16</v>
      </c>
      <c r="E482" t="s">
        <v>96</v>
      </c>
      <c r="F482">
        <v>120</v>
      </c>
      <c r="G482" t="s">
        <v>139</v>
      </c>
      <c r="H482">
        <v>3</v>
      </c>
      <c r="I482">
        <v>3</v>
      </c>
      <c r="J482">
        <v>9</v>
      </c>
      <c r="K482">
        <v>4.4800000000000004</v>
      </c>
      <c r="L482">
        <v>4.3899999999999997</v>
      </c>
      <c r="M482" t="s">
        <v>164</v>
      </c>
      <c r="N482" t="s">
        <v>162</v>
      </c>
    </row>
    <row r="483" spans="1:14" x14ac:dyDescent="0.3">
      <c r="A483" t="s">
        <v>164</v>
      </c>
      <c r="B483">
        <f>VLOOKUP(M483,Sheet9!$I$1:$J$17,2,FALSE)</f>
        <v>14</v>
      </c>
      <c r="C483">
        <f>VLOOKUP(N483,Sheet9!$M$1:$N$2,2,FALSE)</f>
        <v>1</v>
      </c>
      <c r="D483">
        <v>16</v>
      </c>
      <c r="E483" t="s">
        <v>96</v>
      </c>
      <c r="F483">
        <v>120</v>
      </c>
      <c r="G483" t="s">
        <v>139</v>
      </c>
      <c r="H483">
        <v>3</v>
      </c>
      <c r="I483">
        <v>5</v>
      </c>
      <c r="J483">
        <v>15</v>
      </c>
      <c r="K483">
        <v>4.0599999999999996</v>
      </c>
      <c r="L483">
        <v>3.98</v>
      </c>
      <c r="M483" t="s">
        <v>164</v>
      </c>
      <c r="N483" t="s">
        <v>162</v>
      </c>
    </row>
    <row r="484" spans="1:14" x14ac:dyDescent="0.3">
      <c r="A484" t="s">
        <v>164</v>
      </c>
      <c r="B484">
        <f>VLOOKUP(M484,Sheet9!$I$1:$J$17,2,FALSE)</f>
        <v>14</v>
      </c>
      <c r="C484">
        <f>VLOOKUP(N484,Sheet9!$M$1:$N$2,2,FALSE)</f>
        <v>1</v>
      </c>
      <c r="D484">
        <v>16</v>
      </c>
      <c r="E484" t="s">
        <v>96</v>
      </c>
      <c r="F484">
        <v>120</v>
      </c>
      <c r="G484" t="s">
        <v>139</v>
      </c>
      <c r="H484">
        <v>32</v>
      </c>
      <c r="I484">
        <v>0.6</v>
      </c>
      <c r="J484">
        <v>19.2</v>
      </c>
      <c r="M484" t="s">
        <v>164</v>
      </c>
      <c r="N484" t="s">
        <v>162</v>
      </c>
    </row>
    <row r="485" spans="1:14" x14ac:dyDescent="0.3">
      <c r="A485" t="s">
        <v>164</v>
      </c>
      <c r="B485">
        <f>VLOOKUP(M485,Sheet9!$I$1:$J$17,2,FALSE)</f>
        <v>14</v>
      </c>
      <c r="C485">
        <f>VLOOKUP(N485,Sheet9!$M$1:$N$2,2,FALSE)</f>
        <v>1</v>
      </c>
      <c r="D485">
        <v>16</v>
      </c>
      <c r="E485" t="s">
        <v>96</v>
      </c>
      <c r="F485">
        <v>120</v>
      </c>
      <c r="G485" t="s">
        <v>139</v>
      </c>
      <c r="H485">
        <v>64</v>
      </c>
      <c r="I485">
        <v>0.6</v>
      </c>
      <c r="J485">
        <v>38.4</v>
      </c>
      <c r="K485">
        <v>4.2300000000000004</v>
      </c>
      <c r="L485">
        <v>4.1500000000000004</v>
      </c>
      <c r="M485" t="s">
        <v>164</v>
      </c>
      <c r="N485" t="s">
        <v>162</v>
      </c>
    </row>
    <row r="486" spans="1:14" x14ac:dyDescent="0.3">
      <c r="A486" t="s">
        <v>164</v>
      </c>
      <c r="B486">
        <f>VLOOKUP(M486,Sheet9!$I$1:$J$17,2,FALSE)</f>
        <v>14</v>
      </c>
      <c r="C486">
        <f>VLOOKUP(N486,Sheet9!$M$1:$N$2,2,FALSE)</f>
        <v>1</v>
      </c>
      <c r="D486">
        <v>16</v>
      </c>
      <c r="E486" t="s">
        <v>96</v>
      </c>
      <c r="F486">
        <v>130</v>
      </c>
      <c r="G486" t="s">
        <v>139</v>
      </c>
      <c r="H486">
        <v>1</v>
      </c>
      <c r="I486">
        <v>5</v>
      </c>
      <c r="J486">
        <v>5</v>
      </c>
      <c r="M486" t="s">
        <v>164</v>
      </c>
      <c r="N486" t="s">
        <v>162</v>
      </c>
    </row>
    <row r="487" spans="1:14" x14ac:dyDescent="0.3">
      <c r="A487" t="s">
        <v>164</v>
      </c>
      <c r="B487">
        <f>VLOOKUP(M487,Sheet9!$I$1:$J$17,2,FALSE)</f>
        <v>14</v>
      </c>
      <c r="C487">
        <f>VLOOKUP(N487,Sheet9!$M$1:$N$2,2,FALSE)</f>
        <v>1</v>
      </c>
      <c r="D487">
        <v>16</v>
      </c>
      <c r="E487" t="s">
        <v>96</v>
      </c>
      <c r="F487">
        <v>130</v>
      </c>
      <c r="G487" t="s">
        <v>139</v>
      </c>
      <c r="H487">
        <v>1</v>
      </c>
      <c r="I487">
        <v>10</v>
      </c>
      <c r="J487">
        <v>10</v>
      </c>
      <c r="M487" t="s">
        <v>164</v>
      </c>
      <c r="N487" t="s">
        <v>162</v>
      </c>
    </row>
    <row r="488" spans="1:14" x14ac:dyDescent="0.3">
      <c r="A488" t="s">
        <v>164</v>
      </c>
      <c r="B488">
        <f>VLOOKUP(M488,Sheet9!$I$1:$J$17,2,FALSE)</f>
        <v>14</v>
      </c>
      <c r="C488">
        <f>VLOOKUP(N488,Sheet9!$M$1:$N$2,2,FALSE)</f>
        <v>1</v>
      </c>
      <c r="D488">
        <v>16</v>
      </c>
      <c r="E488" t="s">
        <v>96</v>
      </c>
      <c r="F488">
        <v>130</v>
      </c>
      <c r="G488" t="s">
        <v>139</v>
      </c>
      <c r="H488">
        <v>3</v>
      </c>
      <c r="I488">
        <v>3</v>
      </c>
      <c r="J488">
        <v>9</v>
      </c>
      <c r="K488">
        <v>6.15</v>
      </c>
      <c r="L488">
        <v>6.04</v>
      </c>
      <c r="M488" t="s">
        <v>164</v>
      </c>
      <c r="N488" t="s">
        <v>162</v>
      </c>
    </row>
    <row r="489" spans="1:14" x14ac:dyDescent="0.3">
      <c r="A489" t="s">
        <v>164</v>
      </c>
      <c r="B489">
        <f>VLOOKUP(M489,Sheet9!$I$1:$J$17,2,FALSE)</f>
        <v>14</v>
      </c>
      <c r="C489">
        <f>VLOOKUP(N489,Sheet9!$M$1:$N$2,2,FALSE)</f>
        <v>1</v>
      </c>
      <c r="D489">
        <v>16</v>
      </c>
      <c r="E489" t="s">
        <v>96</v>
      </c>
      <c r="F489">
        <v>130</v>
      </c>
      <c r="G489" t="s">
        <v>139</v>
      </c>
      <c r="H489">
        <v>3</v>
      </c>
      <c r="I489">
        <v>5</v>
      </c>
      <c r="J489">
        <v>15</v>
      </c>
      <c r="K489">
        <v>5.58</v>
      </c>
      <c r="L489">
        <v>5.48</v>
      </c>
      <c r="M489" t="s">
        <v>164</v>
      </c>
      <c r="N489" t="s">
        <v>162</v>
      </c>
    </row>
    <row r="490" spans="1:14" x14ac:dyDescent="0.3">
      <c r="A490" t="s">
        <v>164</v>
      </c>
      <c r="B490">
        <f>VLOOKUP(M490,Sheet9!$I$1:$J$17,2,FALSE)</f>
        <v>14</v>
      </c>
      <c r="C490">
        <f>VLOOKUP(N490,Sheet9!$M$1:$N$2,2,FALSE)</f>
        <v>1</v>
      </c>
      <c r="D490">
        <v>16</v>
      </c>
      <c r="E490" t="s">
        <v>96</v>
      </c>
      <c r="F490">
        <v>130</v>
      </c>
      <c r="G490" t="s">
        <v>139</v>
      </c>
      <c r="H490">
        <v>32</v>
      </c>
      <c r="I490">
        <v>0.6</v>
      </c>
      <c r="J490">
        <v>19.2</v>
      </c>
      <c r="M490" t="s">
        <v>164</v>
      </c>
      <c r="N490" t="s">
        <v>162</v>
      </c>
    </row>
    <row r="491" spans="1:14" x14ac:dyDescent="0.3">
      <c r="A491" t="s">
        <v>164</v>
      </c>
      <c r="B491">
        <f>VLOOKUP(M491,Sheet9!$I$1:$J$17,2,FALSE)</f>
        <v>14</v>
      </c>
      <c r="C491">
        <f>VLOOKUP(N491,Sheet9!$M$1:$N$2,2,FALSE)</f>
        <v>1</v>
      </c>
      <c r="D491">
        <v>16</v>
      </c>
      <c r="E491" t="s">
        <v>96</v>
      </c>
      <c r="F491">
        <v>130</v>
      </c>
      <c r="G491" t="s">
        <v>139</v>
      </c>
      <c r="H491">
        <v>64</v>
      </c>
      <c r="I491">
        <v>0.6</v>
      </c>
      <c r="J491">
        <v>38.4</v>
      </c>
      <c r="K491">
        <v>5.8</v>
      </c>
      <c r="L491">
        <v>5.71</v>
      </c>
      <c r="M491" t="s">
        <v>164</v>
      </c>
      <c r="N491" t="s">
        <v>162</v>
      </c>
    </row>
    <row r="492" spans="1:14" x14ac:dyDescent="0.3">
      <c r="A492" t="s">
        <v>164</v>
      </c>
      <c r="B492">
        <f>VLOOKUP(M492,Sheet9!$I$1:$J$17,2,FALSE)</f>
        <v>14</v>
      </c>
      <c r="C492">
        <f>VLOOKUP(N492,Sheet9!$M$1:$N$2,2,FALSE)</f>
        <v>1</v>
      </c>
      <c r="D492">
        <v>16</v>
      </c>
      <c r="E492" t="s">
        <v>96</v>
      </c>
      <c r="F492">
        <v>140</v>
      </c>
      <c r="G492" t="s">
        <v>139</v>
      </c>
      <c r="H492">
        <v>1</v>
      </c>
      <c r="I492">
        <v>5</v>
      </c>
      <c r="J492">
        <v>5</v>
      </c>
      <c r="M492" t="s">
        <v>164</v>
      </c>
      <c r="N492" t="s">
        <v>162</v>
      </c>
    </row>
    <row r="493" spans="1:14" x14ac:dyDescent="0.3">
      <c r="A493" t="s">
        <v>164</v>
      </c>
      <c r="B493">
        <f>VLOOKUP(M493,Sheet9!$I$1:$J$17,2,FALSE)</f>
        <v>14</v>
      </c>
      <c r="C493">
        <f>VLOOKUP(N493,Sheet9!$M$1:$N$2,2,FALSE)</f>
        <v>1</v>
      </c>
      <c r="D493">
        <v>16</v>
      </c>
      <c r="E493" t="s">
        <v>96</v>
      </c>
      <c r="F493">
        <v>140</v>
      </c>
      <c r="G493" t="s">
        <v>139</v>
      </c>
      <c r="H493">
        <v>1</v>
      </c>
      <c r="I493">
        <v>10</v>
      </c>
      <c r="J493">
        <v>10</v>
      </c>
      <c r="M493" t="s">
        <v>164</v>
      </c>
      <c r="N493" t="s">
        <v>162</v>
      </c>
    </row>
    <row r="494" spans="1:14" x14ac:dyDescent="0.3">
      <c r="A494" t="s">
        <v>164</v>
      </c>
      <c r="B494">
        <f>VLOOKUP(M494,Sheet9!$I$1:$J$17,2,FALSE)</f>
        <v>14</v>
      </c>
      <c r="C494">
        <f>VLOOKUP(N494,Sheet9!$M$1:$N$2,2,FALSE)</f>
        <v>1</v>
      </c>
      <c r="D494">
        <v>16</v>
      </c>
      <c r="E494" t="s">
        <v>96</v>
      </c>
      <c r="F494">
        <v>140</v>
      </c>
      <c r="G494" t="s">
        <v>139</v>
      </c>
      <c r="H494">
        <v>3</v>
      </c>
      <c r="I494">
        <v>3</v>
      </c>
      <c r="J494">
        <v>9</v>
      </c>
      <c r="K494">
        <v>8.1300000000000008</v>
      </c>
      <c r="L494">
        <v>8.01</v>
      </c>
      <c r="M494" t="s">
        <v>164</v>
      </c>
      <c r="N494" t="s">
        <v>162</v>
      </c>
    </row>
    <row r="495" spans="1:14" x14ac:dyDescent="0.3">
      <c r="A495" t="s">
        <v>164</v>
      </c>
      <c r="B495">
        <f>VLOOKUP(M495,Sheet9!$I$1:$J$17,2,FALSE)</f>
        <v>14</v>
      </c>
      <c r="C495">
        <f>VLOOKUP(N495,Sheet9!$M$1:$N$2,2,FALSE)</f>
        <v>1</v>
      </c>
      <c r="D495">
        <v>16</v>
      </c>
      <c r="E495" t="s">
        <v>96</v>
      </c>
      <c r="F495">
        <v>140</v>
      </c>
      <c r="G495" t="s">
        <v>139</v>
      </c>
      <c r="H495">
        <v>3</v>
      </c>
      <c r="I495">
        <v>5</v>
      </c>
      <c r="J495">
        <v>15</v>
      </c>
      <c r="K495">
        <v>7.36</v>
      </c>
      <c r="L495">
        <v>7.25</v>
      </c>
      <c r="M495" t="s">
        <v>164</v>
      </c>
      <c r="N495" t="s">
        <v>162</v>
      </c>
    </row>
    <row r="496" spans="1:14" x14ac:dyDescent="0.3">
      <c r="A496" t="s">
        <v>164</v>
      </c>
      <c r="B496">
        <f>VLOOKUP(M496,Sheet9!$I$1:$J$17,2,FALSE)</f>
        <v>14</v>
      </c>
      <c r="C496">
        <f>VLOOKUP(N496,Sheet9!$M$1:$N$2,2,FALSE)</f>
        <v>1</v>
      </c>
      <c r="D496">
        <v>16</v>
      </c>
      <c r="E496" t="s">
        <v>96</v>
      </c>
      <c r="F496">
        <v>140</v>
      </c>
      <c r="G496" t="s">
        <v>139</v>
      </c>
      <c r="H496">
        <v>32</v>
      </c>
      <c r="I496">
        <v>0.6</v>
      </c>
      <c r="J496">
        <v>19.2</v>
      </c>
      <c r="M496" t="s">
        <v>164</v>
      </c>
      <c r="N496" t="s">
        <v>162</v>
      </c>
    </row>
    <row r="497" spans="1:14" x14ac:dyDescent="0.3">
      <c r="A497" t="s">
        <v>164</v>
      </c>
      <c r="B497">
        <f>VLOOKUP(M497,Sheet9!$I$1:$J$17,2,FALSE)</f>
        <v>14</v>
      </c>
      <c r="C497">
        <f>VLOOKUP(N497,Sheet9!$M$1:$N$2,2,FALSE)</f>
        <v>1</v>
      </c>
      <c r="D497">
        <v>16</v>
      </c>
      <c r="E497" t="s">
        <v>96</v>
      </c>
      <c r="F497">
        <v>140</v>
      </c>
      <c r="G497" t="s">
        <v>139</v>
      </c>
      <c r="H497">
        <v>64</v>
      </c>
      <c r="I497">
        <v>0.6</v>
      </c>
      <c r="J497">
        <v>38.4</v>
      </c>
      <c r="K497">
        <v>7.64</v>
      </c>
      <c r="L497">
        <v>7.55</v>
      </c>
      <c r="M497" t="s">
        <v>164</v>
      </c>
      <c r="N497" t="s">
        <v>162</v>
      </c>
    </row>
    <row r="498" spans="1:14" x14ac:dyDescent="0.3">
      <c r="A498" t="s">
        <v>164</v>
      </c>
      <c r="B498">
        <f>VLOOKUP(M498,Sheet9!$I$1:$J$17,2,FALSE)</f>
        <v>14</v>
      </c>
      <c r="C498">
        <f>VLOOKUP(N498,Sheet9!$M$1:$N$2,2,FALSE)</f>
        <v>1</v>
      </c>
      <c r="D498">
        <v>32</v>
      </c>
      <c r="E498" t="s">
        <v>95</v>
      </c>
      <c r="F498">
        <v>70</v>
      </c>
      <c r="H498">
        <v>1</v>
      </c>
      <c r="I498">
        <v>5</v>
      </c>
      <c r="J498">
        <v>5</v>
      </c>
      <c r="K498">
        <v>0.91</v>
      </c>
      <c r="L498">
        <v>1.83</v>
      </c>
      <c r="M498" t="s">
        <v>164</v>
      </c>
      <c r="N498" t="s">
        <v>162</v>
      </c>
    </row>
    <row r="499" spans="1:14" x14ac:dyDescent="0.3">
      <c r="A499" t="s">
        <v>164</v>
      </c>
      <c r="B499">
        <f>VLOOKUP(M499,Sheet9!$I$1:$J$17,2,FALSE)</f>
        <v>14</v>
      </c>
      <c r="C499">
        <f>VLOOKUP(N499,Sheet9!$M$1:$N$2,2,FALSE)</f>
        <v>1</v>
      </c>
      <c r="D499">
        <v>32</v>
      </c>
      <c r="E499" t="s">
        <v>95</v>
      </c>
      <c r="F499">
        <v>70</v>
      </c>
      <c r="H499">
        <v>1</v>
      </c>
      <c r="I499">
        <v>10</v>
      </c>
      <c r="J499">
        <v>10</v>
      </c>
      <c r="K499">
        <v>0.9</v>
      </c>
      <c r="L499">
        <v>1.79</v>
      </c>
      <c r="M499" t="s">
        <v>164</v>
      </c>
      <c r="N499" t="s">
        <v>162</v>
      </c>
    </row>
    <row r="500" spans="1:14" x14ac:dyDescent="0.3">
      <c r="A500" t="s">
        <v>164</v>
      </c>
      <c r="B500">
        <f>VLOOKUP(M500,Sheet9!$I$1:$J$17,2,FALSE)</f>
        <v>14</v>
      </c>
      <c r="C500">
        <f>VLOOKUP(N500,Sheet9!$M$1:$N$2,2,FALSE)</f>
        <v>1</v>
      </c>
      <c r="D500">
        <v>32</v>
      </c>
      <c r="E500" t="s">
        <v>95</v>
      </c>
      <c r="F500">
        <v>70</v>
      </c>
      <c r="H500">
        <v>3</v>
      </c>
      <c r="I500">
        <v>3</v>
      </c>
      <c r="J500">
        <v>9</v>
      </c>
      <c r="K500">
        <v>1</v>
      </c>
      <c r="L500">
        <v>1.98</v>
      </c>
      <c r="M500" t="s">
        <v>164</v>
      </c>
      <c r="N500" t="s">
        <v>162</v>
      </c>
    </row>
    <row r="501" spans="1:14" x14ac:dyDescent="0.3">
      <c r="A501" t="s">
        <v>164</v>
      </c>
      <c r="B501">
        <f>VLOOKUP(M501,Sheet9!$I$1:$J$17,2,FALSE)</f>
        <v>14</v>
      </c>
      <c r="C501">
        <f>VLOOKUP(N501,Sheet9!$M$1:$N$2,2,FALSE)</f>
        <v>1</v>
      </c>
      <c r="D501">
        <v>32</v>
      </c>
      <c r="E501" t="s">
        <v>95</v>
      </c>
      <c r="F501">
        <v>70</v>
      </c>
      <c r="H501">
        <v>3</v>
      </c>
      <c r="I501">
        <v>5</v>
      </c>
      <c r="J501">
        <v>15</v>
      </c>
      <c r="K501">
        <v>0.9</v>
      </c>
      <c r="L501">
        <v>1.79</v>
      </c>
      <c r="M501" t="s">
        <v>164</v>
      </c>
      <c r="N501" t="s">
        <v>162</v>
      </c>
    </row>
    <row r="502" spans="1:14" x14ac:dyDescent="0.3">
      <c r="A502" t="s">
        <v>164</v>
      </c>
      <c r="B502">
        <f>VLOOKUP(M502,Sheet9!$I$1:$J$17,2,FALSE)</f>
        <v>14</v>
      </c>
      <c r="C502">
        <f>VLOOKUP(N502,Sheet9!$M$1:$N$2,2,FALSE)</f>
        <v>1</v>
      </c>
      <c r="D502">
        <v>32</v>
      </c>
      <c r="E502" t="s">
        <v>95</v>
      </c>
      <c r="F502">
        <v>70</v>
      </c>
      <c r="H502">
        <v>32</v>
      </c>
      <c r="I502">
        <v>0.6</v>
      </c>
      <c r="J502">
        <v>19.2</v>
      </c>
      <c r="K502">
        <v>1.05</v>
      </c>
      <c r="L502">
        <v>2.1</v>
      </c>
      <c r="M502" t="s">
        <v>164</v>
      </c>
      <c r="N502" t="s">
        <v>162</v>
      </c>
    </row>
    <row r="503" spans="1:14" x14ac:dyDescent="0.3">
      <c r="A503" t="s">
        <v>164</v>
      </c>
      <c r="B503">
        <f>VLOOKUP(M503,Sheet9!$I$1:$J$17,2,FALSE)</f>
        <v>14</v>
      </c>
      <c r="C503">
        <f>VLOOKUP(N503,Sheet9!$M$1:$N$2,2,FALSE)</f>
        <v>1</v>
      </c>
      <c r="D503">
        <v>32</v>
      </c>
      <c r="E503" t="s">
        <v>95</v>
      </c>
      <c r="F503">
        <v>70</v>
      </c>
      <c r="H503">
        <v>64</v>
      </c>
      <c r="I503">
        <v>0.6</v>
      </c>
      <c r="J503">
        <v>38.4</v>
      </c>
      <c r="K503">
        <v>0.93</v>
      </c>
      <c r="L503">
        <v>1.87</v>
      </c>
      <c r="M503" t="s">
        <v>164</v>
      </c>
      <c r="N503" t="s">
        <v>162</v>
      </c>
    </row>
    <row r="504" spans="1:14" x14ac:dyDescent="0.3">
      <c r="A504" t="s">
        <v>164</v>
      </c>
      <c r="B504">
        <f>VLOOKUP(M504,Sheet9!$I$1:$J$17,2,FALSE)</f>
        <v>14</v>
      </c>
      <c r="C504">
        <f>VLOOKUP(N504,Sheet9!$M$1:$N$2,2,FALSE)</f>
        <v>1</v>
      </c>
      <c r="D504">
        <v>32</v>
      </c>
      <c r="E504" t="s">
        <v>95</v>
      </c>
      <c r="F504">
        <v>80</v>
      </c>
      <c r="H504">
        <v>1</v>
      </c>
      <c r="I504">
        <v>5</v>
      </c>
      <c r="J504">
        <v>5</v>
      </c>
      <c r="K504">
        <v>1.59</v>
      </c>
      <c r="L504">
        <v>2.96</v>
      </c>
      <c r="M504" t="s">
        <v>164</v>
      </c>
      <c r="N504" t="s">
        <v>162</v>
      </c>
    </row>
    <row r="505" spans="1:14" x14ac:dyDescent="0.3">
      <c r="A505" t="s">
        <v>164</v>
      </c>
      <c r="B505">
        <f>VLOOKUP(M505,Sheet9!$I$1:$J$17,2,FALSE)</f>
        <v>14</v>
      </c>
      <c r="C505">
        <f>VLOOKUP(N505,Sheet9!$M$1:$N$2,2,FALSE)</f>
        <v>1</v>
      </c>
      <c r="D505">
        <v>32</v>
      </c>
      <c r="E505" t="s">
        <v>95</v>
      </c>
      <c r="F505">
        <v>80</v>
      </c>
      <c r="H505">
        <v>1</v>
      </c>
      <c r="I505">
        <v>10</v>
      </c>
      <c r="J505">
        <v>10</v>
      </c>
      <c r="K505">
        <v>1.57</v>
      </c>
      <c r="L505">
        <v>2.89</v>
      </c>
      <c r="M505" t="s">
        <v>164</v>
      </c>
      <c r="N505" t="s">
        <v>162</v>
      </c>
    </row>
    <row r="506" spans="1:14" x14ac:dyDescent="0.3">
      <c r="A506" t="s">
        <v>164</v>
      </c>
      <c r="B506">
        <f>VLOOKUP(M506,Sheet9!$I$1:$J$17,2,FALSE)</f>
        <v>14</v>
      </c>
      <c r="C506">
        <f>VLOOKUP(N506,Sheet9!$M$1:$N$2,2,FALSE)</f>
        <v>1</v>
      </c>
      <c r="D506">
        <v>32</v>
      </c>
      <c r="E506" t="s">
        <v>95</v>
      </c>
      <c r="F506">
        <v>80</v>
      </c>
      <c r="H506">
        <v>3</v>
      </c>
      <c r="I506">
        <v>3</v>
      </c>
      <c r="J506">
        <v>9</v>
      </c>
      <c r="K506">
        <v>1.74</v>
      </c>
      <c r="L506">
        <v>3.21</v>
      </c>
      <c r="M506" t="s">
        <v>164</v>
      </c>
      <c r="N506" t="s">
        <v>162</v>
      </c>
    </row>
    <row r="507" spans="1:14" x14ac:dyDescent="0.3">
      <c r="A507" t="s">
        <v>164</v>
      </c>
      <c r="B507">
        <f>VLOOKUP(M507,Sheet9!$I$1:$J$17,2,FALSE)</f>
        <v>14</v>
      </c>
      <c r="C507">
        <f>VLOOKUP(N507,Sheet9!$M$1:$N$2,2,FALSE)</f>
        <v>1</v>
      </c>
      <c r="D507">
        <v>32</v>
      </c>
      <c r="E507" t="s">
        <v>95</v>
      </c>
      <c r="F507">
        <v>80</v>
      </c>
      <c r="H507">
        <v>3</v>
      </c>
      <c r="I507">
        <v>5</v>
      </c>
      <c r="J507">
        <v>15</v>
      </c>
      <c r="K507">
        <v>1.57</v>
      </c>
      <c r="L507">
        <v>2.9</v>
      </c>
      <c r="M507" t="s">
        <v>164</v>
      </c>
      <c r="N507" t="s">
        <v>162</v>
      </c>
    </row>
    <row r="508" spans="1:14" x14ac:dyDescent="0.3">
      <c r="A508" t="s">
        <v>164</v>
      </c>
      <c r="B508">
        <f>VLOOKUP(M508,Sheet9!$I$1:$J$17,2,FALSE)</f>
        <v>14</v>
      </c>
      <c r="C508">
        <f>VLOOKUP(N508,Sheet9!$M$1:$N$2,2,FALSE)</f>
        <v>1</v>
      </c>
      <c r="D508">
        <v>32</v>
      </c>
      <c r="E508" t="s">
        <v>95</v>
      </c>
      <c r="F508">
        <v>80</v>
      </c>
      <c r="H508">
        <v>32</v>
      </c>
      <c r="I508">
        <v>0.6</v>
      </c>
      <c r="J508">
        <v>19.2</v>
      </c>
      <c r="K508">
        <v>1.84</v>
      </c>
      <c r="L508">
        <v>3.39</v>
      </c>
      <c r="M508" t="s">
        <v>164</v>
      </c>
      <c r="N508" t="s">
        <v>162</v>
      </c>
    </row>
    <row r="509" spans="1:14" x14ac:dyDescent="0.3">
      <c r="A509" t="s">
        <v>164</v>
      </c>
      <c r="B509">
        <f>VLOOKUP(M509,Sheet9!$I$1:$J$17,2,FALSE)</f>
        <v>14</v>
      </c>
      <c r="C509">
        <f>VLOOKUP(N509,Sheet9!$M$1:$N$2,2,FALSE)</f>
        <v>1</v>
      </c>
      <c r="D509">
        <v>32</v>
      </c>
      <c r="E509" t="s">
        <v>95</v>
      </c>
      <c r="F509">
        <v>80</v>
      </c>
      <c r="H509">
        <v>64</v>
      </c>
      <c r="I509">
        <v>0.6</v>
      </c>
      <c r="J509">
        <v>38.4</v>
      </c>
      <c r="K509">
        <v>1.63</v>
      </c>
      <c r="L509">
        <v>3.01</v>
      </c>
      <c r="M509" t="s">
        <v>164</v>
      </c>
      <c r="N509" t="s">
        <v>162</v>
      </c>
    </row>
    <row r="510" spans="1:14" x14ac:dyDescent="0.3">
      <c r="A510" t="s">
        <v>164</v>
      </c>
      <c r="B510">
        <f>VLOOKUP(M510,Sheet9!$I$1:$J$17,2,FALSE)</f>
        <v>14</v>
      </c>
      <c r="C510">
        <f>VLOOKUP(N510,Sheet9!$M$1:$N$2,2,FALSE)</f>
        <v>1</v>
      </c>
      <c r="D510">
        <v>32</v>
      </c>
      <c r="E510" t="s">
        <v>95</v>
      </c>
      <c r="F510">
        <v>90</v>
      </c>
      <c r="H510">
        <v>1</v>
      </c>
      <c r="I510">
        <v>5</v>
      </c>
      <c r="J510">
        <v>5</v>
      </c>
      <c r="K510">
        <v>2.46</v>
      </c>
      <c r="L510">
        <v>4.3499999999999996</v>
      </c>
      <c r="M510" t="s">
        <v>164</v>
      </c>
      <c r="N510" t="s">
        <v>162</v>
      </c>
    </row>
    <row r="511" spans="1:14" x14ac:dyDescent="0.3">
      <c r="A511" t="s">
        <v>164</v>
      </c>
      <c r="B511">
        <f>VLOOKUP(M511,Sheet9!$I$1:$J$17,2,FALSE)</f>
        <v>14</v>
      </c>
      <c r="C511">
        <f>VLOOKUP(N511,Sheet9!$M$1:$N$2,2,FALSE)</f>
        <v>1</v>
      </c>
      <c r="D511">
        <v>32</v>
      </c>
      <c r="E511" t="s">
        <v>95</v>
      </c>
      <c r="F511">
        <v>90</v>
      </c>
      <c r="H511">
        <v>1</v>
      </c>
      <c r="I511">
        <v>10</v>
      </c>
      <c r="J511">
        <v>10</v>
      </c>
      <c r="K511">
        <v>2.42</v>
      </c>
      <c r="L511">
        <v>4.25</v>
      </c>
      <c r="M511" t="s">
        <v>164</v>
      </c>
      <c r="N511" t="s">
        <v>162</v>
      </c>
    </row>
    <row r="512" spans="1:14" x14ac:dyDescent="0.3">
      <c r="A512" t="s">
        <v>164</v>
      </c>
      <c r="B512">
        <f>VLOOKUP(M512,Sheet9!$I$1:$J$17,2,FALSE)</f>
        <v>14</v>
      </c>
      <c r="C512">
        <f>VLOOKUP(N512,Sheet9!$M$1:$N$2,2,FALSE)</f>
        <v>1</v>
      </c>
      <c r="D512">
        <v>32</v>
      </c>
      <c r="E512" t="s">
        <v>95</v>
      </c>
      <c r="F512">
        <v>90</v>
      </c>
      <c r="H512">
        <v>3</v>
      </c>
      <c r="I512">
        <v>3</v>
      </c>
      <c r="J512">
        <v>9</v>
      </c>
      <c r="K512">
        <v>2.68</v>
      </c>
      <c r="L512">
        <v>4.72</v>
      </c>
      <c r="M512" t="s">
        <v>164</v>
      </c>
      <c r="N512" t="s">
        <v>162</v>
      </c>
    </row>
    <row r="513" spans="1:14" x14ac:dyDescent="0.3">
      <c r="A513" t="s">
        <v>164</v>
      </c>
      <c r="B513">
        <f>VLOOKUP(M513,Sheet9!$I$1:$J$17,2,FALSE)</f>
        <v>14</v>
      </c>
      <c r="C513">
        <f>VLOOKUP(N513,Sheet9!$M$1:$N$2,2,FALSE)</f>
        <v>1</v>
      </c>
      <c r="D513">
        <v>32</v>
      </c>
      <c r="E513" t="s">
        <v>95</v>
      </c>
      <c r="F513">
        <v>90</v>
      </c>
      <c r="H513">
        <v>3</v>
      </c>
      <c r="I513">
        <v>5</v>
      </c>
      <c r="J513">
        <v>15</v>
      </c>
      <c r="K513">
        <v>2.4300000000000002</v>
      </c>
      <c r="L513">
        <v>4.26</v>
      </c>
      <c r="M513" t="s">
        <v>164</v>
      </c>
      <c r="N513" t="s">
        <v>162</v>
      </c>
    </row>
    <row r="514" spans="1:14" x14ac:dyDescent="0.3">
      <c r="A514" t="s">
        <v>164</v>
      </c>
      <c r="B514">
        <f>VLOOKUP(M514,Sheet9!$I$1:$J$17,2,FALSE)</f>
        <v>14</v>
      </c>
      <c r="C514">
        <f>VLOOKUP(N514,Sheet9!$M$1:$N$2,2,FALSE)</f>
        <v>1</v>
      </c>
      <c r="D514">
        <v>32</v>
      </c>
      <c r="E514" t="s">
        <v>95</v>
      </c>
      <c r="F514">
        <v>90</v>
      </c>
      <c r="H514">
        <v>32</v>
      </c>
      <c r="I514">
        <v>0.6</v>
      </c>
      <c r="J514">
        <v>19.2</v>
      </c>
      <c r="K514">
        <v>2.85</v>
      </c>
      <c r="L514">
        <v>4.9800000000000004</v>
      </c>
      <c r="M514" t="s">
        <v>164</v>
      </c>
      <c r="N514" t="s">
        <v>162</v>
      </c>
    </row>
    <row r="515" spans="1:14" x14ac:dyDescent="0.3">
      <c r="A515" t="s">
        <v>164</v>
      </c>
      <c r="B515">
        <f>VLOOKUP(M515,Sheet9!$I$1:$J$17,2,FALSE)</f>
        <v>14</v>
      </c>
      <c r="C515">
        <f>VLOOKUP(N515,Sheet9!$M$1:$N$2,2,FALSE)</f>
        <v>1</v>
      </c>
      <c r="D515">
        <v>32</v>
      </c>
      <c r="E515" t="s">
        <v>95</v>
      </c>
      <c r="F515">
        <v>90</v>
      </c>
      <c r="H515">
        <v>64</v>
      </c>
      <c r="I515">
        <v>0.6</v>
      </c>
      <c r="J515">
        <v>38.4</v>
      </c>
      <c r="K515">
        <v>2.5099999999999998</v>
      </c>
      <c r="L515">
        <v>4.42</v>
      </c>
      <c r="M515" t="s">
        <v>164</v>
      </c>
      <c r="N515" t="s">
        <v>162</v>
      </c>
    </row>
    <row r="516" spans="1:14" x14ac:dyDescent="0.3">
      <c r="A516" t="s">
        <v>164</v>
      </c>
      <c r="B516">
        <f>VLOOKUP(M516,Sheet9!$I$1:$J$17,2,FALSE)</f>
        <v>14</v>
      </c>
      <c r="C516">
        <f>VLOOKUP(N516,Sheet9!$M$1:$N$2,2,FALSE)</f>
        <v>1</v>
      </c>
      <c r="D516">
        <v>32</v>
      </c>
      <c r="E516" t="s">
        <v>95</v>
      </c>
      <c r="F516">
        <v>100</v>
      </c>
      <c r="H516">
        <v>1</v>
      </c>
      <c r="I516">
        <v>5</v>
      </c>
      <c r="J516">
        <v>5</v>
      </c>
      <c r="K516">
        <v>3.49</v>
      </c>
      <c r="L516">
        <v>5.96</v>
      </c>
      <c r="M516" t="s">
        <v>164</v>
      </c>
      <c r="N516" t="s">
        <v>162</v>
      </c>
    </row>
    <row r="517" spans="1:14" x14ac:dyDescent="0.3">
      <c r="A517" t="s">
        <v>164</v>
      </c>
      <c r="B517">
        <f>VLOOKUP(M517,Sheet9!$I$1:$J$17,2,FALSE)</f>
        <v>14</v>
      </c>
      <c r="C517">
        <f>VLOOKUP(N517,Sheet9!$M$1:$N$2,2,FALSE)</f>
        <v>1</v>
      </c>
      <c r="D517">
        <v>32</v>
      </c>
      <c r="E517" t="s">
        <v>95</v>
      </c>
      <c r="F517">
        <v>100</v>
      </c>
      <c r="H517">
        <v>1</v>
      </c>
      <c r="I517">
        <v>10</v>
      </c>
      <c r="J517">
        <v>10</v>
      </c>
      <c r="K517">
        <v>3.43</v>
      </c>
      <c r="L517">
        <v>5.81</v>
      </c>
      <c r="M517" t="s">
        <v>164</v>
      </c>
      <c r="N517" t="s">
        <v>162</v>
      </c>
    </row>
    <row r="518" spans="1:14" x14ac:dyDescent="0.3">
      <c r="A518" t="s">
        <v>164</v>
      </c>
      <c r="B518">
        <f>VLOOKUP(M518,Sheet9!$I$1:$J$17,2,FALSE)</f>
        <v>14</v>
      </c>
      <c r="C518">
        <f>VLOOKUP(N518,Sheet9!$M$1:$N$2,2,FALSE)</f>
        <v>1</v>
      </c>
      <c r="D518">
        <v>32</v>
      </c>
      <c r="E518" t="s">
        <v>95</v>
      </c>
      <c r="F518">
        <v>100</v>
      </c>
      <c r="H518">
        <v>3</v>
      </c>
      <c r="I518">
        <v>3</v>
      </c>
      <c r="J518">
        <v>9</v>
      </c>
      <c r="K518">
        <v>3.82</v>
      </c>
      <c r="L518">
        <v>6.46</v>
      </c>
      <c r="M518" t="s">
        <v>164</v>
      </c>
      <c r="N518" t="s">
        <v>162</v>
      </c>
    </row>
    <row r="519" spans="1:14" x14ac:dyDescent="0.3">
      <c r="A519" t="s">
        <v>164</v>
      </c>
      <c r="B519">
        <f>VLOOKUP(M519,Sheet9!$I$1:$J$17,2,FALSE)</f>
        <v>14</v>
      </c>
      <c r="C519">
        <f>VLOOKUP(N519,Sheet9!$M$1:$N$2,2,FALSE)</f>
        <v>1</v>
      </c>
      <c r="D519">
        <v>32</v>
      </c>
      <c r="E519" t="s">
        <v>95</v>
      </c>
      <c r="F519">
        <v>100</v>
      </c>
      <c r="H519">
        <v>3</v>
      </c>
      <c r="I519">
        <v>5</v>
      </c>
      <c r="J519">
        <v>15</v>
      </c>
      <c r="K519">
        <v>3.45</v>
      </c>
      <c r="L519">
        <v>5.84</v>
      </c>
      <c r="M519" t="s">
        <v>164</v>
      </c>
      <c r="N519" t="s">
        <v>162</v>
      </c>
    </row>
    <row r="520" spans="1:14" x14ac:dyDescent="0.3">
      <c r="A520" t="s">
        <v>164</v>
      </c>
      <c r="B520">
        <f>VLOOKUP(M520,Sheet9!$I$1:$J$17,2,FALSE)</f>
        <v>14</v>
      </c>
      <c r="C520">
        <f>VLOOKUP(N520,Sheet9!$M$1:$N$2,2,FALSE)</f>
        <v>1</v>
      </c>
      <c r="D520">
        <v>32</v>
      </c>
      <c r="E520" t="s">
        <v>95</v>
      </c>
      <c r="F520">
        <v>100</v>
      </c>
      <c r="H520">
        <v>32</v>
      </c>
      <c r="I520">
        <v>0.6</v>
      </c>
      <c r="J520">
        <v>19.2</v>
      </c>
      <c r="K520">
        <v>4.03</v>
      </c>
      <c r="L520">
        <v>6.82</v>
      </c>
      <c r="M520" t="s">
        <v>164</v>
      </c>
      <c r="N520" t="s">
        <v>162</v>
      </c>
    </row>
    <row r="521" spans="1:14" x14ac:dyDescent="0.3">
      <c r="A521" t="s">
        <v>164</v>
      </c>
      <c r="B521">
        <f>VLOOKUP(M521,Sheet9!$I$1:$J$17,2,FALSE)</f>
        <v>14</v>
      </c>
      <c r="C521">
        <f>VLOOKUP(N521,Sheet9!$M$1:$N$2,2,FALSE)</f>
        <v>1</v>
      </c>
      <c r="D521">
        <v>32</v>
      </c>
      <c r="E521" t="s">
        <v>95</v>
      </c>
      <c r="F521">
        <v>100</v>
      </c>
      <c r="H521">
        <v>64</v>
      </c>
      <c r="I521">
        <v>0.6</v>
      </c>
      <c r="J521">
        <v>38.4</v>
      </c>
      <c r="K521">
        <v>3.56</v>
      </c>
      <c r="L521">
        <v>6.06</v>
      </c>
      <c r="M521" t="s">
        <v>164</v>
      </c>
      <c r="N521" t="s">
        <v>162</v>
      </c>
    </row>
    <row r="522" spans="1:14" x14ac:dyDescent="0.3">
      <c r="A522" t="s">
        <v>164</v>
      </c>
      <c r="B522">
        <f>VLOOKUP(M522,Sheet9!$I$1:$J$17,2,FALSE)</f>
        <v>14</v>
      </c>
      <c r="C522">
        <f>VLOOKUP(N522,Sheet9!$M$1:$N$2,2,FALSE)</f>
        <v>1</v>
      </c>
      <c r="D522">
        <v>32</v>
      </c>
      <c r="E522" t="s">
        <v>95</v>
      </c>
      <c r="F522">
        <v>110</v>
      </c>
      <c r="H522">
        <v>1</v>
      </c>
      <c r="I522">
        <v>5</v>
      </c>
      <c r="J522">
        <v>5</v>
      </c>
      <c r="K522">
        <v>4.6900000000000004</v>
      </c>
      <c r="L522">
        <v>7.79</v>
      </c>
      <c r="M522" t="s">
        <v>164</v>
      </c>
      <c r="N522" t="s">
        <v>162</v>
      </c>
    </row>
    <row r="523" spans="1:14" x14ac:dyDescent="0.3">
      <c r="A523" t="s">
        <v>164</v>
      </c>
      <c r="B523">
        <f>VLOOKUP(M523,Sheet9!$I$1:$J$17,2,FALSE)</f>
        <v>14</v>
      </c>
      <c r="C523">
        <f>VLOOKUP(N523,Sheet9!$M$1:$N$2,2,FALSE)</f>
        <v>1</v>
      </c>
      <c r="D523">
        <v>32</v>
      </c>
      <c r="E523" t="s">
        <v>95</v>
      </c>
      <c r="F523">
        <v>110</v>
      </c>
      <c r="H523">
        <v>1</v>
      </c>
      <c r="I523">
        <v>10</v>
      </c>
      <c r="J523">
        <v>10</v>
      </c>
      <c r="K523">
        <v>4.58</v>
      </c>
      <c r="L523">
        <v>7.59</v>
      </c>
      <c r="M523" t="s">
        <v>164</v>
      </c>
      <c r="N523" t="s">
        <v>162</v>
      </c>
    </row>
    <row r="524" spans="1:14" x14ac:dyDescent="0.3">
      <c r="A524" t="s">
        <v>164</v>
      </c>
      <c r="B524">
        <f>VLOOKUP(M524,Sheet9!$I$1:$J$17,2,FALSE)</f>
        <v>14</v>
      </c>
      <c r="C524">
        <f>VLOOKUP(N524,Sheet9!$M$1:$N$2,2,FALSE)</f>
        <v>1</v>
      </c>
      <c r="D524">
        <v>32</v>
      </c>
      <c r="E524" t="s">
        <v>95</v>
      </c>
      <c r="F524">
        <v>110</v>
      </c>
      <c r="H524">
        <v>3</v>
      </c>
      <c r="I524">
        <v>3</v>
      </c>
      <c r="J524">
        <v>9</v>
      </c>
      <c r="K524">
        <v>5.09</v>
      </c>
      <c r="L524">
        <v>8.44</v>
      </c>
      <c r="M524" t="s">
        <v>164</v>
      </c>
      <c r="N524" t="s">
        <v>162</v>
      </c>
    </row>
    <row r="525" spans="1:14" x14ac:dyDescent="0.3">
      <c r="A525" t="s">
        <v>164</v>
      </c>
      <c r="B525">
        <f>VLOOKUP(M525,Sheet9!$I$1:$J$17,2,FALSE)</f>
        <v>14</v>
      </c>
      <c r="C525">
        <f>VLOOKUP(N525,Sheet9!$M$1:$N$2,2,FALSE)</f>
        <v>1</v>
      </c>
      <c r="D525">
        <v>32</v>
      </c>
      <c r="E525" t="s">
        <v>95</v>
      </c>
      <c r="F525">
        <v>110</v>
      </c>
      <c r="H525">
        <v>3</v>
      </c>
      <c r="I525">
        <v>5</v>
      </c>
      <c r="J525">
        <v>15</v>
      </c>
      <c r="K525">
        <v>4.62</v>
      </c>
      <c r="L525">
        <v>7.62</v>
      </c>
      <c r="M525" t="s">
        <v>164</v>
      </c>
      <c r="N525" t="s">
        <v>162</v>
      </c>
    </row>
    <row r="526" spans="1:14" x14ac:dyDescent="0.3">
      <c r="A526" t="s">
        <v>164</v>
      </c>
      <c r="B526">
        <f>VLOOKUP(M526,Sheet9!$I$1:$J$17,2,FALSE)</f>
        <v>14</v>
      </c>
      <c r="C526">
        <f>VLOOKUP(N526,Sheet9!$M$1:$N$2,2,FALSE)</f>
        <v>1</v>
      </c>
      <c r="D526">
        <v>32</v>
      </c>
      <c r="E526" t="s">
        <v>95</v>
      </c>
      <c r="F526">
        <v>110</v>
      </c>
      <c r="H526">
        <v>32</v>
      </c>
      <c r="I526">
        <v>0.6</v>
      </c>
      <c r="J526">
        <v>19.2</v>
      </c>
      <c r="K526">
        <v>5.4</v>
      </c>
      <c r="L526">
        <v>8.91</v>
      </c>
      <c r="M526" t="s">
        <v>164</v>
      </c>
      <c r="N526" t="s">
        <v>162</v>
      </c>
    </row>
    <row r="527" spans="1:14" x14ac:dyDescent="0.3">
      <c r="A527" t="s">
        <v>164</v>
      </c>
      <c r="B527">
        <f>VLOOKUP(M527,Sheet9!$I$1:$J$17,2,FALSE)</f>
        <v>14</v>
      </c>
      <c r="C527">
        <f>VLOOKUP(N527,Sheet9!$M$1:$N$2,2,FALSE)</f>
        <v>1</v>
      </c>
      <c r="D527">
        <v>32</v>
      </c>
      <c r="E527" t="s">
        <v>95</v>
      </c>
      <c r="F527">
        <v>110</v>
      </c>
      <c r="H527">
        <v>64</v>
      </c>
      <c r="I527">
        <v>0.6</v>
      </c>
      <c r="J527">
        <v>38.4</v>
      </c>
      <c r="K527">
        <v>4.7699999999999996</v>
      </c>
      <c r="L527">
        <v>7.9</v>
      </c>
      <c r="M527" t="s">
        <v>164</v>
      </c>
      <c r="N527" t="s">
        <v>162</v>
      </c>
    </row>
    <row r="528" spans="1:14" x14ac:dyDescent="0.3">
      <c r="A528" t="s">
        <v>164</v>
      </c>
      <c r="B528">
        <f>VLOOKUP(M528,Sheet9!$I$1:$J$17,2,FALSE)</f>
        <v>14</v>
      </c>
      <c r="C528">
        <f>VLOOKUP(N528,Sheet9!$M$1:$N$2,2,FALSE)</f>
        <v>1</v>
      </c>
      <c r="D528">
        <v>32</v>
      </c>
      <c r="E528" t="s">
        <v>95</v>
      </c>
      <c r="F528">
        <v>120</v>
      </c>
      <c r="H528">
        <v>1</v>
      </c>
      <c r="I528">
        <v>5</v>
      </c>
      <c r="J528">
        <v>5</v>
      </c>
      <c r="K528">
        <v>5.98</v>
      </c>
      <c r="L528">
        <v>9.8000000000000007</v>
      </c>
      <c r="M528" t="s">
        <v>164</v>
      </c>
      <c r="N528" t="s">
        <v>162</v>
      </c>
    </row>
    <row r="529" spans="1:14" x14ac:dyDescent="0.3">
      <c r="A529" t="s">
        <v>164</v>
      </c>
      <c r="B529">
        <f>VLOOKUP(M529,Sheet9!$I$1:$J$17,2,FALSE)</f>
        <v>14</v>
      </c>
      <c r="C529">
        <f>VLOOKUP(N529,Sheet9!$M$1:$N$2,2,FALSE)</f>
        <v>1</v>
      </c>
      <c r="D529">
        <v>32</v>
      </c>
      <c r="E529" t="s">
        <v>95</v>
      </c>
      <c r="F529">
        <v>120</v>
      </c>
      <c r="H529">
        <v>1</v>
      </c>
      <c r="I529">
        <v>10</v>
      </c>
      <c r="J529">
        <v>10</v>
      </c>
      <c r="K529">
        <v>5.87</v>
      </c>
      <c r="L529">
        <v>9.5399999999999991</v>
      </c>
      <c r="M529" t="s">
        <v>164</v>
      </c>
      <c r="N529" t="s">
        <v>162</v>
      </c>
    </row>
    <row r="530" spans="1:14" x14ac:dyDescent="0.3">
      <c r="A530" t="s">
        <v>164</v>
      </c>
      <c r="B530">
        <f>VLOOKUP(M530,Sheet9!$I$1:$J$17,2,FALSE)</f>
        <v>14</v>
      </c>
      <c r="C530">
        <f>VLOOKUP(N530,Sheet9!$M$1:$N$2,2,FALSE)</f>
        <v>1</v>
      </c>
      <c r="D530">
        <v>32</v>
      </c>
      <c r="E530" t="s">
        <v>95</v>
      </c>
      <c r="F530">
        <v>120</v>
      </c>
      <c r="H530">
        <v>3</v>
      </c>
      <c r="I530">
        <v>3</v>
      </c>
      <c r="J530">
        <v>9</v>
      </c>
      <c r="K530">
        <v>6.52</v>
      </c>
      <c r="L530">
        <v>10.6</v>
      </c>
      <c r="M530" t="s">
        <v>164</v>
      </c>
      <c r="N530" t="s">
        <v>162</v>
      </c>
    </row>
    <row r="531" spans="1:14" x14ac:dyDescent="0.3">
      <c r="A531" t="s">
        <v>164</v>
      </c>
      <c r="B531">
        <f>VLOOKUP(M531,Sheet9!$I$1:$J$17,2,FALSE)</f>
        <v>14</v>
      </c>
      <c r="C531">
        <f>VLOOKUP(N531,Sheet9!$M$1:$N$2,2,FALSE)</f>
        <v>1</v>
      </c>
      <c r="D531">
        <v>32</v>
      </c>
      <c r="E531" t="s">
        <v>95</v>
      </c>
      <c r="F531">
        <v>120</v>
      </c>
      <c r="H531">
        <v>3</v>
      </c>
      <c r="I531">
        <v>5</v>
      </c>
      <c r="J531">
        <v>15</v>
      </c>
      <c r="K531">
        <v>5.9</v>
      </c>
      <c r="L531">
        <v>9.57</v>
      </c>
      <c r="M531" t="s">
        <v>164</v>
      </c>
      <c r="N531" t="s">
        <v>162</v>
      </c>
    </row>
    <row r="532" spans="1:14" x14ac:dyDescent="0.3">
      <c r="A532" t="s">
        <v>164</v>
      </c>
      <c r="B532">
        <f>VLOOKUP(M532,Sheet9!$I$1:$J$17,2,FALSE)</f>
        <v>14</v>
      </c>
      <c r="C532">
        <f>VLOOKUP(N532,Sheet9!$M$1:$N$2,2,FALSE)</f>
        <v>1</v>
      </c>
      <c r="D532">
        <v>32</v>
      </c>
      <c r="E532" t="s">
        <v>95</v>
      </c>
      <c r="F532">
        <v>120</v>
      </c>
      <c r="H532">
        <v>32</v>
      </c>
      <c r="I532">
        <v>0.6</v>
      </c>
      <c r="J532">
        <v>19.2</v>
      </c>
      <c r="K532">
        <v>6.92</v>
      </c>
      <c r="L532">
        <v>11.19</v>
      </c>
      <c r="M532" t="s">
        <v>164</v>
      </c>
      <c r="N532" t="s">
        <v>162</v>
      </c>
    </row>
    <row r="533" spans="1:14" x14ac:dyDescent="0.3">
      <c r="A533" t="s">
        <v>164</v>
      </c>
      <c r="B533">
        <f>VLOOKUP(M533,Sheet9!$I$1:$J$17,2,FALSE)</f>
        <v>14</v>
      </c>
      <c r="C533">
        <f>VLOOKUP(N533,Sheet9!$M$1:$N$2,2,FALSE)</f>
        <v>1</v>
      </c>
      <c r="D533">
        <v>32</v>
      </c>
      <c r="E533" t="s">
        <v>95</v>
      </c>
      <c r="F533">
        <v>120</v>
      </c>
      <c r="H533">
        <v>64</v>
      </c>
      <c r="I533">
        <v>0.6</v>
      </c>
      <c r="J533">
        <v>38.4</v>
      </c>
      <c r="K533">
        <v>6.11</v>
      </c>
      <c r="L533">
        <v>9.92</v>
      </c>
      <c r="M533" t="s">
        <v>164</v>
      </c>
      <c r="N533" t="s">
        <v>162</v>
      </c>
    </row>
    <row r="534" spans="1:14" x14ac:dyDescent="0.3">
      <c r="A534" t="s">
        <v>164</v>
      </c>
      <c r="B534">
        <f>VLOOKUP(M534,Sheet9!$I$1:$J$17,2,FALSE)</f>
        <v>14</v>
      </c>
      <c r="C534">
        <f>VLOOKUP(N534,Sheet9!$M$1:$N$2,2,FALSE)</f>
        <v>1</v>
      </c>
      <c r="D534">
        <v>32</v>
      </c>
      <c r="E534" t="s">
        <v>95</v>
      </c>
      <c r="F534">
        <v>130</v>
      </c>
      <c r="H534">
        <v>1</v>
      </c>
      <c r="I534">
        <v>5</v>
      </c>
      <c r="J534">
        <v>5</v>
      </c>
      <c r="K534">
        <v>7.41</v>
      </c>
      <c r="L534">
        <v>12</v>
      </c>
      <c r="M534" t="s">
        <v>164</v>
      </c>
      <c r="N534" t="s">
        <v>162</v>
      </c>
    </row>
    <row r="535" spans="1:14" x14ac:dyDescent="0.3">
      <c r="A535" t="s">
        <v>164</v>
      </c>
      <c r="B535">
        <f>VLOOKUP(M535,Sheet9!$I$1:$J$17,2,FALSE)</f>
        <v>14</v>
      </c>
      <c r="C535">
        <f>VLOOKUP(N535,Sheet9!$M$1:$N$2,2,FALSE)</f>
        <v>1</v>
      </c>
      <c r="D535">
        <v>32</v>
      </c>
      <c r="E535" t="s">
        <v>95</v>
      </c>
      <c r="F535">
        <v>130</v>
      </c>
      <c r="H535">
        <v>1</v>
      </c>
      <c r="I535">
        <v>10</v>
      </c>
      <c r="J535">
        <v>10</v>
      </c>
      <c r="K535">
        <v>7.27</v>
      </c>
      <c r="L535">
        <v>11.68</v>
      </c>
      <c r="M535" t="s">
        <v>164</v>
      </c>
      <c r="N535" t="s">
        <v>162</v>
      </c>
    </row>
    <row r="536" spans="1:14" x14ac:dyDescent="0.3">
      <c r="A536" t="s">
        <v>164</v>
      </c>
      <c r="B536">
        <f>VLOOKUP(M536,Sheet9!$I$1:$J$17,2,FALSE)</f>
        <v>14</v>
      </c>
      <c r="C536">
        <f>VLOOKUP(N536,Sheet9!$M$1:$N$2,2,FALSE)</f>
        <v>1</v>
      </c>
      <c r="D536">
        <v>32</v>
      </c>
      <c r="E536" t="s">
        <v>95</v>
      </c>
      <c r="F536">
        <v>130</v>
      </c>
      <c r="H536">
        <v>3</v>
      </c>
      <c r="I536">
        <v>3</v>
      </c>
      <c r="J536">
        <v>9</v>
      </c>
      <c r="K536">
        <v>8.08</v>
      </c>
      <c r="L536">
        <v>12.97</v>
      </c>
      <c r="M536" t="s">
        <v>164</v>
      </c>
      <c r="N536" t="s">
        <v>162</v>
      </c>
    </row>
    <row r="537" spans="1:14" x14ac:dyDescent="0.3">
      <c r="A537" t="s">
        <v>164</v>
      </c>
      <c r="B537">
        <f>VLOOKUP(M537,Sheet9!$I$1:$J$17,2,FALSE)</f>
        <v>14</v>
      </c>
      <c r="C537">
        <f>VLOOKUP(N537,Sheet9!$M$1:$N$2,2,FALSE)</f>
        <v>1</v>
      </c>
      <c r="D537">
        <v>32</v>
      </c>
      <c r="E537" t="s">
        <v>95</v>
      </c>
      <c r="F537">
        <v>130</v>
      </c>
      <c r="H537">
        <v>3</v>
      </c>
      <c r="I537">
        <v>5</v>
      </c>
      <c r="J537">
        <v>15</v>
      </c>
      <c r="K537">
        <v>7.33</v>
      </c>
      <c r="L537">
        <v>1.71</v>
      </c>
      <c r="M537" t="s">
        <v>164</v>
      </c>
      <c r="N537" t="s">
        <v>162</v>
      </c>
    </row>
    <row r="538" spans="1:14" x14ac:dyDescent="0.3">
      <c r="A538" t="s">
        <v>164</v>
      </c>
      <c r="B538">
        <f>VLOOKUP(M538,Sheet9!$I$1:$J$17,2,FALSE)</f>
        <v>14</v>
      </c>
      <c r="C538">
        <f>VLOOKUP(N538,Sheet9!$M$1:$N$2,2,FALSE)</f>
        <v>1</v>
      </c>
      <c r="D538">
        <v>32</v>
      </c>
      <c r="E538" t="s">
        <v>95</v>
      </c>
      <c r="F538">
        <v>130</v>
      </c>
      <c r="H538">
        <v>32</v>
      </c>
      <c r="I538">
        <v>0.6</v>
      </c>
      <c r="J538">
        <v>19.2</v>
      </c>
      <c r="K538">
        <v>8.56</v>
      </c>
      <c r="L538">
        <v>13.68</v>
      </c>
      <c r="M538" t="s">
        <v>164</v>
      </c>
      <c r="N538" t="s">
        <v>162</v>
      </c>
    </row>
    <row r="539" spans="1:14" x14ac:dyDescent="0.3">
      <c r="A539" t="s">
        <v>164</v>
      </c>
      <c r="B539">
        <f>VLOOKUP(M539,Sheet9!$I$1:$J$17,2,FALSE)</f>
        <v>14</v>
      </c>
      <c r="C539">
        <f>VLOOKUP(N539,Sheet9!$M$1:$N$2,2,FALSE)</f>
        <v>1</v>
      </c>
      <c r="D539">
        <v>32</v>
      </c>
      <c r="E539" t="s">
        <v>95</v>
      </c>
      <c r="F539">
        <v>130</v>
      </c>
      <c r="H539">
        <v>64</v>
      </c>
      <c r="I539">
        <v>0.6</v>
      </c>
      <c r="J539">
        <v>38.4</v>
      </c>
      <c r="K539">
        <v>7.57</v>
      </c>
      <c r="L539">
        <v>12.12</v>
      </c>
      <c r="M539" t="s">
        <v>164</v>
      </c>
      <c r="N539" t="s">
        <v>162</v>
      </c>
    </row>
    <row r="540" spans="1:14" x14ac:dyDescent="0.3">
      <c r="A540" t="s">
        <v>164</v>
      </c>
      <c r="B540">
        <f>VLOOKUP(M540,Sheet9!$I$1:$J$17,2,FALSE)</f>
        <v>14</v>
      </c>
      <c r="C540">
        <f>VLOOKUP(N540,Sheet9!$M$1:$N$2,2,FALSE)</f>
        <v>1</v>
      </c>
      <c r="D540">
        <v>32</v>
      </c>
      <c r="E540" t="s">
        <v>95</v>
      </c>
      <c r="F540">
        <v>140</v>
      </c>
      <c r="H540">
        <v>1</v>
      </c>
      <c r="I540">
        <v>5</v>
      </c>
      <c r="J540">
        <v>5</v>
      </c>
      <c r="K540">
        <v>8.9499999999999993</v>
      </c>
      <c r="L540">
        <v>14.39</v>
      </c>
      <c r="M540" t="s">
        <v>164</v>
      </c>
      <c r="N540" t="s">
        <v>162</v>
      </c>
    </row>
    <row r="541" spans="1:14" x14ac:dyDescent="0.3">
      <c r="A541" t="s">
        <v>164</v>
      </c>
      <c r="B541">
        <f>VLOOKUP(M541,Sheet9!$I$1:$J$17,2,FALSE)</f>
        <v>14</v>
      </c>
      <c r="C541">
        <f>VLOOKUP(N541,Sheet9!$M$1:$N$2,2,FALSE)</f>
        <v>1</v>
      </c>
      <c r="D541">
        <v>32</v>
      </c>
      <c r="E541" t="s">
        <v>95</v>
      </c>
      <c r="F541">
        <v>140</v>
      </c>
      <c r="H541">
        <v>1</v>
      </c>
      <c r="I541">
        <v>10</v>
      </c>
      <c r="J541">
        <v>10</v>
      </c>
      <c r="K541">
        <v>8.77</v>
      </c>
      <c r="L541">
        <v>13.96</v>
      </c>
      <c r="M541" t="s">
        <v>164</v>
      </c>
      <c r="N541" t="s">
        <v>162</v>
      </c>
    </row>
    <row r="542" spans="1:14" x14ac:dyDescent="0.3">
      <c r="A542" t="s">
        <v>164</v>
      </c>
      <c r="B542">
        <f>VLOOKUP(M542,Sheet9!$I$1:$J$17,2,FALSE)</f>
        <v>14</v>
      </c>
      <c r="C542">
        <f>VLOOKUP(N542,Sheet9!$M$1:$N$2,2,FALSE)</f>
        <v>1</v>
      </c>
      <c r="D542">
        <v>32</v>
      </c>
      <c r="E542" t="s">
        <v>95</v>
      </c>
      <c r="F542">
        <v>140</v>
      </c>
      <c r="H542">
        <v>3</v>
      </c>
      <c r="I542">
        <v>3</v>
      </c>
      <c r="J542">
        <v>9</v>
      </c>
      <c r="K542">
        <v>9.75</v>
      </c>
      <c r="L542">
        <v>15.51</v>
      </c>
      <c r="M542" t="s">
        <v>164</v>
      </c>
      <c r="N542" t="s">
        <v>162</v>
      </c>
    </row>
    <row r="543" spans="1:14" x14ac:dyDescent="0.3">
      <c r="A543" t="s">
        <v>164</v>
      </c>
      <c r="B543">
        <f>VLOOKUP(M543,Sheet9!$I$1:$J$17,2,FALSE)</f>
        <v>14</v>
      </c>
      <c r="C543">
        <f>VLOOKUP(N543,Sheet9!$M$1:$N$2,2,FALSE)</f>
        <v>1</v>
      </c>
      <c r="D543">
        <v>32</v>
      </c>
      <c r="E543" t="s">
        <v>95</v>
      </c>
      <c r="F543">
        <v>140</v>
      </c>
      <c r="H543">
        <v>3</v>
      </c>
      <c r="I543">
        <v>5</v>
      </c>
      <c r="J543">
        <v>15</v>
      </c>
      <c r="K543">
        <v>8.83</v>
      </c>
      <c r="L543">
        <v>14</v>
      </c>
      <c r="M543" t="s">
        <v>164</v>
      </c>
      <c r="N543" t="s">
        <v>162</v>
      </c>
    </row>
    <row r="544" spans="1:14" x14ac:dyDescent="0.3">
      <c r="A544" t="s">
        <v>164</v>
      </c>
      <c r="B544">
        <f>VLOOKUP(M544,Sheet9!$I$1:$J$17,2,FALSE)</f>
        <v>14</v>
      </c>
      <c r="C544">
        <f>VLOOKUP(N544,Sheet9!$M$1:$N$2,2,FALSE)</f>
        <v>1</v>
      </c>
      <c r="D544">
        <v>32</v>
      </c>
      <c r="E544" t="s">
        <v>95</v>
      </c>
      <c r="F544">
        <v>140</v>
      </c>
      <c r="H544">
        <v>32</v>
      </c>
      <c r="I544">
        <v>0.6</v>
      </c>
      <c r="J544">
        <v>19.2</v>
      </c>
      <c r="K544">
        <v>10.34</v>
      </c>
      <c r="L544">
        <v>16.350000000000001</v>
      </c>
      <c r="M544" t="s">
        <v>164</v>
      </c>
      <c r="N544" t="s">
        <v>162</v>
      </c>
    </row>
    <row r="545" spans="1:14" x14ac:dyDescent="0.3">
      <c r="A545" t="s">
        <v>164</v>
      </c>
      <c r="B545">
        <f>VLOOKUP(M545,Sheet9!$I$1:$J$17,2,FALSE)</f>
        <v>14</v>
      </c>
      <c r="C545">
        <f>VLOOKUP(N545,Sheet9!$M$1:$N$2,2,FALSE)</f>
        <v>1</v>
      </c>
      <c r="D545">
        <v>32</v>
      </c>
      <c r="E545" t="s">
        <v>95</v>
      </c>
      <c r="F545">
        <v>140</v>
      </c>
      <c r="H545">
        <v>64</v>
      </c>
      <c r="I545">
        <v>0.6</v>
      </c>
      <c r="J545">
        <v>38.4</v>
      </c>
      <c r="K545">
        <v>9.1300000000000008</v>
      </c>
      <c r="L545">
        <v>14.47</v>
      </c>
      <c r="M545" t="s">
        <v>164</v>
      </c>
      <c r="N545" t="s">
        <v>162</v>
      </c>
    </row>
    <row r="546" spans="1:14" x14ac:dyDescent="0.3">
      <c r="A546" t="s">
        <v>164</v>
      </c>
      <c r="B546">
        <f>VLOOKUP(M546,Sheet9!$I$1:$J$17,2,FALSE)</f>
        <v>14</v>
      </c>
      <c r="C546">
        <f>VLOOKUP(N546,Sheet9!$M$1:$N$2,2,FALSE)</f>
        <v>1</v>
      </c>
      <c r="D546">
        <v>32</v>
      </c>
      <c r="E546" t="s">
        <v>95</v>
      </c>
      <c r="F546">
        <v>100</v>
      </c>
      <c r="G546" t="s">
        <v>139</v>
      </c>
      <c r="H546">
        <v>1</v>
      </c>
      <c r="I546">
        <v>5</v>
      </c>
      <c r="J546">
        <v>5</v>
      </c>
      <c r="M546" t="s">
        <v>164</v>
      </c>
      <c r="N546" t="s">
        <v>162</v>
      </c>
    </row>
    <row r="547" spans="1:14" x14ac:dyDescent="0.3">
      <c r="A547" t="s">
        <v>164</v>
      </c>
      <c r="B547">
        <f>VLOOKUP(M547,Sheet9!$I$1:$J$17,2,FALSE)</f>
        <v>14</v>
      </c>
      <c r="C547">
        <f>VLOOKUP(N547,Sheet9!$M$1:$N$2,2,FALSE)</f>
        <v>1</v>
      </c>
      <c r="D547">
        <v>32</v>
      </c>
      <c r="E547" t="s">
        <v>95</v>
      </c>
      <c r="F547">
        <v>100</v>
      </c>
      <c r="G547" t="s">
        <v>139</v>
      </c>
      <c r="H547">
        <v>1</v>
      </c>
      <c r="I547">
        <v>10</v>
      </c>
      <c r="J547">
        <v>10</v>
      </c>
      <c r="M547" t="s">
        <v>164</v>
      </c>
      <c r="N547" t="s">
        <v>162</v>
      </c>
    </row>
    <row r="548" spans="1:14" x14ac:dyDescent="0.3">
      <c r="A548" t="s">
        <v>164</v>
      </c>
      <c r="B548">
        <f>VLOOKUP(M548,Sheet9!$I$1:$J$17,2,FALSE)</f>
        <v>14</v>
      </c>
      <c r="C548">
        <f>VLOOKUP(N548,Sheet9!$M$1:$N$2,2,FALSE)</f>
        <v>1</v>
      </c>
      <c r="D548">
        <v>32</v>
      </c>
      <c r="E548" t="s">
        <v>95</v>
      </c>
      <c r="F548">
        <v>100</v>
      </c>
      <c r="G548" t="s">
        <v>139</v>
      </c>
      <c r="H548">
        <v>3</v>
      </c>
      <c r="I548">
        <v>3</v>
      </c>
      <c r="J548">
        <v>9</v>
      </c>
      <c r="K548">
        <v>0.73</v>
      </c>
      <c r="L548">
        <v>1.1000000000000001</v>
      </c>
      <c r="M548" t="s">
        <v>164</v>
      </c>
      <c r="N548" t="s">
        <v>162</v>
      </c>
    </row>
    <row r="549" spans="1:14" x14ac:dyDescent="0.3">
      <c r="A549" t="s">
        <v>164</v>
      </c>
      <c r="B549">
        <f>VLOOKUP(M549,Sheet9!$I$1:$J$17,2,FALSE)</f>
        <v>14</v>
      </c>
      <c r="C549">
        <f>VLOOKUP(N549,Sheet9!$M$1:$N$2,2,FALSE)</f>
        <v>1</v>
      </c>
      <c r="D549">
        <v>32</v>
      </c>
      <c r="E549" t="s">
        <v>95</v>
      </c>
      <c r="F549">
        <v>100</v>
      </c>
      <c r="G549" t="s">
        <v>139</v>
      </c>
      <c r="H549">
        <v>3</v>
      </c>
      <c r="I549">
        <v>5</v>
      </c>
      <c r="J549">
        <v>15</v>
      </c>
      <c r="K549">
        <v>0.66</v>
      </c>
      <c r="L549">
        <v>1</v>
      </c>
      <c r="M549" t="s">
        <v>164</v>
      </c>
      <c r="N549" t="s">
        <v>162</v>
      </c>
    </row>
    <row r="550" spans="1:14" x14ac:dyDescent="0.3">
      <c r="A550" t="s">
        <v>164</v>
      </c>
      <c r="B550">
        <f>VLOOKUP(M550,Sheet9!$I$1:$J$17,2,FALSE)</f>
        <v>14</v>
      </c>
      <c r="C550">
        <f>VLOOKUP(N550,Sheet9!$M$1:$N$2,2,FALSE)</f>
        <v>1</v>
      </c>
      <c r="D550">
        <v>32</v>
      </c>
      <c r="E550" t="s">
        <v>95</v>
      </c>
      <c r="F550">
        <v>100</v>
      </c>
      <c r="G550" t="s">
        <v>139</v>
      </c>
      <c r="H550">
        <v>32</v>
      </c>
      <c r="I550">
        <v>0.6</v>
      </c>
      <c r="J550">
        <v>19.2</v>
      </c>
      <c r="M550" t="s">
        <v>164</v>
      </c>
      <c r="N550" t="s">
        <v>162</v>
      </c>
    </row>
    <row r="551" spans="1:14" x14ac:dyDescent="0.3">
      <c r="A551" t="s">
        <v>164</v>
      </c>
      <c r="B551">
        <f>VLOOKUP(M551,Sheet9!$I$1:$J$17,2,FALSE)</f>
        <v>14</v>
      </c>
      <c r="C551">
        <f>VLOOKUP(N551,Sheet9!$M$1:$N$2,2,FALSE)</f>
        <v>1</v>
      </c>
      <c r="D551">
        <v>32</v>
      </c>
      <c r="E551" t="s">
        <v>95</v>
      </c>
      <c r="F551">
        <v>100</v>
      </c>
      <c r="G551" t="s">
        <v>139</v>
      </c>
      <c r="H551">
        <v>64</v>
      </c>
      <c r="I551">
        <v>0.6</v>
      </c>
      <c r="J551">
        <v>38.4</v>
      </c>
      <c r="K551">
        <v>0.69</v>
      </c>
      <c r="L551">
        <v>1.04</v>
      </c>
      <c r="M551" t="s">
        <v>164</v>
      </c>
      <c r="N551" t="s">
        <v>162</v>
      </c>
    </row>
    <row r="552" spans="1:14" x14ac:dyDescent="0.3">
      <c r="A552" t="s">
        <v>164</v>
      </c>
      <c r="B552">
        <f>VLOOKUP(M552,Sheet9!$I$1:$J$17,2,FALSE)</f>
        <v>14</v>
      </c>
      <c r="C552">
        <f>VLOOKUP(N552,Sheet9!$M$1:$N$2,2,FALSE)</f>
        <v>1</v>
      </c>
      <c r="D552">
        <v>32</v>
      </c>
      <c r="E552" t="s">
        <v>95</v>
      </c>
      <c r="F552">
        <v>110</v>
      </c>
      <c r="G552" t="s">
        <v>139</v>
      </c>
      <c r="H552">
        <v>1</v>
      </c>
      <c r="I552">
        <v>5</v>
      </c>
      <c r="J552">
        <v>5</v>
      </c>
      <c r="M552" t="s">
        <v>164</v>
      </c>
      <c r="N552" t="s">
        <v>162</v>
      </c>
    </row>
    <row r="553" spans="1:14" x14ac:dyDescent="0.3">
      <c r="A553" t="s">
        <v>164</v>
      </c>
      <c r="B553">
        <f>VLOOKUP(M553,Sheet9!$I$1:$J$17,2,FALSE)</f>
        <v>14</v>
      </c>
      <c r="C553">
        <f>VLOOKUP(N553,Sheet9!$M$1:$N$2,2,FALSE)</f>
        <v>1</v>
      </c>
      <c r="D553">
        <v>32</v>
      </c>
      <c r="E553" t="s">
        <v>95</v>
      </c>
      <c r="F553">
        <v>110</v>
      </c>
      <c r="G553" t="s">
        <v>139</v>
      </c>
      <c r="H553">
        <v>1</v>
      </c>
      <c r="I553">
        <v>10</v>
      </c>
      <c r="J553">
        <v>10</v>
      </c>
      <c r="M553" t="s">
        <v>164</v>
      </c>
      <c r="N553" t="s">
        <v>162</v>
      </c>
    </row>
    <row r="554" spans="1:14" x14ac:dyDescent="0.3">
      <c r="A554" t="s">
        <v>164</v>
      </c>
      <c r="B554">
        <f>VLOOKUP(M554,Sheet9!$I$1:$J$17,2,FALSE)</f>
        <v>14</v>
      </c>
      <c r="C554">
        <f>VLOOKUP(N554,Sheet9!$M$1:$N$2,2,FALSE)</f>
        <v>1</v>
      </c>
      <c r="D554">
        <v>32</v>
      </c>
      <c r="E554" t="s">
        <v>95</v>
      </c>
      <c r="F554">
        <v>110</v>
      </c>
      <c r="G554" t="s">
        <v>139</v>
      </c>
      <c r="H554">
        <v>3</v>
      </c>
      <c r="I554">
        <v>3</v>
      </c>
      <c r="J554">
        <v>9</v>
      </c>
      <c r="K554">
        <v>1.1599999999999999</v>
      </c>
      <c r="L554">
        <v>1.74</v>
      </c>
      <c r="M554" t="s">
        <v>164</v>
      </c>
      <c r="N554" t="s">
        <v>162</v>
      </c>
    </row>
    <row r="555" spans="1:14" x14ac:dyDescent="0.3">
      <c r="A555" t="s">
        <v>164</v>
      </c>
      <c r="B555">
        <f>VLOOKUP(M555,Sheet9!$I$1:$J$17,2,FALSE)</f>
        <v>14</v>
      </c>
      <c r="C555">
        <f>VLOOKUP(N555,Sheet9!$M$1:$N$2,2,FALSE)</f>
        <v>1</v>
      </c>
      <c r="D555">
        <v>32</v>
      </c>
      <c r="E555" t="s">
        <v>95</v>
      </c>
      <c r="F555">
        <v>110</v>
      </c>
      <c r="G555" t="s">
        <v>139</v>
      </c>
      <c r="H555">
        <v>3</v>
      </c>
      <c r="I555">
        <v>5</v>
      </c>
      <c r="J555">
        <v>15</v>
      </c>
      <c r="K555">
        <v>1.06</v>
      </c>
      <c r="L555">
        <v>1.57</v>
      </c>
      <c r="M555" t="s">
        <v>164</v>
      </c>
      <c r="N555" t="s">
        <v>162</v>
      </c>
    </row>
    <row r="556" spans="1:14" x14ac:dyDescent="0.3">
      <c r="A556" t="s">
        <v>164</v>
      </c>
      <c r="B556">
        <f>VLOOKUP(M556,Sheet9!$I$1:$J$17,2,FALSE)</f>
        <v>14</v>
      </c>
      <c r="C556">
        <f>VLOOKUP(N556,Sheet9!$M$1:$N$2,2,FALSE)</f>
        <v>1</v>
      </c>
      <c r="D556">
        <v>32</v>
      </c>
      <c r="E556" t="s">
        <v>95</v>
      </c>
      <c r="F556">
        <v>110</v>
      </c>
      <c r="G556" t="s">
        <v>139</v>
      </c>
      <c r="H556">
        <v>32</v>
      </c>
      <c r="I556">
        <v>0.6</v>
      </c>
      <c r="J556">
        <v>19.2</v>
      </c>
      <c r="M556" t="s">
        <v>164</v>
      </c>
      <c r="N556" t="s">
        <v>162</v>
      </c>
    </row>
    <row r="557" spans="1:14" x14ac:dyDescent="0.3">
      <c r="A557" t="s">
        <v>164</v>
      </c>
      <c r="B557">
        <f>VLOOKUP(M557,Sheet9!$I$1:$J$17,2,FALSE)</f>
        <v>14</v>
      </c>
      <c r="C557">
        <f>VLOOKUP(N557,Sheet9!$M$1:$N$2,2,FALSE)</f>
        <v>1</v>
      </c>
      <c r="D557">
        <v>32</v>
      </c>
      <c r="E557" t="s">
        <v>95</v>
      </c>
      <c r="F557">
        <v>110</v>
      </c>
      <c r="G557" t="s">
        <v>139</v>
      </c>
      <c r="H557">
        <v>64</v>
      </c>
      <c r="I557">
        <v>0.6</v>
      </c>
      <c r="J557">
        <v>38.4</v>
      </c>
      <c r="K557">
        <v>1.1000000000000001</v>
      </c>
      <c r="L557">
        <v>1.65</v>
      </c>
      <c r="M557" t="s">
        <v>164</v>
      </c>
      <c r="N557" t="s">
        <v>162</v>
      </c>
    </row>
    <row r="558" spans="1:14" x14ac:dyDescent="0.3">
      <c r="A558" t="s">
        <v>164</v>
      </c>
      <c r="B558">
        <f>VLOOKUP(M558,Sheet9!$I$1:$J$17,2,FALSE)</f>
        <v>14</v>
      </c>
      <c r="C558">
        <f>VLOOKUP(N558,Sheet9!$M$1:$N$2,2,FALSE)</f>
        <v>1</v>
      </c>
      <c r="D558">
        <v>32</v>
      </c>
      <c r="E558" t="s">
        <v>95</v>
      </c>
      <c r="F558">
        <v>120</v>
      </c>
      <c r="G558" t="s">
        <v>139</v>
      </c>
      <c r="H558">
        <v>1</v>
      </c>
      <c r="I558">
        <v>5</v>
      </c>
      <c r="J558">
        <v>5</v>
      </c>
      <c r="M558" t="s">
        <v>164</v>
      </c>
      <c r="N558" t="s">
        <v>162</v>
      </c>
    </row>
    <row r="559" spans="1:14" x14ac:dyDescent="0.3">
      <c r="A559" t="s">
        <v>164</v>
      </c>
      <c r="B559">
        <f>VLOOKUP(M559,Sheet9!$I$1:$J$17,2,FALSE)</f>
        <v>14</v>
      </c>
      <c r="C559">
        <f>VLOOKUP(N559,Sheet9!$M$1:$N$2,2,FALSE)</f>
        <v>1</v>
      </c>
      <c r="D559">
        <v>32</v>
      </c>
      <c r="E559" t="s">
        <v>95</v>
      </c>
      <c r="F559">
        <v>120</v>
      </c>
      <c r="G559" t="s">
        <v>139</v>
      </c>
      <c r="H559">
        <v>1</v>
      </c>
      <c r="I559">
        <v>10</v>
      </c>
      <c r="J559">
        <v>10</v>
      </c>
      <c r="M559" t="s">
        <v>164</v>
      </c>
      <c r="N559" t="s">
        <v>162</v>
      </c>
    </row>
    <row r="560" spans="1:14" x14ac:dyDescent="0.3">
      <c r="A560" t="s">
        <v>164</v>
      </c>
      <c r="B560">
        <f>VLOOKUP(M560,Sheet9!$I$1:$J$17,2,FALSE)</f>
        <v>14</v>
      </c>
      <c r="C560">
        <f>VLOOKUP(N560,Sheet9!$M$1:$N$2,2,FALSE)</f>
        <v>1</v>
      </c>
      <c r="D560">
        <v>32</v>
      </c>
      <c r="E560" t="s">
        <v>95</v>
      </c>
      <c r="F560">
        <v>120</v>
      </c>
      <c r="G560" t="s">
        <v>139</v>
      </c>
      <c r="H560">
        <v>3</v>
      </c>
      <c r="I560">
        <v>3</v>
      </c>
      <c r="J560">
        <v>9</v>
      </c>
      <c r="K560">
        <v>1.72</v>
      </c>
      <c r="L560">
        <v>2.54</v>
      </c>
      <c r="M560" t="s">
        <v>164</v>
      </c>
      <c r="N560" t="s">
        <v>162</v>
      </c>
    </row>
    <row r="561" spans="1:14" x14ac:dyDescent="0.3">
      <c r="A561" t="s">
        <v>164</v>
      </c>
      <c r="B561">
        <f>VLOOKUP(M561,Sheet9!$I$1:$J$17,2,FALSE)</f>
        <v>14</v>
      </c>
      <c r="C561">
        <f>VLOOKUP(N561,Sheet9!$M$1:$N$2,2,FALSE)</f>
        <v>1</v>
      </c>
      <c r="D561">
        <v>32</v>
      </c>
      <c r="E561" t="s">
        <v>95</v>
      </c>
      <c r="F561">
        <v>120</v>
      </c>
      <c r="G561" t="s">
        <v>139</v>
      </c>
      <c r="H561">
        <v>3</v>
      </c>
      <c r="I561">
        <v>5</v>
      </c>
      <c r="J561">
        <v>15</v>
      </c>
      <c r="K561">
        <v>1.56</v>
      </c>
      <c r="L561">
        <v>2.2999999999999998</v>
      </c>
      <c r="M561" t="s">
        <v>164</v>
      </c>
      <c r="N561" t="s">
        <v>162</v>
      </c>
    </row>
    <row r="562" spans="1:14" x14ac:dyDescent="0.3">
      <c r="A562" t="s">
        <v>164</v>
      </c>
      <c r="B562">
        <f>VLOOKUP(M562,Sheet9!$I$1:$J$17,2,FALSE)</f>
        <v>14</v>
      </c>
      <c r="C562">
        <f>VLOOKUP(N562,Sheet9!$M$1:$N$2,2,FALSE)</f>
        <v>1</v>
      </c>
      <c r="D562">
        <v>32</v>
      </c>
      <c r="E562" t="s">
        <v>95</v>
      </c>
      <c r="F562">
        <v>120</v>
      </c>
      <c r="G562" t="s">
        <v>139</v>
      </c>
      <c r="H562">
        <v>32</v>
      </c>
      <c r="I562">
        <v>0.6</v>
      </c>
      <c r="J562">
        <v>19.2</v>
      </c>
      <c r="M562" t="s">
        <v>164</v>
      </c>
      <c r="N562" t="s">
        <v>162</v>
      </c>
    </row>
    <row r="563" spans="1:14" x14ac:dyDescent="0.3">
      <c r="A563" t="s">
        <v>164</v>
      </c>
      <c r="B563">
        <f>VLOOKUP(M563,Sheet9!$I$1:$J$17,2,FALSE)</f>
        <v>14</v>
      </c>
      <c r="C563">
        <f>VLOOKUP(N563,Sheet9!$M$1:$N$2,2,FALSE)</f>
        <v>1</v>
      </c>
      <c r="D563">
        <v>32</v>
      </c>
      <c r="E563" t="s">
        <v>95</v>
      </c>
      <c r="F563">
        <v>120</v>
      </c>
      <c r="G563" t="s">
        <v>139</v>
      </c>
      <c r="H563">
        <v>64</v>
      </c>
      <c r="I563">
        <v>0.6</v>
      </c>
      <c r="J563">
        <v>38.4</v>
      </c>
      <c r="K563">
        <v>1.63</v>
      </c>
      <c r="L563">
        <v>2.41</v>
      </c>
      <c r="M563" t="s">
        <v>164</v>
      </c>
      <c r="N563" t="s">
        <v>162</v>
      </c>
    </row>
    <row r="564" spans="1:14" x14ac:dyDescent="0.3">
      <c r="A564" t="s">
        <v>164</v>
      </c>
      <c r="B564">
        <f>VLOOKUP(M564,Sheet9!$I$1:$J$17,2,FALSE)</f>
        <v>14</v>
      </c>
      <c r="C564">
        <f>VLOOKUP(N564,Sheet9!$M$1:$N$2,2,FALSE)</f>
        <v>1</v>
      </c>
      <c r="D564">
        <v>32</v>
      </c>
      <c r="E564" t="s">
        <v>95</v>
      </c>
      <c r="F564">
        <v>130</v>
      </c>
      <c r="G564" t="s">
        <v>139</v>
      </c>
      <c r="H564">
        <v>1</v>
      </c>
      <c r="I564">
        <v>5</v>
      </c>
      <c r="J564">
        <v>5</v>
      </c>
      <c r="M564" t="s">
        <v>164</v>
      </c>
      <c r="N564" t="s">
        <v>162</v>
      </c>
    </row>
    <row r="565" spans="1:14" x14ac:dyDescent="0.3">
      <c r="A565" t="s">
        <v>164</v>
      </c>
      <c r="B565">
        <f>VLOOKUP(M565,Sheet9!$I$1:$J$17,2,FALSE)</f>
        <v>14</v>
      </c>
      <c r="C565">
        <f>VLOOKUP(N565,Sheet9!$M$1:$N$2,2,FALSE)</f>
        <v>1</v>
      </c>
      <c r="D565">
        <v>32</v>
      </c>
      <c r="E565" t="s">
        <v>95</v>
      </c>
      <c r="F565">
        <v>130</v>
      </c>
      <c r="G565" t="s">
        <v>139</v>
      </c>
      <c r="H565">
        <v>1</v>
      </c>
      <c r="I565">
        <v>10</v>
      </c>
      <c r="J565">
        <v>10</v>
      </c>
      <c r="M565" t="s">
        <v>164</v>
      </c>
      <c r="N565" t="s">
        <v>162</v>
      </c>
    </row>
    <row r="566" spans="1:14" x14ac:dyDescent="0.3">
      <c r="A566" t="s">
        <v>164</v>
      </c>
      <c r="B566">
        <f>VLOOKUP(M566,Sheet9!$I$1:$J$17,2,FALSE)</f>
        <v>14</v>
      </c>
      <c r="C566">
        <f>VLOOKUP(N566,Sheet9!$M$1:$N$2,2,FALSE)</f>
        <v>1</v>
      </c>
      <c r="D566">
        <v>32</v>
      </c>
      <c r="E566" t="s">
        <v>95</v>
      </c>
      <c r="F566">
        <v>130</v>
      </c>
      <c r="G566" t="s">
        <v>139</v>
      </c>
      <c r="H566">
        <v>3</v>
      </c>
      <c r="I566">
        <v>3</v>
      </c>
      <c r="J566">
        <v>9</v>
      </c>
      <c r="K566">
        <v>2.39</v>
      </c>
      <c r="L566">
        <v>3.53</v>
      </c>
      <c r="M566" t="s">
        <v>164</v>
      </c>
      <c r="N566" t="s">
        <v>162</v>
      </c>
    </row>
    <row r="567" spans="1:14" x14ac:dyDescent="0.3">
      <c r="A567" t="s">
        <v>164</v>
      </c>
      <c r="B567">
        <f>VLOOKUP(M567,Sheet9!$I$1:$J$17,2,FALSE)</f>
        <v>14</v>
      </c>
      <c r="C567">
        <f>VLOOKUP(N567,Sheet9!$M$1:$N$2,2,FALSE)</f>
        <v>1</v>
      </c>
      <c r="D567">
        <v>32</v>
      </c>
      <c r="E567" t="s">
        <v>95</v>
      </c>
      <c r="F567">
        <v>130</v>
      </c>
      <c r="G567" t="s">
        <v>139</v>
      </c>
      <c r="H567">
        <v>3</v>
      </c>
      <c r="I567">
        <v>5</v>
      </c>
      <c r="J567">
        <v>15</v>
      </c>
      <c r="K567">
        <v>2.17</v>
      </c>
      <c r="L567">
        <v>3.19</v>
      </c>
      <c r="M567" t="s">
        <v>164</v>
      </c>
      <c r="N567" t="s">
        <v>162</v>
      </c>
    </row>
    <row r="568" spans="1:14" x14ac:dyDescent="0.3">
      <c r="A568" t="s">
        <v>164</v>
      </c>
      <c r="B568">
        <f>VLOOKUP(M568,Sheet9!$I$1:$J$17,2,FALSE)</f>
        <v>14</v>
      </c>
      <c r="C568">
        <f>VLOOKUP(N568,Sheet9!$M$1:$N$2,2,FALSE)</f>
        <v>1</v>
      </c>
      <c r="D568">
        <v>32</v>
      </c>
      <c r="E568" t="s">
        <v>95</v>
      </c>
      <c r="F568">
        <v>130</v>
      </c>
      <c r="G568" t="s">
        <v>139</v>
      </c>
      <c r="H568">
        <v>32</v>
      </c>
      <c r="I568">
        <v>0.6</v>
      </c>
      <c r="J568">
        <v>19.2</v>
      </c>
      <c r="M568" t="s">
        <v>164</v>
      </c>
      <c r="N568" t="s">
        <v>162</v>
      </c>
    </row>
    <row r="569" spans="1:14" x14ac:dyDescent="0.3">
      <c r="A569" t="s">
        <v>164</v>
      </c>
      <c r="B569">
        <f>VLOOKUP(M569,Sheet9!$I$1:$J$17,2,FALSE)</f>
        <v>14</v>
      </c>
      <c r="C569">
        <f>VLOOKUP(N569,Sheet9!$M$1:$N$2,2,FALSE)</f>
        <v>1</v>
      </c>
      <c r="D569">
        <v>32</v>
      </c>
      <c r="E569" t="s">
        <v>95</v>
      </c>
      <c r="F569">
        <v>130</v>
      </c>
      <c r="G569" t="s">
        <v>139</v>
      </c>
      <c r="H569">
        <v>64</v>
      </c>
      <c r="I569">
        <v>0.6</v>
      </c>
      <c r="J569">
        <v>38.4</v>
      </c>
      <c r="K569">
        <v>2.27</v>
      </c>
      <c r="L569">
        <v>3.34</v>
      </c>
      <c r="M569" t="s">
        <v>164</v>
      </c>
      <c r="N569" t="s">
        <v>162</v>
      </c>
    </row>
    <row r="570" spans="1:14" x14ac:dyDescent="0.3">
      <c r="A570" t="s">
        <v>164</v>
      </c>
      <c r="B570">
        <f>VLOOKUP(M570,Sheet9!$I$1:$J$17,2,FALSE)</f>
        <v>14</v>
      </c>
      <c r="C570">
        <f>VLOOKUP(N570,Sheet9!$M$1:$N$2,2,FALSE)</f>
        <v>1</v>
      </c>
      <c r="D570">
        <v>32</v>
      </c>
      <c r="E570" t="s">
        <v>95</v>
      </c>
      <c r="F570">
        <v>140</v>
      </c>
      <c r="G570" t="s">
        <v>139</v>
      </c>
      <c r="H570">
        <v>1</v>
      </c>
      <c r="I570">
        <v>5</v>
      </c>
      <c r="J570">
        <v>5</v>
      </c>
      <c r="M570" t="s">
        <v>164</v>
      </c>
      <c r="N570" t="s">
        <v>162</v>
      </c>
    </row>
    <row r="571" spans="1:14" x14ac:dyDescent="0.3">
      <c r="A571" t="s">
        <v>164</v>
      </c>
      <c r="B571">
        <f>VLOOKUP(M571,Sheet9!$I$1:$J$17,2,FALSE)</f>
        <v>14</v>
      </c>
      <c r="C571">
        <f>VLOOKUP(N571,Sheet9!$M$1:$N$2,2,FALSE)</f>
        <v>1</v>
      </c>
      <c r="D571">
        <v>32</v>
      </c>
      <c r="E571" t="s">
        <v>95</v>
      </c>
      <c r="F571">
        <v>140</v>
      </c>
      <c r="G571" t="s">
        <v>139</v>
      </c>
      <c r="H571">
        <v>1</v>
      </c>
      <c r="I571">
        <v>10</v>
      </c>
      <c r="J571">
        <v>10</v>
      </c>
      <c r="M571" t="s">
        <v>164</v>
      </c>
      <c r="N571" t="s">
        <v>162</v>
      </c>
    </row>
    <row r="572" spans="1:14" x14ac:dyDescent="0.3">
      <c r="A572" t="s">
        <v>164</v>
      </c>
      <c r="B572">
        <f>VLOOKUP(M572,Sheet9!$I$1:$J$17,2,FALSE)</f>
        <v>14</v>
      </c>
      <c r="C572">
        <f>VLOOKUP(N572,Sheet9!$M$1:$N$2,2,FALSE)</f>
        <v>1</v>
      </c>
      <c r="D572">
        <v>32</v>
      </c>
      <c r="E572" t="s">
        <v>95</v>
      </c>
      <c r="F572">
        <v>140</v>
      </c>
      <c r="G572" t="s">
        <v>139</v>
      </c>
      <c r="H572">
        <v>3</v>
      </c>
      <c r="I572">
        <v>3</v>
      </c>
      <c r="J572">
        <v>9</v>
      </c>
      <c r="K572">
        <v>3.18</v>
      </c>
      <c r="L572">
        <v>4.7</v>
      </c>
      <c r="M572" t="s">
        <v>164</v>
      </c>
      <c r="N572" t="s">
        <v>162</v>
      </c>
    </row>
    <row r="573" spans="1:14" x14ac:dyDescent="0.3">
      <c r="A573" t="s">
        <v>164</v>
      </c>
      <c r="B573">
        <f>VLOOKUP(M573,Sheet9!$I$1:$J$17,2,FALSE)</f>
        <v>14</v>
      </c>
      <c r="C573">
        <f>VLOOKUP(N573,Sheet9!$M$1:$N$2,2,FALSE)</f>
        <v>1</v>
      </c>
      <c r="D573">
        <v>32</v>
      </c>
      <c r="E573" t="s">
        <v>95</v>
      </c>
      <c r="F573">
        <v>140</v>
      </c>
      <c r="G573" t="s">
        <v>139</v>
      </c>
      <c r="H573">
        <v>3</v>
      </c>
      <c r="I573">
        <v>5</v>
      </c>
      <c r="J573">
        <v>15</v>
      </c>
      <c r="K573">
        <v>2.89</v>
      </c>
      <c r="L573">
        <v>4.25</v>
      </c>
      <c r="M573" t="s">
        <v>164</v>
      </c>
      <c r="N573" t="s">
        <v>162</v>
      </c>
    </row>
    <row r="574" spans="1:14" x14ac:dyDescent="0.3">
      <c r="A574" t="s">
        <v>164</v>
      </c>
      <c r="B574">
        <f>VLOOKUP(M574,Sheet9!$I$1:$J$17,2,FALSE)</f>
        <v>14</v>
      </c>
      <c r="C574">
        <f>VLOOKUP(N574,Sheet9!$M$1:$N$2,2,FALSE)</f>
        <v>1</v>
      </c>
      <c r="D574">
        <v>32</v>
      </c>
      <c r="E574" t="s">
        <v>95</v>
      </c>
      <c r="F574">
        <v>140</v>
      </c>
      <c r="G574" t="s">
        <v>139</v>
      </c>
      <c r="H574">
        <v>32</v>
      </c>
      <c r="I574">
        <v>0.6</v>
      </c>
      <c r="J574">
        <v>19.2</v>
      </c>
      <c r="M574" t="s">
        <v>164</v>
      </c>
      <c r="N574" t="s">
        <v>162</v>
      </c>
    </row>
    <row r="575" spans="1:14" x14ac:dyDescent="0.3">
      <c r="A575" t="s">
        <v>164</v>
      </c>
      <c r="B575">
        <f>VLOOKUP(M575,Sheet9!$I$1:$J$17,2,FALSE)</f>
        <v>14</v>
      </c>
      <c r="C575">
        <f>VLOOKUP(N575,Sheet9!$M$1:$N$2,2,FALSE)</f>
        <v>1</v>
      </c>
      <c r="D575">
        <v>32</v>
      </c>
      <c r="E575" t="s">
        <v>95</v>
      </c>
      <c r="F575">
        <v>140</v>
      </c>
      <c r="G575" t="s">
        <v>139</v>
      </c>
      <c r="H575">
        <v>64</v>
      </c>
      <c r="I575">
        <v>0.6</v>
      </c>
      <c r="J575">
        <v>38.4</v>
      </c>
      <c r="K575">
        <v>3.02</v>
      </c>
      <c r="L575">
        <v>4.4400000000000004</v>
      </c>
      <c r="M575" t="s">
        <v>164</v>
      </c>
      <c r="N575" t="s">
        <v>162</v>
      </c>
    </row>
    <row r="576" spans="1:14" x14ac:dyDescent="0.3">
      <c r="A576" t="s">
        <v>164</v>
      </c>
      <c r="B576">
        <f>VLOOKUP(M576,Sheet9!$I$1:$J$17,2,FALSE)</f>
        <v>14</v>
      </c>
      <c r="C576">
        <f>VLOOKUP(N576,Sheet9!$M$1:$N$2,2,FALSE)</f>
        <v>1</v>
      </c>
      <c r="D576">
        <v>32</v>
      </c>
      <c r="E576" t="s">
        <v>96</v>
      </c>
      <c r="F576">
        <v>70</v>
      </c>
      <c r="H576">
        <v>1</v>
      </c>
      <c r="I576">
        <v>5</v>
      </c>
      <c r="J576">
        <v>5</v>
      </c>
      <c r="K576">
        <v>0.79</v>
      </c>
      <c r="L576">
        <v>1.38</v>
      </c>
      <c r="M576" t="s">
        <v>164</v>
      </c>
      <c r="N576" t="s">
        <v>162</v>
      </c>
    </row>
    <row r="577" spans="1:14" x14ac:dyDescent="0.3">
      <c r="A577" t="s">
        <v>164</v>
      </c>
      <c r="B577">
        <f>VLOOKUP(M577,Sheet9!$I$1:$J$17,2,FALSE)</f>
        <v>14</v>
      </c>
      <c r="C577">
        <f>VLOOKUP(N577,Sheet9!$M$1:$N$2,2,FALSE)</f>
        <v>1</v>
      </c>
      <c r="D577">
        <v>32</v>
      </c>
      <c r="E577" t="s">
        <v>96</v>
      </c>
      <c r="F577">
        <v>70</v>
      </c>
      <c r="H577">
        <v>1</v>
      </c>
      <c r="I577">
        <v>10</v>
      </c>
      <c r="J577">
        <v>10</v>
      </c>
      <c r="K577">
        <v>0.79</v>
      </c>
      <c r="L577">
        <v>1.36</v>
      </c>
      <c r="M577" t="s">
        <v>164</v>
      </c>
      <c r="N577" t="s">
        <v>162</v>
      </c>
    </row>
    <row r="578" spans="1:14" x14ac:dyDescent="0.3">
      <c r="A578" t="s">
        <v>164</v>
      </c>
      <c r="B578">
        <f>VLOOKUP(M578,Sheet9!$I$1:$J$17,2,FALSE)</f>
        <v>14</v>
      </c>
      <c r="C578">
        <f>VLOOKUP(N578,Sheet9!$M$1:$N$2,2,FALSE)</f>
        <v>1</v>
      </c>
      <c r="D578">
        <v>32</v>
      </c>
      <c r="E578" t="s">
        <v>96</v>
      </c>
      <c r="F578">
        <v>70</v>
      </c>
      <c r="H578">
        <v>3</v>
      </c>
      <c r="I578">
        <v>3</v>
      </c>
      <c r="J578">
        <v>9</v>
      </c>
      <c r="K578">
        <v>0.86</v>
      </c>
      <c r="L578">
        <v>1.51</v>
      </c>
      <c r="M578" t="s">
        <v>164</v>
      </c>
      <c r="N578" t="s">
        <v>162</v>
      </c>
    </row>
    <row r="579" spans="1:14" x14ac:dyDescent="0.3">
      <c r="A579" t="s">
        <v>164</v>
      </c>
      <c r="B579">
        <f>VLOOKUP(M579,Sheet9!$I$1:$J$17,2,FALSE)</f>
        <v>14</v>
      </c>
      <c r="C579">
        <f>VLOOKUP(N579,Sheet9!$M$1:$N$2,2,FALSE)</f>
        <v>1</v>
      </c>
      <c r="D579">
        <v>32</v>
      </c>
      <c r="E579" t="s">
        <v>96</v>
      </c>
      <c r="F579">
        <v>70</v>
      </c>
      <c r="H579">
        <v>3</v>
      </c>
      <c r="I579">
        <v>5</v>
      </c>
      <c r="J579">
        <v>15</v>
      </c>
      <c r="K579">
        <v>0.79</v>
      </c>
      <c r="L579">
        <v>1.36</v>
      </c>
      <c r="M579" t="s">
        <v>164</v>
      </c>
      <c r="N579" t="s">
        <v>162</v>
      </c>
    </row>
    <row r="580" spans="1:14" x14ac:dyDescent="0.3">
      <c r="A580" t="s">
        <v>164</v>
      </c>
      <c r="B580">
        <f>VLOOKUP(M580,Sheet9!$I$1:$J$17,2,FALSE)</f>
        <v>14</v>
      </c>
      <c r="C580">
        <f>VLOOKUP(N580,Sheet9!$M$1:$N$2,2,FALSE)</f>
        <v>1</v>
      </c>
      <c r="D580">
        <v>32</v>
      </c>
      <c r="E580" t="s">
        <v>96</v>
      </c>
      <c r="F580">
        <v>70</v>
      </c>
      <c r="H580">
        <v>32</v>
      </c>
      <c r="I580">
        <v>0.6</v>
      </c>
      <c r="J580">
        <v>19.2</v>
      </c>
      <c r="K580">
        <v>0.91</v>
      </c>
      <c r="L580">
        <v>1.59</v>
      </c>
      <c r="M580" t="s">
        <v>164</v>
      </c>
      <c r="N580" t="s">
        <v>162</v>
      </c>
    </row>
    <row r="581" spans="1:14" x14ac:dyDescent="0.3">
      <c r="A581" t="s">
        <v>164</v>
      </c>
      <c r="B581">
        <f>VLOOKUP(M581,Sheet9!$I$1:$J$17,2,FALSE)</f>
        <v>14</v>
      </c>
      <c r="C581">
        <f>VLOOKUP(N581,Sheet9!$M$1:$N$2,2,FALSE)</f>
        <v>1</v>
      </c>
      <c r="D581">
        <v>32</v>
      </c>
      <c r="E581" t="s">
        <v>96</v>
      </c>
      <c r="F581">
        <v>70</v>
      </c>
      <c r="H581">
        <v>64</v>
      </c>
      <c r="I581">
        <v>0.6</v>
      </c>
      <c r="J581">
        <v>38.4</v>
      </c>
      <c r="K581">
        <v>0.8</v>
      </c>
      <c r="L581">
        <v>1.41</v>
      </c>
      <c r="M581" t="s">
        <v>164</v>
      </c>
      <c r="N581" t="s">
        <v>162</v>
      </c>
    </row>
    <row r="582" spans="1:14" x14ac:dyDescent="0.3">
      <c r="A582" t="s">
        <v>164</v>
      </c>
      <c r="B582">
        <f>VLOOKUP(M582,Sheet9!$I$1:$J$17,2,FALSE)</f>
        <v>14</v>
      </c>
      <c r="C582">
        <f>VLOOKUP(N582,Sheet9!$M$1:$N$2,2,FALSE)</f>
        <v>1</v>
      </c>
      <c r="D582">
        <v>32</v>
      </c>
      <c r="E582" t="s">
        <v>96</v>
      </c>
      <c r="F582">
        <v>80</v>
      </c>
      <c r="H582">
        <v>1</v>
      </c>
      <c r="I582">
        <v>5</v>
      </c>
      <c r="J582">
        <v>5</v>
      </c>
      <c r="K582">
        <v>1.39</v>
      </c>
      <c r="L582">
        <v>2.2599999999999998</v>
      </c>
      <c r="M582" t="s">
        <v>164</v>
      </c>
      <c r="N582" t="s">
        <v>162</v>
      </c>
    </row>
    <row r="583" spans="1:14" x14ac:dyDescent="0.3">
      <c r="A583" t="s">
        <v>164</v>
      </c>
      <c r="B583">
        <f>VLOOKUP(M583,Sheet9!$I$1:$J$17,2,FALSE)</f>
        <v>14</v>
      </c>
      <c r="C583">
        <f>VLOOKUP(N583,Sheet9!$M$1:$N$2,2,FALSE)</f>
        <v>1</v>
      </c>
      <c r="D583">
        <v>32</v>
      </c>
      <c r="E583" t="s">
        <v>96</v>
      </c>
      <c r="F583">
        <v>80</v>
      </c>
      <c r="H583">
        <v>1</v>
      </c>
      <c r="I583">
        <v>10</v>
      </c>
      <c r="J583">
        <v>10</v>
      </c>
      <c r="K583">
        <v>1.37</v>
      </c>
      <c r="L583">
        <v>2.2200000000000002</v>
      </c>
      <c r="M583" t="s">
        <v>164</v>
      </c>
      <c r="N583" t="s">
        <v>162</v>
      </c>
    </row>
    <row r="584" spans="1:14" x14ac:dyDescent="0.3">
      <c r="A584" t="s">
        <v>164</v>
      </c>
      <c r="B584">
        <f>VLOOKUP(M584,Sheet9!$I$1:$J$17,2,FALSE)</f>
        <v>14</v>
      </c>
      <c r="C584">
        <f>VLOOKUP(N584,Sheet9!$M$1:$N$2,2,FALSE)</f>
        <v>1</v>
      </c>
      <c r="D584">
        <v>32</v>
      </c>
      <c r="E584" t="s">
        <v>96</v>
      </c>
      <c r="F584">
        <v>80</v>
      </c>
      <c r="H584">
        <v>3</v>
      </c>
      <c r="I584">
        <v>3</v>
      </c>
      <c r="J584">
        <v>9</v>
      </c>
      <c r="K584">
        <v>1.52</v>
      </c>
      <c r="L584">
        <v>2.4700000000000002</v>
      </c>
      <c r="M584" t="s">
        <v>164</v>
      </c>
      <c r="N584" t="s">
        <v>162</v>
      </c>
    </row>
    <row r="585" spans="1:14" x14ac:dyDescent="0.3">
      <c r="A585" t="s">
        <v>164</v>
      </c>
      <c r="B585">
        <f>VLOOKUP(M585,Sheet9!$I$1:$J$17,2,FALSE)</f>
        <v>14</v>
      </c>
      <c r="C585">
        <f>VLOOKUP(N585,Sheet9!$M$1:$N$2,2,FALSE)</f>
        <v>1</v>
      </c>
      <c r="D585">
        <v>32</v>
      </c>
      <c r="E585" t="s">
        <v>96</v>
      </c>
      <c r="F585">
        <v>80</v>
      </c>
      <c r="H585">
        <v>3</v>
      </c>
      <c r="I585">
        <v>5</v>
      </c>
      <c r="J585">
        <v>15</v>
      </c>
      <c r="K585">
        <v>1.37</v>
      </c>
      <c r="L585">
        <v>2.23</v>
      </c>
      <c r="M585" t="s">
        <v>164</v>
      </c>
      <c r="N585" t="s">
        <v>162</v>
      </c>
    </row>
    <row r="586" spans="1:14" x14ac:dyDescent="0.3">
      <c r="A586" t="s">
        <v>164</v>
      </c>
      <c r="B586">
        <f>VLOOKUP(M586,Sheet9!$I$1:$J$17,2,FALSE)</f>
        <v>14</v>
      </c>
      <c r="C586">
        <f>VLOOKUP(N586,Sheet9!$M$1:$N$2,2,FALSE)</f>
        <v>1</v>
      </c>
      <c r="D586">
        <v>32</v>
      </c>
      <c r="E586" t="s">
        <v>96</v>
      </c>
      <c r="F586">
        <v>80</v>
      </c>
      <c r="H586">
        <v>32</v>
      </c>
      <c r="I586">
        <v>0.6</v>
      </c>
      <c r="J586">
        <v>19.2</v>
      </c>
      <c r="K586">
        <v>1.61</v>
      </c>
      <c r="L586">
        <v>2.61</v>
      </c>
      <c r="M586" t="s">
        <v>164</v>
      </c>
      <c r="N586" t="s">
        <v>162</v>
      </c>
    </row>
    <row r="587" spans="1:14" x14ac:dyDescent="0.3">
      <c r="A587" t="s">
        <v>164</v>
      </c>
      <c r="B587">
        <f>VLOOKUP(M587,Sheet9!$I$1:$J$17,2,FALSE)</f>
        <v>14</v>
      </c>
      <c r="C587">
        <f>VLOOKUP(N587,Sheet9!$M$1:$N$2,2,FALSE)</f>
        <v>1</v>
      </c>
      <c r="D587">
        <v>32</v>
      </c>
      <c r="E587" t="s">
        <v>96</v>
      </c>
      <c r="F587">
        <v>80</v>
      </c>
      <c r="H587">
        <v>64</v>
      </c>
      <c r="I587">
        <v>0.6</v>
      </c>
      <c r="J587">
        <v>38.4</v>
      </c>
      <c r="K587">
        <v>1.42</v>
      </c>
      <c r="L587">
        <v>2.31</v>
      </c>
      <c r="M587" t="s">
        <v>164</v>
      </c>
      <c r="N587" t="s">
        <v>162</v>
      </c>
    </row>
    <row r="588" spans="1:14" x14ac:dyDescent="0.3">
      <c r="A588" t="s">
        <v>164</v>
      </c>
      <c r="B588">
        <f>VLOOKUP(M588,Sheet9!$I$1:$J$17,2,FALSE)</f>
        <v>14</v>
      </c>
      <c r="C588">
        <f>VLOOKUP(N588,Sheet9!$M$1:$N$2,2,FALSE)</f>
        <v>1</v>
      </c>
      <c r="D588">
        <v>32</v>
      </c>
      <c r="E588" t="s">
        <v>96</v>
      </c>
      <c r="F588">
        <v>90</v>
      </c>
      <c r="H588">
        <v>1</v>
      </c>
      <c r="I588">
        <v>5</v>
      </c>
      <c r="J588">
        <v>5</v>
      </c>
      <c r="K588">
        <v>2.17</v>
      </c>
      <c r="L588">
        <v>3.37</v>
      </c>
      <c r="M588" t="s">
        <v>164</v>
      </c>
      <c r="N588" t="s">
        <v>162</v>
      </c>
    </row>
    <row r="589" spans="1:14" x14ac:dyDescent="0.3">
      <c r="A589" t="s">
        <v>164</v>
      </c>
      <c r="B589">
        <f>VLOOKUP(M589,Sheet9!$I$1:$J$17,2,FALSE)</f>
        <v>14</v>
      </c>
      <c r="C589">
        <f>VLOOKUP(N589,Sheet9!$M$1:$N$2,2,FALSE)</f>
        <v>1</v>
      </c>
      <c r="D589">
        <v>32</v>
      </c>
      <c r="E589" t="s">
        <v>96</v>
      </c>
      <c r="F589">
        <v>90</v>
      </c>
      <c r="H589">
        <v>1</v>
      </c>
      <c r="I589">
        <v>10</v>
      </c>
      <c r="J589">
        <v>10</v>
      </c>
      <c r="K589">
        <v>2.13</v>
      </c>
      <c r="L589">
        <v>3.3</v>
      </c>
      <c r="M589" t="s">
        <v>164</v>
      </c>
      <c r="N589" t="s">
        <v>162</v>
      </c>
    </row>
    <row r="590" spans="1:14" x14ac:dyDescent="0.3">
      <c r="A590" t="s">
        <v>164</v>
      </c>
      <c r="B590">
        <f>VLOOKUP(M590,Sheet9!$I$1:$J$17,2,FALSE)</f>
        <v>14</v>
      </c>
      <c r="C590">
        <f>VLOOKUP(N590,Sheet9!$M$1:$N$2,2,FALSE)</f>
        <v>1</v>
      </c>
      <c r="D590">
        <v>32</v>
      </c>
      <c r="E590" t="s">
        <v>96</v>
      </c>
      <c r="F590">
        <v>90</v>
      </c>
      <c r="H590">
        <v>3</v>
      </c>
      <c r="I590">
        <v>3</v>
      </c>
      <c r="J590">
        <v>9</v>
      </c>
      <c r="K590">
        <v>2.36</v>
      </c>
      <c r="L590">
        <v>3.67</v>
      </c>
      <c r="M590" t="s">
        <v>164</v>
      </c>
      <c r="N590" t="s">
        <v>162</v>
      </c>
    </row>
    <row r="591" spans="1:14" x14ac:dyDescent="0.3">
      <c r="A591" t="s">
        <v>164</v>
      </c>
      <c r="B591">
        <f>VLOOKUP(M591,Sheet9!$I$1:$J$17,2,FALSE)</f>
        <v>14</v>
      </c>
      <c r="C591">
        <f>VLOOKUP(N591,Sheet9!$M$1:$N$2,2,FALSE)</f>
        <v>1</v>
      </c>
      <c r="D591">
        <v>32</v>
      </c>
      <c r="E591" t="s">
        <v>96</v>
      </c>
      <c r="F591">
        <v>90</v>
      </c>
      <c r="H591">
        <v>3</v>
      </c>
      <c r="I591">
        <v>5</v>
      </c>
      <c r="J591">
        <v>15</v>
      </c>
      <c r="K591">
        <v>2.13</v>
      </c>
      <c r="L591">
        <v>3.31</v>
      </c>
      <c r="M591" t="s">
        <v>164</v>
      </c>
      <c r="N591" t="s">
        <v>162</v>
      </c>
    </row>
    <row r="592" spans="1:14" x14ac:dyDescent="0.3">
      <c r="A592" t="s">
        <v>164</v>
      </c>
      <c r="B592">
        <f>VLOOKUP(M592,Sheet9!$I$1:$J$17,2,FALSE)</f>
        <v>14</v>
      </c>
      <c r="C592">
        <f>VLOOKUP(N592,Sheet9!$M$1:$N$2,2,FALSE)</f>
        <v>1</v>
      </c>
      <c r="D592">
        <v>32</v>
      </c>
      <c r="E592" t="s">
        <v>96</v>
      </c>
      <c r="F592">
        <v>90</v>
      </c>
      <c r="H592">
        <v>32</v>
      </c>
      <c r="I592">
        <v>0.6</v>
      </c>
      <c r="J592">
        <v>19.2</v>
      </c>
      <c r="K592">
        <v>2.5</v>
      </c>
      <c r="L592">
        <v>3.87</v>
      </c>
      <c r="M592" t="s">
        <v>164</v>
      </c>
      <c r="N592" t="s">
        <v>162</v>
      </c>
    </row>
    <row r="593" spans="1:14" x14ac:dyDescent="0.3">
      <c r="A593" t="s">
        <v>164</v>
      </c>
      <c r="B593">
        <f>VLOOKUP(M593,Sheet9!$I$1:$J$17,2,FALSE)</f>
        <v>14</v>
      </c>
      <c r="C593">
        <f>VLOOKUP(N593,Sheet9!$M$1:$N$2,2,FALSE)</f>
        <v>1</v>
      </c>
      <c r="D593">
        <v>32</v>
      </c>
      <c r="E593" t="s">
        <v>96</v>
      </c>
      <c r="F593">
        <v>90</v>
      </c>
      <c r="H593">
        <v>64</v>
      </c>
      <c r="I593">
        <v>0.6</v>
      </c>
      <c r="J593">
        <v>38.4</v>
      </c>
      <c r="K593">
        <v>2.2000000000000002</v>
      </c>
      <c r="L593">
        <v>3.43</v>
      </c>
      <c r="M593" t="s">
        <v>164</v>
      </c>
      <c r="N593" t="s">
        <v>162</v>
      </c>
    </row>
    <row r="594" spans="1:14" x14ac:dyDescent="0.3">
      <c r="A594" t="s">
        <v>164</v>
      </c>
      <c r="B594">
        <f>VLOOKUP(M594,Sheet9!$I$1:$J$17,2,FALSE)</f>
        <v>14</v>
      </c>
      <c r="C594">
        <f>VLOOKUP(N594,Sheet9!$M$1:$N$2,2,FALSE)</f>
        <v>1</v>
      </c>
      <c r="D594">
        <v>32</v>
      </c>
      <c r="E594" t="s">
        <v>96</v>
      </c>
      <c r="F594">
        <v>100</v>
      </c>
      <c r="H594">
        <v>1</v>
      </c>
      <c r="I594">
        <v>5</v>
      </c>
      <c r="J594">
        <v>5</v>
      </c>
      <c r="K594">
        <v>3.09</v>
      </c>
      <c r="L594">
        <v>4.66</v>
      </c>
      <c r="M594" t="s">
        <v>164</v>
      </c>
      <c r="N594" t="s">
        <v>162</v>
      </c>
    </row>
    <row r="595" spans="1:14" x14ac:dyDescent="0.3">
      <c r="A595" t="s">
        <v>164</v>
      </c>
      <c r="B595">
        <f>VLOOKUP(M595,Sheet9!$I$1:$J$17,2,FALSE)</f>
        <v>14</v>
      </c>
      <c r="C595">
        <f>VLOOKUP(N595,Sheet9!$M$1:$N$2,2,FALSE)</f>
        <v>1</v>
      </c>
      <c r="D595">
        <v>32</v>
      </c>
      <c r="E595" t="s">
        <v>96</v>
      </c>
      <c r="F595">
        <v>100</v>
      </c>
      <c r="H595">
        <v>1</v>
      </c>
      <c r="I595">
        <v>10</v>
      </c>
      <c r="J595">
        <v>10</v>
      </c>
      <c r="K595">
        <v>3.04</v>
      </c>
      <c r="L595">
        <v>4.57</v>
      </c>
      <c r="M595" t="s">
        <v>164</v>
      </c>
      <c r="N595" t="s">
        <v>162</v>
      </c>
    </row>
    <row r="596" spans="1:14" x14ac:dyDescent="0.3">
      <c r="A596" t="s">
        <v>164</v>
      </c>
      <c r="B596">
        <f>VLOOKUP(M596,Sheet9!$I$1:$J$17,2,FALSE)</f>
        <v>14</v>
      </c>
      <c r="C596">
        <f>VLOOKUP(N596,Sheet9!$M$1:$N$2,2,FALSE)</f>
        <v>1</v>
      </c>
      <c r="D596">
        <v>32</v>
      </c>
      <c r="E596" t="s">
        <v>96</v>
      </c>
      <c r="F596">
        <v>100</v>
      </c>
      <c r="H596">
        <v>3</v>
      </c>
      <c r="I596">
        <v>3</v>
      </c>
      <c r="J596">
        <v>9</v>
      </c>
      <c r="K596">
        <v>3.38</v>
      </c>
      <c r="L596">
        <v>5.08</v>
      </c>
      <c r="M596" t="s">
        <v>164</v>
      </c>
      <c r="N596" t="s">
        <v>162</v>
      </c>
    </row>
    <row r="597" spans="1:14" x14ac:dyDescent="0.3">
      <c r="A597" t="s">
        <v>164</v>
      </c>
      <c r="B597">
        <f>VLOOKUP(M597,Sheet9!$I$1:$J$17,2,FALSE)</f>
        <v>14</v>
      </c>
      <c r="C597">
        <f>VLOOKUP(N597,Sheet9!$M$1:$N$2,2,FALSE)</f>
        <v>1</v>
      </c>
      <c r="D597">
        <v>32</v>
      </c>
      <c r="E597" t="s">
        <v>96</v>
      </c>
      <c r="F597">
        <v>100</v>
      </c>
      <c r="H597">
        <v>3</v>
      </c>
      <c r="I597">
        <v>5</v>
      </c>
      <c r="J597">
        <v>15</v>
      </c>
      <c r="K597">
        <v>3.05</v>
      </c>
      <c r="L597">
        <v>4.58</v>
      </c>
      <c r="M597" t="s">
        <v>164</v>
      </c>
      <c r="N597" t="s">
        <v>162</v>
      </c>
    </row>
    <row r="598" spans="1:14" x14ac:dyDescent="0.3">
      <c r="A598" t="s">
        <v>164</v>
      </c>
      <c r="B598">
        <f>VLOOKUP(M598,Sheet9!$I$1:$J$17,2,FALSE)</f>
        <v>14</v>
      </c>
      <c r="C598">
        <f>VLOOKUP(N598,Sheet9!$M$1:$N$2,2,FALSE)</f>
        <v>1</v>
      </c>
      <c r="D598">
        <v>32</v>
      </c>
      <c r="E598" t="s">
        <v>96</v>
      </c>
      <c r="F598">
        <v>100</v>
      </c>
      <c r="H598">
        <v>32</v>
      </c>
      <c r="I598">
        <v>0.6</v>
      </c>
      <c r="J598">
        <v>19.2</v>
      </c>
      <c r="K598">
        <v>3.57</v>
      </c>
      <c r="L598">
        <v>5.36</v>
      </c>
      <c r="M598" t="s">
        <v>164</v>
      </c>
      <c r="N598" t="s">
        <v>162</v>
      </c>
    </row>
    <row r="599" spans="1:14" x14ac:dyDescent="0.3">
      <c r="A599" t="s">
        <v>164</v>
      </c>
      <c r="B599">
        <f>VLOOKUP(M599,Sheet9!$I$1:$J$17,2,FALSE)</f>
        <v>14</v>
      </c>
      <c r="C599">
        <f>VLOOKUP(N599,Sheet9!$M$1:$N$2,2,FALSE)</f>
        <v>1</v>
      </c>
      <c r="D599">
        <v>32</v>
      </c>
      <c r="E599" t="s">
        <v>96</v>
      </c>
      <c r="F599">
        <v>100</v>
      </c>
      <c r="H599">
        <v>64</v>
      </c>
      <c r="I599">
        <v>0.6</v>
      </c>
      <c r="J599">
        <v>38.4</v>
      </c>
      <c r="K599">
        <v>3.13</v>
      </c>
      <c r="L599">
        <v>4.7300000000000004</v>
      </c>
      <c r="M599" t="s">
        <v>164</v>
      </c>
      <c r="N599" t="s">
        <v>162</v>
      </c>
    </row>
    <row r="600" spans="1:14" x14ac:dyDescent="0.3">
      <c r="A600" t="s">
        <v>164</v>
      </c>
      <c r="B600">
        <f>VLOOKUP(M600,Sheet9!$I$1:$J$17,2,FALSE)</f>
        <v>14</v>
      </c>
      <c r="C600">
        <f>VLOOKUP(N600,Sheet9!$M$1:$N$2,2,FALSE)</f>
        <v>1</v>
      </c>
      <c r="D600">
        <v>32</v>
      </c>
      <c r="E600" t="s">
        <v>96</v>
      </c>
      <c r="F600">
        <v>110</v>
      </c>
      <c r="H600">
        <v>1</v>
      </c>
      <c r="I600">
        <v>5</v>
      </c>
      <c r="J600">
        <v>5</v>
      </c>
      <c r="K600">
        <v>4.1500000000000004</v>
      </c>
      <c r="L600">
        <v>6.14</v>
      </c>
      <c r="M600" t="s">
        <v>164</v>
      </c>
      <c r="N600" t="s">
        <v>162</v>
      </c>
    </row>
    <row r="601" spans="1:14" x14ac:dyDescent="0.3">
      <c r="A601" t="s">
        <v>164</v>
      </c>
      <c r="B601">
        <f>VLOOKUP(M601,Sheet9!$I$1:$J$17,2,FALSE)</f>
        <v>14</v>
      </c>
      <c r="C601">
        <f>VLOOKUP(N601,Sheet9!$M$1:$N$2,2,FALSE)</f>
        <v>1</v>
      </c>
      <c r="D601">
        <v>32</v>
      </c>
      <c r="E601" t="s">
        <v>96</v>
      </c>
      <c r="F601">
        <v>110</v>
      </c>
      <c r="H601">
        <v>1</v>
      </c>
      <c r="I601">
        <v>10</v>
      </c>
      <c r="J601">
        <v>10</v>
      </c>
      <c r="K601">
        <v>4.08</v>
      </c>
      <c r="L601">
        <v>6.01</v>
      </c>
      <c r="M601" t="s">
        <v>164</v>
      </c>
      <c r="N601" t="s">
        <v>162</v>
      </c>
    </row>
    <row r="602" spans="1:14" x14ac:dyDescent="0.3">
      <c r="A602" t="s">
        <v>164</v>
      </c>
      <c r="B602">
        <f>VLOOKUP(M602,Sheet9!$I$1:$J$17,2,FALSE)</f>
        <v>14</v>
      </c>
      <c r="C602">
        <f>VLOOKUP(N602,Sheet9!$M$1:$N$2,2,FALSE)</f>
        <v>1</v>
      </c>
      <c r="D602">
        <v>32</v>
      </c>
      <c r="E602" t="s">
        <v>96</v>
      </c>
      <c r="F602">
        <v>110</v>
      </c>
      <c r="H602">
        <v>3</v>
      </c>
      <c r="I602">
        <v>3</v>
      </c>
      <c r="J602">
        <v>9</v>
      </c>
      <c r="K602">
        <v>4.54</v>
      </c>
      <c r="L602">
        <v>6.68</v>
      </c>
      <c r="M602" t="s">
        <v>164</v>
      </c>
      <c r="N602" t="s">
        <v>162</v>
      </c>
    </row>
    <row r="603" spans="1:14" x14ac:dyDescent="0.3">
      <c r="A603" t="s">
        <v>164</v>
      </c>
      <c r="B603">
        <f>VLOOKUP(M603,Sheet9!$I$1:$J$17,2,FALSE)</f>
        <v>14</v>
      </c>
      <c r="C603">
        <f>VLOOKUP(N603,Sheet9!$M$1:$N$2,2,FALSE)</f>
        <v>1</v>
      </c>
      <c r="D603">
        <v>32</v>
      </c>
      <c r="E603" t="s">
        <v>96</v>
      </c>
      <c r="F603">
        <v>110</v>
      </c>
      <c r="H603">
        <v>3</v>
      </c>
      <c r="I603">
        <v>5</v>
      </c>
      <c r="J603">
        <v>15</v>
      </c>
      <c r="K603">
        <v>4.0999999999999996</v>
      </c>
      <c r="L603">
        <v>6.03</v>
      </c>
      <c r="M603" t="s">
        <v>164</v>
      </c>
      <c r="N603" t="s">
        <v>162</v>
      </c>
    </row>
    <row r="604" spans="1:14" x14ac:dyDescent="0.3">
      <c r="A604" t="s">
        <v>164</v>
      </c>
      <c r="B604">
        <f>VLOOKUP(M604,Sheet9!$I$1:$J$17,2,FALSE)</f>
        <v>14</v>
      </c>
      <c r="C604">
        <f>VLOOKUP(N604,Sheet9!$M$1:$N$2,2,FALSE)</f>
        <v>1</v>
      </c>
      <c r="D604">
        <v>32</v>
      </c>
      <c r="E604" t="s">
        <v>96</v>
      </c>
      <c r="F604">
        <v>110</v>
      </c>
      <c r="H604">
        <v>32</v>
      </c>
      <c r="I604">
        <v>0.6</v>
      </c>
      <c r="J604">
        <v>19.2</v>
      </c>
      <c r="K604">
        <v>4.79</v>
      </c>
      <c r="L604">
        <v>7.04</v>
      </c>
      <c r="M604" t="s">
        <v>164</v>
      </c>
      <c r="N604" t="s">
        <v>162</v>
      </c>
    </row>
    <row r="605" spans="1:14" x14ac:dyDescent="0.3">
      <c r="A605" t="s">
        <v>164</v>
      </c>
      <c r="B605">
        <f>VLOOKUP(M605,Sheet9!$I$1:$J$17,2,FALSE)</f>
        <v>14</v>
      </c>
      <c r="C605">
        <f>VLOOKUP(N605,Sheet9!$M$1:$N$2,2,FALSE)</f>
        <v>1</v>
      </c>
      <c r="D605">
        <v>32</v>
      </c>
      <c r="E605" t="s">
        <v>96</v>
      </c>
      <c r="F605">
        <v>110</v>
      </c>
      <c r="H605">
        <v>64</v>
      </c>
      <c r="I605">
        <v>0.6</v>
      </c>
      <c r="J605">
        <v>38.4</v>
      </c>
      <c r="K605">
        <v>4.22</v>
      </c>
      <c r="L605">
        <v>6.22</v>
      </c>
      <c r="M605" t="s">
        <v>164</v>
      </c>
      <c r="N605" t="s">
        <v>162</v>
      </c>
    </row>
    <row r="606" spans="1:14" x14ac:dyDescent="0.3">
      <c r="A606" t="s">
        <v>164</v>
      </c>
      <c r="B606">
        <f>VLOOKUP(M606,Sheet9!$I$1:$J$17,2,FALSE)</f>
        <v>14</v>
      </c>
      <c r="C606">
        <f>VLOOKUP(N606,Sheet9!$M$1:$N$2,2,FALSE)</f>
        <v>1</v>
      </c>
      <c r="D606">
        <v>32</v>
      </c>
      <c r="E606" t="s">
        <v>96</v>
      </c>
      <c r="F606">
        <v>120</v>
      </c>
      <c r="H606">
        <v>1</v>
      </c>
      <c r="I606">
        <v>5</v>
      </c>
      <c r="J606">
        <v>5</v>
      </c>
      <c r="K606">
        <v>5.35</v>
      </c>
      <c r="L606">
        <v>7.78</v>
      </c>
      <c r="M606" t="s">
        <v>164</v>
      </c>
      <c r="N606" t="s">
        <v>162</v>
      </c>
    </row>
    <row r="607" spans="1:14" x14ac:dyDescent="0.3">
      <c r="A607" t="s">
        <v>164</v>
      </c>
      <c r="B607">
        <f>VLOOKUP(M607,Sheet9!$I$1:$J$17,2,FALSE)</f>
        <v>14</v>
      </c>
      <c r="C607">
        <f>VLOOKUP(N607,Sheet9!$M$1:$N$2,2,FALSE)</f>
        <v>1</v>
      </c>
      <c r="D607">
        <v>32</v>
      </c>
      <c r="E607" t="s">
        <v>96</v>
      </c>
      <c r="F607">
        <v>120</v>
      </c>
      <c r="H607">
        <v>1</v>
      </c>
      <c r="I607">
        <v>10</v>
      </c>
      <c r="J607">
        <v>10</v>
      </c>
      <c r="K607">
        <v>5.25</v>
      </c>
      <c r="L607">
        <v>7.6</v>
      </c>
      <c r="M607" t="s">
        <v>164</v>
      </c>
      <c r="N607" t="s">
        <v>162</v>
      </c>
    </row>
    <row r="608" spans="1:14" x14ac:dyDescent="0.3">
      <c r="A608" t="s">
        <v>164</v>
      </c>
      <c r="B608">
        <f>VLOOKUP(M608,Sheet9!$I$1:$J$17,2,FALSE)</f>
        <v>14</v>
      </c>
      <c r="C608">
        <f>VLOOKUP(N608,Sheet9!$M$1:$N$2,2,FALSE)</f>
        <v>1</v>
      </c>
      <c r="D608">
        <v>32</v>
      </c>
      <c r="E608" t="s">
        <v>96</v>
      </c>
      <c r="F608">
        <v>120</v>
      </c>
      <c r="H608">
        <v>3</v>
      </c>
      <c r="I608">
        <v>3</v>
      </c>
      <c r="J608">
        <v>9</v>
      </c>
      <c r="K608">
        <v>5.83</v>
      </c>
      <c r="L608">
        <v>8.4499999999999993</v>
      </c>
      <c r="M608" t="s">
        <v>164</v>
      </c>
      <c r="N608" t="s">
        <v>162</v>
      </c>
    </row>
    <row r="609" spans="1:14" x14ac:dyDescent="0.3">
      <c r="A609" t="s">
        <v>164</v>
      </c>
      <c r="B609">
        <f>VLOOKUP(M609,Sheet9!$I$1:$J$17,2,FALSE)</f>
        <v>14</v>
      </c>
      <c r="C609">
        <f>VLOOKUP(N609,Sheet9!$M$1:$N$2,2,FALSE)</f>
        <v>1</v>
      </c>
      <c r="D609">
        <v>32</v>
      </c>
      <c r="E609" t="s">
        <v>96</v>
      </c>
      <c r="F609">
        <v>120</v>
      </c>
      <c r="H609">
        <v>3</v>
      </c>
      <c r="I609">
        <v>5</v>
      </c>
      <c r="J609">
        <v>15</v>
      </c>
      <c r="K609">
        <v>5.26</v>
      </c>
      <c r="L609">
        <v>7.62</v>
      </c>
      <c r="M609" t="s">
        <v>164</v>
      </c>
      <c r="N609" t="s">
        <v>162</v>
      </c>
    </row>
    <row r="610" spans="1:14" x14ac:dyDescent="0.3">
      <c r="A610" t="s">
        <v>164</v>
      </c>
      <c r="B610">
        <f>VLOOKUP(M610,Sheet9!$I$1:$J$17,2,FALSE)</f>
        <v>14</v>
      </c>
      <c r="C610">
        <f>VLOOKUP(N610,Sheet9!$M$1:$N$2,2,FALSE)</f>
        <v>1</v>
      </c>
      <c r="D610">
        <v>32</v>
      </c>
      <c r="E610" t="s">
        <v>96</v>
      </c>
      <c r="F610">
        <v>120</v>
      </c>
      <c r="H610">
        <v>32</v>
      </c>
      <c r="I610">
        <v>0.6</v>
      </c>
      <c r="J610">
        <v>19.2</v>
      </c>
      <c r="K610">
        <v>6.17</v>
      </c>
      <c r="L610">
        <v>8.91</v>
      </c>
      <c r="M610" t="s">
        <v>164</v>
      </c>
      <c r="N610" t="s">
        <v>162</v>
      </c>
    </row>
    <row r="611" spans="1:14" x14ac:dyDescent="0.3">
      <c r="A611" t="s">
        <v>164</v>
      </c>
      <c r="B611">
        <f>VLOOKUP(M611,Sheet9!$I$1:$J$17,2,FALSE)</f>
        <v>14</v>
      </c>
      <c r="C611">
        <f>VLOOKUP(N611,Sheet9!$M$1:$N$2,2,FALSE)</f>
        <v>1</v>
      </c>
      <c r="D611">
        <v>32</v>
      </c>
      <c r="E611" t="s">
        <v>96</v>
      </c>
      <c r="F611">
        <v>120</v>
      </c>
      <c r="H611">
        <v>64</v>
      </c>
      <c r="I611">
        <v>0.6</v>
      </c>
      <c r="J611">
        <v>38.4</v>
      </c>
      <c r="K611">
        <v>5.42</v>
      </c>
      <c r="L611">
        <v>7.87</v>
      </c>
      <c r="M611" t="s">
        <v>164</v>
      </c>
      <c r="N611" t="s">
        <v>162</v>
      </c>
    </row>
    <row r="612" spans="1:14" x14ac:dyDescent="0.3">
      <c r="A612" t="s">
        <v>164</v>
      </c>
      <c r="B612">
        <f>VLOOKUP(M612,Sheet9!$I$1:$J$17,2,FALSE)</f>
        <v>14</v>
      </c>
      <c r="C612">
        <f>VLOOKUP(N612,Sheet9!$M$1:$N$2,2,FALSE)</f>
        <v>1</v>
      </c>
      <c r="D612">
        <v>32</v>
      </c>
      <c r="E612" t="s">
        <v>96</v>
      </c>
      <c r="F612">
        <v>130</v>
      </c>
      <c r="H612">
        <v>1</v>
      </c>
      <c r="I612">
        <v>5</v>
      </c>
      <c r="J612">
        <v>5</v>
      </c>
      <c r="K612">
        <v>6.67</v>
      </c>
      <c r="L612">
        <v>9.57</v>
      </c>
      <c r="M612" t="s">
        <v>164</v>
      </c>
      <c r="N612" t="s">
        <v>162</v>
      </c>
    </row>
    <row r="613" spans="1:14" x14ac:dyDescent="0.3">
      <c r="A613" t="s">
        <v>164</v>
      </c>
      <c r="B613">
        <f>VLOOKUP(M613,Sheet9!$I$1:$J$17,2,FALSE)</f>
        <v>14</v>
      </c>
      <c r="C613">
        <f>VLOOKUP(N613,Sheet9!$M$1:$N$2,2,FALSE)</f>
        <v>1</v>
      </c>
      <c r="D613">
        <v>32</v>
      </c>
      <c r="E613" t="s">
        <v>96</v>
      </c>
      <c r="F613">
        <v>130</v>
      </c>
      <c r="H613">
        <v>1</v>
      </c>
      <c r="I613">
        <v>10</v>
      </c>
      <c r="J613">
        <v>10</v>
      </c>
      <c r="K613">
        <v>6.54</v>
      </c>
      <c r="L613">
        <v>9.36</v>
      </c>
      <c r="M613" t="s">
        <v>164</v>
      </c>
      <c r="N613" t="s">
        <v>162</v>
      </c>
    </row>
    <row r="614" spans="1:14" x14ac:dyDescent="0.3">
      <c r="A614" t="s">
        <v>164</v>
      </c>
      <c r="B614">
        <f>VLOOKUP(M614,Sheet9!$I$1:$J$17,2,FALSE)</f>
        <v>14</v>
      </c>
      <c r="C614">
        <f>VLOOKUP(N614,Sheet9!$M$1:$N$2,2,FALSE)</f>
        <v>1</v>
      </c>
      <c r="D614">
        <v>32</v>
      </c>
      <c r="E614" t="s">
        <v>96</v>
      </c>
      <c r="F614">
        <v>130</v>
      </c>
      <c r="H614">
        <v>3</v>
      </c>
      <c r="I614">
        <v>3</v>
      </c>
      <c r="J614">
        <v>9</v>
      </c>
      <c r="K614">
        <v>7.26</v>
      </c>
      <c r="L614">
        <v>10.4</v>
      </c>
      <c r="M614" t="s">
        <v>164</v>
      </c>
      <c r="N614" t="s">
        <v>162</v>
      </c>
    </row>
    <row r="615" spans="1:14" x14ac:dyDescent="0.3">
      <c r="A615" t="s">
        <v>164</v>
      </c>
      <c r="B615">
        <f>VLOOKUP(M615,Sheet9!$I$1:$J$17,2,FALSE)</f>
        <v>14</v>
      </c>
      <c r="C615">
        <f>VLOOKUP(N615,Sheet9!$M$1:$N$2,2,FALSE)</f>
        <v>1</v>
      </c>
      <c r="D615">
        <v>32</v>
      </c>
      <c r="E615" t="s">
        <v>96</v>
      </c>
      <c r="F615">
        <v>130</v>
      </c>
      <c r="H615">
        <v>3</v>
      </c>
      <c r="I615">
        <v>5</v>
      </c>
      <c r="J615">
        <v>15</v>
      </c>
      <c r="K615">
        <v>6.55</v>
      </c>
      <c r="L615">
        <v>9.3699999999999992</v>
      </c>
      <c r="M615" t="s">
        <v>164</v>
      </c>
      <c r="N615" t="s">
        <v>162</v>
      </c>
    </row>
    <row r="616" spans="1:14" x14ac:dyDescent="0.3">
      <c r="A616" t="s">
        <v>164</v>
      </c>
      <c r="B616">
        <f>VLOOKUP(M616,Sheet9!$I$1:$J$17,2,FALSE)</f>
        <v>14</v>
      </c>
      <c r="C616">
        <f>VLOOKUP(N616,Sheet9!$M$1:$N$2,2,FALSE)</f>
        <v>1</v>
      </c>
      <c r="D616">
        <v>32</v>
      </c>
      <c r="E616" t="s">
        <v>96</v>
      </c>
      <c r="F616">
        <v>130</v>
      </c>
      <c r="H616">
        <v>32</v>
      </c>
      <c r="I616">
        <v>0.6</v>
      </c>
      <c r="J616">
        <v>19.2</v>
      </c>
      <c r="K616">
        <v>7.68</v>
      </c>
      <c r="L616">
        <v>10.95</v>
      </c>
      <c r="M616" t="s">
        <v>164</v>
      </c>
      <c r="N616" t="s">
        <v>162</v>
      </c>
    </row>
    <row r="617" spans="1:14" x14ac:dyDescent="0.3">
      <c r="A617" t="s">
        <v>164</v>
      </c>
      <c r="B617">
        <f>VLOOKUP(M617,Sheet9!$I$1:$J$17,2,FALSE)</f>
        <v>14</v>
      </c>
      <c r="C617">
        <f>VLOOKUP(N617,Sheet9!$M$1:$N$2,2,FALSE)</f>
        <v>1</v>
      </c>
      <c r="D617">
        <v>32</v>
      </c>
      <c r="E617" t="s">
        <v>96</v>
      </c>
      <c r="F617">
        <v>130</v>
      </c>
      <c r="H617">
        <v>64</v>
      </c>
      <c r="I617">
        <v>0.6</v>
      </c>
      <c r="J617">
        <v>38.4</v>
      </c>
      <c r="K617">
        <v>6.74</v>
      </c>
      <c r="L617">
        <v>9.66</v>
      </c>
      <c r="M617" t="s">
        <v>164</v>
      </c>
      <c r="N617" t="s">
        <v>162</v>
      </c>
    </row>
    <row r="618" spans="1:14" x14ac:dyDescent="0.3">
      <c r="A618" t="s">
        <v>164</v>
      </c>
      <c r="B618">
        <f>VLOOKUP(M618,Sheet9!$I$1:$J$17,2,FALSE)</f>
        <v>14</v>
      </c>
      <c r="C618">
        <f>VLOOKUP(N618,Sheet9!$M$1:$N$2,2,FALSE)</f>
        <v>1</v>
      </c>
      <c r="D618">
        <v>32</v>
      </c>
      <c r="E618" t="s">
        <v>96</v>
      </c>
      <c r="F618">
        <v>140</v>
      </c>
      <c r="H618">
        <v>1</v>
      </c>
      <c r="I618">
        <v>5</v>
      </c>
      <c r="J618">
        <v>5</v>
      </c>
      <c r="K618">
        <v>8.0299999999999994</v>
      </c>
      <c r="L618">
        <v>11.5</v>
      </c>
      <c r="M618" t="s">
        <v>164</v>
      </c>
      <c r="N618" t="s">
        <v>162</v>
      </c>
    </row>
    <row r="619" spans="1:14" x14ac:dyDescent="0.3">
      <c r="A619" t="s">
        <v>164</v>
      </c>
      <c r="B619">
        <f>VLOOKUP(M619,Sheet9!$I$1:$J$17,2,FALSE)</f>
        <v>14</v>
      </c>
      <c r="C619">
        <f>VLOOKUP(N619,Sheet9!$M$1:$N$2,2,FALSE)</f>
        <v>1</v>
      </c>
      <c r="D619">
        <v>32</v>
      </c>
      <c r="E619" t="s">
        <v>96</v>
      </c>
      <c r="F619">
        <v>140</v>
      </c>
      <c r="H619">
        <v>1</v>
      </c>
      <c r="I619">
        <v>10</v>
      </c>
      <c r="J619">
        <v>10</v>
      </c>
      <c r="K619">
        <v>7.9</v>
      </c>
      <c r="L619">
        <v>11.25</v>
      </c>
      <c r="M619" t="s">
        <v>164</v>
      </c>
      <c r="N619" t="s">
        <v>162</v>
      </c>
    </row>
    <row r="620" spans="1:14" x14ac:dyDescent="0.3">
      <c r="A620" t="s">
        <v>164</v>
      </c>
      <c r="B620">
        <f>VLOOKUP(M620,Sheet9!$I$1:$J$17,2,FALSE)</f>
        <v>14</v>
      </c>
      <c r="C620">
        <f>VLOOKUP(N620,Sheet9!$M$1:$N$2,2,FALSE)</f>
        <v>1</v>
      </c>
      <c r="D620">
        <v>32</v>
      </c>
      <c r="E620" t="s">
        <v>96</v>
      </c>
      <c r="F620">
        <v>140</v>
      </c>
      <c r="H620">
        <v>3</v>
      </c>
      <c r="I620">
        <v>3</v>
      </c>
      <c r="J620">
        <v>9</v>
      </c>
      <c r="K620">
        <v>8.7799999999999994</v>
      </c>
      <c r="L620">
        <v>12.5</v>
      </c>
      <c r="M620" t="s">
        <v>164</v>
      </c>
      <c r="N620" t="s">
        <v>162</v>
      </c>
    </row>
    <row r="621" spans="1:14" x14ac:dyDescent="0.3">
      <c r="A621" t="s">
        <v>164</v>
      </c>
      <c r="B621">
        <f>VLOOKUP(M621,Sheet9!$I$1:$J$17,2,FALSE)</f>
        <v>14</v>
      </c>
      <c r="C621">
        <f>VLOOKUP(N621,Sheet9!$M$1:$N$2,2,FALSE)</f>
        <v>1</v>
      </c>
      <c r="D621">
        <v>32</v>
      </c>
      <c r="E621" t="s">
        <v>96</v>
      </c>
      <c r="F621">
        <v>140</v>
      </c>
      <c r="H621">
        <v>3</v>
      </c>
      <c r="I621">
        <v>5</v>
      </c>
      <c r="J621">
        <v>15</v>
      </c>
      <c r="K621">
        <v>7.93</v>
      </c>
      <c r="L621">
        <v>11.25</v>
      </c>
      <c r="M621" t="s">
        <v>164</v>
      </c>
      <c r="N621" t="s">
        <v>162</v>
      </c>
    </row>
    <row r="622" spans="1:14" x14ac:dyDescent="0.3">
      <c r="A622" t="s">
        <v>164</v>
      </c>
      <c r="B622">
        <f>VLOOKUP(M622,Sheet9!$I$1:$J$17,2,FALSE)</f>
        <v>14</v>
      </c>
      <c r="C622">
        <f>VLOOKUP(N622,Sheet9!$M$1:$N$2,2,FALSE)</f>
        <v>1</v>
      </c>
      <c r="D622">
        <v>32</v>
      </c>
      <c r="E622" t="s">
        <v>96</v>
      </c>
      <c r="F622">
        <v>140</v>
      </c>
      <c r="H622">
        <v>32</v>
      </c>
      <c r="I622">
        <v>0.6</v>
      </c>
      <c r="J622">
        <v>19.2</v>
      </c>
      <c r="K622">
        <v>9.3000000000000007</v>
      </c>
      <c r="L622">
        <v>13.15</v>
      </c>
      <c r="M622" t="s">
        <v>164</v>
      </c>
      <c r="N622" t="s">
        <v>162</v>
      </c>
    </row>
    <row r="623" spans="1:14" x14ac:dyDescent="0.3">
      <c r="A623" t="s">
        <v>164</v>
      </c>
      <c r="B623">
        <f>VLOOKUP(M623,Sheet9!$I$1:$J$17,2,FALSE)</f>
        <v>14</v>
      </c>
      <c r="C623">
        <f>VLOOKUP(N623,Sheet9!$M$1:$N$2,2,FALSE)</f>
        <v>1</v>
      </c>
      <c r="D623">
        <v>32</v>
      </c>
      <c r="E623" t="s">
        <v>96</v>
      </c>
      <c r="F623">
        <v>140</v>
      </c>
      <c r="H623">
        <v>64</v>
      </c>
      <c r="I623">
        <v>0.6</v>
      </c>
      <c r="J623">
        <v>38.4</v>
      </c>
      <c r="K623">
        <v>8.18</v>
      </c>
      <c r="L623">
        <v>11.61</v>
      </c>
      <c r="M623" t="s">
        <v>164</v>
      </c>
      <c r="N623" t="s">
        <v>162</v>
      </c>
    </row>
    <row r="624" spans="1:14" x14ac:dyDescent="0.3">
      <c r="A624" t="s">
        <v>164</v>
      </c>
      <c r="B624">
        <f>VLOOKUP(M624,Sheet9!$I$1:$J$17,2,FALSE)</f>
        <v>14</v>
      </c>
      <c r="C624">
        <f>VLOOKUP(N624,Sheet9!$M$1:$N$2,2,FALSE)</f>
        <v>1</v>
      </c>
      <c r="D624">
        <v>32</v>
      </c>
      <c r="E624" t="s">
        <v>96</v>
      </c>
      <c r="F624">
        <v>100</v>
      </c>
      <c r="G624" t="s">
        <v>139</v>
      </c>
      <c r="H624">
        <v>1</v>
      </c>
      <c r="I624">
        <v>5</v>
      </c>
      <c r="J624">
        <v>5</v>
      </c>
      <c r="M624" t="s">
        <v>164</v>
      </c>
      <c r="N624" t="s">
        <v>162</v>
      </c>
    </row>
    <row r="625" spans="1:14" x14ac:dyDescent="0.3">
      <c r="A625" t="s">
        <v>164</v>
      </c>
      <c r="B625">
        <f>VLOOKUP(M625,Sheet9!$I$1:$J$17,2,FALSE)</f>
        <v>14</v>
      </c>
      <c r="C625">
        <f>VLOOKUP(N625,Sheet9!$M$1:$N$2,2,FALSE)</f>
        <v>1</v>
      </c>
      <c r="D625">
        <v>32</v>
      </c>
      <c r="E625" t="s">
        <v>96</v>
      </c>
      <c r="F625">
        <v>100</v>
      </c>
      <c r="G625" t="s">
        <v>139</v>
      </c>
      <c r="H625">
        <v>1</v>
      </c>
      <c r="I625">
        <v>10</v>
      </c>
      <c r="J625">
        <v>10</v>
      </c>
      <c r="M625" t="s">
        <v>164</v>
      </c>
      <c r="N625" t="s">
        <v>162</v>
      </c>
    </row>
    <row r="626" spans="1:14" x14ac:dyDescent="0.3">
      <c r="A626" t="s">
        <v>164</v>
      </c>
      <c r="B626">
        <f>VLOOKUP(M626,Sheet9!$I$1:$J$17,2,FALSE)</f>
        <v>14</v>
      </c>
      <c r="C626">
        <f>VLOOKUP(N626,Sheet9!$M$1:$N$2,2,FALSE)</f>
        <v>1</v>
      </c>
      <c r="D626">
        <v>32</v>
      </c>
      <c r="E626" t="s">
        <v>96</v>
      </c>
      <c r="F626">
        <v>100</v>
      </c>
      <c r="G626" t="s">
        <v>139</v>
      </c>
      <c r="H626">
        <v>3</v>
      </c>
      <c r="I626">
        <v>3</v>
      </c>
      <c r="J626">
        <v>9</v>
      </c>
      <c r="K626">
        <v>0.66</v>
      </c>
      <c r="L626">
        <v>0.9</v>
      </c>
      <c r="M626" t="s">
        <v>164</v>
      </c>
      <c r="N626" t="s">
        <v>162</v>
      </c>
    </row>
    <row r="627" spans="1:14" x14ac:dyDescent="0.3">
      <c r="A627" t="s">
        <v>164</v>
      </c>
      <c r="B627">
        <f>VLOOKUP(M627,Sheet9!$I$1:$J$17,2,FALSE)</f>
        <v>14</v>
      </c>
      <c r="C627">
        <f>VLOOKUP(N627,Sheet9!$M$1:$N$2,2,FALSE)</f>
        <v>1</v>
      </c>
      <c r="D627">
        <v>32</v>
      </c>
      <c r="E627" t="s">
        <v>96</v>
      </c>
      <c r="F627">
        <v>100</v>
      </c>
      <c r="G627" t="s">
        <v>139</v>
      </c>
      <c r="H627">
        <v>3</v>
      </c>
      <c r="I627">
        <v>5</v>
      </c>
      <c r="J627">
        <v>15</v>
      </c>
      <c r="K627">
        <v>0.59</v>
      </c>
      <c r="L627">
        <v>0.81</v>
      </c>
      <c r="M627" t="s">
        <v>164</v>
      </c>
      <c r="N627" t="s">
        <v>162</v>
      </c>
    </row>
    <row r="628" spans="1:14" x14ac:dyDescent="0.3">
      <c r="A628" t="s">
        <v>164</v>
      </c>
      <c r="B628">
        <f>VLOOKUP(M628,Sheet9!$I$1:$J$17,2,FALSE)</f>
        <v>14</v>
      </c>
      <c r="C628">
        <f>VLOOKUP(N628,Sheet9!$M$1:$N$2,2,FALSE)</f>
        <v>1</v>
      </c>
      <c r="D628">
        <v>32</v>
      </c>
      <c r="E628" t="s">
        <v>96</v>
      </c>
      <c r="F628">
        <v>100</v>
      </c>
      <c r="G628" t="s">
        <v>139</v>
      </c>
      <c r="H628">
        <v>32</v>
      </c>
      <c r="I628">
        <v>0.6</v>
      </c>
      <c r="J628">
        <v>19.2</v>
      </c>
      <c r="M628" t="s">
        <v>164</v>
      </c>
      <c r="N628" t="s">
        <v>162</v>
      </c>
    </row>
    <row r="629" spans="1:14" x14ac:dyDescent="0.3">
      <c r="A629" t="s">
        <v>164</v>
      </c>
      <c r="B629">
        <f>VLOOKUP(M629,Sheet9!$I$1:$J$17,2,FALSE)</f>
        <v>14</v>
      </c>
      <c r="C629">
        <f>VLOOKUP(N629,Sheet9!$M$1:$N$2,2,FALSE)</f>
        <v>1</v>
      </c>
      <c r="D629">
        <v>32</v>
      </c>
      <c r="E629" t="s">
        <v>96</v>
      </c>
      <c r="F629">
        <v>100</v>
      </c>
      <c r="G629" t="s">
        <v>139</v>
      </c>
      <c r="H629">
        <v>64</v>
      </c>
      <c r="I629">
        <v>0.6</v>
      </c>
      <c r="J629">
        <v>38.4</v>
      </c>
      <c r="K629">
        <v>0.62</v>
      </c>
      <c r="L629">
        <v>0.85</v>
      </c>
      <c r="M629" t="s">
        <v>164</v>
      </c>
      <c r="N629" t="s">
        <v>162</v>
      </c>
    </row>
    <row r="630" spans="1:14" x14ac:dyDescent="0.3">
      <c r="A630" t="s">
        <v>164</v>
      </c>
      <c r="B630">
        <f>VLOOKUP(M630,Sheet9!$I$1:$J$17,2,FALSE)</f>
        <v>14</v>
      </c>
      <c r="C630">
        <f>VLOOKUP(N630,Sheet9!$M$1:$N$2,2,FALSE)</f>
        <v>1</v>
      </c>
      <c r="D630">
        <v>32</v>
      </c>
      <c r="E630" t="s">
        <v>96</v>
      </c>
      <c r="F630">
        <v>110</v>
      </c>
      <c r="G630" t="s">
        <v>139</v>
      </c>
      <c r="H630">
        <v>1</v>
      </c>
      <c r="I630">
        <v>5</v>
      </c>
      <c r="J630">
        <v>5</v>
      </c>
      <c r="M630" t="s">
        <v>164</v>
      </c>
      <c r="N630" t="s">
        <v>162</v>
      </c>
    </row>
    <row r="631" spans="1:14" x14ac:dyDescent="0.3">
      <c r="A631" t="s">
        <v>164</v>
      </c>
      <c r="B631">
        <f>VLOOKUP(M631,Sheet9!$I$1:$J$17,2,FALSE)</f>
        <v>14</v>
      </c>
      <c r="C631">
        <f>VLOOKUP(N631,Sheet9!$M$1:$N$2,2,FALSE)</f>
        <v>1</v>
      </c>
      <c r="D631">
        <v>32</v>
      </c>
      <c r="E631" t="s">
        <v>96</v>
      </c>
      <c r="F631">
        <v>110</v>
      </c>
      <c r="G631" t="s">
        <v>139</v>
      </c>
      <c r="H631">
        <v>1</v>
      </c>
      <c r="I631">
        <v>10</v>
      </c>
      <c r="J631">
        <v>10</v>
      </c>
      <c r="M631" t="s">
        <v>164</v>
      </c>
      <c r="N631" t="s">
        <v>162</v>
      </c>
    </row>
    <row r="632" spans="1:14" x14ac:dyDescent="0.3">
      <c r="A632" t="s">
        <v>164</v>
      </c>
      <c r="B632">
        <f>VLOOKUP(M632,Sheet9!$I$1:$J$17,2,FALSE)</f>
        <v>14</v>
      </c>
      <c r="C632">
        <f>VLOOKUP(N632,Sheet9!$M$1:$N$2,2,FALSE)</f>
        <v>1</v>
      </c>
      <c r="D632">
        <v>32</v>
      </c>
      <c r="E632" t="s">
        <v>96</v>
      </c>
      <c r="F632">
        <v>110</v>
      </c>
      <c r="G632" t="s">
        <v>139</v>
      </c>
      <c r="H632">
        <v>3</v>
      </c>
      <c r="I632">
        <v>3</v>
      </c>
      <c r="J632">
        <v>9</v>
      </c>
      <c r="K632">
        <v>1.05</v>
      </c>
      <c r="L632">
        <v>1.42</v>
      </c>
      <c r="M632" t="s">
        <v>164</v>
      </c>
      <c r="N632" t="s">
        <v>162</v>
      </c>
    </row>
    <row r="633" spans="1:14" x14ac:dyDescent="0.3">
      <c r="A633" t="s">
        <v>164</v>
      </c>
      <c r="B633">
        <f>VLOOKUP(M633,Sheet9!$I$1:$J$17,2,FALSE)</f>
        <v>14</v>
      </c>
      <c r="C633">
        <f>VLOOKUP(N633,Sheet9!$M$1:$N$2,2,FALSE)</f>
        <v>1</v>
      </c>
      <c r="D633">
        <v>32</v>
      </c>
      <c r="E633" t="s">
        <v>96</v>
      </c>
      <c r="F633">
        <v>110</v>
      </c>
      <c r="G633" t="s">
        <v>139</v>
      </c>
      <c r="H633">
        <v>3</v>
      </c>
      <c r="I633">
        <v>5</v>
      </c>
      <c r="J633">
        <v>15</v>
      </c>
      <c r="K633">
        <v>0.95</v>
      </c>
      <c r="L633">
        <v>1.29</v>
      </c>
      <c r="M633" t="s">
        <v>164</v>
      </c>
      <c r="N633" t="s">
        <v>162</v>
      </c>
    </row>
    <row r="634" spans="1:14" x14ac:dyDescent="0.3">
      <c r="A634" t="s">
        <v>164</v>
      </c>
      <c r="B634">
        <f>VLOOKUP(M634,Sheet9!$I$1:$J$17,2,FALSE)</f>
        <v>14</v>
      </c>
      <c r="C634">
        <f>VLOOKUP(N634,Sheet9!$M$1:$N$2,2,FALSE)</f>
        <v>1</v>
      </c>
      <c r="D634">
        <v>32</v>
      </c>
      <c r="E634" t="s">
        <v>96</v>
      </c>
      <c r="F634">
        <v>110</v>
      </c>
      <c r="G634" t="s">
        <v>139</v>
      </c>
      <c r="H634">
        <v>32</v>
      </c>
      <c r="I634">
        <v>0.6</v>
      </c>
      <c r="J634">
        <v>19.2</v>
      </c>
      <c r="M634" t="s">
        <v>164</v>
      </c>
      <c r="N634" t="s">
        <v>162</v>
      </c>
    </row>
    <row r="635" spans="1:14" x14ac:dyDescent="0.3">
      <c r="A635" t="s">
        <v>164</v>
      </c>
      <c r="B635">
        <f>VLOOKUP(M635,Sheet9!$I$1:$J$17,2,FALSE)</f>
        <v>14</v>
      </c>
      <c r="C635">
        <f>VLOOKUP(N635,Sheet9!$M$1:$N$2,2,FALSE)</f>
        <v>1</v>
      </c>
      <c r="D635">
        <v>32</v>
      </c>
      <c r="E635" t="s">
        <v>96</v>
      </c>
      <c r="F635">
        <v>110</v>
      </c>
      <c r="G635" t="s">
        <v>139</v>
      </c>
      <c r="H635">
        <v>64</v>
      </c>
      <c r="I635">
        <v>0.6</v>
      </c>
      <c r="J635">
        <v>38.4</v>
      </c>
      <c r="K635">
        <v>0.99</v>
      </c>
      <c r="L635">
        <v>1.34</v>
      </c>
      <c r="M635" t="s">
        <v>164</v>
      </c>
      <c r="N635" t="s">
        <v>162</v>
      </c>
    </row>
    <row r="636" spans="1:14" x14ac:dyDescent="0.3">
      <c r="A636" t="s">
        <v>164</v>
      </c>
      <c r="B636">
        <f>VLOOKUP(M636,Sheet9!$I$1:$J$17,2,FALSE)</f>
        <v>14</v>
      </c>
      <c r="C636">
        <f>VLOOKUP(N636,Sheet9!$M$1:$N$2,2,FALSE)</f>
        <v>1</v>
      </c>
      <c r="D636">
        <v>32</v>
      </c>
      <c r="E636" t="s">
        <v>96</v>
      </c>
      <c r="F636">
        <v>120</v>
      </c>
      <c r="G636" t="s">
        <v>139</v>
      </c>
      <c r="H636">
        <v>1</v>
      </c>
      <c r="I636">
        <v>5</v>
      </c>
      <c r="J636">
        <v>5</v>
      </c>
      <c r="M636" t="s">
        <v>164</v>
      </c>
      <c r="N636" t="s">
        <v>162</v>
      </c>
    </row>
    <row r="637" spans="1:14" x14ac:dyDescent="0.3">
      <c r="A637" t="s">
        <v>164</v>
      </c>
      <c r="B637">
        <f>VLOOKUP(M637,Sheet9!$I$1:$J$17,2,FALSE)</f>
        <v>14</v>
      </c>
      <c r="C637">
        <f>VLOOKUP(N637,Sheet9!$M$1:$N$2,2,FALSE)</f>
        <v>1</v>
      </c>
      <c r="D637">
        <v>32</v>
      </c>
      <c r="E637" t="s">
        <v>96</v>
      </c>
      <c r="F637">
        <v>120</v>
      </c>
      <c r="G637" t="s">
        <v>139</v>
      </c>
      <c r="H637">
        <v>1</v>
      </c>
      <c r="I637">
        <v>10</v>
      </c>
      <c r="J637">
        <v>10</v>
      </c>
      <c r="M637" t="s">
        <v>164</v>
      </c>
      <c r="N637" t="s">
        <v>162</v>
      </c>
    </row>
    <row r="638" spans="1:14" x14ac:dyDescent="0.3">
      <c r="A638" t="s">
        <v>164</v>
      </c>
      <c r="B638">
        <f>VLOOKUP(M638,Sheet9!$I$1:$J$17,2,FALSE)</f>
        <v>14</v>
      </c>
      <c r="C638">
        <f>VLOOKUP(N638,Sheet9!$M$1:$N$2,2,FALSE)</f>
        <v>1</v>
      </c>
      <c r="D638">
        <v>32</v>
      </c>
      <c r="E638" t="s">
        <v>96</v>
      </c>
      <c r="F638">
        <v>120</v>
      </c>
      <c r="G638" t="s">
        <v>139</v>
      </c>
      <c r="H638">
        <v>3</v>
      </c>
      <c r="I638">
        <v>3</v>
      </c>
      <c r="J638">
        <v>9</v>
      </c>
      <c r="K638">
        <v>1.56</v>
      </c>
      <c r="L638">
        <v>2.1</v>
      </c>
      <c r="M638" t="s">
        <v>164</v>
      </c>
      <c r="N638" t="s">
        <v>162</v>
      </c>
    </row>
    <row r="639" spans="1:14" x14ac:dyDescent="0.3">
      <c r="A639" t="s">
        <v>164</v>
      </c>
      <c r="B639">
        <f>VLOOKUP(M639,Sheet9!$I$1:$J$17,2,FALSE)</f>
        <v>14</v>
      </c>
      <c r="C639">
        <f>VLOOKUP(N639,Sheet9!$M$1:$N$2,2,FALSE)</f>
        <v>1</v>
      </c>
      <c r="D639">
        <v>32</v>
      </c>
      <c r="E639" t="s">
        <v>96</v>
      </c>
      <c r="F639">
        <v>120</v>
      </c>
      <c r="G639" t="s">
        <v>139</v>
      </c>
      <c r="H639">
        <v>3</v>
      </c>
      <c r="I639">
        <v>5</v>
      </c>
      <c r="J639">
        <v>15</v>
      </c>
      <c r="K639">
        <v>1.41</v>
      </c>
      <c r="L639">
        <v>1.9</v>
      </c>
      <c r="M639" t="s">
        <v>164</v>
      </c>
      <c r="N639" t="s">
        <v>162</v>
      </c>
    </row>
    <row r="640" spans="1:14" x14ac:dyDescent="0.3">
      <c r="A640" t="s">
        <v>164</v>
      </c>
      <c r="B640">
        <f>VLOOKUP(M640,Sheet9!$I$1:$J$17,2,FALSE)</f>
        <v>14</v>
      </c>
      <c r="C640">
        <f>VLOOKUP(N640,Sheet9!$M$1:$N$2,2,FALSE)</f>
        <v>1</v>
      </c>
      <c r="D640">
        <v>32</v>
      </c>
      <c r="E640" t="s">
        <v>96</v>
      </c>
      <c r="F640">
        <v>120</v>
      </c>
      <c r="G640" t="s">
        <v>139</v>
      </c>
      <c r="H640">
        <v>32</v>
      </c>
      <c r="I640">
        <v>0.6</v>
      </c>
      <c r="J640">
        <v>19.2</v>
      </c>
      <c r="M640" t="s">
        <v>164</v>
      </c>
      <c r="N640" t="s">
        <v>162</v>
      </c>
    </row>
    <row r="641" spans="1:14" x14ac:dyDescent="0.3">
      <c r="A641" t="s">
        <v>164</v>
      </c>
      <c r="B641">
        <f>VLOOKUP(M641,Sheet9!$I$1:$J$17,2,FALSE)</f>
        <v>14</v>
      </c>
      <c r="C641">
        <f>VLOOKUP(N641,Sheet9!$M$1:$N$2,2,FALSE)</f>
        <v>1</v>
      </c>
      <c r="D641">
        <v>32</v>
      </c>
      <c r="E641" t="s">
        <v>96</v>
      </c>
      <c r="F641">
        <v>120</v>
      </c>
      <c r="G641" t="s">
        <v>139</v>
      </c>
      <c r="H641">
        <v>64</v>
      </c>
      <c r="I641">
        <v>0.6</v>
      </c>
      <c r="J641">
        <v>38.4</v>
      </c>
      <c r="K641">
        <v>1.47</v>
      </c>
      <c r="L641">
        <v>1.98</v>
      </c>
      <c r="M641" t="s">
        <v>164</v>
      </c>
      <c r="N641" t="s">
        <v>162</v>
      </c>
    </row>
    <row r="642" spans="1:14" x14ac:dyDescent="0.3">
      <c r="A642" t="s">
        <v>164</v>
      </c>
      <c r="B642">
        <f>VLOOKUP(M642,Sheet9!$I$1:$J$17,2,FALSE)</f>
        <v>14</v>
      </c>
      <c r="C642">
        <f>VLOOKUP(N642,Sheet9!$M$1:$N$2,2,FALSE)</f>
        <v>1</v>
      </c>
      <c r="D642">
        <v>32</v>
      </c>
      <c r="E642" t="s">
        <v>96</v>
      </c>
      <c r="F642">
        <v>130</v>
      </c>
      <c r="G642" t="s">
        <v>139</v>
      </c>
      <c r="H642">
        <v>1</v>
      </c>
      <c r="I642">
        <v>5</v>
      </c>
      <c r="J642">
        <v>5</v>
      </c>
      <c r="M642" t="s">
        <v>164</v>
      </c>
      <c r="N642" t="s">
        <v>162</v>
      </c>
    </row>
    <row r="643" spans="1:14" x14ac:dyDescent="0.3">
      <c r="A643" t="s">
        <v>164</v>
      </c>
      <c r="B643">
        <f>VLOOKUP(M643,Sheet9!$I$1:$J$17,2,FALSE)</f>
        <v>14</v>
      </c>
      <c r="C643">
        <f>VLOOKUP(N643,Sheet9!$M$1:$N$2,2,FALSE)</f>
        <v>1</v>
      </c>
      <c r="D643">
        <v>32</v>
      </c>
      <c r="E643" t="s">
        <v>96</v>
      </c>
      <c r="F643">
        <v>130</v>
      </c>
      <c r="G643" t="s">
        <v>139</v>
      </c>
      <c r="H643">
        <v>1</v>
      </c>
      <c r="I643">
        <v>10</v>
      </c>
      <c r="J643">
        <v>10</v>
      </c>
      <c r="M643" t="s">
        <v>164</v>
      </c>
      <c r="N643" t="s">
        <v>162</v>
      </c>
    </row>
    <row r="644" spans="1:14" x14ac:dyDescent="0.3">
      <c r="A644" t="s">
        <v>164</v>
      </c>
      <c r="B644">
        <f>VLOOKUP(M644,Sheet9!$I$1:$J$17,2,FALSE)</f>
        <v>14</v>
      </c>
      <c r="C644">
        <f>VLOOKUP(N644,Sheet9!$M$1:$N$2,2,FALSE)</f>
        <v>1</v>
      </c>
      <c r="D644">
        <v>32</v>
      </c>
      <c r="E644" t="s">
        <v>96</v>
      </c>
      <c r="F644">
        <v>130</v>
      </c>
      <c r="G644" t="s">
        <v>139</v>
      </c>
      <c r="H644">
        <v>3</v>
      </c>
      <c r="I644">
        <v>3</v>
      </c>
      <c r="J644">
        <v>9</v>
      </c>
      <c r="K644">
        <v>2.1800000000000002</v>
      </c>
      <c r="L644">
        <v>2.92</v>
      </c>
      <c r="M644" t="s">
        <v>164</v>
      </c>
      <c r="N644" t="s">
        <v>162</v>
      </c>
    </row>
    <row r="645" spans="1:14" x14ac:dyDescent="0.3">
      <c r="A645" t="s">
        <v>164</v>
      </c>
      <c r="B645">
        <f>VLOOKUP(M645,Sheet9!$I$1:$J$17,2,FALSE)</f>
        <v>14</v>
      </c>
      <c r="C645">
        <f>VLOOKUP(N645,Sheet9!$M$1:$N$2,2,FALSE)</f>
        <v>1</v>
      </c>
      <c r="D645">
        <v>32</v>
      </c>
      <c r="E645" t="s">
        <v>96</v>
      </c>
      <c r="F645">
        <v>130</v>
      </c>
      <c r="G645" t="s">
        <v>139</v>
      </c>
      <c r="H645">
        <v>3</v>
      </c>
      <c r="I645">
        <v>5</v>
      </c>
      <c r="J645">
        <v>15</v>
      </c>
      <c r="K645">
        <v>1.98</v>
      </c>
      <c r="L645">
        <v>2.64</v>
      </c>
      <c r="M645" t="s">
        <v>164</v>
      </c>
      <c r="N645" t="s">
        <v>162</v>
      </c>
    </row>
    <row r="646" spans="1:14" x14ac:dyDescent="0.3">
      <c r="A646" t="s">
        <v>164</v>
      </c>
      <c r="B646">
        <f>VLOOKUP(M646,Sheet9!$I$1:$J$17,2,FALSE)</f>
        <v>14</v>
      </c>
      <c r="C646">
        <f>VLOOKUP(N646,Sheet9!$M$1:$N$2,2,FALSE)</f>
        <v>1</v>
      </c>
      <c r="D646">
        <v>32</v>
      </c>
      <c r="E646" t="s">
        <v>96</v>
      </c>
      <c r="F646">
        <v>130</v>
      </c>
      <c r="G646" t="s">
        <v>139</v>
      </c>
      <c r="H646">
        <v>32</v>
      </c>
      <c r="I646">
        <v>0.6</v>
      </c>
      <c r="J646">
        <v>19.2</v>
      </c>
      <c r="M646" t="s">
        <v>164</v>
      </c>
      <c r="N646" t="s">
        <v>162</v>
      </c>
    </row>
    <row r="647" spans="1:14" x14ac:dyDescent="0.3">
      <c r="A647" t="s">
        <v>164</v>
      </c>
      <c r="B647">
        <f>VLOOKUP(M647,Sheet9!$I$1:$J$17,2,FALSE)</f>
        <v>14</v>
      </c>
      <c r="C647">
        <f>VLOOKUP(N647,Sheet9!$M$1:$N$2,2,FALSE)</f>
        <v>1</v>
      </c>
      <c r="D647">
        <v>32</v>
      </c>
      <c r="E647" t="s">
        <v>96</v>
      </c>
      <c r="F647">
        <v>130</v>
      </c>
      <c r="G647" t="s">
        <v>139</v>
      </c>
      <c r="H647">
        <v>64</v>
      </c>
      <c r="I647">
        <v>0.6</v>
      </c>
      <c r="J647">
        <v>38.4</v>
      </c>
      <c r="K647">
        <v>2.06</v>
      </c>
      <c r="L647">
        <v>2.76</v>
      </c>
      <c r="M647" t="s">
        <v>164</v>
      </c>
      <c r="N647" t="s">
        <v>162</v>
      </c>
    </row>
    <row r="648" spans="1:14" x14ac:dyDescent="0.3">
      <c r="A648" t="s">
        <v>164</v>
      </c>
      <c r="B648">
        <f>VLOOKUP(M648,Sheet9!$I$1:$J$17,2,FALSE)</f>
        <v>14</v>
      </c>
      <c r="C648">
        <f>VLOOKUP(N648,Sheet9!$M$1:$N$2,2,FALSE)</f>
        <v>1</v>
      </c>
      <c r="D648">
        <v>32</v>
      </c>
      <c r="E648" t="s">
        <v>96</v>
      </c>
      <c r="F648">
        <v>140</v>
      </c>
      <c r="G648" t="s">
        <v>139</v>
      </c>
      <c r="H648">
        <v>1</v>
      </c>
      <c r="I648">
        <v>5</v>
      </c>
      <c r="J648">
        <v>5</v>
      </c>
      <c r="M648" t="s">
        <v>164</v>
      </c>
      <c r="N648" t="s">
        <v>162</v>
      </c>
    </row>
    <row r="649" spans="1:14" x14ac:dyDescent="0.3">
      <c r="A649" t="s">
        <v>164</v>
      </c>
      <c r="B649">
        <f>VLOOKUP(M649,Sheet9!$I$1:$J$17,2,FALSE)</f>
        <v>14</v>
      </c>
      <c r="C649">
        <f>VLOOKUP(N649,Sheet9!$M$1:$N$2,2,FALSE)</f>
        <v>1</v>
      </c>
      <c r="D649">
        <v>32</v>
      </c>
      <c r="E649" t="s">
        <v>96</v>
      </c>
      <c r="F649">
        <v>140</v>
      </c>
      <c r="G649" t="s">
        <v>139</v>
      </c>
      <c r="H649">
        <v>1</v>
      </c>
      <c r="I649">
        <v>10</v>
      </c>
      <c r="J649">
        <v>10</v>
      </c>
      <c r="M649" t="s">
        <v>164</v>
      </c>
      <c r="N649" t="s">
        <v>162</v>
      </c>
    </row>
    <row r="650" spans="1:14" x14ac:dyDescent="0.3">
      <c r="A650" t="s">
        <v>164</v>
      </c>
      <c r="B650">
        <f>VLOOKUP(M650,Sheet9!$I$1:$J$17,2,FALSE)</f>
        <v>14</v>
      </c>
      <c r="C650">
        <f>VLOOKUP(N650,Sheet9!$M$1:$N$2,2,FALSE)</f>
        <v>1</v>
      </c>
      <c r="D650">
        <v>32</v>
      </c>
      <c r="E650" t="s">
        <v>96</v>
      </c>
      <c r="F650">
        <v>140</v>
      </c>
      <c r="G650" t="s">
        <v>139</v>
      </c>
      <c r="H650">
        <v>3</v>
      </c>
      <c r="I650">
        <v>3</v>
      </c>
      <c r="J650">
        <v>9</v>
      </c>
      <c r="K650">
        <v>2.92</v>
      </c>
      <c r="L650">
        <v>3.91</v>
      </c>
      <c r="M650" t="s">
        <v>164</v>
      </c>
      <c r="N650" t="s">
        <v>162</v>
      </c>
    </row>
    <row r="651" spans="1:14" x14ac:dyDescent="0.3">
      <c r="A651" t="s">
        <v>164</v>
      </c>
      <c r="B651">
        <f>VLOOKUP(M651,Sheet9!$I$1:$J$17,2,FALSE)</f>
        <v>14</v>
      </c>
      <c r="C651">
        <f>VLOOKUP(N651,Sheet9!$M$1:$N$2,2,FALSE)</f>
        <v>1</v>
      </c>
      <c r="D651">
        <v>32</v>
      </c>
      <c r="E651" t="s">
        <v>96</v>
      </c>
      <c r="F651">
        <v>140</v>
      </c>
      <c r="G651" t="s">
        <v>139</v>
      </c>
      <c r="H651">
        <v>3</v>
      </c>
      <c r="I651">
        <v>5</v>
      </c>
      <c r="J651">
        <v>15</v>
      </c>
      <c r="K651">
        <v>2.64</v>
      </c>
      <c r="L651">
        <v>3.53</v>
      </c>
      <c r="M651" t="s">
        <v>164</v>
      </c>
      <c r="N651" t="s">
        <v>162</v>
      </c>
    </row>
    <row r="652" spans="1:14" x14ac:dyDescent="0.3">
      <c r="A652" t="s">
        <v>164</v>
      </c>
      <c r="B652">
        <f>VLOOKUP(M652,Sheet9!$I$1:$J$17,2,FALSE)</f>
        <v>14</v>
      </c>
      <c r="C652">
        <f>VLOOKUP(N652,Sheet9!$M$1:$N$2,2,FALSE)</f>
        <v>1</v>
      </c>
      <c r="D652">
        <v>32</v>
      </c>
      <c r="E652" t="s">
        <v>96</v>
      </c>
      <c r="F652">
        <v>140</v>
      </c>
      <c r="G652" t="s">
        <v>139</v>
      </c>
      <c r="H652">
        <v>32</v>
      </c>
      <c r="I652">
        <v>0.6</v>
      </c>
      <c r="J652">
        <v>19.2</v>
      </c>
      <c r="M652" t="s">
        <v>164</v>
      </c>
      <c r="N652" t="s">
        <v>162</v>
      </c>
    </row>
    <row r="653" spans="1:14" x14ac:dyDescent="0.3">
      <c r="A653" t="s">
        <v>164</v>
      </c>
      <c r="B653">
        <f>VLOOKUP(M653,Sheet9!$I$1:$J$17,2,FALSE)</f>
        <v>14</v>
      </c>
      <c r="C653">
        <f>VLOOKUP(N653,Sheet9!$M$1:$N$2,2,FALSE)</f>
        <v>1</v>
      </c>
      <c r="D653">
        <v>32</v>
      </c>
      <c r="E653" t="s">
        <v>96</v>
      </c>
      <c r="F653">
        <v>140</v>
      </c>
      <c r="G653" t="s">
        <v>139</v>
      </c>
      <c r="H653">
        <v>64</v>
      </c>
      <c r="I653">
        <v>0.6</v>
      </c>
      <c r="J653">
        <v>38.4</v>
      </c>
      <c r="K653">
        <v>2.75</v>
      </c>
      <c r="L653">
        <v>6.68</v>
      </c>
      <c r="M653" t="s">
        <v>164</v>
      </c>
      <c r="N653" t="s">
        <v>162</v>
      </c>
    </row>
    <row r="654" spans="1:14" x14ac:dyDescent="0.3">
      <c r="A654" t="s">
        <v>165</v>
      </c>
      <c r="B654">
        <f>VLOOKUP(M654,Sheet9!$I$1:$J$17,2,FALSE)</f>
        <v>15</v>
      </c>
      <c r="C654">
        <f>VLOOKUP(N654,Sheet9!$M$1:$N$2,2,FALSE)</f>
        <v>1</v>
      </c>
      <c r="D654">
        <v>16</v>
      </c>
      <c r="E654" t="s">
        <v>95</v>
      </c>
      <c r="F654">
        <v>70</v>
      </c>
      <c r="H654">
        <v>32</v>
      </c>
      <c r="I654">
        <v>0.6</v>
      </c>
      <c r="J654">
        <v>19.2</v>
      </c>
      <c r="M654" t="s">
        <v>165</v>
      </c>
      <c r="N654" t="s">
        <v>162</v>
      </c>
    </row>
    <row r="655" spans="1:14" x14ac:dyDescent="0.3">
      <c r="A655" t="s">
        <v>165</v>
      </c>
      <c r="B655">
        <f>VLOOKUP(M655,Sheet9!$I$1:$J$17,2,FALSE)</f>
        <v>15</v>
      </c>
      <c r="C655">
        <f>VLOOKUP(N655,Sheet9!$M$1:$N$2,2,FALSE)</f>
        <v>1</v>
      </c>
      <c r="D655">
        <v>16</v>
      </c>
      <c r="E655" t="s">
        <v>95</v>
      </c>
      <c r="F655">
        <v>70</v>
      </c>
      <c r="H655">
        <v>64</v>
      </c>
      <c r="I655">
        <v>0.6</v>
      </c>
      <c r="J655">
        <v>38.4</v>
      </c>
      <c r="K655">
        <v>4.4000000000000004</v>
      </c>
      <c r="L655">
        <v>4.74</v>
      </c>
      <c r="M655" t="s">
        <v>165</v>
      </c>
      <c r="N655" t="s">
        <v>162</v>
      </c>
    </row>
    <row r="656" spans="1:14" x14ac:dyDescent="0.3">
      <c r="A656" t="s">
        <v>165</v>
      </c>
      <c r="B656">
        <f>VLOOKUP(M656,Sheet9!$I$1:$J$17,2,FALSE)</f>
        <v>15</v>
      </c>
      <c r="C656">
        <f>VLOOKUP(N656,Sheet9!$M$1:$N$2,2,FALSE)</f>
        <v>1</v>
      </c>
      <c r="D656">
        <v>16</v>
      </c>
      <c r="E656" t="s">
        <v>95</v>
      </c>
      <c r="F656">
        <v>80</v>
      </c>
      <c r="H656">
        <v>32</v>
      </c>
      <c r="I656">
        <v>0.6</v>
      </c>
      <c r="J656">
        <v>19.2</v>
      </c>
      <c r="M656" t="s">
        <v>165</v>
      </c>
      <c r="N656" t="s">
        <v>162</v>
      </c>
    </row>
    <row r="657" spans="1:14" x14ac:dyDescent="0.3">
      <c r="A657" t="s">
        <v>165</v>
      </c>
      <c r="B657">
        <f>VLOOKUP(M657,Sheet9!$I$1:$J$17,2,FALSE)</f>
        <v>15</v>
      </c>
      <c r="C657">
        <f>VLOOKUP(N657,Sheet9!$M$1:$N$2,2,FALSE)</f>
        <v>1</v>
      </c>
      <c r="D657">
        <v>16</v>
      </c>
      <c r="E657" t="s">
        <v>95</v>
      </c>
      <c r="F657">
        <v>80</v>
      </c>
      <c r="H657">
        <v>64</v>
      </c>
      <c r="I657">
        <v>0.6</v>
      </c>
      <c r="J657">
        <v>38.4</v>
      </c>
      <c r="K657">
        <v>6.92</v>
      </c>
      <c r="L657">
        <v>7.32</v>
      </c>
      <c r="M657" t="s">
        <v>165</v>
      </c>
      <c r="N657" t="s">
        <v>162</v>
      </c>
    </row>
    <row r="658" spans="1:14" x14ac:dyDescent="0.3">
      <c r="A658" t="s">
        <v>165</v>
      </c>
      <c r="B658">
        <f>VLOOKUP(M658,Sheet9!$I$1:$J$17,2,FALSE)</f>
        <v>15</v>
      </c>
      <c r="C658">
        <f>VLOOKUP(N658,Sheet9!$M$1:$N$2,2,FALSE)</f>
        <v>1</v>
      </c>
      <c r="D658">
        <v>16</v>
      </c>
      <c r="E658" t="s">
        <v>95</v>
      </c>
      <c r="F658">
        <v>90</v>
      </c>
      <c r="H658">
        <v>32</v>
      </c>
      <c r="I658">
        <v>0.6</v>
      </c>
      <c r="J658">
        <v>19.2</v>
      </c>
      <c r="M658" t="s">
        <v>165</v>
      </c>
      <c r="N658" t="s">
        <v>162</v>
      </c>
    </row>
    <row r="659" spans="1:14" x14ac:dyDescent="0.3">
      <c r="A659" t="s">
        <v>165</v>
      </c>
      <c r="B659">
        <f>VLOOKUP(M659,Sheet9!$I$1:$J$17,2,FALSE)</f>
        <v>15</v>
      </c>
      <c r="C659">
        <f>VLOOKUP(N659,Sheet9!$M$1:$N$2,2,FALSE)</f>
        <v>1</v>
      </c>
      <c r="D659">
        <v>16</v>
      </c>
      <c r="E659" t="s">
        <v>95</v>
      </c>
      <c r="F659">
        <v>90</v>
      </c>
      <c r="H659">
        <v>64</v>
      </c>
      <c r="I659">
        <v>0.6</v>
      </c>
      <c r="J659">
        <v>38.4</v>
      </c>
      <c r="K659">
        <v>9.92</v>
      </c>
      <c r="L659">
        <v>10.38</v>
      </c>
      <c r="M659" t="s">
        <v>165</v>
      </c>
      <c r="N659" t="s">
        <v>162</v>
      </c>
    </row>
    <row r="660" spans="1:14" x14ac:dyDescent="0.3">
      <c r="A660" t="s">
        <v>165</v>
      </c>
      <c r="B660">
        <f>VLOOKUP(M660,Sheet9!$I$1:$J$17,2,FALSE)</f>
        <v>15</v>
      </c>
      <c r="C660">
        <f>VLOOKUP(N660,Sheet9!$M$1:$N$2,2,FALSE)</f>
        <v>1</v>
      </c>
      <c r="D660">
        <v>16</v>
      </c>
      <c r="E660" t="s">
        <v>95</v>
      </c>
      <c r="F660">
        <v>100</v>
      </c>
      <c r="H660">
        <v>32</v>
      </c>
      <c r="I660">
        <v>0.6</v>
      </c>
      <c r="J660">
        <v>19.2</v>
      </c>
      <c r="M660" t="s">
        <v>165</v>
      </c>
      <c r="N660" t="s">
        <v>162</v>
      </c>
    </row>
    <row r="661" spans="1:14" x14ac:dyDescent="0.3">
      <c r="A661" t="s">
        <v>165</v>
      </c>
      <c r="B661">
        <f>VLOOKUP(M661,Sheet9!$I$1:$J$17,2,FALSE)</f>
        <v>15</v>
      </c>
      <c r="C661">
        <f>VLOOKUP(N661,Sheet9!$M$1:$N$2,2,FALSE)</f>
        <v>1</v>
      </c>
      <c r="D661">
        <v>16</v>
      </c>
      <c r="E661" t="s">
        <v>95</v>
      </c>
      <c r="F661">
        <v>100</v>
      </c>
      <c r="H661">
        <v>64</v>
      </c>
      <c r="I661">
        <v>0.6</v>
      </c>
      <c r="J661">
        <v>38.4</v>
      </c>
      <c r="K661">
        <v>13.32</v>
      </c>
      <c r="L661">
        <v>13.84</v>
      </c>
      <c r="M661" t="s">
        <v>165</v>
      </c>
      <c r="N661" t="s">
        <v>162</v>
      </c>
    </row>
    <row r="662" spans="1:14" x14ac:dyDescent="0.3">
      <c r="A662" t="s">
        <v>165</v>
      </c>
      <c r="B662">
        <f>VLOOKUP(M662,Sheet9!$I$1:$J$17,2,FALSE)</f>
        <v>15</v>
      </c>
      <c r="C662">
        <f>VLOOKUP(N662,Sheet9!$M$1:$N$2,2,FALSE)</f>
        <v>1</v>
      </c>
      <c r="D662">
        <v>16</v>
      </c>
      <c r="E662" t="s">
        <v>95</v>
      </c>
      <c r="F662">
        <v>110</v>
      </c>
      <c r="H662">
        <v>32</v>
      </c>
      <c r="I662">
        <v>0.6</v>
      </c>
      <c r="J662">
        <v>19.2</v>
      </c>
      <c r="M662" t="s">
        <v>165</v>
      </c>
      <c r="N662" t="s">
        <v>162</v>
      </c>
    </row>
    <row r="663" spans="1:14" x14ac:dyDescent="0.3">
      <c r="A663" t="s">
        <v>165</v>
      </c>
      <c r="B663">
        <f>VLOOKUP(M663,Sheet9!$I$1:$J$17,2,FALSE)</f>
        <v>15</v>
      </c>
      <c r="C663">
        <f>VLOOKUP(N663,Sheet9!$M$1:$N$2,2,FALSE)</f>
        <v>1</v>
      </c>
      <c r="D663">
        <v>16</v>
      </c>
      <c r="E663" t="s">
        <v>95</v>
      </c>
      <c r="F663">
        <v>110</v>
      </c>
      <c r="H663">
        <v>64</v>
      </c>
      <c r="I663">
        <v>0.6</v>
      </c>
      <c r="J663">
        <v>38.4</v>
      </c>
      <c r="K663">
        <v>17.02</v>
      </c>
      <c r="L663">
        <v>17.62</v>
      </c>
      <c r="M663" t="s">
        <v>165</v>
      </c>
      <c r="N663" t="s">
        <v>162</v>
      </c>
    </row>
    <row r="664" spans="1:14" x14ac:dyDescent="0.3">
      <c r="A664" t="s">
        <v>165</v>
      </c>
      <c r="B664">
        <f>VLOOKUP(M664,Sheet9!$I$1:$J$17,2,FALSE)</f>
        <v>15</v>
      </c>
      <c r="C664">
        <f>VLOOKUP(N664,Sheet9!$M$1:$N$2,2,FALSE)</f>
        <v>1</v>
      </c>
      <c r="D664">
        <v>16</v>
      </c>
      <c r="E664" t="s">
        <v>95</v>
      </c>
      <c r="F664">
        <v>120</v>
      </c>
      <c r="H664">
        <v>32</v>
      </c>
      <c r="I664">
        <v>0.6</v>
      </c>
      <c r="J664">
        <v>19.2</v>
      </c>
      <c r="M664" t="s">
        <v>165</v>
      </c>
      <c r="N664" t="s">
        <v>162</v>
      </c>
    </row>
    <row r="665" spans="1:14" x14ac:dyDescent="0.3">
      <c r="A665" t="s">
        <v>165</v>
      </c>
      <c r="B665">
        <f>VLOOKUP(M665,Sheet9!$I$1:$J$17,2,FALSE)</f>
        <v>15</v>
      </c>
      <c r="C665">
        <f>VLOOKUP(N665,Sheet9!$M$1:$N$2,2,FALSE)</f>
        <v>1</v>
      </c>
      <c r="D665">
        <v>16</v>
      </c>
      <c r="E665" t="s">
        <v>95</v>
      </c>
      <c r="F665">
        <v>120</v>
      </c>
      <c r="H665">
        <v>64</v>
      </c>
      <c r="I665">
        <v>0.6</v>
      </c>
      <c r="J665">
        <v>38.4</v>
      </c>
      <c r="K665">
        <v>21.08</v>
      </c>
      <c r="L665">
        <v>21.72</v>
      </c>
      <c r="M665" t="s">
        <v>165</v>
      </c>
      <c r="N665" t="s">
        <v>162</v>
      </c>
    </row>
    <row r="666" spans="1:14" x14ac:dyDescent="0.3">
      <c r="A666" t="s">
        <v>165</v>
      </c>
      <c r="B666">
        <f>VLOOKUP(M666,Sheet9!$I$1:$J$17,2,FALSE)</f>
        <v>15</v>
      </c>
      <c r="C666">
        <f>VLOOKUP(N666,Sheet9!$M$1:$N$2,2,FALSE)</f>
        <v>1</v>
      </c>
      <c r="D666">
        <v>16</v>
      </c>
      <c r="E666" t="s">
        <v>95</v>
      </c>
      <c r="F666">
        <v>130</v>
      </c>
      <c r="H666">
        <v>32</v>
      </c>
      <c r="I666">
        <v>0.6</v>
      </c>
      <c r="J666">
        <v>19.2</v>
      </c>
      <c r="M666" t="s">
        <v>165</v>
      </c>
      <c r="N666" t="s">
        <v>162</v>
      </c>
    </row>
    <row r="667" spans="1:14" x14ac:dyDescent="0.3">
      <c r="A667" t="s">
        <v>165</v>
      </c>
      <c r="B667">
        <f>VLOOKUP(M667,Sheet9!$I$1:$J$17,2,FALSE)</f>
        <v>15</v>
      </c>
      <c r="C667">
        <f>VLOOKUP(N667,Sheet9!$M$1:$N$2,2,FALSE)</f>
        <v>1</v>
      </c>
      <c r="D667">
        <v>16</v>
      </c>
      <c r="E667" t="s">
        <v>95</v>
      </c>
      <c r="F667">
        <v>130</v>
      </c>
      <c r="H667">
        <v>64</v>
      </c>
      <c r="I667">
        <v>0.6</v>
      </c>
      <c r="J667">
        <v>38.4</v>
      </c>
      <c r="K667">
        <v>25.36</v>
      </c>
      <c r="L667">
        <v>26.1</v>
      </c>
      <c r="M667" t="s">
        <v>165</v>
      </c>
      <c r="N667" t="s">
        <v>162</v>
      </c>
    </row>
    <row r="668" spans="1:14" x14ac:dyDescent="0.3">
      <c r="A668" t="s">
        <v>165</v>
      </c>
      <c r="B668">
        <f>VLOOKUP(M668,Sheet9!$I$1:$J$17,2,FALSE)</f>
        <v>15</v>
      </c>
      <c r="C668">
        <f>VLOOKUP(N668,Sheet9!$M$1:$N$2,2,FALSE)</f>
        <v>1</v>
      </c>
      <c r="D668">
        <v>16</v>
      </c>
      <c r="E668" t="s">
        <v>95</v>
      </c>
      <c r="F668">
        <v>140</v>
      </c>
      <c r="H668">
        <v>32</v>
      </c>
      <c r="I668">
        <v>0.6</v>
      </c>
      <c r="J668">
        <v>19.2</v>
      </c>
      <c r="M668" t="s">
        <v>165</v>
      </c>
      <c r="N668" t="s">
        <v>162</v>
      </c>
    </row>
    <row r="669" spans="1:14" x14ac:dyDescent="0.3">
      <c r="A669" t="s">
        <v>165</v>
      </c>
      <c r="B669">
        <f>VLOOKUP(M669,Sheet9!$I$1:$J$17,2,FALSE)</f>
        <v>15</v>
      </c>
      <c r="C669">
        <f>VLOOKUP(N669,Sheet9!$M$1:$N$2,2,FALSE)</f>
        <v>1</v>
      </c>
      <c r="D669">
        <v>16</v>
      </c>
      <c r="E669" t="s">
        <v>95</v>
      </c>
      <c r="F669">
        <v>140</v>
      </c>
      <c r="H669">
        <v>64</v>
      </c>
      <c r="I669">
        <v>0.6</v>
      </c>
      <c r="J669">
        <v>38.4</v>
      </c>
      <c r="K669">
        <v>30</v>
      </c>
      <c r="L669">
        <v>30.77</v>
      </c>
      <c r="M669" t="s">
        <v>165</v>
      </c>
      <c r="N669" t="s">
        <v>162</v>
      </c>
    </row>
    <row r="670" spans="1:14" x14ac:dyDescent="0.3">
      <c r="A670" t="s">
        <v>165</v>
      </c>
      <c r="B670">
        <f>VLOOKUP(M670,Sheet9!$I$1:$J$17,2,FALSE)</f>
        <v>15</v>
      </c>
      <c r="C670">
        <f>VLOOKUP(N670,Sheet9!$M$1:$N$2,2,FALSE)</f>
        <v>1</v>
      </c>
      <c r="D670">
        <v>16</v>
      </c>
      <c r="E670" t="s">
        <v>95</v>
      </c>
      <c r="F670">
        <v>100</v>
      </c>
      <c r="G670" t="s">
        <v>139</v>
      </c>
      <c r="H670">
        <v>32</v>
      </c>
      <c r="I670">
        <v>0.6</v>
      </c>
      <c r="J670">
        <v>19.2</v>
      </c>
      <c r="K670">
        <v>2.41</v>
      </c>
      <c r="L670">
        <v>2.42</v>
      </c>
      <c r="M670" t="s">
        <v>165</v>
      </c>
      <c r="N670" t="s">
        <v>162</v>
      </c>
    </row>
    <row r="671" spans="1:14" x14ac:dyDescent="0.3">
      <c r="A671" t="s">
        <v>165</v>
      </c>
      <c r="B671">
        <f>VLOOKUP(M671,Sheet9!$I$1:$J$17,2,FALSE)</f>
        <v>15</v>
      </c>
      <c r="C671">
        <f>VLOOKUP(N671,Sheet9!$M$1:$N$2,2,FALSE)</f>
        <v>1</v>
      </c>
      <c r="D671">
        <v>16</v>
      </c>
      <c r="E671" t="s">
        <v>95</v>
      </c>
      <c r="F671">
        <v>100</v>
      </c>
      <c r="G671" t="s">
        <v>139</v>
      </c>
      <c r="H671">
        <v>64</v>
      </c>
      <c r="I671">
        <v>0.6</v>
      </c>
      <c r="J671">
        <v>38.4</v>
      </c>
      <c r="K671">
        <v>2.08</v>
      </c>
      <c r="L671">
        <v>2.11</v>
      </c>
      <c r="M671" t="s">
        <v>165</v>
      </c>
      <c r="N671" t="s">
        <v>162</v>
      </c>
    </row>
    <row r="672" spans="1:14" x14ac:dyDescent="0.3">
      <c r="A672" t="s">
        <v>165</v>
      </c>
      <c r="B672">
        <f>VLOOKUP(M672,Sheet9!$I$1:$J$17,2,FALSE)</f>
        <v>15</v>
      </c>
      <c r="C672">
        <f>VLOOKUP(N672,Sheet9!$M$1:$N$2,2,FALSE)</f>
        <v>1</v>
      </c>
      <c r="D672">
        <v>16</v>
      </c>
      <c r="E672" t="s">
        <v>95</v>
      </c>
      <c r="F672">
        <v>110</v>
      </c>
      <c r="G672" t="s">
        <v>139</v>
      </c>
      <c r="H672">
        <v>32</v>
      </c>
      <c r="I672">
        <v>0.6</v>
      </c>
      <c r="J672">
        <v>19.2</v>
      </c>
      <c r="K672">
        <v>3.71</v>
      </c>
      <c r="L672">
        <v>3.7</v>
      </c>
      <c r="M672" t="s">
        <v>165</v>
      </c>
      <c r="N672" t="s">
        <v>162</v>
      </c>
    </row>
    <row r="673" spans="1:14" x14ac:dyDescent="0.3">
      <c r="A673" t="s">
        <v>165</v>
      </c>
      <c r="B673">
        <f>VLOOKUP(M673,Sheet9!$I$1:$J$17,2,FALSE)</f>
        <v>15</v>
      </c>
      <c r="C673">
        <f>VLOOKUP(N673,Sheet9!$M$1:$N$2,2,FALSE)</f>
        <v>1</v>
      </c>
      <c r="D673">
        <v>16</v>
      </c>
      <c r="E673" t="s">
        <v>95</v>
      </c>
      <c r="F673">
        <v>110</v>
      </c>
      <c r="G673" t="s">
        <v>139</v>
      </c>
      <c r="H673">
        <v>64</v>
      </c>
      <c r="I673">
        <v>0.6</v>
      </c>
      <c r="J673">
        <v>38.4</v>
      </c>
      <c r="K673">
        <v>3.22</v>
      </c>
      <c r="L673">
        <v>3.26</v>
      </c>
      <c r="M673" t="s">
        <v>165</v>
      </c>
      <c r="N673" t="s">
        <v>162</v>
      </c>
    </row>
    <row r="674" spans="1:14" x14ac:dyDescent="0.3">
      <c r="A674" t="s">
        <v>165</v>
      </c>
      <c r="B674">
        <f>VLOOKUP(M674,Sheet9!$I$1:$J$17,2,FALSE)</f>
        <v>15</v>
      </c>
      <c r="C674">
        <f>VLOOKUP(N674,Sheet9!$M$1:$N$2,2,FALSE)</f>
        <v>1</v>
      </c>
      <c r="D674">
        <v>16</v>
      </c>
      <c r="E674" t="s">
        <v>95</v>
      </c>
      <c r="F674">
        <v>120</v>
      </c>
      <c r="G674" t="s">
        <v>139</v>
      </c>
      <c r="H674">
        <v>32</v>
      </c>
      <c r="I674">
        <v>0.6</v>
      </c>
      <c r="J674">
        <v>19.2</v>
      </c>
      <c r="K674">
        <v>5.35</v>
      </c>
      <c r="L674">
        <v>5.41</v>
      </c>
      <c r="M674" t="s">
        <v>165</v>
      </c>
      <c r="N674" t="s">
        <v>162</v>
      </c>
    </row>
    <row r="675" spans="1:14" x14ac:dyDescent="0.3">
      <c r="A675" t="s">
        <v>165</v>
      </c>
      <c r="B675">
        <f>VLOOKUP(M675,Sheet9!$I$1:$J$17,2,FALSE)</f>
        <v>15</v>
      </c>
      <c r="C675">
        <f>VLOOKUP(N675,Sheet9!$M$1:$N$2,2,FALSE)</f>
        <v>1</v>
      </c>
      <c r="D675">
        <v>16</v>
      </c>
      <c r="E675" t="s">
        <v>95</v>
      </c>
      <c r="F675">
        <v>120</v>
      </c>
      <c r="G675" t="s">
        <v>139</v>
      </c>
      <c r="H675">
        <v>64</v>
      </c>
      <c r="I675">
        <v>0.6</v>
      </c>
      <c r="J675">
        <v>38.4</v>
      </c>
      <c r="K675">
        <v>4.63</v>
      </c>
      <c r="L675">
        <v>4.6900000000000004</v>
      </c>
      <c r="M675" t="s">
        <v>165</v>
      </c>
      <c r="N675" t="s">
        <v>162</v>
      </c>
    </row>
    <row r="676" spans="1:14" x14ac:dyDescent="0.3">
      <c r="A676" t="s">
        <v>165</v>
      </c>
      <c r="B676">
        <f>VLOOKUP(M676,Sheet9!$I$1:$J$17,2,FALSE)</f>
        <v>15</v>
      </c>
      <c r="C676">
        <f>VLOOKUP(N676,Sheet9!$M$1:$N$2,2,FALSE)</f>
        <v>1</v>
      </c>
      <c r="D676">
        <v>16</v>
      </c>
      <c r="E676" t="s">
        <v>95</v>
      </c>
      <c r="F676">
        <v>130</v>
      </c>
      <c r="G676" t="s">
        <v>139</v>
      </c>
      <c r="H676">
        <v>32</v>
      </c>
      <c r="I676">
        <v>0.6</v>
      </c>
      <c r="J676">
        <v>19.2</v>
      </c>
      <c r="K676">
        <v>7.33</v>
      </c>
      <c r="L676">
        <v>7.41</v>
      </c>
      <c r="M676" t="s">
        <v>165</v>
      </c>
      <c r="N676" t="s">
        <v>162</v>
      </c>
    </row>
    <row r="677" spans="1:14" x14ac:dyDescent="0.3">
      <c r="A677" t="s">
        <v>165</v>
      </c>
      <c r="B677">
        <f>VLOOKUP(M677,Sheet9!$I$1:$J$17,2,FALSE)</f>
        <v>15</v>
      </c>
      <c r="C677">
        <f>VLOOKUP(N677,Sheet9!$M$1:$N$2,2,FALSE)</f>
        <v>1</v>
      </c>
      <c r="D677">
        <v>16</v>
      </c>
      <c r="E677" t="s">
        <v>95</v>
      </c>
      <c r="F677">
        <v>130</v>
      </c>
      <c r="G677" t="s">
        <v>139</v>
      </c>
      <c r="H677">
        <v>64</v>
      </c>
      <c r="I677">
        <v>0.6</v>
      </c>
      <c r="J677">
        <v>38.4</v>
      </c>
      <c r="K677">
        <v>6.33</v>
      </c>
      <c r="L677">
        <v>6.43</v>
      </c>
      <c r="M677" t="s">
        <v>165</v>
      </c>
      <c r="N677" t="s">
        <v>162</v>
      </c>
    </row>
    <row r="678" spans="1:14" x14ac:dyDescent="0.3">
      <c r="A678" t="s">
        <v>165</v>
      </c>
      <c r="B678">
        <f>VLOOKUP(M678,Sheet9!$I$1:$J$17,2,FALSE)</f>
        <v>15</v>
      </c>
      <c r="C678">
        <f>VLOOKUP(N678,Sheet9!$M$1:$N$2,2,FALSE)</f>
        <v>1</v>
      </c>
      <c r="D678">
        <v>16</v>
      </c>
      <c r="E678" t="s">
        <v>95</v>
      </c>
      <c r="F678">
        <v>140</v>
      </c>
      <c r="G678" t="s">
        <v>139</v>
      </c>
      <c r="H678">
        <v>32</v>
      </c>
      <c r="I678">
        <v>0.6</v>
      </c>
      <c r="J678">
        <v>19.2</v>
      </c>
      <c r="K678">
        <v>9.6199999999999992</v>
      </c>
      <c r="L678">
        <v>9.75</v>
      </c>
      <c r="M678" t="s">
        <v>165</v>
      </c>
      <c r="N678" t="s">
        <v>162</v>
      </c>
    </row>
    <row r="679" spans="1:14" x14ac:dyDescent="0.3">
      <c r="A679" t="s">
        <v>165</v>
      </c>
      <c r="B679">
        <f>VLOOKUP(M679,Sheet9!$I$1:$J$17,2,FALSE)</f>
        <v>15</v>
      </c>
      <c r="C679">
        <f>VLOOKUP(N679,Sheet9!$M$1:$N$2,2,FALSE)</f>
        <v>1</v>
      </c>
      <c r="D679">
        <v>16</v>
      </c>
      <c r="E679" t="s">
        <v>95</v>
      </c>
      <c r="F679">
        <v>140</v>
      </c>
      <c r="G679" t="s">
        <v>139</v>
      </c>
      <c r="H679">
        <v>64</v>
      </c>
      <c r="I679">
        <v>0.6</v>
      </c>
      <c r="J679">
        <v>38.4</v>
      </c>
      <c r="K679">
        <v>8.32</v>
      </c>
      <c r="L679">
        <v>8.4600000000000009</v>
      </c>
      <c r="M679" t="s">
        <v>165</v>
      </c>
      <c r="N679" t="s">
        <v>162</v>
      </c>
    </row>
    <row r="680" spans="1:14" x14ac:dyDescent="0.3">
      <c r="A680" t="s">
        <v>165</v>
      </c>
      <c r="B680">
        <f>VLOOKUP(M680,Sheet9!$I$1:$J$17,2,FALSE)</f>
        <v>15</v>
      </c>
      <c r="C680">
        <f>VLOOKUP(N680,Sheet9!$M$1:$N$2,2,FALSE)</f>
        <v>1</v>
      </c>
      <c r="D680">
        <v>16</v>
      </c>
      <c r="E680" t="s">
        <v>96</v>
      </c>
      <c r="F680">
        <v>70</v>
      </c>
      <c r="H680">
        <v>32</v>
      </c>
      <c r="I680">
        <v>0.6</v>
      </c>
      <c r="J680">
        <v>19.2</v>
      </c>
      <c r="M680" t="s">
        <v>165</v>
      </c>
      <c r="N680" t="s">
        <v>162</v>
      </c>
    </row>
    <row r="681" spans="1:14" x14ac:dyDescent="0.3">
      <c r="A681" t="s">
        <v>165</v>
      </c>
      <c r="B681">
        <f>VLOOKUP(M681,Sheet9!$I$1:$J$17,2,FALSE)</f>
        <v>15</v>
      </c>
      <c r="C681">
        <f>VLOOKUP(N681,Sheet9!$M$1:$N$2,2,FALSE)</f>
        <v>1</v>
      </c>
      <c r="D681">
        <v>16</v>
      </c>
      <c r="E681" t="s">
        <v>96</v>
      </c>
      <c r="F681">
        <v>70</v>
      </c>
      <c r="H681">
        <v>64</v>
      </c>
      <c r="I681">
        <v>0.6</v>
      </c>
      <c r="J681">
        <v>38.4</v>
      </c>
      <c r="K681">
        <v>3.93</v>
      </c>
      <c r="L681">
        <v>3.97</v>
      </c>
      <c r="M681" t="s">
        <v>165</v>
      </c>
      <c r="N681" t="s">
        <v>162</v>
      </c>
    </row>
    <row r="682" spans="1:14" x14ac:dyDescent="0.3">
      <c r="A682" t="s">
        <v>165</v>
      </c>
      <c r="B682">
        <f>VLOOKUP(M682,Sheet9!$I$1:$J$17,2,FALSE)</f>
        <v>15</v>
      </c>
      <c r="C682">
        <f>VLOOKUP(N682,Sheet9!$M$1:$N$2,2,FALSE)</f>
        <v>1</v>
      </c>
      <c r="D682">
        <v>16</v>
      </c>
      <c r="E682" t="s">
        <v>96</v>
      </c>
      <c r="F682">
        <v>80</v>
      </c>
      <c r="H682">
        <v>32</v>
      </c>
      <c r="I682">
        <v>0.6</v>
      </c>
      <c r="J682">
        <v>19.2</v>
      </c>
      <c r="M682" t="s">
        <v>165</v>
      </c>
      <c r="N682" t="s">
        <v>162</v>
      </c>
    </row>
    <row r="683" spans="1:14" x14ac:dyDescent="0.3">
      <c r="A683" t="s">
        <v>165</v>
      </c>
      <c r="B683">
        <f>VLOOKUP(M683,Sheet9!$I$1:$J$17,2,FALSE)</f>
        <v>15</v>
      </c>
      <c r="C683">
        <f>VLOOKUP(N683,Sheet9!$M$1:$N$2,2,FALSE)</f>
        <v>1</v>
      </c>
      <c r="D683">
        <v>16</v>
      </c>
      <c r="E683" t="s">
        <v>96</v>
      </c>
      <c r="F683">
        <v>80</v>
      </c>
      <c r="H683">
        <v>64</v>
      </c>
      <c r="I683">
        <v>0.6</v>
      </c>
      <c r="J683">
        <v>38.4</v>
      </c>
      <c r="K683">
        <v>6.25</v>
      </c>
      <c r="L683">
        <v>6.23</v>
      </c>
      <c r="M683" t="s">
        <v>165</v>
      </c>
      <c r="N683" t="s">
        <v>162</v>
      </c>
    </row>
    <row r="684" spans="1:14" x14ac:dyDescent="0.3">
      <c r="A684" t="s">
        <v>165</v>
      </c>
      <c r="B684">
        <f>VLOOKUP(M684,Sheet9!$I$1:$J$17,2,FALSE)</f>
        <v>15</v>
      </c>
      <c r="C684">
        <f>VLOOKUP(N684,Sheet9!$M$1:$N$2,2,FALSE)</f>
        <v>1</v>
      </c>
      <c r="D684">
        <v>16</v>
      </c>
      <c r="E684" t="s">
        <v>96</v>
      </c>
      <c r="F684">
        <v>90</v>
      </c>
      <c r="H684">
        <v>32</v>
      </c>
      <c r="I684">
        <v>0.6</v>
      </c>
      <c r="J684">
        <v>19.2</v>
      </c>
      <c r="M684" t="s">
        <v>165</v>
      </c>
      <c r="N684" t="s">
        <v>162</v>
      </c>
    </row>
    <row r="685" spans="1:14" x14ac:dyDescent="0.3">
      <c r="A685" t="s">
        <v>165</v>
      </c>
      <c r="B685">
        <f>VLOOKUP(M685,Sheet9!$I$1:$J$17,2,FALSE)</f>
        <v>15</v>
      </c>
      <c r="C685">
        <f>VLOOKUP(N685,Sheet9!$M$1:$N$2,2,FALSE)</f>
        <v>1</v>
      </c>
      <c r="D685">
        <v>16</v>
      </c>
      <c r="E685" t="s">
        <v>96</v>
      </c>
      <c r="F685">
        <v>90</v>
      </c>
      <c r="H685">
        <v>64</v>
      </c>
      <c r="I685">
        <v>0.6</v>
      </c>
      <c r="J685">
        <v>38.4</v>
      </c>
      <c r="K685">
        <v>9.0399999999999991</v>
      </c>
      <c r="L685">
        <v>8.9499999999999993</v>
      </c>
      <c r="M685" t="s">
        <v>165</v>
      </c>
      <c r="N685" t="s">
        <v>162</v>
      </c>
    </row>
    <row r="686" spans="1:14" x14ac:dyDescent="0.3">
      <c r="A686" t="s">
        <v>165</v>
      </c>
      <c r="B686">
        <f>VLOOKUP(M686,Sheet9!$I$1:$J$17,2,FALSE)</f>
        <v>15</v>
      </c>
      <c r="C686">
        <f>VLOOKUP(N686,Sheet9!$M$1:$N$2,2,FALSE)</f>
        <v>1</v>
      </c>
      <c r="D686">
        <v>16</v>
      </c>
      <c r="E686" t="s">
        <v>96</v>
      </c>
      <c r="F686">
        <v>100</v>
      </c>
      <c r="H686">
        <v>32</v>
      </c>
      <c r="I686">
        <v>0.6</v>
      </c>
      <c r="J686">
        <v>19.2</v>
      </c>
      <c r="M686" t="s">
        <v>165</v>
      </c>
      <c r="N686" t="s">
        <v>162</v>
      </c>
    </row>
    <row r="687" spans="1:14" x14ac:dyDescent="0.3">
      <c r="A687" t="s">
        <v>165</v>
      </c>
      <c r="B687">
        <f>VLOOKUP(M687,Sheet9!$I$1:$J$17,2,FALSE)</f>
        <v>15</v>
      </c>
      <c r="C687">
        <f>VLOOKUP(N687,Sheet9!$M$1:$N$2,2,FALSE)</f>
        <v>1</v>
      </c>
      <c r="D687">
        <v>16</v>
      </c>
      <c r="E687" t="s">
        <v>96</v>
      </c>
      <c r="F687">
        <v>100</v>
      </c>
      <c r="H687">
        <v>64</v>
      </c>
      <c r="I687">
        <v>0.6</v>
      </c>
      <c r="J687">
        <v>38.4</v>
      </c>
      <c r="K687">
        <v>12.22</v>
      </c>
      <c r="L687">
        <v>12.05</v>
      </c>
      <c r="M687" t="s">
        <v>165</v>
      </c>
      <c r="N687" t="s">
        <v>162</v>
      </c>
    </row>
    <row r="688" spans="1:14" x14ac:dyDescent="0.3">
      <c r="A688" t="s">
        <v>165</v>
      </c>
      <c r="B688">
        <f>VLOOKUP(M688,Sheet9!$I$1:$J$17,2,FALSE)</f>
        <v>15</v>
      </c>
      <c r="C688">
        <f>VLOOKUP(N688,Sheet9!$M$1:$N$2,2,FALSE)</f>
        <v>1</v>
      </c>
      <c r="D688">
        <v>16</v>
      </c>
      <c r="E688" t="s">
        <v>96</v>
      </c>
      <c r="F688">
        <v>110</v>
      </c>
      <c r="H688">
        <v>32</v>
      </c>
      <c r="I688">
        <v>0.6</v>
      </c>
      <c r="J688">
        <v>19.2</v>
      </c>
      <c r="M688" t="s">
        <v>165</v>
      </c>
      <c r="N688" t="s">
        <v>162</v>
      </c>
    </row>
    <row r="689" spans="1:14" x14ac:dyDescent="0.3">
      <c r="A689" t="s">
        <v>165</v>
      </c>
      <c r="B689">
        <f>VLOOKUP(M689,Sheet9!$I$1:$J$17,2,FALSE)</f>
        <v>15</v>
      </c>
      <c r="C689">
        <f>VLOOKUP(N689,Sheet9!$M$1:$N$2,2,FALSE)</f>
        <v>1</v>
      </c>
      <c r="D689">
        <v>16</v>
      </c>
      <c r="E689" t="s">
        <v>96</v>
      </c>
      <c r="F689">
        <v>110</v>
      </c>
      <c r="H689">
        <v>64</v>
      </c>
      <c r="I689">
        <v>0.6</v>
      </c>
      <c r="J689">
        <v>38.4</v>
      </c>
      <c r="K689">
        <v>15.7</v>
      </c>
      <c r="L689">
        <v>15.46</v>
      </c>
      <c r="M689" t="s">
        <v>165</v>
      </c>
      <c r="N689" t="s">
        <v>162</v>
      </c>
    </row>
    <row r="690" spans="1:14" x14ac:dyDescent="0.3">
      <c r="A690" t="s">
        <v>165</v>
      </c>
      <c r="B690">
        <f>VLOOKUP(M690,Sheet9!$I$1:$J$17,2,FALSE)</f>
        <v>15</v>
      </c>
      <c r="C690">
        <f>VLOOKUP(N690,Sheet9!$M$1:$N$2,2,FALSE)</f>
        <v>1</v>
      </c>
      <c r="D690">
        <v>16</v>
      </c>
      <c r="E690" t="s">
        <v>96</v>
      </c>
      <c r="F690">
        <v>120</v>
      </c>
      <c r="H690">
        <v>32</v>
      </c>
      <c r="I690">
        <v>0.6</v>
      </c>
      <c r="J690">
        <v>19.2</v>
      </c>
      <c r="M690" t="s">
        <v>165</v>
      </c>
      <c r="N690" t="s">
        <v>162</v>
      </c>
    </row>
    <row r="691" spans="1:14" x14ac:dyDescent="0.3">
      <c r="A691" t="s">
        <v>165</v>
      </c>
      <c r="B691">
        <f>VLOOKUP(M691,Sheet9!$I$1:$J$17,2,FALSE)</f>
        <v>15</v>
      </c>
      <c r="C691">
        <f>VLOOKUP(N691,Sheet9!$M$1:$N$2,2,FALSE)</f>
        <v>1</v>
      </c>
      <c r="D691">
        <v>16</v>
      </c>
      <c r="E691" t="s">
        <v>96</v>
      </c>
      <c r="F691">
        <v>120</v>
      </c>
      <c r="H691">
        <v>64</v>
      </c>
      <c r="I691">
        <v>0.6</v>
      </c>
      <c r="J691">
        <v>38.4</v>
      </c>
      <c r="K691">
        <v>19.52</v>
      </c>
      <c r="L691">
        <v>19.18</v>
      </c>
      <c r="M691" t="s">
        <v>165</v>
      </c>
      <c r="N691" t="s">
        <v>162</v>
      </c>
    </row>
    <row r="692" spans="1:14" x14ac:dyDescent="0.3">
      <c r="A692" t="s">
        <v>165</v>
      </c>
      <c r="B692">
        <f>VLOOKUP(M692,Sheet9!$I$1:$J$17,2,FALSE)</f>
        <v>15</v>
      </c>
      <c r="C692">
        <f>VLOOKUP(N692,Sheet9!$M$1:$N$2,2,FALSE)</f>
        <v>1</v>
      </c>
      <c r="D692">
        <v>16</v>
      </c>
      <c r="E692" t="s">
        <v>96</v>
      </c>
      <c r="F692">
        <v>130</v>
      </c>
      <c r="H692">
        <v>32</v>
      </c>
      <c r="I692">
        <v>0.6</v>
      </c>
      <c r="J692">
        <v>19.2</v>
      </c>
      <c r="M692" t="s">
        <v>165</v>
      </c>
      <c r="N692" t="s">
        <v>162</v>
      </c>
    </row>
    <row r="693" spans="1:14" x14ac:dyDescent="0.3">
      <c r="A693" t="s">
        <v>165</v>
      </c>
      <c r="B693">
        <f>VLOOKUP(M693,Sheet9!$I$1:$J$17,2,FALSE)</f>
        <v>15</v>
      </c>
      <c r="C693">
        <f>VLOOKUP(N693,Sheet9!$M$1:$N$2,2,FALSE)</f>
        <v>1</v>
      </c>
      <c r="D693">
        <v>16</v>
      </c>
      <c r="E693" t="s">
        <v>96</v>
      </c>
      <c r="F693">
        <v>130</v>
      </c>
      <c r="H693">
        <v>64</v>
      </c>
      <c r="I693">
        <v>0.6</v>
      </c>
      <c r="J693">
        <v>38.4</v>
      </c>
      <c r="K693">
        <v>23.57</v>
      </c>
      <c r="L693">
        <v>23.18</v>
      </c>
      <c r="M693" t="s">
        <v>165</v>
      </c>
      <c r="N693" t="s">
        <v>162</v>
      </c>
    </row>
    <row r="694" spans="1:14" x14ac:dyDescent="0.3">
      <c r="A694" t="s">
        <v>165</v>
      </c>
      <c r="B694">
        <f>VLOOKUP(M694,Sheet9!$I$1:$J$17,2,FALSE)</f>
        <v>15</v>
      </c>
      <c r="C694">
        <f>VLOOKUP(N694,Sheet9!$M$1:$N$2,2,FALSE)</f>
        <v>1</v>
      </c>
      <c r="D694">
        <v>16</v>
      </c>
      <c r="E694" t="s">
        <v>96</v>
      </c>
      <c r="F694">
        <v>140</v>
      </c>
      <c r="H694">
        <v>32</v>
      </c>
      <c r="I694">
        <v>0.6</v>
      </c>
      <c r="J694">
        <v>19.2</v>
      </c>
      <c r="M694" t="s">
        <v>165</v>
      </c>
      <c r="N694" t="s">
        <v>162</v>
      </c>
    </row>
    <row r="695" spans="1:14" x14ac:dyDescent="0.3">
      <c r="A695" t="s">
        <v>165</v>
      </c>
      <c r="B695">
        <f>VLOOKUP(M695,Sheet9!$I$1:$J$17,2,FALSE)</f>
        <v>15</v>
      </c>
      <c r="C695">
        <f>VLOOKUP(N695,Sheet9!$M$1:$N$2,2,FALSE)</f>
        <v>1</v>
      </c>
      <c r="D695">
        <v>16</v>
      </c>
      <c r="E695" t="s">
        <v>96</v>
      </c>
      <c r="F695">
        <v>140</v>
      </c>
      <c r="H695">
        <v>64</v>
      </c>
      <c r="I695">
        <v>0.6</v>
      </c>
      <c r="J695">
        <v>38.4</v>
      </c>
      <c r="K695">
        <v>27.92</v>
      </c>
      <c r="L695">
        <v>27.46</v>
      </c>
      <c r="M695" t="s">
        <v>165</v>
      </c>
      <c r="N695" t="s">
        <v>162</v>
      </c>
    </row>
    <row r="696" spans="1:14" x14ac:dyDescent="0.3">
      <c r="A696" t="s">
        <v>165</v>
      </c>
      <c r="B696">
        <f>VLOOKUP(M696,Sheet9!$I$1:$J$17,2,FALSE)</f>
        <v>15</v>
      </c>
      <c r="C696">
        <f>VLOOKUP(N696,Sheet9!$M$1:$N$2,2,FALSE)</f>
        <v>1</v>
      </c>
      <c r="D696">
        <v>16</v>
      </c>
      <c r="E696" t="s">
        <v>96</v>
      </c>
      <c r="F696">
        <v>100</v>
      </c>
      <c r="G696" t="s">
        <v>139</v>
      </c>
      <c r="H696">
        <v>32</v>
      </c>
      <c r="I696">
        <v>0.6</v>
      </c>
      <c r="J696">
        <v>19.2</v>
      </c>
      <c r="K696">
        <v>2.2599999999999998</v>
      </c>
      <c r="L696">
        <v>2.2000000000000002</v>
      </c>
      <c r="M696" t="s">
        <v>165</v>
      </c>
      <c r="N696" t="s">
        <v>162</v>
      </c>
    </row>
    <row r="697" spans="1:14" x14ac:dyDescent="0.3">
      <c r="A697" t="s">
        <v>165</v>
      </c>
      <c r="B697">
        <f>VLOOKUP(M697,Sheet9!$I$1:$J$17,2,FALSE)</f>
        <v>15</v>
      </c>
      <c r="C697">
        <f>VLOOKUP(N697,Sheet9!$M$1:$N$2,2,FALSE)</f>
        <v>1</v>
      </c>
      <c r="D697">
        <v>16</v>
      </c>
      <c r="E697" t="s">
        <v>96</v>
      </c>
      <c r="F697">
        <v>100</v>
      </c>
      <c r="G697" t="s">
        <v>139</v>
      </c>
      <c r="H697">
        <v>64</v>
      </c>
      <c r="I697">
        <v>0.6</v>
      </c>
      <c r="J697">
        <v>38.4</v>
      </c>
      <c r="K697">
        <v>1.96</v>
      </c>
      <c r="L697">
        <v>1.91</v>
      </c>
      <c r="M697" t="s">
        <v>165</v>
      </c>
      <c r="N697" t="s">
        <v>162</v>
      </c>
    </row>
    <row r="698" spans="1:14" x14ac:dyDescent="0.3">
      <c r="A698" t="s">
        <v>165</v>
      </c>
      <c r="B698">
        <f>VLOOKUP(M698,Sheet9!$I$1:$J$17,2,FALSE)</f>
        <v>15</v>
      </c>
      <c r="C698">
        <f>VLOOKUP(N698,Sheet9!$M$1:$N$2,2,FALSE)</f>
        <v>1</v>
      </c>
      <c r="D698">
        <v>16</v>
      </c>
      <c r="E698" t="s">
        <v>96</v>
      </c>
      <c r="F698">
        <v>110</v>
      </c>
      <c r="G698" t="s">
        <v>139</v>
      </c>
      <c r="H698">
        <v>32</v>
      </c>
      <c r="I698">
        <v>0.6</v>
      </c>
      <c r="J698">
        <v>19.2</v>
      </c>
      <c r="K698">
        <v>3.51</v>
      </c>
      <c r="L698">
        <v>3.43</v>
      </c>
      <c r="M698" t="s">
        <v>165</v>
      </c>
      <c r="N698" t="s">
        <v>162</v>
      </c>
    </row>
    <row r="699" spans="1:14" x14ac:dyDescent="0.3">
      <c r="A699" t="s">
        <v>165</v>
      </c>
      <c r="B699">
        <f>VLOOKUP(M699,Sheet9!$I$1:$J$17,2,FALSE)</f>
        <v>15</v>
      </c>
      <c r="C699">
        <f>VLOOKUP(N699,Sheet9!$M$1:$N$2,2,FALSE)</f>
        <v>1</v>
      </c>
      <c r="D699">
        <v>16</v>
      </c>
      <c r="E699" t="s">
        <v>96</v>
      </c>
      <c r="F699">
        <v>110</v>
      </c>
      <c r="G699" t="s">
        <v>139</v>
      </c>
      <c r="H699">
        <v>64</v>
      </c>
      <c r="I699">
        <v>0.6</v>
      </c>
      <c r="J699">
        <v>38.4</v>
      </c>
      <c r="K699">
        <v>3.04</v>
      </c>
      <c r="L699">
        <v>2.97</v>
      </c>
      <c r="M699" t="s">
        <v>165</v>
      </c>
      <c r="N699" t="s">
        <v>162</v>
      </c>
    </row>
    <row r="700" spans="1:14" x14ac:dyDescent="0.3">
      <c r="A700" t="s">
        <v>165</v>
      </c>
      <c r="B700">
        <f>VLOOKUP(M700,Sheet9!$I$1:$J$17,2,FALSE)</f>
        <v>15</v>
      </c>
      <c r="C700">
        <f>VLOOKUP(N700,Sheet9!$M$1:$N$2,2,FALSE)</f>
        <v>1</v>
      </c>
      <c r="D700">
        <v>16</v>
      </c>
      <c r="E700" t="s">
        <v>96</v>
      </c>
      <c r="F700">
        <v>120</v>
      </c>
      <c r="G700" t="s">
        <v>139</v>
      </c>
      <c r="H700">
        <v>32</v>
      </c>
      <c r="I700">
        <v>0.6</v>
      </c>
      <c r="J700">
        <v>19.2</v>
      </c>
      <c r="K700">
        <v>5.08</v>
      </c>
      <c r="L700">
        <v>4.97</v>
      </c>
      <c r="M700" t="s">
        <v>165</v>
      </c>
      <c r="N700" t="s">
        <v>162</v>
      </c>
    </row>
    <row r="701" spans="1:14" x14ac:dyDescent="0.3">
      <c r="A701" t="s">
        <v>165</v>
      </c>
      <c r="B701">
        <f>VLOOKUP(M701,Sheet9!$I$1:$J$17,2,FALSE)</f>
        <v>15</v>
      </c>
      <c r="C701">
        <f>VLOOKUP(N701,Sheet9!$M$1:$N$2,2,FALSE)</f>
        <v>1</v>
      </c>
      <c r="D701">
        <v>16</v>
      </c>
      <c r="E701" t="s">
        <v>96</v>
      </c>
      <c r="F701">
        <v>120</v>
      </c>
      <c r="G701" t="s">
        <v>139</v>
      </c>
      <c r="H701">
        <v>64</v>
      </c>
      <c r="I701">
        <v>0.6</v>
      </c>
      <c r="J701">
        <v>38.4</v>
      </c>
      <c r="K701">
        <v>4.3899999999999997</v>
      </c>
      <c r="L701">
        <v>4.3099999999999996</v>
      </c>
      <c r="M701" t="s">
        <v>165</v>
      </c>
      <c r="N701" t="s">
        <v>162</v>
      </c>
    </row>
    <row r="702" spans="1:14" x14ac:dyDescent="0.3">
      <c r="A702" t="s">
        <v>165</v>
      </c>
      <c r="B702">
        <f>VLOOKUP(M702,Sheet9!$I$1:$J$17,2,FALSE)</f>
        <v>15</v>
      </c>
      <c r="C702">
        <f>VLOOKUP(N702,Sheet9!$M$1:$N$2,2,FALSE)</f>
        <v>1</v>
      </c>
      <c r="D702">
        <v>16</v>
      </c>
      <c r="E702" t="s">
        <v>96</v>
      </c>
      <c r="F702">
        <v>130</v>
      </c>
      <c r="G702" t="s">
        <v>139</v>
      </c>
      <c r="H702">
        <v>32</v>
      </c>
      <c r="I702">
        <v>0.6</v>
      </c>
      <c r="J702">
        <v>19.2</v>
      </c>
      <c r="K702">
        <v>6.96</v>
      </c>
      <c r="L702">
        <v>6.83</v>
      </c>
      <c r="M702" t="s">
        <v>165</v>
      </c>
      <c r="N702" t="s">
        <v>162</v>
      </c>
    </row>
    <row r="703" spans="1:14" x14ac:dyDescent="0.3">
      <c r="A703" t="s">
        <v>165</v>
      </c>
      <c r="B703">
        <f>VLOOKUP(M703,Sheet9!$I$1:$J$17,2,FALSE)</f>
        <v>15</v>
      </c>
      <c r="C703">
        <f>VLOOKUP(N703,Sheet9!$M$1:$N$2,2,FALSE)</f>
        <v>1</v>
      </c>
      <c r="D703">
        <v>16</v>
      </c>
      <c r="E703" t="s">
        <v>96</v>
      </c>
      <c r="F703">
        <v>130</v>
      </c>
      <c r="G703" t="s">
        <v>139</v>
      </c>
      <c r="H703">
        <v>64</v>
      </c>
      <c r="I703">
        <v>0.6</v>
      </c>
      <c r="J703">
        <v>38.4</v>
      </c>
      <c r="K703">
        <v>6.01</v>
      </c>
      <c r="L703">
        <v>5.92</v>
      </c>
      <c r="M703" t="s">
        <v>165</v>
      </c>
      <c r="N703" t="s">
        <v>162</v>
      </c>
    </row>
    <row r="704" spans="1:14" x14ac:dyDescent="0.3">
      <c r="A704" t="s">
        <v>165</v>
      </c>
      <c r="B704">
        <f>VLOOKUP(M704,Sheet9!$I$1:$J$17,2,FALSE)</f>
        <v>15</v>
      </c>
      <c r="C704">
        <f>VLOOKUP(N704,Sheet9!$M$1:$N$2,2,FALSE)</f>
        <v>1</v>
      </c>
      <c r="D704">
        <v>16</v>
      </c>
      <c r="E704" t="s">
        <v>96</v>
      </c>
      <c r="F704">
        <v>140</v>
      </c>
      <c r="G704" t="s">
        <v>139</v>
      </c>
      <c r="H704">
        <v>32</v>
      </c>
      <c r="I704">
        <v>0.6</v>
      </c>
      <c r="J704">
        <v>19.2</v>
      </c>
      <c r="K704">
        <v>9.17</v>
      </c>
      <c r="L704">
        <v>9.02</v>
      </c>
      <c r="M704" t="s">
        <v>165</v>
      </c>
      <c r="N704" t="s">
        <v>162</v>
      </c>
    </row>
    <row r="705" spans="1:14" x14ac:dyDescent="0.3">
      <c r="A705" t="s">
        <v>165</v>
      </c>
      <c r="B705">
        <f>VLOOKUP(M705,Sheet9!$I$1:$J$17,2,FALSE)</f>
        <v>15</v>
      </c>
      <c r="C705">
        <f>VLOOKUP(N705,Sheet9!$M$1:$N$2,2,FALSE)</f>
        <v>1</v>
      </c>
      <c r="D705">
        <v>16</v>
      </c>
      <c r="E705" t="s">
        <v>96</v>
      </c>
      <c r="F705">
        <v>140</v>
      </c>
      <c r="G705" t="s">
        <v>139</v>
      </c>
      <c r="H705">
        <v>64</v>
      </c>
      <c r="I705">
        <v>0.6</v>
      </c>
      <c r="J705">
        <v>38.4</v>
      </c>
      <c r="K705">
        <v>7.92</v>
      </c>
      <c r="L705">
        <v>7.81</v>
      </c>
      <c r="M705" t="s">
        <v>165</v>
      </c>
      <c r="N705" t="s">
        <v>162</v>
      </c>
    </row>
    <row r="706" spans="1:14" x14ac:dyDescent="0.3">
      <c r="A706" t="s">
        <v>165</v>
      </c>
      <c r="B706">
        <f>VLOOKUP(M706,Sheet9!$I$1:$J$17,2,FALSE)</f>
        <v>15</v>
      </c>
      <c r="C706">
        <f>VLOOKUP(N706,Sheet9!$M$1:$N$2,2,FALSE)</f>
        <v>1</v>
      </c>
      <c r="D706">
        <v>32</v>
      </c>
      <c r="E706" t="s">
        <v>95</v>
      </c>
      <c r="F706">
        <v>70</v>
      </c>
      <c r="H706">
        <v>32</v>
      </c>
      <c r="I706">
        <v>0.6</v>
      </c>
      <c r="J706">
        <v>19.2</v>
      </c>
      <c r="M706" t="s">
        <v>165</v>
      </c>
      <c r="N706" t="s">
        <v>162</v>
      </c>
    </row>
    <row r="707" spans="1:14" x14ac:dyDescent="0.3">
      <c r="A707" t="s">
        <v>165</v>
      </c>
      <c r="B707">
        <f>VLOOKUP(M707,Sheet9!$I$1:$J$17,2,FALSE)</f>
        <v>15</v>
      </c>
      <c r="C707">
        <f>VLOOKUP(N707,Sheet9!$M$1:$N$2,2,FALSE)</f>
        <v>1</v>
      </c>
      <c r="D707">
        <v>32</v>
      </c>
      <c r="E707" t="s">
        <v>95</v>
      </c>
      <c r="F707">
        <v>70</v>
      </c>
      <c r="H707">
        <v>64</v>
      </c>
      <c r="I707">
        <v>0.6</v>
      </c>
      <c r="J707">
        <v>38.4</v>
      </c>
      <c r="K707">
        <v>0.98</v>
      </c>
      <c r="L707">
        <v>1.96</v>
      </c>
      <c r="M707" t="s">
        <v>165</v>
      </c>
      <c r="N707" t="s">
        <v>162</v>
      </c>
    </row>
    <row r="708" spans="1:14" x14ac:dyDescent="0.3">
      <c r="A708" t="s">
        <v>165</v>
      </c>
      <c r="B708">
        <f>VLOOKUP(M708,Sheet9!$I$1:$J$17,2,FALSE)</f>
        <v>15</v>
      </c>
      <c r="C708">
        <f>VLOOKUP(N708,Sheet9!$M$1:$N$2,2,FALSE)</f>
        <v>1</v>
      </c>
      <c r="D708">
        <v>32</v>
      </c>
      <c r="E708" t="s">
        <v>95</v>
      </c>
      <c r="F708">
        <v>80</v>
      </c>
      <c r="H708">
        <v>32</v>
      </c>
      <c r="I708">
        <v>0.6</v>
      </c>
      <c r="J708">
        <v>19.2</v>
      </c>
      <c r="M708" t="s">
        <v>165</v>
      </c>
      <c r="N708" t="s">
        <v>162</v>
      </c>
    </row>
    <row r="709" spans="1:14" x14ac:dyDescent="0.3">
      <c r="A709" t="s">
        <v>165</v>
      </c>
      <c r="B709">
        <f>VLOOKUP(M709,Sheet9!$I$1:$J$17,2,FALSE)</f>
        <v>15</v>
      </c>
      <c r="C709">
        <f>VLOOKUP(N709,Sheet9!$M$1:$N$2,2,FALSE)</f>
        <v>1</v>
      </c>
      <c r="D709">
        <v>32</v>
      </c>
      <c r="E709" t="s">
        <v>95</v>
      </c>
      <c r="F709">
        <v>80</v>
      </c>
      <c r="H709">
        <v>64</v>
      </c>
      <c r="I709">
        <v>0.6</v>
      </c>
      <c r="J709">
        <v>38.4</v>
      </c>
      <c r="K709">
        <v>1.7</v>
      </c>
      <c r="L709">
        <v>3.14</v>
      </c>
      <c r="M709" t="s">
        <v>165</v>
      </c>
      <c r="N709" t="s">
        <v>162</v>
      </c>
    </row>
    <row r="710" spans="1:14" x14ac:dyDescent="0.3">
      <c r="A710" t="s">
        <v>165</v>
      </c>
      <c r="B710">
        <f>VLOOKUP(M710,Sheet9!$I$1:$J$17,2,FALSE)</f>
        <v>15</v>
      </c>
      <c r="C710">
        <f>VLOOKUP(N710,Sheet9!$M$1:$N$2,2,FALSE)</f>
        <v>1</v>
      </c>
      <c r="D710">
        <v>32</v>
      </c>
      <c r="E710" t="s">
        <v>95</v>
      </c>
      <c r="F710">
        <v>90</v>
      </c>
      <c r="H710">
        <v>32</v>
      </c>
      <c r="I710">
        <v>0.6</v>
      </c>
      <c r="J710">
        <v>19.2</v>
      </c>
      <c r="M710" t="s">
        <v>165</v>
      </c>
      <c r="N710" t="s">
        <v>162</v>
      </c>
    </row>
    <row r="711" spans="1:14" x14ac:dyDescent="0.3">
      <c r="A711" t="s">
        <v>165</v>
      </c>
      <c r="B711">
        <f>VLOOKUP(M711,Sheet9!$I$1:$J$17,2,FALSE)</f>
        <v>15</v>
      </c>
      <c r="C711">
        <f>VLOOKUP(N711,Sheet9!$M$1:$N$2,2,FALSE)</f>
        <v>1</v>
      </c>
      <c r="D711">
        <v>32</v>
      </c>
      <c r="E711" t="s">
        <v>95</v>
      </c>
      <c r="F711">
        <v>90</v>
      </c>
      <c r="H711">
        <v>64</v>
      </c>
      <c r="I711">
        <v>0.6</v>
      </c>
      <c r="J711">
        <v>38.4</v>
      </c>
      <c r="K711">
        <v>2.96</v>
      </c>
      <c r="L711">
        <v>4.59</v>
      </c>
      <c r="M711" t="s">
        <v>165</v>
      </c>
      <c r="N711" t="s">
        <v>162</v>
      </c>
    </row>
    <row r="712" spans="1:14" x14ac:dyDescent="0.3">
      <c r="A712" t="s">
        <v>165</v>
      </c>
      <c r="B712">
        <f>VLOOKUP(M712,Sheet9!$I$1:$J$17,2,FALSE)</f>
        <v>15</v>
      </c>
      <c r="C712">
        <f>VLOOKUP(N712,Sheet9!$M$1:$N$2,2,FALSE)</f>
        <v>1</v>
      </c>
      <c r="D712">
        <v>32</v>
      </c>
      <c r="E712" t="s">
        <v>95</v>
      </c>
      <c r="F712">
        <v>100</v>
      </c>
      <c r="H712">
        <v>32</v>
      </c>
      <c r="I712">
        <v>0.6</v>
      </c>
      <c r="J712">
        <v>19.2</v>
      </c>
      <c r="M712" t="s">
        <v>165</v>
      </c>
      <c r="N712" t="s">
        <v>162</v>
      </c>
    </row>
    <row r="713" spans="1:14" x14ac:dyDescent="0.3">
      <c r="A713" t="s">
        <v>165</v>
      </c>
      <c r="B713">
        <f>VLOOKUP(M713,Sheet9!$I$1:$J$17,2,FALSE)</f>
        <v>15</v>
      </c>
      <c r="C713">
        <f>VLOOKUP(N713,Sheet9!$M$1:$N$2,2,FALSE)</f>
        <v>1</v>
      </c>
      <c r="D713">
        <v>32</v>
      </c>
      <c r="E713" t="s">
        <v>95</v>
      </c>
      <c r="F713">
        <v>100</v>
      </c>
      <c r="H713">
        <v>64</v>
      </c>
      <c r="I713">
        <v>0.6</v>
      </c>
      <c r="J713">
        <v>38.4</v>
      </c>
      <c r="K713">
        <v>3.7</v>
      </c>
      <c r="L713">
        <v>6.28</v>
      </c>
      <c r="M713" t="s">
        <v>165</v>
      </c>
      <c r="N713" t="s">
        <v>162</v>
      </c>
    </row>
    <row r="714" spans="1:14" x14ac:dyDescent="0.3">
      <c r="A714" t="s">
        <v>165</v>
      </c>
      <c r="B714">
        <f>VLOOKUP(M714,Sheet9!$I$1:$J$17,2,FALSE)</f>
        <v>15</v>
      </c>
      <c r="C714">
        <f>VLOOKUP(N714,Sheet9!$M$1:$N$2,2,FALSE)</f>
        <v>1</v>
      </c>
      <c r="D714">
        <v>32</v>
      </c>
      <c r="E714" t="s">
        <v>95</v>
      </c>
      <c r="F714">
        <v>110</v>
      </c>
      <c r="H714">
        <v>32</v>
      </c>
      <c r="I714">
        <v>0.6</v>
      </c>
      <c r="J714">
        <v>19.2</v>
      </c>
      <c r="M714" t="s">
        <v>165</v>
      </c>
      <c r="N714" t="s">
        <v>162</v>
      </c>
    </row>
    <row r="715" spans="1:14" x14ac:dyDescent="0.3">
      <c r="A715" t="s">
        <v>165</v>
      </c>
      <c r="B715">
        <f>VLOOKUP(M715,Sheet9!$I$1:$J$17,2,FALSE)</f>
        <v>15</v>
      </c>
      <c r="C715">
        <f>VLOOKUP(N715,Sheet9!$M$1:$N$2,2,FALSE)</f>
        <v>1</v>
      </c>
      <c r="D715">
        <v>32</v>
      </c>
      <c r="E715" t="s">
        <v>95</v>
      </c>
      <c r="F715">
        <v>110</v>
      </c>
      <c r="H715">
        <v>64</v>
      </c>
      <c r="I715">
        <v>0.6</v>
      </c>
      <c r="J715">
        <v>38.4</v>
      </c>
      <c r="K715">
        <v>4.9400000000000004</v>
      </c>
      <c r="L715">
        <v>8.16</v>
      </c>
      <c r="M715" t="s">
        <v>165</v>
      </c>
      <c r="N715" t="s">
        <v>162</v>
      </c>
    </row>
    <row r="716" spans="1:14" x14ac:dyDescent="0.3">
      <c r="A716" t="s">
        <v>165</v>
      </c>
      <c r="B716">
        <f>VLOOKUP(M716,Sheet9!$I$1:$J$17,2,FALSE)</f>
        <v>15</v>
      </c>
      <c r="C716">
        <f>VLOOKUP(N716,Sheet9!$M$1:$N$2,2,FALSE)</f>
        <v>1</v>
      </c>
      <c r="D716">
        <v>32</v>
      </c>
      <c r="E716" t="s">
        <v>95</v>
      </c>
      <c r="F716">
        <v>120</v>
      </c>
      <c r="H716">
        <v>32</v>
      </c>
      <c r="I716">
        <v>0.6</v>
      </c>
      <c r="J716">
        <v>19.2</v>
      </c>
      <c r="M716" t="s">
        <v>165</v>
      </c>
      <c r="N716" t="s">
        <v>162</v>
      </c>
    </row>
    <row r="717" spans="1:14" x14ac:dyDescent="0.3">
      <c r="A717" t="s">
        <v>165</v>
      </c>
      <c r="B717">
        <f>VLOOKUP(M717,Sheet9!$I$1:$J$17,2,FALSE)</f>
        <v>15</v>
      </c>
      <c r="C717">
        <f>VLOOKUP(N717,Sheet9!$M$1:$N$2,2,FALSE)</f>
        <v>1</v>
      </c>
      <c r="D717">
        <v>32</v>
      </c>
      <c r="E717" t="s">
        <v>95</v>
      </c>
      <c r="F717">
        <v>120</v>
      </c>
      <c r="H717">
        <v>64</v>
      </c>
      <c r="I717">
        <v>0.6</v>
      </c>
      <c r="J717">
        <v>38.4</v>
      </c>
      <c r="K717">
        <v>6.31</v>
      </c>
      <c r="L717">
        <v>10.24</v>
      </c>
      <c r="M717" t="s">
        <v>165</v>
      </c>
      <c r="N717" t="s">
        <v>162</v>
      </c>
    </row>
    <row r="718" spans="1:14" x14ac:dyDescent="0.3">
      <c r="A718" t="s">
        <v>165</v>
      </c>
      <c r="B718">
        <f>VLOOKUP(M718,Sheet9!$I$1:$J$17,2,FALSE)</f>
        <v>15</v>
      </c>
      <c r="C718">
        <f>VLOOKUP(N718,Sheet9!$M$1:$N$2,2,FALSE)</f>
        <v>1</v>
      </c>
      <c r="D718">
        <v>32</v>
      </c>
      <c r="E718" t="s">
        <v>95</v>
      </c>
      <c r="F718">
        <v>130</v>
      </c>
      <c r="H718">
        <v>32</v>
      </c>
      <c r="I718">
        <v>0.6</v>
      </c>
      <c r="J718">
        <v>19.2</v>
      </c>
      <c r="M718" t="s">
        <v>165</v>
      </c>
      <c r="N718" t="s">
        <v>162</v>
      </c>
    </row>
    <row r="719" spans="1:14" x14ac:dyDescent="0.3">
      <c r="A719" t="s">
        <v>165</v>
      </c>
      <c r="B719">
        <f>VLOOKUP(M719,Sheet9!$I$1:$J$17,2,FALSE)</f>
        <v>15</v>
      </c>
      <c r="C719">
        <f>VLOOKUP(N719,Sheet9!$M$1:$N$2,2,FALSE)</f>
        <v>1</v>
      </c>
      <c r="D719">
        <v>32</v>
      </c>
      <c r="E719" t="s">
        <v>95</v>
      </c>
      <c r="F719">
        <v>130</v>
      </c>
      <c r="H719">
        <v>64</v>
      </c>
      <c r="I719">
        <v>0.6</v>
      </c>
      <c r="J719">
        <v>38.4</v>
      </c>
      <c r="K719">
        <v>7.81</v>
      </c>
      <c r="L719">
        <v>12.49</v>
      </c>
      <c r="M719" t="s">
        <v>165</v>
      </c>
      <c r="N719" t="s">
        <v>162</v>
      </c>
    </row>
    <row r="720" spans="1:14" x14ac:dyDescent="0.3">
      <c r="A720" t="s">
        <v>165</v>
      </c>
      <c r="B720">
        <f>VLOOKUP(M720,Sheet9!$I$1:$J$17,2,FALSE)</f>
        <v>15</v>
      </c>
      <c r="C720">
        <f>VLOOKUP(N720,Sheet9!$M$1:$N$2,2,FALSE)</f>
        <v>1</v>
      </c>
      <c r="D720">
        <v>32</v>
      </c>
      <c r="E720" t="s">
        <v>95</v>
      </c>
      <c r="F720">
        <v>140</v>
      </c>
      <c r="H720">
        <v>32</v>
      </c>
      <c r="I720">
        <v>0.6</v>
      </c>
      <c r="J720">
        <v>19.2</v>
      </c>
      <c r="M720" t="s">
        <v>165</v>
      </c>
      <c r="N720" t="s">
        <v>162</v>
      </c>
    </row>
    <row r="721" spans="1:14" x14ac:dyDescent="0.3">
      <c r="A721" t="s">
        <v>165</v>
      </c>
      <c r="B721">
        <f>VLOOKUP(M721,Sheet9!$I$1:$J$17,2,FALSE)</f>
        <v>15</v>
      </c>
      <c r="C721">
        <f>VLOOKUP(N721,Sheet9!$M$1:$N$2,2,FALSE)</f>
        <v>1</v>
      </c>
      <c r="D721">
        <v>32</v>
      </c>
      <c r="E721" t="s">
        <v>95</v>
      </c>
      <c r="F721">
        <v>140</v>
      </c>
      <c r="H721">
        <v>64</v>
      </c>
      <c r="I721">
        <v>0.6</v>
      </c>
      <c r="J721">
        <v>38.4</v>
      </c>
      <c r="K721">
        <v>9.44</v>
      </c>
      <c r="L721">
        <v>14.91</v>
      </c>
      <c r="M721" t="s">
        <v>165</v>
      </c>
      <c r="N721" t="s">
        <v>162</v>
      </c>
    </row>
    <row r="722" spans="1:14" x14ac:dyDescent="0.3">
      <c r="A722" t="s">
        <v>165</v>
      </c>
      <c r="B722">
        <f>VLOOKUP(M722,Sheet9!$I$1:$J$17,2,FALSE)</f>
        <v>15</v>
      </c>
      <c r="C722">
        <f>VLOOKUP(N722,Sheet9!$M$1:$N$2,2,FALSE)</f>
        <v>1</v>
      </c>
      <c r="D722">
        <v>32</v>
      </c>
      <c r="E722" t="s">
        <v>95</v>
      </c>
      <c r="F722">
        <v>100</v>
      </c>
      <c r="G722" t="s">
        <v>139</v>
      </c>
      <c r="H722">
        <v>32</v>
      </c>
      <c r="I722">
        <v>0.6</v>
      </c>
      <c r="J722">
        <v>19.2</v>
      </c>
      <c r="K722">
        <v>0.83</v>
      </c>
      <c r="L722">
        <v>1.24</v>
      </c>
      <c r="M722" t="s">
        <v>165</v>
      </c>
      <c r="N722" t="s">
        <v>162</v>
      </c>
    </row>
    <row r="723" spans="1:14" x14ac:dyDescent="0.3">
      <c r="A723" t="s">
        <v>165</v>
      </c>
      <c r="B723">
        <f>VLOOKUP(M723,Sheet9!$I$1:$J$17,2,FALSE)</f>
        <v>15</v>
      </c>
      <c r="C723">
        <f>VLOOKUP(N723,Sheet9!$M$1:$N$2,2,FALSE)</f>
        <v>1</v>
      </c>
      <c r="D723">
        <v>32</v>
      </c>
      <c r="E723" t="s">
        <v>95</v>
      </c>
      <c r="F723">
        <v>100</v>
      </c>
      <c r="G723" t="s">
        <v>139</v>
      </c>
      <c r="H723">
        <v>64</v>
      </c>
      <c r="I723">
        <v>0.6</v>
      </c>
      <c r="J723">
        <v>38.4</v>
      </c>
      <c r="K723">
        <v>0.71</v>
      </c>
      <c r="L723">
        <v>1.08</v>
      </c>
      <c r="M723" t="s">
        <v>165</v>
      </c>
      <c r="N723" t="s">
        <v>162</v>
      </c>
    </row>
    <row r="724" spans="1:14" x14ac:dyDescent="0.3">
      <c r="A724" t="s">
        <v>165</v>
      </c>
      <c r="B724">
        <f>VLOOKUP(M724,Sheet9!$I$1:$J$17,2,FALSE)</f>
        <v>15</v>
      </c>
      <c r="C724">
        <f>VLOOKUP(N724,Sheet9!$M$1:$N$2,2,FALSE)</f>
        <v>1</v>
      </c>
      <c r="D724">
        <v>32</v>
      </c>
      <c r="E724" t="s">
        <v>95</v>
      </c>
      <c r="F724">
        <v>110</v>
      </c>
      <c r="G724" t="s">
        <v>139</v>
      </c>
      <c r="H724">
        <v>32</v>
      </c>
      <c r="I724">
        <v>0.6</v>
      </c>
      <c r="J724">
        <v>19.2</v>
      </c>
      <c r="K724">
        <v>1.32</v>
      </c>
      <c r="L724">
        <v>1.95</v>
      </c>
      <c r="M724" t="s">
        <v>165</v>
      </c>
      <c r="N724" t="s">
        <v>162</v>
      </c>
    </row>
    <row r="725" spans="1:14" x14ac:dyDescent="0.3">
      <c r="A725" t="s">
        <v>165</v>
      </c>
      <c r="B725">
        <f>VLOOKUP(M725,Sheet9!$I$1:$J$17,2,FALSE)</f>
        <v>15</v>
      </c>
      <c r="C725">
        <f>VLOOKUP(N725,Sheet9!$M$1:$N$2,2,FALSE)</f>
        <v>1</v>
      </c>
      <c r="D725">
        <v>32</v>
      </c>
      <c r="E725" t="s">
        <v>95</v>
      </c>
      <c r="F725">
        <v>110</v>
      </c>
      <c r="G725" t="s">
        <v>139</v>
      </c>
      <c r="H725">
        <v>64</v>
      </c>
      <c r="I725">
        <v>0.6</v>
      </c>
      <c r="J725">
        <v>38.4</v>
      </c>
      <c r="K725">
        <v>1.1399999999999999</v>
      </c>
      <c r="L725">
        <v>1.7</v>
      </c>
      <c r="M725" t="s">
        <v>165</v>
      </c>
      <c r="N725" t="s">
        <v>162</v>
      </c>
    </row>
    <row r="726" spans="1:14" x14ac:dyDescent="0.3">
      <c r="A726" t="s">
        <v>165</v>
      </c>
      <c r="B726">
        <f>VLOOKUP(M726,Sheet9!$I$1:$J$17,2,FALSE)</f>
        <v>15</v>
      </c>
      <c r="C726">
        <f>VLOOKUP(N726,Sheet9!$M$1:$N$2,2,FALSE)</f>
        <v>1</v>
      </c>
      <c r="D726">
        <v>32</v>
      </c>
      <c r="E726" t="s">
        <v>95</v>
      </c>
      <c r="F726">
        <v>120</v>
      </c>
      <c r="G726" t="s">
        <v>139</v>
      </c>
      <c r="H726">
        <v>32</v>
      </c>
      <c r="I726">
        <v>0.6</v>
      </c>
      <c r="J726">
        <v>19.2</v>
      </c>
      <c r="K726">
        <v>1.94</v>
      </c>
      <c r="L726">
        <v>2.85</v>
      </c>
      <c r="M726" t="s">
        <v>165</v>
      </c>
      <c r="N726" t="s">
        <v>162</v>
      </c>
    </row>
    <row r="727" spans="1:14" x14ac:dyDescent="0.3">
      <c r="A727" t="s">
        <v>165</v>
      </c>
      <c r="B727">
        <f>VLOOKUP(M727,Sheet9!$I$1:$J$17,2,FALSE)</f>
        <v>15</v>
      </c>
      <c r="C727">
        <f>VLOOKUP(N727,Sheet9!$M$1:$N$2,2,FALSE)</f>
        <v>1</v>
      </c>
      <c r="D727">
        <v>32</v>
      </c>
      <c r="E727" t="s">
        <v>95</v>
      </c>
      <c r="F727">
        <v>120</v>
      </c>
      <c r="G727" t="s">
        <v>139</v>
      </c>
      <c r="H727">
        <v>64</v>
      </c>
      <c r="I727">
        <v>0.6</v>
      </c>
      <c r="J727">
        <v>38.4</v>
      </c>
      <c r="K727">
        <v>1.68</v>
      </c>
      <c r="L727">
        <v>2.48</v>
      </c>
      <c r="M727" t="s">
        <v>165</v>
      </c>
      <c r="N727" t="s">
        <v>162</v>
      </c>
    </row>
    <row r="728" spans="1:14" x14ac:dyDescent="0.3">
      <c r="A728" t="s">
        <v>165</v>
      </c>
      <c r="B728">
        <f>VLOOKUP(M728,Sheet9!$I$1:$J$17,2,FALSE)</f>
        <v>15</v>
      </c>
      <c r="C728">
        <f>VLOOKUP(N728,Sheet9!$M$1:$N$2,2,FALSE)</f>
        <v>1</v>
      </c>
      <c r="D728">
        <v>32</v>
      </c>
      <c r="E728" t="s">
        <v>95</v>
      </c>
      <c r="F728">
        <v>130</v>
      </c>
      <c r="G728" t="s">
        <v>139</v>
      </c>
      <c r="H728">
        <v>32</v>
      </c>
      <c r="I728">
        <v>0.6</v>
      </c>
      <c r="J728">
        <v>19.2</v>
      </c>
      <c r="K728">
        <v>2.7</v>
      </c>
      <c r="L728">
        <v>3.94</v>
      </c>
      <c r="M728" t="s">
        <v>165</v>
      </c>
      <c r="N728" t="s">
        <v>162</v>
      </c>
    </row>
    <row r="729" spans="1:14" x14ac:dyDescent="0.3">
      <c r="A729" t="s">
        <v>165</v>
      </c>
      <c r="B729">
        <f>VLOOKUP(M729,Sheet9!$I$1:$J$17,2,FALSE)</f>
        <v>15</v>
      </c>
      <c r="C729">
        <f>VLOOKUP(N729,Sheet9!$M$1:$N$2,2,FALSE)</f>
        <v>1</v>
      </c>
      <c r="D729">
        <v>32</v>
      </c>
      <c r="E729" t="s">
        <v>95</v>
      </c>
      <c r="F729">
        <v>130</v>
      </c>
      <c r="G729" t="s">
        <v>139</v>
      </c>
      <c r="H729">
        <v>64</v>
      </c>
      <c r="I729">
        <v>0.6</v>
      </c>
      <c r="J729">
        <v>38.4</v>
      </c>
      <c r="K729">
        <v>2.34</v>
      </c>
      <c r="L729">
        <v>3.43</v>
      </c>
      <c r="M729" t="s">
        <v>165</v>
      </c>
      <c r="N729" t="s">
        <v>162</v>
      </c>
    </row>
    <row r="730" spans="1:14" x14ac:dyDescent="0.3">
      <c r="A730" t="s">
        <v>165</v>
      </c>
      <c r="B730">
        <f>VLOOKUP(M730,Sheet9!$I$1:$J$17,2,FALSE)</f>
        <v>15</v>
      </c>
      <c r="C730">
        <f>VLOOKUP(N730,Sheet9!$M$1:$N$2,2,FALSE)</f>
        <v>1</v>
      </c>
      <c r="D730">
        <v>32</v>
      </c>
      <c r="E730" t="s">
        <v>95</v>
      </c>
      <c r="F730">
        <v>140</v>
      </c>
      <c r="G730" t="s">
        <v>139</v>
      </c>
      <c r="H730">
        <v>32</v>
      </c>
      <c r="I730">
        <v>0.6</v>
      </c>
      <c r="J730">
        <v>19.2</v>
      </c>
      <c r="K730">
        <v>3.6</v>
      </c>
      <c r="L730">
        <v>5.24</v>
      </c>
      <c r="M730" t="s">
        <v>165</v>
      </c>
      <c r="N730" t="s">
        <v>162</v>
      </c>
    </row>
    <row r="731" spans="1:14" x14ac:dyDescent="0.3">
      <c r="A731" t="s">
        <v>165</v>
      </c>
      <c r="B731">
        <f>VLOOKUP(M731,Sheet9!$I$1:$J$17,2,FALSE)</f>
        <v>15</v>
      </c>
      <c r="C731">
        <f>VLOOKUP(N731,Sheet9!$M$1:$N$2,2,FALSE)</f>
        <v>1</v>
      </c>
      <c r="D731">
        <v>32</v>
      </c>
      <c r="E731" t="s">
        <v>95</v>
      </c>
      <c r="F731">
        <v>140</v>
      </c>
      <c r="G731" t="s">
        <v>139</v>
      </c>
      <c r="H731">
        <v>64</v>
      </c>
      <c r="I731">
        <v>0.6</v>
      </c>
      <c r="J731">
        <v>38.4</v>
      </c>
      <c r="K731">
        <v>3.12</v>
      </c>
      <c r="L731">
        <v>4.5599999999999996</v>
      </c>
      <c r="M731" t="s">
        <v>165</v>
      </c>
      <c r="N731" t="s">
        <v>162</v>
      </c>
    </row>
    <row r="732" spans="1:14" x14ac:dyDescent="0.3">
      <c r="A732" t="s">
        <v>165</v>
      </c>
      <c r="B732">
        <f>VLOOKUP(M732,Sheet9!$I$1:$J$17,2,FALSE)</f>
        <v>15</v>
      </c>
      <c r="C732">
        <f>VLOOKUP(N732,Sheet9!$M$1:$N$2,2,FALSE)</f>
        <v>1</v>
      </c>
      <c r="D732">
        <v>32</v>
      </c>
      <c r="E732" t="s">
        <v>96</v>
      </c>
      <c r="F732">
        <v>70</v>
      </c>
      <c r="H732">
        <v>32</v>
      </c>
      <c r="I732">
        <v>0.6</v>
      </c>
      <c r="J732">
        <v>19.2</v>
      </c>
      <c r="M732" t="s">
        <v>165</v>
      </c>
      <c r="N732" t="s">
        <v>162</v>
      </c>
    </row>
    <row r="733" spans="1:14" x14ac:dyDescent="0.3">
      <c r="A733" t="s">
        <v>165</v>
      </c>
      <c r="B733">
        <f>VLOOKUP(M733,Sheet9!$I$1:$J$17,2,FALSE)</f>
        <v>15</v>
      </c>
      <c r="C733">
        <f>VLOOKUP(N733,Sheet9!$M$1:$N$2,2,FALSE)</f>
        <v>1</v>
      </c>
      <c r="D733">
        <v>32</v>
      </c>
      <c r="E733" t="s">
        <v>96</v>
      </c>
      <c r="F733">
        <v>70</v>
      </c>
      <c r="H733">
        <v>64</v>
      </c>
      <c r="I733">
        <v>0.6</v>
      </c>
      <c r="J733">
        <v>38.4</v>
      </c>
      <c r="K733">
        <v>0.85</v>
      </c>
      <c r="L733">
        <v>1.48</v>
      </c>
      <c r="M733" t="s">
        <v>165</v>
      </c>
      <c r="N733" t="s">
        <v>162</v>
      </c>
    </row>
    <row r="734" spans="1:14" x14ac:dyDescent="0.3">
      <c r="A734" t="s">
        <v>165</v>
      </c>
      <c r="B734">
        <f>VLOOKUP(M734,Sheet9!$I$1:$J$17,2,FALSE)</f>
        <v>15</v>
      </c>
      <c r="C734">
        <f>VLOOKUP(N734,Sheet9!$M$1:$N$2,2,FALSE)</f>
        <v>1</v>
      </c>
      <c r="D734">
        <v>32</v>
      </c>
      <c r="E734" t="s">
        <v>96</v>
      </c>
      <c r="F734">
        <v>80</v>
      </c>
      <c r="H734">
        <v>32</v>
      </c>
      <c r="I734">
        <v>0.6</v>
      </c>
      <c r="J734">
        <v>19.2</v>
      </c>
      <c r="M734" t="s">
        <v>165</v>
      </c>
      <c r="N734" t="s">
        <v>162</v>
      </c>
    </row>
    <row r="735" spans="1:14" x14ac:dyDescent="0.3">
      <c r="A735" t="s">
        <v>165</v>
      </c>
      <c r="B735">
        <f>VLOOKUP(M735,Sheet9!$I$1:$J$17,2,FALSE)</f>
        <v>15</v>
      </c>
      <c r="C735">
        <f>VLOOKUP(N735,Sheet9!$M$1:$N$2,2,FALSE)</f>
        <v>1</v>
      </c>
      <c r="D735">
        <v>32</v>
      </c>
      <c r="E735" t="s">
        <v>96</v>
      </c>
      <c r="F735">
        <v>80</v>
      </c>
      <c r="H735">
        <v>64</v>
      </c>
      <c r="I735">
        <v>0.6</v>
      </c>
      <c r="J735">
        <v>38.4</v>
      </c>
      <c r="K735">
        <v>1.48</v>
      </c>
      <c r="L735">
        <v>2.41</v>
      </c>
      <c r="M735" t="s">
        <v>165</v>
      </c>
      <c r="N735" t="s">
        <v>162</v>
      </c>
    </row>
    <row r="736" spans="1:14" x14ac:dyDescent="0.3">
      <c r="A736" t="s">
        <v>165</v>
      </c>
      <c r="B736">
        <f>VLOOKUP(M736,Sheet9!$I$1:$J$17,2,FALSE)</f>
        <v>15</v>
      </c>
      <c r="C736">
        <f>VLOOKUP(N736,Sheet9!$M$1:$N$2,2,FALSE)</f>
        <v>1</v>
      </c>
      <c r="D736">
        <v>32</v>
      </c>
      <c r="E736" t="s">
        <v>96</v>
      </c>
      <c r="F736">
        <v>90</v>
      </c>
      <c r="H736">
        <v>32</v>
      </c>
      <c r="I736">
        <v>0.6</v>
      </c>
      <c r="J736">
        <v>19.2</v>
      </c>
      <c r="M736" t="s">
        <v>165</v>
      </c>
      <c r="N736" t="s">
        <v>162</v>
      </c>
    </row>
    <row r="737" spans="1:14" x14ac:dyDescent="0.3">
      <c r="A737" t="s">
        <v>165</v>
      </c>
      <c r="B737">
        <f>VLOOKUP(M737,Sheet9!$I$1:$J$17,2,FALSE)</f>
        <v>15</v>
      </c>
      <c r="C737">
        <f>VLOOKUP(N737,Sheet9!$M$1:$N$2,2,FALSE)</f>
        <v>1</v>
      </c>
      <c r="D737">
        <v>32</v>
      </c>
      <c r="E737" t="s">
        <v>96</v>
      </c>
      <c r="F737">
        <v>90</v>
      </c>
      <c r="H737">
        <v>64</v>
      </c>
      <c r="I737">
        <v>0.6</v>
      </c>
      <c r="J737">
        <v>38.4</v>
      </c>
      <c r="K737">
        <v>2.2999999999999998</v>
      </c>
      <c r="L737">
        <v>3.57</v>
      </c>
      <c r="M737" t="s">
        <v>165</v>
      </c>
      <c r="N737" t="s">
        <v>162</v>
      </c>
    </row>
    <row r="738" spans="1:14" x14ac:dyDescent="0.3">
      <c r="A738" t="s">
        <v>165</v>
      </c>
      <c r="B738">
        <f>VLOOKUP(M738,Sheet9!$I$1:$J$17,2,FALSE)</f>
        <v>15</v>
      </c>
      <c r="C738">
        <f>VLOOKUP(N738,Sheet9!$M$1:$N$2,2,FALSE)</f>
        <v>1</v>
      </c>
      <c r="D738">
        <v>32</v>
      </c>
      <c r="E738" t="s">
        <v>96</v>
      </c>
      <c r="F738">
        <v>100</v>
      </c>
      <c r="H738">
        <v>32</v>
      </c>
      <c r="I738">
        <v>0.6</v>
      </c>
      <c r="J738">
        <v>19.2</v>
      </c>
      <c r="M738" t="s">
        <v>165</v>
      </c>
      <c r="N738" t="s">
        <v>162</v>
      </c>
    </row>
    <row r="739" spans="1:14" x14ac:dyDescent="0.3">
      <c r="A739" t="s">
        <v>165</v>
      </c>
      <c r="B739">
        <f>VLOOKUP(M739,Sheet9!$I$1:$J$17,2,FALSE)</f>
        <v>15</v>
      </c>
      <c r="C739">
        <f>VLOOKUP(N739,Sheet9!$M$1:$N$2,2,FALSE)</f>
        <v>1</v>
      </c>
      <c r="D739">
        <v>32</v>
      </c>
      <c r="E739" t="s">
        <v>96</v>
      </c>
      <c r="F739">
        <v>100</v>
      </c>
      <c r="H739">
        <v>64</v>
      </c>
      <c r="I739">
        <v>0.6</v>
      </c>
      <c r="J739">
        <v>38.4</v>
      </c>
      <c r="K739">
        <v>3.27</v>
      </c>
      <c r="L739">
        <v>4.92</v>
      </c>
      <c r="M739" t="s">
        <v>165</v>
      </c>
      <c r="N739" t="s">
        <v>162</v>
      </c>
    </row>
    <row r="740" spans="1:14" x14ac:dyDescent="0.3">
      <c r="A740" t="s">
        <v>165</v>
      </c>
      <c r="B740">
        <f>VLOOKUP(M740,Sheet9!$I$1:$J$17,2,FALSE)</f>
        <v>15</v>
      </c>
      <c r="C740">
        <f>VLOOKUP(N740,Sheet9!$M$1:$N$2,2,FALSE)</f>
        <v>1</v>
      </c>
      <c r="D740">
        <v>32</v>
      </c>
      <c r="E740" t="s">
        <v>96</v>
      </c>
      <c r="F740">
        <v>110</v>
      </c>
      <c r="H740">
        <v>32</v>
      </c>
      <c r="I740">
        <v>0.6</v>
      </c>
      <c r="J740">
        <v>19.2</v>
      </c>
      <c r="M740" t="s">
        <v>165</v>
      </c>
      <c r="N740" t="s">
        <v>162</v>
      </c>
    </row>
    <row r="741" spans="1:14" x14ac:dyDescent="0.3">
      <c r="A741" t="s">
        <v>165</v>
      </c>
      <c r="B741">
        <f>VLOOKUP(M741,Sheet9!$I$1:$J$17,2,FALSE)</f>
        <v>15</v>
      </c>
      <c r="C741">
        <f>VLOOKUP(N741,Sheet9!$M$1:$N$2,2,FALSE)</f>
        <v>1</v>
      </c>
      <c r="D741">
        <v>32</v>
      </c>
      <c r="E741" t="s">
        <v>96</v>
      </c>
      <c r="F741">
        <v>110</v>
      </c>
      <c r="H741">
        <v>64</v>
      </c>
      <c r="I741">
        <v>0.6</v>
      </c>
      <c r="J741">
        <v>38.4</v>
      </c>
      <c r="K741">
        <v>4.38</v>
      </c>
      <c r="L741">
        <v>6.45</v>
      </c>
      <c r="M741" t="s">
        <v>165</v>
      </c>
      <c r="N741" t="s">
        <v>162</v>
      </c>
    </row>
    <row r="742" spans="1:14" x14ac:dyDescent="0.3">
      <c r="A742" t="s">
        <v>165</v>
      </c>
      <c r="B742">
        <f>VLOOKUP(M742,Sheet9!$I$1:$J$17,2,FALSE)</f>
        <v>15</v>
      </c>
      <c r="C742">
        <f>VLOOKUP(N742,Sheet9!$M$1:$N$2,2,FALSE)</f>
        <v>1</v>
      </c>
      <c r="D742">
        <v>32</v>
      </c>
      <c r="E742" t="s">
        <v>96</v>
      </c>
      <c r="F742">
        <v>120</v>
      </c>
      <c r="H742">
        <v>32</v>
      </c>
      <c r="I742">
        <v>0.6</v>
      </c>
      <c r="J742">
        <v>19.2</v>
      </c>
      <c r="M742" t="s">
        <v>165</v>
      </c>
      <c r="N742" t="s">
        <v>162</v>
      </c>
    </row>
    <row r="743" spans="1:14" x14ac:dyDescent="0.3">
      <c r="A743" t="s">
        <v>165</v>
      </c>
      <c r="B743">
        <f>VLOOKUP(M743,Sheet9!$I$1:$J$17,2,FALSE)</f>
        <v>15</v>
      </c>
      <c r="C743">
        <f>VLOOKUP(N743,Sheet9!$M$1:$N$2,2,FALSE)</f>
        <v>1</v>
      </c>
      <c r="D743">
        <v>32</v>
      </c>
      <c r="E743" t="s">
        <v>96</v>
      </c>
      <c r="F743">
        <v>120</v>
      </c>
      <c r="H743">
        <v>64</v>
      </c>
      <c r="I743">
        <v>0.6</v>
      </c>
      <c r="J743">
        <v>38.4</v>
      </c>
      <c r="K743">
        <v>5.62</v>
      </c>
      <c r="L743">
        <v>8.14</v>
      </c>
      <c r="M743" t="s">
        <v>165</v>
      </c>
      <c r="N743" t="s">
        <v>162</v>
      </c>
    </row>
    <row r="744" spans="1:14" x14ac:dyDescent="0.3">
      <c r="A744" t="s">
        <v>165</v>
      </c>
      <c r="B744">
        <f>VLOOKUP(M744,Sheet9!$I$1:$J$17,2,FALSE)</f>
        <v>15</v>
      </c>
      <c r="C744">
        <f>VLOOKUP(N744,Sheet9!$M$1:$N$2,2,FALSE)</f>
        <v>1</v>
      </c>
      <c r="D744">
        <v>32</v>
      </c>
      <c r="E744" t="s">
        <v>96</v>
      </c>
      <c r="F744">
        <v>130</v>
      </c>
      <c r="H744">
        <v>32</v>
      </c>
      <c r="I744">
        <v>0.6</v>
      </c>
      <c r="J744">
        <v>19.2</v>
      </c>
      <c r="M744" t="s">
        <v>165</v>
      </c>
      <c r="N744" t="s">
        <v>162</v>
      </c>
    </row>
    <row r="745" spans="1:14" x14ac:dyDescent="0.3">
      <c r="A745" t="s">
        <v>165</v>
      </c>
      <c r="B745">
        <f>VLOOKUP(M745,Sheet9!$I$1:$J$17,2,FALSE)</f>
        <v>15</v>
      </c>
      <c r="C745">
        <f>VLOOKUP(N745,Sheet9!$M$1:$N$2,2,FALSE)</f>
        <v>1</v>
      </c>
      <c r="D745">
        <v>32</v>
      </c>
      <c r="E745" t="s">
        <v>96</v>
      </c>
      <c r="F745">
        <v>130</v>
      </c>
      <c r="H745">
        <v>64</v>
      </c>
      <c r="I745">
        <v>0.6</v>
      </c>
      <c r="J745">
        <v>38.4</v>
      </c>
      <c r="K745">
        <v>6.98</v>
      </c>
      <c r="L745">
        <v>9.98</v>
      </c>
      <c r="M745" t="s">
        <v>165</v>
      </c>
      <c r="N745" t="s">
        <v>162</v>
      </c>
    </row>
    <row r="746" spans="1:14" x14ac:dyDescent="0.3">
      <c r="A746" t="s">
        <v>165</v>
      </c>
      <c r="B746">
        <f>VLOOKUP(M746,Sheet9!$I$1:$J$17,2,FALSE)</f>
        <v>15</v>
      </c>
      <c r="C746">
        <f>VLOOKUP(N746,Sheet9!$M$1:$N$2,2,FALSE)</f>
        <v>1</v>
      </c>
      <c r="D746">
        <v>32</v>
      </c>
      <c r="E746" t="s">
        <v>96</v>
      </c>
      <c r="F746">
        <v>140</v>
      </c>
      <c r="H746">
        <v>32</v>
      </c>
      <c r="I746">
        <v>0.6</v>
      </c>
      <c r="J746">
        <v>19.2</v>
      </c>
      <c r="M746" t="s">
        <v>165</v>
      </c>
      <c r="N746" t="s">
        <v>162</v>
      </c>
    </row>
    <row r="747" spans="1:14" x14ac:dyDescent="0.3">
      <c r="A747" t="s">
        <v>165</v>
      </c>
      <c r="B747">
        <f>VLOOKUP(M747,Sheet9!$I$1:$J$17,2,FALSE)</f>
        <v>15</v>
      </c>
      <c r="C747">
        <f>VLOOKUP(N747,Sheet9!$M$1:$N$2,2,FALSE)</f>
        <v>1</v>
      </c>
      <c r="D747">
        <v>32</v>
      </c>
      <c r="E747" t="s">
        <v>96</v>
      </c>
      <c r="F747">
        <v>140</v>
      </c>
      <c r="H747">
        <v>64</v>
      </c>
      <c r="I747">
        <v>0.6</v>
      </c>
      <c r="J747">
        <v>38.4</v>
      </c>
      <c r="K747">
        <v>8.4600000000000009</v>
      </c>
      <c r="L747">
        <v>11.98</v>
      </c>
      <c r="M747" t="s">
        <v>165</v>
      </c>
      <c r="N747" t="s">
        <v>162</v>
      </c>
    </row>
    <row r="748" spans="1:14" x14ac:dyDescent="0.3">
      <c r="A748" t="s">
        <v>165</v>
      </c>
      <c r="B748">
        <f>VLOOKUP(M748,Sheet9!$I$1:$J$17,2,FALSE)</f>
        <v>15</v>
      </c>
      <c r="C748">
        <f>VLOOKUP(N748,Sheet9!$M$1:$N$2,2,FALSE)</f>
        <v>1</v>
      </c>
      <c r="D748">
        <v>32</v>
      </c>
      <c r="E748" t="s">
        <v>96</v>
      </c>
      <c r="F748">
        <v>100</v>
      </c>
      <c r="G748" t="s">
        <v>139</v>
      </c>
      <c r="H748">
        <v>32</v>
      </c>
      <c r="I748">
        <v>0.6</v>
      </c>
      <c r="J748">
        <v>19.2</v>
      </c>
      <c r="K748">
        <v>0.74</v>
      </c>
      <c r="L748">
        <v>1.01</v>
      </c>
      <c r="M748" t="s">
        <v>165</v>
      </c>
      <c r="N748" t="s">
        <v>162</v>
      </c>
    </row>
    <row r="749" spans="1:14" x14ac:dyDescent="0.3">
      <c r="A749" t="s">
        <v>165</v>
      </c>
      <c r="B749">
        <f>VLOOKUP(M749,Sheet9!$I$1:$J$17,2,FALSE)</f>
        <v>15</v>
      </c>
      <c r="C749">
        <f>VLOOKUP(N749,Sheet9!$M$1:$N$2,2,FALSE)</f>
        <v>1</v>
      </c>
      <c r="D749">
        <v>32</v>
      </c>
      <c r="E749" t="s">
        <v>96</v>
      </c>
      <c r="F749">
        <v>100</v>
      </c>
      <c r="G749" t="s">
        <v>139</v>
      </c>
      <c r="H749">
        <v>64</v>
      </c>
      <c r="I749">
        <v>0.6</v>
      </c>
      <c r="J749">
        <v>38.4</v>
      </c>
      <c r="K749">
        <v>0.64</v>
      </c>
      <c r="L749">
        <v>0.88</v>
      </c>
      <c r="M749" t="s">
        <v>165</v>
      </c>
      <c r="N749" t="s">
        <v>162</v>
      </c>
    </row>
    <row r="750" spans="1:14" x14ac:dyDescent="0.3">
      <c r="A750" t="s">
        <v>165</v>
      </c>
      <c r="B750">
        <f>VLOOKUP(M750,Sheet9!$I$1:$J$17,2,FALSE)</f>
        <v>15</v>
      </c>
      <c r="C750">
        <f>VLOOKUP(N750,Sheet9!$M$1:$N$2,2,FALSE)</f>
        <v>1</v>
      </c>
      <c r="D750">
        <v>32</v>
      </c>
      <c r="E750" t="s">
        <v>96</v>
      </c>
      <c r="F750">
        <v>110</v>
      </c>
      <c r="G750" t="s">
        <v>139</v>
      </c>
      <c r="H750">
        <v>32</v>
      </c>
      <c r="I750">
        <v>0.6</v>
      </c>
      <c r="J750">
        <v>19.2</v>
      </c>
      <c r="K750">
        <v>1.19</v>
      </c>
      <c r="L750">
        <v>1.6</v>
      </c>
      <c r="M750" t="s">
        <v>165</v>
      </c>
      <c r="N750" t="s">
        <v>162</v>
      </c>
    </row>
    <row r="751" spans="1:14" x14ac:dyDescent="0.3">
      <c r="A751" t="s">
        <v>165</v>
      </c>
      <c r="B751">
        <f>VLOOKUP(M751,Sheet9!$I$1:$J$17,2,FALSE)</f>
        <v>15</v>
      </c>
      <c r="C751">
        <f>VLOOKUP(N751,Sheet9!$M$1:$N$2,2,FALSE)</f>
        <v>1</v>
      </c>
      <c r="D751">
        <v>32</v>
      </c>
      <c r="E751" t="s">
        <v>96</v>
      </c>
      <c r="F751">
        <v>110</v>
      </c>
      <c r="G751" t="s">
        <v>139</v>
      </c>
      <c r="H751">
        <v>64</v>
      </c>
      <c r="I751">
        <v>0.6</v>
      </c>
      <c r="J751">
        <v>38.4</v>
      </c>
      <c r="K751">
        <v>1.03</v>
      </c>
      <c r="L751">
        <v>1.39</v>
      </c>
      <c r="M751" t="s">
        <v>165</v>
      </c>
      <c r="N751" t="s">
        <v>162</v>
      </c>
    </row>
    <row r="752" spans="1:14" x14ac:dyDescent="0.3">
      <c r="A752" t="s">
        <v>165</v>
      </c>
      <c r="B752">
        <f>VLOOKUP(M752,Sheet9!$I$1:$J$17,2,FALSE)</f>
        <v>15</v>
      </c>
      <c r="C752">
        <f>VLOOKUP(N752,Sheet9!$M$1:$N$2,2,FALSE)</f>
        <v>1</v>
      </c>
      <c r="D752">
        <v>32</v>
      </c>
      <c r="E752" t="s">
        <v>96</v>
      </c>
      <c r="F752">
        <v>120</v>
      </c>
      <c r="G752" t="s">
        <v>139</v>
      </c>
      <c r="H752">
        <v>32</v>
      </c>
      <c r="I752">
        <v>0.6</v>
      </c>
      <c r="J752">
        <v>19.2</v>
      </c>
      <c r="K752">
        <v>1.76</v>
      </c>
      <c r="L752">
        <v>2.35</v>
      </c>
      <c r="M752" t="s">
        <v>165</v>
      </c>
      <c r="N752" t="s">
        <v>162</v>
      </c>
    </row>
    <row r="753" spans="1:14" x14ac:dyDescent="0.3">
      <c r="A753" t="s">
        <v>165</v>
      </c>
      <c r="B753">
        <f>VLOOKUP(M753,Sheet9!$I$1:$J$17,2,FALSE)</f>
        <v>15</v>
      </c>
      <c r="C753">
        <f>VLOOKUP(N753,Sheet9!$M$1:$N$2,2,FALSE)</f>
        <v>1</v>
      </c>
      <c r="D753">
        <v>32</v>
      </c>
      <c r="E753" t="s">
        <v>96</v>
      </c>
      <c r="F753">
        <v>120</v>
      </c>
      <c r="G753" t="s">
        <v>139</v>
      </c>
      <c r="H753">
        <v>64</v>
      </c>
      <c r="I753">
        <v>0.6</v>
      </c>
      <c r="J753">
        <v>38.4</v>
      </c>
      <c r="K753">
        <v>1.53</v>
      </c>
      <c r="L753">
        <v>2.04</v>
      </c>
      <c r="M753" t="s">
        <v>165</v>
      </c>
      <c r="N753" t="s">
        <v>162</v>
      </c>
    </row>
    <row r="754" spans="1:14" x14ac:dyDescent="0.3">
      <c r="A754" t="s">
        <v>165</v>
      </c>
      <c r="B754">
        <f>VLOOKUP(M754,Sheet9!$I$1:$J$17,2,FALSE)</f>
        <v>15</v>
      </c>
      <c r="C754">
        <f>VLOOKUP(N754,Sheet9!$M$1:$N$2,2,FALSE)</f>
        <v>1</v>
      </c>
      <c r="D754">
        <v>32</v>
      </c>
      <c r="E754" t="s">
        <v>96</v>
      </c>
      <c r="F754">
        <v>130</v>
      </c>
      <c r="G754" t="s">
        <v>139</v>
      </c>
      <c r="H754">
        <v>32</v>
      </c>
      <c r="I754">
        <v>0.6</v>
      </c>
      <c r="J754">
        <v>19.2</v>
      </c>
      <c r="K754">
        <v>2.46</v>
      </c>
      <c r="L754">
        <v>3.27</v>
      </c>
      <c r="M754" t="s">
        <v>165</v>
      </c>
      <c r="N754" t="s">
        <v>162</v>
      </c>
    </row>
    <row r="755" spans="1:14" x14ac:dyDescent="0.3">
      <c r="A755" t="s">
        <v>165</v>
      </c>
      <c r="B755">
        <f>VLOOKUP(M755,Sheet9!$I$1:$J$17,2,FALSE)</f>
        <v>15</v>
      </c>
      <c r="C755">
        <f>VLOOKUP(N755,Sheet9!$M$1:$N$2,2,FALSE)</f>
        <v>1</v>
      </c>
      <c r="D755">
        <v>32</v>
      </c>
      <c r="E755" t="s">
        <v>96</v>
      </c>
      <c r="F755">
        <v>130</v>
      </c>
      <c r="G755" t="s">
        <v>139</v>
      </c>
      <c r="H755">
        <v>64</v>
      </c>
      <c r="I755">
        <v>0.6</v>
      </c>
      <c r="J755">
        <v>38.4</v>
      </c>
      <c r="K755">
        <v>2.13</v>
      </c>
      <c r="L755">
        <v>2.84</v>
      </c>
      <c r="M755" t="s">
        <v>165</v>
      </c>
      <c r="N755" t="s">
        <v>162</v>
      </c>
    </row>
    <row r="756" spans="1:14" x14ac:dyDescent="0.3">
      <c r="A756" t="s">
        <v>165</v>
      </c>
      <c r="B756">
        <f>VLOOKUP(M756,Sheet9!$I$1:$J$17,2,FALSE)</f>
        <v>15</v>
      </c>
      <c r="C756">
        <f>VLOOKUP(N756,Sheet9!$M$1:$N$2,2,FALSE)</f>
        <v>1</v>
      </c>
      <c r="D756">
        <v>32</v>
      </c>
      <c r="E756" t="s">
        <v>96</v>
      </c>
      <c r="F756">
        <v>140</v>
      </c>
      <c r="G756" t="s">
        <v>139</v>
      </c>
      <c r="H756">
        <v>32</v>
      </c>
      <c r="I756">
        <v>0.6</v>
      </c>
      <c r="J756">
        <v>19.2</v>
      </c>
      <c r="K756">
        <v>3.3</v>
      </c>
      <c r="L756">
        <v>4.37</v>
      </c>
      <c r="M756" t="s">
        <v>165</v>
      </c>
      <c r="N756" t="s">
        <v>162</v>
      </c>
    </row>
    <row r="757" spans="1:14" x14ac:dyDescent="0.3">
      <c r="A757" t="s">
        <v>165</v>
      </c>
      <c r="B757">
        <f>VLOOKUP(M757,Sheet9!$I$1:$J$17,2,FALSE)</f>
        <v>15</v>
      </c>
      <c r="C757">
        <f>VLOOKUP(N757,Sheet9!$M$1:$N$2,2,FALSE)</f>
        <v>1</v>
      </c>
      <c r="D757">
        <v>32</v>
      </c>
      <c r="E757" t="s">
        <v>96</v>
      </c>
      <c r="F757">
        <v>140</v>
      </c>
      <c r="G757" t="s">
        <v>139</v>
      </c>
      <c r="H757">
        <v>64</v>
      </c>
      <c r="I757">
        <v>0.6</v>
      </c>
      <c r="J757">
        <v>38.4</v>
      </c>
      <c r="K757">
        <v>2.85</v>
      </c>
      <c r="L757">
        <v>3.79</v>
      </c>
      <c r="M757" t="s">
        <v>165</v>
      </c>
      <c r="N757" t="s">
        <v>162</v>
      </c>
    </row>
    <row r="758" spans="1:14" x14ac:dyDescent="0.3">
      <c r="A758" t="s">
        <v>161</v>
      </c>
      <c r="B758">
        <f>VLOOKUP(M758,Sheet9!$I$1:$J$17,2,FALSE)</f>
        <v>16</v>
      </c>
      <c r="C758">
        <f>VLOOKUP(N758,Sheet9!$M$1:$N$2,2,FALSE)</f>
        <v>2</v>
      </c>
      <c r="D758">
        <v>16</v>
      </c>
      <c r="E758" t="s">
        <v>95</v>
      </c>
      <c r="F758">
        <v>80</v>
      </c>
      <c r="H758">
        <v>16</v>
      </c>
      <c r="I758">
        <v>0.6</v>
      </c>
      <c r="J758">
        <v>9.6</v>
      </c>
      <c r="K758">
        <v>7.9</v>
      </c>
      <c r="L758">
        <v>9.4600000000000009</v>
      </c>
      <c r="M758" t="s">
        <v>161</v>
      </c>
      <c r="N758" t="s">
        <v>163</v>
      </c>
    </row>
    <row r="759" spans="1:14" x14ac:dyDescent="0.3">
      <c r="A759" t="s">
        <v>161</v>
      </c>
      <c r="B759">
        <f>VLOOKUP(M759,Sheet9!$I$1:$J$17,2,FALSE)</f>
        <v>16</v>
      </c>
      <c r="C759">
        <f>VLOOKUP(N759,Sheet9!$M$1:$N$2,2,FALSE)</f>
        <v>2</v>
      </c>
      <c r="D759">
        <v>16</v>
      </c>
      <c r="E759" t="s">
        <v>95</v>
      </c>
      <c r="F759">
        <v>100</v>
      </c>
      <c r="H759">
        <v>16</v>
      </c>
      <c r="I759">
        <v>0.6</v>
      </c>
      <c r="J759">
        <v>9.6</v>
      </c>
      <c r="K759">
        <v>16.23</v>
      </c>
      <c r="L759">
        <v>18.100000000000001</v>
      </c>
      <c r="M759" t="s">
        <v>161</v>
      </c>
      <c r="N759" t="s">
        <v>163</v>
      </c>
    </row>
    <row r="760" spans="1:14" x14ac:dyDescent="0.3">
      <c r="A760" t="s">
        <v>161</v>
      </c>
      <c r="B760">
        <f>VLOOKUP(M760,Sheet9!$I$1:$J$17,2,FALSE)</f>
        <v>16</v>
      </c>
      <c r="C760">
        <f>VLOOKUP(N760,Sheet9!$M$1:$N$2,2,FALSE)</f>
        <v>2</v>
      </c>
      <c r="D760">
        <v>16</v>
      </c>
      <c r="E760" t="s">
        <v>95</v>
      </c>
      <c r="F760">
        <v>120</v>
      </c>
      <c r="H760">
        <v>16</v>
      </c>
      <c r="I760">
        <v>0.6</v>
      </c>
      <c r="J760">
        <v>9.6</v>
      </c>
      <c r="K760">
        <v>24.62</v>
      </c>
      <c r="L760">
        <v>27.07</v>
      </c>
      <c r="M760" t="s">
        <v>161</v>
      </c>
      <c r="N760" t="s">
        <v>163</v>
      </c>
    </row>
    <row r="761" spans="1:14" x14ac:dyDescent="0.3">
      <c r="A761" t="s">
        <v>161</v>
      </c>
      <c r="B761">
        <f>VLOOKUP(M761,Sheet9!$I$1:$J$17,2,FALSE)</f>
        <v>16</v>
      </c>
      <c r="C761">
        <f>VLOOKUP(N761,Sheet9!$M$1:$N$2,2,FALSE)</f>
        <v>2</v>
      </c>
      <c r="D761">
        <v>16</v>
      </c>
      <c r="E761" t="s">
        <v>95</v>
      </c>
      <c r="F761">
        <v>140</v>
      </c>
      <c r="H761">
        <v>16</v>
      </c>
      <c r="I761">
        <v>0.6</v>
      </c>
      <c r="J761">
        <v>9.6</v>
      </c>
      <c r="K761">
        <v>35</v>
      </c>
      <c r="L761">
        <v>37.74</v>
      </c>
      <c r="M761" t="s">
        <v>161</v>
      </c>
      <c r="N761" t="s">
        <v>163</v>
      </c>
    </row>
    <row r="762" spans="1:14" x14ac:dyDescent="0.3">
      <c r="A762" t="s">
        <v>161</v>
      </c>
      <c r="B762">
        <f>VLOOKUP(M762,Sheet9!$I$1:$J$17,2,FALSE)</f>
        <v>16</v>
      </c>
      <c r="C762">
        <f>VLOOKUP(N762,Sheet9!$M$1:$N$2,2,FALSE)</f>
        <v>2</v>
      </c>
      <c r="D762">
        <v>32</v>
      </c>
      <c r="E762" t="s">
        <v>95</v>
      </c>
      <c r="F762">
        <v>80</v>
      </c>
      <c r="H762">
        <v>16</v>
      </c>
      <c r="I762">
        <v>0.6</v>
      </c>
      <c r="J762">
        <v>9.6</v>
      </c>
      <c r="K762">
        <v>1.49</v>
      </c>
      <c r="L762">
        <v>3.15</v>
      </c>
      <c r="M762" t="s">
        <v>161</v>
      </c>
      <c r="N762" t="s">
        <v>163</v>
      </c>
    </row>
    <row r="763" spans="1:14" x14ac:dyDescent="0.3">
      <c r="A763" t="s">
        <v>161</v>
      </c>
      <c r="B763">
        <f>VLOOKUP(M763,Sheet9!$I$1:$J$17,2,FALSE)</f>
        <v>16</v>
      </c>
      <c r="C763">
        <f>VLOOKUP(N763,Sheet9!$M$1:$N$2,2,FALSE)</f>
        <v>2</v>
      </c>
      <c r="D763">
        <v>32</v>
      </c>
      <c r="E763" t="s">
        <v>95</v>
      </c>
      <c r="F763">
        <v>100</v>
      </c>
      <c r="H763">
        <v>16</v>
      </c>
      <c r="I763">
        <v>0.6</v>
      </c>
      <c r="J763">
        <v>9.6</v>
      </c>
      <c r="K763">
        <v>3.08</v>
      </c>
      <c r="L763">
        <v>5.85</v>
      </c>
      <c r="M763" t="s">
        <v>161</v>
      </c>
      <c r="N763" t="s">
        <v>163</v>
      </c>
    </row>
    <row r="764" spans="1:14" x14ac:dyDescent="0.3">
      <c r="A764" t="s">
        <v>161</v>
      </c>
      <c r="B764">
        <f>VLOOKUP(M764,Sheet9!$I$1:$J$17,2,FALSE)</f>
        <v>16</v>
      </c>
      <c r="C764">
        <f>VLOOKUP(N764,Sheet9!$M$1:$N$2,2,FALSE)</f>
        <v>2</v>
      </c>
      <c r="D764">
        <v>32</v>
      </c>
      <c r="E764" t="s">
        <v>95</v>
      </c>
      <c r="F764">
        <v>120</v>
      </c>
      <c r="H764">
        <v>16</v>
      </c>
      <c r="I764">
        <v>0.6</v>
      </c>
      <c r="J764">
        <v>9.6</v>
      </c>
      <c r="K764">
        <v>5.53</v>
      </c>
      <c r="L764">
        <v>9.23</v>
      </c>
      <c r="M764" t="s">
        <v>161</v>
      </c>
      <c r="N764" t="s">
        <v>163</v>
      </c>
    </row>
    <row r="765" spans="1:14" x14ac:dyDescent="0.3">
      <c r="A765" t="s">
        <v>161</v>
      </c>
      <c r="B765">
        <f>VLOOKUP(M765,Sheet9!$I$1:$J$17,2,FALSE)</f>
        <v>16</v>
      </c>
      <c r="C765">
        <f>VLOOKUP(N765,Sheet9!$M$1:$N$2,2,FALSE)</f>
        <v>2</v>
      </c>
      <c r="D765">
        <v>32</v>
      </c>
      <c r="E765" t="s">
        <v>95</v>
      </c>
      <c r="F765">
        <v>140</v>
      </c>
      <c r="H765">
        <v>16</v>
      </c>
      <c r="I765">
        <v>0.6</v>
      </c>
      <c r="J765">
        <v>9.6</v>
      </c>
      <c r="K765">
        <v>8.26</v>
      </c>
      <c r="L765">
        <v>13.13</v>
      </c>
      <c r="M765" t="s">
        <v>161</v>
      </c>
      <c r="N765" t="s">
        <v>163</v>
      </c>
    </row>
    <row r="766" spans="1:14" x14ac:dyDescent="0.3">
      <c r="A766" t="s">
        <v>166</v>
      </c>
      <c r="B766">
        <f>VLOOKUP(M766,Sheet9!$I$1:$J$17,2,FALSE)</f>
        <v>13</v>
      </c>
      <c r="C766">
        <f>VLOOKUP(N766,Sheet9!$M$1:$N$2,2,FALSE)</f>
        <v>1</v>
      </c>
      <c r="D766">
        <v>16</v>
      </c>
      <c r="E766" t="s">
        <v>95</v>
      </c>
      <c r="F766">
        <v>80</v>
      </c>
      <c r="H766">
        <v>1</v>
      </c>
      <c r="I766">
        <v>5</v>
      </c>
      <c r="J766">
        <v>5</v>
      </c>
      <c r="K766">
        <v>5.33</v>
      </c>
      <c r="L766">
        <v>5.92</v>
      </c>
      <c r="M766" s="125" t="s">
        <v>160</v>
      </c>
      <c r="N766" t="s">
        <v>162</v>
      </c>
    </row>
    <row r="767" spans="1:14" x14ac:dyDescent="0.3">
      <c r="A767" t="s">
        <v>166</v>
      </c>
      <c r="B767">
        <f>VLOOKUP(M767,Sheet9!$I$1:$J$17,2,FALSE)</f>
        <v>13</v>
      </c>
      <c r="C767">
        <f>VLOOKUP(N767,Sheet9!$M$1:$N$2,2,FALSE)</f>
        <v>1</v>
      </c>
      <c r="D767">
        <v>16</v>
      </c>
      <c r="E767" t="s">
        <v>95</v>
      </c>
      <c r="F767">
        <v>80</v>
      </c>
      <c r="H767">
        <v>1</v>
      </c>
      <c r="I767">
        <v>10</v>
      </c>
      <c r="J767">
        <v>10</v>
      </c>
      <c r="K767">
        <v>5.36</v>
      </c>
      <c r="L767">
        <v>5.93</v>
      </c>
      <c r="M767" s="125" t="s">
        <v>160</v>
      </c>
      <c r="N767" t="s">
        <v>162</v>
      </c>
    </row>
    <row r="768" spans="1:14" x14ac:dyDescent="0.3">
      <c r="A768" t="s">
        <v>166</v>
      </c>
      <c r="B768">
        <f>VLOOKUP(M768,Sheet9!$I$1:$J$17,2,FALSE)</f>
        <v>13</v>
      </c>
      <c r="C768">
        <f>VLOOKUP(N768,Sheet9!$M$1:$N$2,2,FALSE)</f>
        <v>1</v>
      </c>
      <c r="D768">
        <v>16</v>
      </c>
      <c r="E768" t="s">
        <v>95</v>
      </c>
      <c r="F768">
        <v>80</v>
      </c>
      <c r="H768">
        <v>3</v>
      </c>
      <c r="I768">
        <v>3</v>
      </c>
      <c r="J768">
        <v>9</v>
      </c>
      <c r="K768">
        <v>5.96</v>
      </c>
      <c r="L768">
        <v>6.59</v>
      </c>
      <c r="M768" s="125" t="s">
        <v>160</v>
      </c>
      <c r="N768" t="s">
        <v>162</v>
      </c>
    </row>
    <row r="769" spans="1:14" x14ac:dyDescent="0.3">
      <c r="A769" t="s">
        <v>166</v>
      </c>
      <c r="B769">
        <f>VLOOKUP(M769,Sheet9!$I$1:$J$17,2,FALSE)</f>
        <v>13</v>
      </c>
      <c r="C769">
        <f>VLOOKUP(N769,Sheet9!$M$1:$N$2,2,FALSE)</f>
        <v>1</v>
      </c>
      <c r="D769">
        <v>16</v>
      </c>
      <c r="E769" t="s">
        <v>95</v>
      </c>
      <c r="F769">
        <v>80</v>
      </c>
      <c r="H769">
        <v>16</v>
      </c>
      <c r="I769">
        <v>0.7</v>
      </c>
      <c r="J769">
        <v>11.2</v>
      </c>
      <c r="K769">
        <v>6.38</v>
      </c>
      <c r="L769">
        <v>7.08</v>
      </c>
      <c r="M769" s="125" t="s">
        <v>160</v>
      </c>
      <c r="N769" t="s">
        <v>162</v>
      </c>
    </row>
    <row r="770" spans="1:14" x14ac:dyDescent="0.3">
      <c r="A770" t="s">
        <v>166</v>
      </c>
      <c r="B770">
        <f>VLOOKUP(M770,Sheet9!$I$1:$J$17,2,FALSE)</f>
        <v>13</v>
      </c>
      <c r="C770">
        <f>VLOOKUP(N770,Sheet9!$M$1:$N$2,2,FALSE)</f>
        <v>1</v>
      </c>
      <c r="D770">
        <v>16</v>
      </c>
      <c r="E770" t="s">
        <v>95</v>
      </c>
      <c r="F770">
        <v>80</v>
      </c>
      <c r="G770" t="s">
        <v>139</v>
      </c>
      <c r="H770">
        <v>16</v>
      </c>
      <c r="I770">
        <v>0.7</v>
      </c>
      <c r="J770">
        <v>11.2</v>
      </c>
      <c r="M770" s="125" t="s">
        <v>160</v>
      </c>
      <c r="N770" t="s">
        <v>162</v>
      </c>
    </row>
    <row r="771" spans="1:14" x14ac:dyDescent="0.3">
      <c r="A771" t="s">
        <v>166</v>
      </c>
      <c r="B771">
        <f>VLOOKUP(M771,Sheet9!$I$1:$J$17,2,FALSE)</f>
        <v>13</v>
      </c>
      <c r="C771">
        <f>VLOOKUP(N771,Sheet9!$M$1:$N$2,2,FALSE)</f>
        <v>1</v>
      </c>
      <c r="D771">
        <v>16</v>
      </c>
      <c r="E771" t="s">
        <v>95</v>
      </c>
      <c r="F771">
        <v>110</v>
      </c>
      <c r="H771">
        <v>1</v>
      </c>
      <c r="I771">
        <v>5</v>
      </c>
      <c r="J771">
        <v>5</v>
      </c>
      <c r="K771">
        <v>13.33</v>
      </c>
      <c r="L771">
        <v>14.3</v>
      </c>
      <c r="M771" s="125" t="s">
        <v>160</v>
      </c>
      <c r="N771" t="s">
        <v>162</v>
      </c>
    </row>
    <row r="772" spans="1:14" x14ac:dyDescent="0.3">
      <c r="A772" t="s">
        <v>166</v>
      </c>
      <c r="B772">
        <f>VLOOKUP(M772,Sheet9!$I$1:$J$17,2,FALSE)</f>
        <v>13</v>
      </c>
      <c r="C772">
        <f>VLOOKUP(N772,Sheet9!$M$1:$N$2,2,FALSE)</f>
        <v>1</v>
      </c>
      <c r="D772">
        <v>16</v>
      </c>
      <c r="E772" t="s">
        <v>95</v>
      </c>
      <c r="F772">
        <v>110</v>
      </c>
      <c r="H772">
        <v>1</v>
      </c>
      <c r="I772">
        <v>10</v>
      </c>
      <c r="J772">
        <v>10</v>
      </c>
      <c r="K772">
        <v>13.39</v>
      </c>
      <c r="L772">
        <v>14.32</v>
      </c>
      <c r="M772" s="125" t="s">
        <v>160</v>
      </c>
      <c r="N772" t="s">
        <v>162</v>
      </c>
    </row>
    <row r="773" spans="1:14" x14ac:dyDescent="0.3">
      <c r="A773" t="s">
        <v>166</v>
      </c>
      <c r="B773">
        <f>VLOOKUP(M773,Sheet9!$I$1:$J$17,2,FALSE)</f>
        <v>13</v>
      </c>
      <c r="C773">
        <f>VLOOKUP(N773,Sheet9!$M$1:$N$2,2,FALSE)</f>
        <v>1</v>
      </c>
      <c r="D773">
        <v>16</v>
      </c>
      <c r="E773" t="s">
        <v>95</v>
      </c>
      <c r="F773">
        <v>110</v>
      </c>
      <c r="H773">
        <v>3</v>
      </c>
      <c r="I773">
        <v>3</v>
      </c>
      <c r="J773">
        <v>9</v>
      </c>
      <c r="K773">
        <v>14.87</v>
      </c>
      <c r="L773">
        <v>15.92</v>
      </c>
      <c r="M773" s="125" t="s">
        <v>160</v>
      </c>
      <c r="N773" t="s">
        <v>162</v>
      </c>
    </row>
    <row r="774" spans="1:14" x14ac:dyDescent="0.3">
      <c r="A774" t="s">
        <v>166</v>
      </c>
      <c r="B774">
        <f>VLOOKUP(M774,Sheet9!$I$1:$J$17,2,FALSE)</f>
        <v>13</v>
      </c>
      <c r="C774">
        <f>VLOOKUP(N774,Sheet9!$M$1:$N$2,2,FALSE)</f>
        <v>1</v>
      </c>
      <c r="D774">
        <v>16</v>
      </c>
      <c r="E774" t="s">
        <v>95</v>
      </c>
      <c r="F774">
        <v>110</v>
      </c>
      <c r="H774">
        <v>16</v>
      </c>
      <c r="I774">
        <v>0.7</v>
      </c>
      <c r="J774">
        <v>11.2</v>
      </c>
      <c r="K774">
        <v>15.98</v>
      </c>
      <c r="L774">
        <v>17.100000000000001</v>
      </c>
      <c r="M774" s="125" t="s">
        <v>160</v>
      </c>
      <c r="N774" t="s">
        <v>162</v>
      </c>
    </row>
    <row r="775" spans="1:14" x14ac:dyDescent="0.3">
      <c r="A775" t="s">
        <v>166</v>
      </c>
      <c r="B775">
        <f>VLOOKUP(M775,Sheet9!$I$1:$J$17,2,FALSE)</f>
        <v>13</v>
      </c>
      <c r="C775">
        <f>VLOOKUP(N775,Sheet9!$M$1:$N$2,2,FALSE)</f>
        <v>1</v>
      </c>
      <c r="D775">
        <v>16</v>
      </c>
      <c r="E775" t="s">
        <v>95</v>
      </c>
      <c r="F775">
        <v>110</v>
      </c>
      <c r="G775" t="s">
        <v>139</v>
      </c>
      <c r="H775">
        <v>16</v>
      </c>
      <c r="I775">
        <v>0.7</v>
      </c>
      <c r="J775">
        <v>11.2</v>
      </c>
      <c r="K775">
        <v>2.99</v>
      </c>
      <c r="L775">
        <v>3.08</v>
      </c>
      <c r="M775" s="125" t="s">
        <v>160</v>
      </c>
      <c r="N775" t="s">
        <v>162</v>
      </c>
    </row>
    <row r="776" spans="1:14" x14ac:dyDescent="0.3">
      <c r="A776" t="s">
        <v>166</v>
      </c>
      <c r="B776">
        <f>VLOOKUP(M776,Sheet9!$I$1:$J$17,2,FALSE)</f>
        <v>13</v>
      </c>
      <c r="C776">
        <f>VLOOKUP(N776,Sheet9!$M$1:$N$2,2,FALSE)</f>
        <v>1</v>
      </c>
      <c r="D776">
        <v>16</v>
      </c>
      <c r="E776" t="s">
        <v>95</v>
      </c>
      <c r="F776">
        <v>130</v>
      </c>
      <c r="H776">
        <v>1</v>
      </c>
      <c r="I776">
        <v>5</v>
      </c>
      <c r="J776">
        <v>5</v>
      </c>
      <c r="K776">
        <v>20.27</v>
      </c>
      <c r="L776">
        <v>21.52</v>
      </c>
      <c r="M776" s="125" t="s">
        <v>160</v>
      </c>
      <c r="N776" t="s">
        <v>162</v>
      </c>
    </row>
    <row r="777" spans="1:14" x14ac:dyDescent="0.3">
      <c r="A777" t="s">
        <v>166</v>
      </c>
      <c r="B777">
        <f>VLOOKUP(M777,Sheet9!$I$1:$J$17,2,FALSE)</f>
        <v>13</v>
      </c>
      <c r="C777">
        <f>VLOOKUP(N777,Sheet9!$M$1:$N$2,2,FALSE)</f>
        <v>1</v>
      </c>
      <c r="D777">
        <v>16</v>
      </c>
      <c r="E777" t="s">
        <v>95</v>
      </c>
      <c r="F777">
        <v>130</v>
      </c>
      <c r="H777">
        <v>1</v>
      </c>
      <c r="I777">
        <v>10</v>
      </c>
      <c r="J777">
        <v>10</v>
      </c>
      <c r="K777">
        <v>20.27</v>
      </c>
      <c r="L777">
        <v>21.52</v>
      </c>
      <c r="M777" s="125" t="s">
        <v>160</v>
      </c>
      <c r="N777" t="s">
        <v>162</v>
      </c>
    </row>
    <row r="778" spans="1:14" x14ac:dyDescent="0.3">
      <c r="A778" t="s">
        <v>166</v>
      </c>
      <c r="B778">
        <f>VLOOKUP(M778,Sheet9!$I$1:$J$17,2,FALSE)</f>
        <v>13</v>
      </c>
      <c r="C778">
        <f>VLOOKUP(N778,Sheet9!$M$1:$N$2,2,FALSE)</f>
        <v>1</v>
      </c>
      <c r="D778">
        <v>16</v>
      </c>
      <c r="E778" t="s">
        <v>95</v>
      </c>
      <c r="F778">
        <v>130</v>
      </c>
      <c r="H778">
        <v>3</v>
      </c>
      <c r="I778">
        <v>3</v>
      </c>
      <c r="J778">
        <v>9</v>
      </c>
      <c r="K778">
        <v>22.52</v>
      </c>
      <c r="L778">
        <v>23.91</v>
      </c>
      <c r="M778" s="125" t="s">
        <v>160</v>
      </c>
      <c r="N778" t="s">
        <v>162</v>
      </c>
    </row>
    <row r="779" spans="1:14" x14ac:dyDescent="0.3">
      <c r="A779" t="s">
        <v>166</v>
      </c>
      <c r="B779">
        <f>VLOOKUP(M779,Sheet9!$I$1:$J$17,2,FALSE)</f>
        <v>13</v>
      </c>
      <c r="C779">
        <f>VLOOKUP(N779,Sheet9!$M$1:$N$2,2,FALSE)</f>
        <v>1</v>
      </c>
      <c r="D779">
        <v>16</v>
      </c>
      <c r="E779" t="s">
        <v>95</v>
      </c>
      <c r="F779">
        <v>130</v>
      </c>
      <c r="H779">
        <v>16</v>
      </c>
      <c r="I779">
        <v>0.7</v>
      </c>
      <c r="J779">
        <v>11.2</v>
      </c>
      <c r="K779">
        <v>24.24</v>
      </c>
      <c r="L779">
        <v>25.7</v>
      </c>
      <c r="M779" s="125" t="s">
        <v>160</v>
      </c>
      <c r="N779" t="s">
        <v>162</v>
      </c>
    </row>
    <row r="780" spans="1:14" x14ac:dyDescent="0.3">
      <c r="A780" t="s">
        <v>166</v>
      </c>
      <c r="B780">
        <f>VLOOKUP(M780,Sheet9!$I$1:$J$17,2,FALSE)</f>
        <v>13</v>
      </c>
      <c r="C780">
        <f>VLOOKUP(N780,Sheet9!$M$1:$N$2,2,FALSE)</f>
        <v>1</v>
      </c>
      <c r="D780">
        <v>16</v>
      </c>
      <c r="E780" t="s">
        <v>95</v>
      </c>
      <c r="F780">
        <v>130</v>
      </c>
      <c r="G780" t="s">
        <v>139</v>
      </c>
      <c r="H780">
        <v>16</v>
      </c>
      <c r="I780">
        <v>0.7</v>
      </c>
      <c r="J780">
        <v>11.2</v>
      </c>
      <c r="K780">
        <v>5.86</v>
      </c>
      <c r="L780">
        <v>6.05</v>
      </c>
      <c r="M780" s="125" t="s">
        <v>160</v>
      </c>
      <c r="N780" t="s">
        <v>162</v>
      </c>
    </row>
    <row r="781" spans="1:14" x14ac:dyDescent="0.3">
      <c r="A781" t="s">
        <v>166</v>
      </c>
      <c r="B781">
        <f>VLOOKUP(M781,Sheet9!$I$1:$J$17,2,FALSE)</f>
        <v>13</v>
      </c>
      <c r="C781">
        <f>VLOOKUP(N781,Sheet9!$M$1:$N$2,2,FALSE)</f>
        <v>1</v>
      </c>
      <c r="D781">
        <v>32</v>
      </c>
      <c r="E781" t="s">
        <v>95</v>
      </c>
      <c r="F781">
        <v>80</v>
      </c>
      <c r="H781">
        <v>1</v>
      </c>
      <c r="I781">
        <v>5</v>
      </c>
      <c r="J781">
        <v>5</v>
      </c>
      <c r="K781">
        <v>1.36</v>
      </c>
      <c r="L781">
        <v>2.64</v>
      </c>
      <c r="M781" s="125" t="s">
        <v>160</v>
      </c>
      <c r="N781" t="s">
        <v>162</v>
      </c>
    </row>
    <row r="782" spans="1:14" x14ac:dyDescent="0.3">
      <c r="A782" t="s">
        <v>166</v>
      </c>
      <c r="B782">
        <f>VLOOKUP(M782,Sheet9!$I$1:$J$17,2,FALSE)</f>
        <v>13</v>
      </c>
      <c r="C782">
        <f>VLOOKUP(N782,Sheet9!$M$1:$N$2,2,FALSE)</f>
        <v>1</v>
      </c>
      <c r="D782">
        <v>32</v>
      </c>
      <c r="E782" t="s">
        <v>95</v>
      </c>
      <c r="F782">
        <v>80</v>
      </c>
      <c r="H782">
        <v>1</v>
      </c>
      <c r="I782">
        <v>10</v>
      </c>
      <c r="J782">
        <v>10</v>
      </c>
      <c r="K782">
        <v>1.36</v>
      </c>
      <c r="L782">
        <v>2.64</v>
      </c>
      <c r="M782" s="125" t="s">
        <v>160</v>
      </c>
      <c r="N782" t="s">
        <v>162</v>
      </c>
    </row>
    <row r="783" spans="1:14" x14ac:dyDescent="0.3">
      <c r="A783" t="s">
        <v>166</v>
      </c>
      <c r="B783">
        <f>VLOOKUP(M783,Sheet9!$I$1:$J$17,2,FALSE)</f>
        <v>13</v>
      </c>
      <c r="C783">
        <f>VLOOKUP(N783,Sheet9!$M$1:$N$2,2,FALSE)</f>
        <v>1</v>
      </c>
      <c r="D783">
        <v>32</v>
      </c>
      <c r="E783" t="s">
        <v>95</v>
      </c>
      <c r="F783">
        <v>80</v>
      </c>
      <c r="H783">
        <v>3</v>
      </c>
      <c r="I783">
        <v>3</v>
      </c>
      <c r="J783">
        <v>9</v>
      </c>
      <c r="K783">
        <v>1.51</v>
      </c>
      <c r="L783">
        <v>2.94</v>
      </c>
      <c r="M783" s="125" t="s">
        <v>160</v>
      </c>
      <c r="N783" t="s">
        <v>162</v>
      </c>
    </row>
    <row r="784" spans="1:14" x14ac:dyDescent="0.3">
      <c r="A784" t="s">
        <v>166</v>
      </c>
      <c r="B784">
        <f>VLOOKUP(M784,Sheet9!$I$1:$J$17,2,FALSE)</f>
        <v>13</v>
      </c>
      <c r="C784">
        <f>VLOOKUP(N784,Sheet9!$M$1:$N$2,2,FALSE)</f>
        <v>1</v>
      </c>
      <c r="D784">
        <v>32</v>
      </c>
      <c r="E784" t="s">
        <v>95</v>
      </c>
      <c r="F784">
        <v>80</v>
      </c>
      <c r="H784">
        <v>16</v>
      </c>
      <c r="I784">
        <v>0.7</v>
      </c>
      <c r="J784">
        <v>11.2</v>
      </c>
      <c r="K784">
        <v>1.62</v>
      </c>
      <c r="L784">
        <v>3.15</v>
      </c>
      <c r="M784" s="125" t="s">
        <v>160</v>
      </c>
      <c r="N784" t="s">
        <v>162</v>
      </c>
    </row>
    <row r="785" spans="1:14" x14ac:dyDescent="0.3">
      <c r="A785" t="s">
        <v>166</v>
      </c>
      <c r="B785">
        <f>VLOOKUP(M785,Sheet9!$I$1:$J$17,2,FALSE)</f>
        <v>13</v>
      </c>
      <c r="C785">
        <f>VLOOKUP(N785,Sheet9!$M$1:$N$2,2,FALSE)</f>
        <v>1</v>
      </c>
      <c r="D785">
        <v>32</v>
      </c>
      <c r="E785" t="s">
        <v>95</v>
      </c>
      <c r="F785">
        <v>80</v>
      </c>
      <c r="G785" t="s">
        <v>139</v>
      </c>
      <c r="H785">
        <v>16</v>
      </c>
      <c r="I785">
        <v>0.7</v>
      </c>
      <c r="J785">
        <v>11.2</v>
      </c>
      <c r="M785" s="125" t="s">
        <v>160</v>
      </c>
      <c r="N785" t="s">
        <v>162</v>
      </c>
    </row>
    <row r="786" spans="1:14" x14ac:dyDescent="0.3">
      <c r="A786" t="s">
        <v>166</v>
      </c>
      <c r="B786">
        <f>VLOOKUP(M786,Sheet9!$I$1:$J$17,2,FALSE)</f>
        <v>13</v>
      </c>
      <c r="C786">
        <f>VLOOKUP(N786,Sheet9!$M$1:$N$2,2,FALSE)</f>
        <v>1</v>
      </c>
      <c r="D786">
        <v>32</v>
      </c>
      <c r="E786" t="s">
        <v>95</v>
      </c>
      <c r="F786">
        <v>110</v>
      </c>
      <c r="H786">
        <v>1</v>
      </c>
      <c r="I786">
        <v>5</v>
      </c>
      <c r="J786">
        <v>5</v>
      </c>
      <c r="K786">
        <v>3.98</v>
      </c>
      <c r="L786">
        <v>6.82</v>
      </c>
      <c r="M786" s="125" t="s">
        <v>160</v>
      </c>
      <c r="N786" t="s">
        <v>162</v>
      </c>
    </row>
    <row r="787" spans="1:14" x14ac:dyDescent="0.3">
      <c r="A787" t="s">
        <v>166</v>
      </c>
      <c r="B787">
        <f>VLOOKUP(M787,Sheet9!$I$1:$J$17,2,FALSE)</f>
        <v>13</v>
      </c>
      <c r="C787">
        <f>VLOOKUP(N787,Sheet9!$M$1:$N$2,2,FALSE)</f>
        <v>1</v>
      </c>
      <c r="D787">
        <v>32</v>
      </c>
      <c r="E787" t="s">
        <v>95</v>
      </c>
      <c r="F787">
        <v>110</v>
      </c>
      <c r="H787">
        <v>1</v>
      </c>
      <c r="I787">
        <v>10</v>
      </c>
      <c r="J787">
        <v>10</v>
      </c>
      <c r="K787">
        <v>3.97</v>
      </c>
      <c r="L787">
        <v>6.83</v>
      </c>
      <c r="M787" s="125" t="s">
        <v>160</v>
      </c>
      <c r="N787" t="s">
        <v>162</v>
      </c>
    </row>
    <row r="788" spans="1:14" x14ac:dyDescent="0.3">
      <c r="A788" t="s">
        <v>166</v>
      </c>
      <c r="B788">
        <f>VLOOKUP(M788,Sheet9!$I$1:$J$17,2,FALSE)</f>
        <v>13</v>
      </c>
      <c r="C788">
        <f>VLOOKUP(N788,Sheet9!$M$1:$N$2,2,FALSE)</f>
        <v>1</v>
      </c>
      <c r="D788">
        <v>32</v>
      </c>
      <c r="E788" t="s">
        <v>95</v>
      </c>
      <c r="F788">
        <v>110</v>
      </c>
      <c r="H788">
        <v>3</v>
      </c>
      <c r="I788">
        <v>3</v>
      </c>
      <c r="J788">
        <v>9</v>
      </c>
      <c r="K788">
        <v>4.41</v>
      </c>
      <c r="L788">
        <v>7.59</v>
      </c>
      <c r="M788" s="125" t="s">
        <v>160</v>
      </c>
      <c r="N788" t="s">
        <v>162</v>
      </c>
    </row>
    <row r="789" spans="1:14" x14ac:dyDescent="0.3">
      <c r="A789" t="s">
        <v>166</v>
      </c>
      <c r="B789">
        <f>VLOOKUP(M789,Sheet9!$I$1:$J$17,2,FALSE)</f>
        <v>13</v>
      </c>
      <c r="C789">
        <f>VLOOKUP(N789,Sheet9!$M$1:$N$2,2,FALSE)</f>
        <v>1</v>
      </c>
      <c r="D789">
        <v>32</v>
      </c>
      <c r="E789" t="s">
        <v>95</v>
      </c>
      <c r="F789">
        <v>110</v>
      </c>
      <c r="H789">
        <v>16</v>
      </c>
      <c r="I789">
        <v>0.7</v>
      </c>
      <c r="J789">
        <v>11.2</v>
      </c>
      <c r="K789">
        <v>4.75</v>
      </c>
      <c r="L789">
        <v>8.1300000000000008</v>
      </c>
      <c r="M789" s="125" t="s">
        <v>160</v>
      </c>
      <c r="N789" t="s">
        <v>162</v>
      </c>
    </row>
    <row r="790" spans="1:14" x14ac:dyDescent="0.3">
      <c r="A790" t="s">
        <v>166</v>
      </c>
      <c r="B790">
        <f>VLOOKUP(M790,Sheet9!$I$1:$J$17,2,FALSE)</f>
        <v>13</v>
      </c>
      <c r="C790">
        <f>VLOOKUP(N790,Sheet9!$M$1:$N$2,2,FALSE)</f>
        <v>1</v>
      </c>
      <c r="D790">
        <v>32</v>
      </c>
      <c r="E790" t="s">
        <v>95</v>
      </c>
      <c r="F790">
        <v>110</v>
      </c>
      <c r="G790" t="s">
        <v>139</v>
      </c>
      <c r="H790">
        <v>16</v>
      </c>
      <c r="I790">
        <v>0.7</v>
      </c>
      <c r="J790">
        <v>11.2</v>
      </c>
      <c r="K790">
        <v>1.0900000000000001</v>
      </c>
      <c r="L790">
        <v>1.65</v>
      </c>
      <c r="M790" s="125" t="s">
        <v>160</v>
      </c>
      <c r="N790" t="s">
        <v>162</v>
      </c>
    </row>
    <row r="791" spans="1:14" x14ac:dyDescent="0.3">
      <c r="A791" t="s">
        <v>166</v>
      </c>
      <c r="B791">
        <f>VLOOKUP(M791,Sheet9!$I$1:$J$17,2,FALSE)</f>
        <v>13</v>
      </c>
      <c r="C791">
        <f>VLOOKUP(N791,Sheet9!$M$1:$N$2,2,FALSE)</f>
        <v>1</v>
      </c>
      <c r="D791">
        <v>32</v>
      </c>
      <c r="E791" t="s">
        <v>95</v>
      </c>
      <c r="F791">
        <v>130</v>
      </c>
      <c r="H791">
        <v>1</v>
      </c>
      <c r="I791">
        <v>5</v>
      </c>
      <c r="J791">
        <v>5</v>
      </c>
      <c r="K791">
        <v>6.4</v>
      </c>
      <c r="L791">
        <v>10.57</v>
      </c>
      <c r="M791" s="125" t="s">
        <v>160</v>
      </c>
      <c r="N791" t="s">
        <v>162</v>
      </c>
    </row>
    <row r="792" spans="1:14" x14ac:dyDescent="0.3">
      <c r="A792" t="s">
        <v>166</v>
      </c>
      <c r="B792">
        <f>VLOOKUP(M792,Sheet9!$I$1:$J$17,2,FALSE)</f>
        <v>13</v>
      </c>
      <c r="C792">
        <f>VLOOKUP(N792,Sheet9!$M$1:$N$2,2,FALSE)</f>
        <v>1</v>
      </c>
      <c r="D792">
        <v>32</v>
      </c>
      <c r="E792" t="s">
        <v>95</v>
      </c>
      <c r="F792">
        <v>130</v>
      </c>
      <c r="H792">
        <v>1</v>
      </c>
      <c r="I792">
        <v>10</v>
      </c>
      <c r="J792">
        <v>10</v>
      </c>
      <c r="K792">
        <v>6.39</v>
      </c>
      <c r="L792">
        <v>10.57</v>
      </c>
      <c r="M792" s="125" t="s">
        <v>160</v>
      </c>
      <c r="N792" t="s">
        <v>162</v>
      </c>
    </row>
    <row r="793" spans="1:14" x14ac:dyDescent="0.3">
      <c r="A793" t="s">
        <v>166</v>
      </c>
      <c r="B793">
        <f>VLOOKUP(M793,Sheet9!$I$1:$J$17,2,FALSE)</f>
        <v>13</v>
      </c>
      <c r="C793">
        <f>VLOOKUP(N793,Sheet9!$M$1:$N$2,2,FALSE)</f>
        <v>1</v>
      </c>
      <c r="D793">
        <v>32</v>
      </c>
      <c r="E793" t="s">
        <v>95</v>
      </c>
      <c r="F793">
        <v>130</v>
      </c>
      <c r="H793">
        <v>3</v>
      </c>
      <c r="I793">
        <v>3</v>
      </c>
      <c r="J793">
        <v>9</v>
      </c>
      <c r="K793">
        <v>7.1</v>
      </c>
      <c r="L793">
        <v>11.74</v>
      </c>
      <c r="M793" s="125" t="s">
        <v>160</v>
      </c>
      <c r="N793" t="s">
        <v>162</v>
      </c>
    </row>
    <row r="794" spans="1:14" x14ac:dyDescent="0.3">
      <c r="A794" t="s">
        <v>166</v>
      </c>
      <c r="B794">
        <f>VLOOKUP(M794,Sheet9!$I$1:$J$17,2,FALSE)</f>
        <v>13</v>
      </c>
      <c r="C794">
        <f>VLOOKUP(N794,Sheet9!$M$1:$N$2,2,FALSE)</f>
        <v>1</v>
      </c>
      <c r="D794">
        <v>32</v>
      </c>
      <c r="E794" t="s">
        <v>95</v>
      </c>
      <c r="F794">
        <v>130</v>
      </c>
      <c r="H794">
        <v>16</v>
      </c>
      <c r="I794">
        <v>0.7</v>
      </c>
      <c r="J794">
        <v>11.2</v>
      </c>
      <c r="K794">
        <v>7.63</v>
      </c>
      <c r="L794">
        <v>12.57</v>
      </c>
      <c r="M794" s="125" t="s">
        <v>160</v>
      </c>
      <c r="N794" t="s">
        <v>162</v>
      </c>
    </row>
    <row r="795" spans="1:14" x14ac:dyDescent="0.3">
      <c r="A795" t="s">
        <v>166</v>
      </c>
      <c r="B795">
        <f>VLOOKUP(M795,Sheet9!$I$1:$J$17,2,FALSE)</f>
        <v>13</v>
      </c>
      <c r="C795">
        <f>VLOOKUP(N795,Sheet9!$M$1:$N$2,2,FALSE)</f>
        <v>1</v>
      </c>
      <c r="D795">
        <v>32</v>
      </c>
      <c r="E795" t="s">
        <v>95</v>
      </c>
      <c r="F795">
        <v>130</v>
      </c>
      <c r="G795" t="s">
        <v>139</v>
      </c>
      <c r="H795">
        <v>16</v>
      </c>
      <c r="I795">
        <v>0.7</v>
      </c>
      <c r="J795">
        <v>11.2</v>
      </c>
      <c r="K795">
        <v>2.23</v>
      </c>
      <c r="L795">
        <v>3.32</v>
      </c>
      <c r="M795" s="125" t="s">
        <v>160</v>
      </c>
      <c r="N795" t="s">
        <v>162</v>
      </c>
    </row>
    <row r="796" spans="1:14" x14ac:dyDescent="0.3">
      <c r="A796" t="s">
        <v>28</v>
      </c>
      <c r="B796">
        <f>VLOOKUP(M796,Sheet9!$I$1:$J$17,2,FALSE)</f>
        <v>12</v>
      </c>
      <c r="C796">
        <f>VLOOKUP(N796,Sheet9!$M$1:$N$2,2,FALSE)</f>
        <v>1</v>
      </c>
      <c r="D796">
        <v>16</v>
      </c>
      <c r="E796" t="s">
        <v>95</v>
      </c>
      <c r="F796">
        <v>80</v>
      </c>
      <c r="H796">
        <v>4</v>
      </c>
      <c r="I796">
        <v>0.6</v>
      </c>
      <c r="J796">
        <v>2.4</v>
      </c>
      <c r="K796">
        <v>7.6</v>
      </c>
      <c r="L796">
        <v>8.1199999999999992</v>
      </c>
      <c r="M796" t="s">
        <v>28</v>
      </c>
      <c r="N796" t="s">
        <v>162</v>
      </c>
    </row>
    <row r="797" spans="1:14" x14ac:dyDescent="0.3">
      <c r="A797" t="s">
        <v>28</v>
      </c>
      <c r="B797">
        <f>VLOOKUP(M797,Sheet9!$I$1:$J$17,2,FALSE)</f>
        <v>12</v>
      </c>
      <c r="C797">
        <f>VLOOKUP(N797,Sheet9!$M$1:$N$2,2,FALSE)</f>
        <v>1</v>
      </c>
      <c r="D797">
        <v>16</v>
      </c>
      <c r="E797" t="s">
        <v>95</v>
      </c>
      <c r="F797">
        <v>80</v>
      </c>
      <c r="H797">
        <v>12</v>
      </c>
      <c r="I797">
        <v>0.6</v>
      </c>
      <c r="J797">
        <v>7.2</v>
      </c>
      <c r="K797">
        <v>7.7</v>
      </c>
      <c r="L797">
        <v>8.1999999999999993</v>
      </c>
      <c r="M797" t="s">
        <v>28</v>
      </c>
      <c r="N797" t="s">
        <v>162</v>
      </c>
    </row>
    <row r="798" spans="1:14" x14ac:dyDescent="0.3">
      <c r="A798" t="s">
        <v>28</v>
      </c>
      <c r="B798">
        <f>VLOOKUP(M798,Sheet9!$I$1:$J$17,2,FALSE)</f>
        <v>12</v>
      </c>
      <c r="C798">
        <f>VLOOKUP(N798,Sheet9!$M$1:$N$2,2,FALSE)</f>
        <v>1</v>
      </c>
      <c r="D798">
        <v>16</v>
      </c>
      <c r="E798" t="s">
        <v>95</v>
      </c>
      <c r="F798">
        <v>80</v>
      </c>
      <c r="H798">
        <v>16</v>
      </c>
      <c r="I798">
        <v>0.6</v>
      </c>
      <c r="J798">
        <v>9.6</v>
      </c>
      <c r="K798">
        <v>6.64</v>
      </c>
      <c r="L798">
        <v>7.19</v>
      </c>
      <c r="M798" t="s">
        <v>28</v>
      </c>
      <c r="N798" t="s">
        <v>162</v>
      </c>
    </row>
    <row r="799" spans="1:14" x14ac:dyDescent="0.3">
      <c r="A799" t="s">
        <v>28</v>
      </c>
      <c r="B799">
        <f>VLOOKUP(M799,Sheet9!$I$1:$J$17,2,FALSE)</f>
        <v>12</v>
      </c>
      <c r="C799">
        <f>VLOOKUP(N799,Sheet9!$M$1:$N$2,2,FALSE)</f>
        <v>1</v>
      </c>
      <c r="D799">
        <v>16</v>
      </c>
      <c r="E799" t="s">
        <v>95</v>
      </c>
      <c r="F799">
        <v>80</v>
      </c>
      <c r="H799">
        <v>1</v>
      </c>
      <c r="I799">
        <v>10</v>
      </c>
      <c r="J799">
        <v>10</v>
      </c>
      <c r="K799">
        <v>5.55</v>
      </c>
      <c r="L799">
        <v>5.9</v>
      </c>
      <c r="M799" t="s">
        <v>28</v>
      </c>
      <c r="N799" t="s">
        <v>162</v>
      </c>
    </row>
    <row r="800" spans="1:14" x14ac:dyDescent="0.3">
      <c r="A800" t="s">
        <v>28</v>
      </c>
      <c r="B800">
        <f>VLOOKUP(M800,Sheet9!$I$1:$J$17,2,FALSE)</f>
        <v>12</v>
      </c>
      <c r="C800">
        <f>VLOOKUP(N800,Sheet9!$M$1:$N$2,2,FALSE)</f>
        <v>1</v>
      </c>
      <c r="D800">
        <v>16</v>
      </c>
      <c r="E800" t="s">
        <v>95</v>
      </c>
      <c r="F800">
        <v>80</v>
      </c>
      <c r="H800">
        <v>12</v>
      </c>
      <c r="I800">
        <v>1.2</v>
      </c>
      <c r="J800">
        <v>14.4</v>
      </c>
      <c r="K800">
        <v>6.04</v>
      </c>
      <c r="L800">
        <v>6.45</v>
      </c>
      <c r="M800" t="s">
        <v>28</v>
      </c>
      <c r="N800" t="s">
        <v>162</v>
      </c>
    </row>
    <row r="801" spans="1:14" x14ac:dyDescent="0.3">
      <c r="A801" t="s">
        <v>28</v>
      </c>
      <c r="B801">
        <f>VLOOKUP(M801,Sheet9!$I$1:$J$17,2,FALSE)</f>
        <v>12</v>
      </c>
      <c r="C801">
        <f>VLOOKUP(N801,Sheet9!$M$1:$N$2,2,FALSE)</f>
        <v>1</v>
      </c>
      <c r="D801">
        <v>16</v>
      </c>
      <c r="E801" t="s">
        <v>95</v>
      </c>
      <c r="F801">
        <v>80</v>
      </c>
      <c r="H801">
        <v>2</v>
      </c>
      <c r="I801">
        <v>8</v>
      </c>
      <c r="J801">
        <v>16</v>
      </c>
      <c r="K801">
        <v>5.43</v>
      </c>
      <c r="L801">
        <v>5.81</v>
      </c>
      <c r="M801" t="s">
        <v>28</v>
      </c>
      <c r="N801" t="s">
        <v>162</v>
      </c>
    </row>
    <row r="802" spans="1:14" x14ac:dyDescent="0.3">
      <c r="A802" t="s">
        <v>28</v>
      </c>
      <c r="B802">
        <f>VLOOKUP(M802,Sheet9!$I$1:$J$17,2,FALSE)</f>
        <v>12</v>
      </c>
      <c r="C802">
        <f>VLOOKUP(N802,Sheet9!$M$1:$N$2,2,FALSE)</f>
        <v>1</v>
      </c>
      <c r="D802">
        <v>16</v>
      </c>
      <c r="E802" t="s">
        <v>95</v>
      </c>
      <c r="F802">
        <v>80</v>
      </c>
      <c r="H802">
        <v>16</v>
      </c>
      <c r="I802">
        <v>1.2</v>
      </c>
      <c r="J802">
        <v>19.2</v>
      </c>
      <c r="K802">
        <v>6.13</v>
      </c>
      <c r="L802">
        <v>6.56</v>
      </c>
      <c r="M802" t="s">
        <v>28</v>
      </c>
      <c r="N802" t="s">
        <v>162</v>
      </c>
    </row>
    <row r="803" spans="1:14" x14ac:dyDescent="0.3">
      <c r="A803" t="s">
        <v>28</v>
      </c>
      <c r="B803">
        <f>VLOOKUP(M803,Sheet9!$I$1:$J$17,2,FALSE)</f>
        <v>12</v>
      </c>
      <c r="C803">
        <f>VLOOKUP(N803,Sheet9!$M$1:$N$2,2,FALSE)</f>
        <v>1</v>
      </c>
      <c r="D803">
        <v>16</v>
      </c>
      <c r="E803" t="s">
        <v>95</v>
      </c>
      <c r="F803">
        <v>110</v>
      </c>
      <c r="H803">
        <v>4</v>
      </c>
      <c r="I803">
        <v>0.6</v>
      </c>
      <c r="J803">
        <v>2.4</v>
      </c>
      <c r="K803">
        <v>18</v>
      </c>
      <c r="L803">
        <v>18.649999999999999</v>
      </c>
      <c r="M803" t="s">
        <v>28</v>
      </c>
      <c r="N803" t="s">
        <v>162</v>
      </c>
    </row>
    <row r="804" spans="1:14" x14ac:dyDescent="0.3">
      <c r="A804" t="s">
        <v>28</v>
      </c>
      <c r="B804">
        <f>VLOOKUP(M804,Sheet9!$I$1:$J$17,2,FALSE)</f>
        <v>12</v>
      </c>
      <c r="C804">
        <f>VLOOKUP(N804,Sheet9!$M$1:$N$2,2,FALSE)</f>
        <v>1</v>
      </c>
      <c r="D804">
        <v>16</v>
      </c>
      <c r="E804" t="s">
        <v>95</v>
      </c>
      <c r="F804">
        <v>110</v>
      </c>
      <c r="H804">
        <v>12</v>
      </c>
      <c r="I804">
        <v>0.6</v>
      </c>
      <c r="J804">
        <v>7.2</v>
      </c>
      <c r="K804">
        <v>17.63</v>
      </c>
      <c r="L804">
        <v>18.309999999999999</v>
      </c>
      <c r="M804" t="s">
        <v>28</v>
      </c>
      <c r="N804" t="s">
        <v>162</v>
      </c>
    </row>
    <row r="805" spans="1:14" x14ac:dyDescent="0.3">
      <c r="A805" t="s">
        <v>28</v>
      </c>
      <c r="B805">
        <f>VLOOKUP(M805,Sheet9!$I$1:$J$17,2,FALSE)</f>
        <v>12</v>
      </c>
      <c r="C805">
        <f>VLOOKUP(N805,Sheet9!$M$1:$N$2,2,FALSE)</f>
        <v>1</v>
      </c>
      <c r="D805">
        <v>16</v>
      </c>
      <c r="E805" t="s">
        <v>95</v>
      </c>
      <c r="F805">
        <v>110</v>
      </c>
      <c r="H805">
        <v>16</v>
      </c>
      <c r="I805">
        <v>0.6</v>
      </c>
      <c r="J805">
        <v>9.6</v>
      </c>
      <c r="K805">
        <v>15.57</v>
      </c>
      <c r="L805">
        <v>16.18</v>
      </c>
      <c r="M805" t="s">
        <v>28</v>
      </c>
      <c r="N805" t="s">
        <v>162</v>
      </c>
    </row>
    <row r="806" spans="1:14" x14ac:dyDescent="0.3">
      <c r="A806" t="s">
        <v>28</v>
      </c>
      <c r="B806">
        <f>VLOOKUP(M806,Sheet9!$I$1:$J$17,2,FALSE)</f>
        <v>12</v>
      </c>
      <c r="C806">
        <f>VLOOKUP(N806,Sheet9!$M$1:$N$2,2,FALSE)</f>
        <v>1</v>
      </c>
      <c r="D806">
        <v>16</v>
      </c>
      <c r="E806" t="s">
        <v>95</v>
      </c>
      <c r="F806">
        <v>110</v>
      </c>
      <c r="H806">
        <v>1</v>
      </c>
      <c r="I806">
        <v>10</v>
      </c>
      <c r="J806">
        <v>10</v>
      </c>
      <c r="K806">
        <v>12.69</v>
      </c>
      <c r="L806">
        <v>13.18</v>
      </c>
      <c r="M806" t="s">
        <v>28</v>
      </c>
      <c r="N806" t="s">
        <v>162</v>
      </c>
    </row>
    <row r="807" spans="1:14" x14ac:dyDescent="0.3">
      <c r="A807" t="s">
        <v>28</v>
      </c>
      <c r="B807">
        <f>VLOOKUP(M807,Sheet9!$I$1:$J$17,2,FALSE)</f>
        <v>12</v>
      </c>
      <c r="C807">
        <f>VLOOKUP(N807,Sheet9!$M$1:$N$2,2,FALSE)</f>
        <v>1</v>
      </c>
      <c r="D807">
        <v>16</v>
      </c>
      <c r="E807" t="s">
        <v>95</v>
      </c>
      <c r="F807">
        <v>110</v>
      </c>
      <c r="H807">
        <v>12</v>
      </c>
      <c r="I807">
        <v>1.2</v>
      </c>
      <c r="J807">
        <v>14.4</v>
      </c>
      <c r="K807">
        <v>13.88</v>
      </c>
      <c r="L807">
        <v>14.43</v>
      </c>
      <c r="M807" t="s">
        <v>28</v>
      </c>
      <c r="N807" t="s">
        <v>162</v>
      </c>
    </row>
    <row r="808" spans="1:14" x14ac:dyDescent="0.3">
      <c r="A808" t="s">
        <v>28</v>
      </c>
      <c r="B808">
        <f>VLOOKUP(M808,Sheet9!$I$1:$J$17,2,FALSE)</f>
        <v>12</v>
      </c>
      <c r="C808">
        <f>VLOOKUP(N808,Sheet9!$M$1:$N$2,2,FALSE)</f>
        <v>1</v>
      </c>
      <c r="D808">
        <v>16</v>
      </c>
      <c r="E808" t="s">
        <v>95</v>
      </c>
      <c r="F808">
        <v>110</v>
      </c>
      <c r="H808">
        <v>2</v>
      </c>
      <c r="I808">
        <v>8</v>
      </c>
      <c r="J808">
        <v>16</v>
      </c>
      <c r="K808">
        <v>12.49</v>
      </c>
      <c r="L808">
        <v>12.99</v>
      </c>
      <c r="M808" t="s">
        <v>28</v>
      </c>
      <c r="N808" t="s">
        <v>162</v>
      </c>
    </row>
    <row r="809" spans="1:14" x14ac:dyDescent="0.3">
      <c r="A809" t="s">
        <v>28</v>
      </c>
      <c r="B809">
        <f>VLOOKUP(M809,Sheet9!$I$1:$J$17,2,FALSE)</f>
        <v>12</v>
      </c>
      <c r="C809">
        <f>VLOOKUP(N809,Sheet9!$M$1:$N$2,2,FALSE)</f>
        <v>1</v>
      </c>
      <c r="D809">
        <v>16</v>
      </c>
      <c r="E809" t="s">
        <v>95</v>
      </c>
      <c r="F809">
        <v>110</v>
      </c>
      <c r="H809">
        <v>16</v>
      </c>
      <c r="I809">
        <v>1.2</v>
      </c>
      <c r="J809">
        <v>19.2</v>
      </c>
      <c r="K809">
        <v>14.14</v>
      </c>
      <c r="L809">
        <v>14.7</v>
      </c>
      <c r="M809" t="s">
        <v>28</v>
      </c>
      <c r="N809" t="s">
        <v>162</v>
      </c>
    </row>
    <row r="810" spans="1:14" x14ac:dyDescent="0.3">
      <c r="A810" t="s">
        <v>28</v>
      </c>
      <c r="B810">
        <f>VLOOKUP(M810,Sheet9!$I$1:$J$17,2,FALSE)</f>
        <v>12</v>
      </c>
      <c r="C810">
        <f>VLOOKUP(N810,Sheet9!$M$1:$N$2,2,FALSE)</f>
        <v>1</v>
      </c>
      <c r="D810">
        <v>16</v>
      </c>
      <c r="E810" t="s">
        <v>95</v>
      </c>
      <c r="F810">
        <v>130</v>
      </c>
      <c r="H810">
        <v>4</v>
      </c>
      <c r="I810">
        <v>0.6</v>
      </c>
      <c r="J810">
        <v>2.4</v>
      </c>
      <c r="K810">
        <v>25.78</v>
      </c>
      <c r="L810">
        <v>26.52</v>
      </c>
      <c r="M810" t="s">
        <v>28</v>
      </c>
      <c r="N810" t="s">
        <v>162</v>
      </c>
    </row>
    <row r="811" spans="1:14" x14ac:dyDescent="0.3">
      <c r="A811" t="s">
        <v>28</v>
      </c>
      <c r="B811">
        <f>VLOOKUP(M811,Sheet9!$I$1:$J$17,2,FALSE)</f>
        <v>12</v>
      </c>
      <c r="C811">
        <f>VLOOKUP(N811,Sheet9!$M$1:$N$2,2,FALSE)</f>
        <v>1</v>
      </c>
      <c r="D811">
        <v>16</v>
      </c>
      <c r="E811" t="s">
        <v>95</v>
      </c>
      <c r="F811">
        <v>130</v>
      </c>
      <c r="H811">
        <v>12</v>
      </c>
      <c r="I811">
        <v>0.6</v>
      </c>
      <c r="J811">
        <v>7.2</v>
      </c>
      <c r="K811">
        <v>25.93</v>
      </c>
      <c r="L811">
        <v>26.72</v>
      </c>
      <c r="M811" t="s">
        <v>28</v>
      </c>
      <c r="N811" t="s">
        <v>162</v>
      </c>
    </row>
    <row r="812" spans="1:14" x14ac:dyDescent="0.3">
      <c r="A812" t="s">
        <v>28</v>
      </c>
      <c r="B812">
        <f>VLOOKUP(M812,Sheet9!$I$1:$J$17,2,FALSE)</f>
        <v>12</v>
      </c>
      <c r="C812">
        <f>VLOOKUP(N812,Sheet9!$M$1:$N$2,2,FALSE)</f>
        <v>1</v>
      </c>
      <c r="D812">
        <v>16</v>
      </c>
      <c r="E812" t="s">
        <v>95</v>
      </c>
      <c r="F812">
        <v>130</v>
      </c>
      <c r="H812">
        <v>16</v>
      </c>
      <c r="I812">
        <v>0.6</v>
      </c>
      <c r="J812">
        <v>9.6</v>
      </c>
      <c r="K812">
        <v>22.91</v>
      </c>
      <c r="L812">
        <v>23.62</v>
      </c>
      <c r="M812" t="s">
        <v>28</v>
      </c>
      <c r="N812" t="s">
        <v>162</v>
      </c>
    </row>
    <row r="813" spans="1:14" x14ac:dyDescent="0.3">
      <c r="A813" t="s">
        <v>28</v>
      </c>
      <c r="B813">
        <f>VLOOKUP(M813,Sheet9!$I$1:$J$17,2,FALSE)</f>
        <v>12</v>
      </c>
      <c r="C813">
        <f>VLOOKUP(N813,Sheet9!$M$1:$N$2,2,FALSE)</f>
        <v>1</v>
      </c>
      <c r="D813">
        <v>16</v>
      </c>
      <c r="E813" t="s">
        <v>95</v>
      </c>
      <c r="F813">
        <v>130</v>
      </c>
      <c r="H813">
        <v>1</v>
      </c>
      <c r="I813">
        <v>10</v>
      </c>
      <c r="J813">
        <v>10</v>
      </c>
      <c r="K813">
        <v>18.670000000000002</v>
      </c>
      <c r="L813">
        <v>19.239999999999998</v>
      </c>
      <c r="M813" t="s">
        <v>28</v>
      </c>
      <c r="N813" t="s">
        <v>162</v>
      </c>
    </row>
    <row r="814" spans="1:14" x14ac:dyDescent="0.3">
      <c r="A814" t="s">
        <v>28</v>
      </c>
      <c r="B814">
        <f>VLOOKUP(M814,Sheet9!$I$1:$J$17,2,FALSE)</f>
        <v>12</v>
      </c>
      <c r="C814">
        <f>VLOOKUP(N814,Sheet9!$M$1:$N$2,2,FALSE)</f>
        <v>1</v>
      </c>
      <c r="D814">
        <v>16</v>
      </c>
      <c r="E814" t="s">
        <v>95</v>
      </c>
      <c r="F814">
        <v>130</v>
      </c>
      <c r="H814">
        <v>12</v>
      </c>
      <c r="I814">
        <v>1.2</v>
      </c>
      <c r="J814">
        <v>14.4</v>
      </c>
      <c r="K814">
        <v>20.420000000000002</v>
      </c>
      <c r="L814">
        <v>21.05</v>
      </c>
      <c r="M814" t="s">
        <v>28</v>
      </c>
      <c r="N814" t="s">
        <v>162</v>
      </c>
    </row>
    <row r="815" spans="1:14" x14ac:dyDescent="0.3">
      <c r="A815" t="s">
        <v>28</v>
      </c>
      <c r="B815">
        <f>VLOOKUP(M815,Sheet9!$I$1:$J$17,2,FALSE)</f>
        <v>12</v>
      </c>
      <c r="C815">
        <f>VLOOKUP(N815,Sheet9!$M$1:$N$2,2,FALSE)</f>
        <v>1</v>
      </c>
      <c r="D815">
        <v>16</v>
      </c>
      <c r="E815" t="s">
        <v>95</v>
      </c>
      <c r="F815">
        <v>130</v>
      </c>
      <c r="H815">
        <v>2</v>
      </c>
      <c r="I815">
        <v>8</v>
      </c>
      <c r="J815">
        <v>16</v>
      </c>
      <c r="K815">
        <v>18.38</v>
      </c>
      <c r="L815">
        <v>18.940000000000001</v>
      </c>
      <c r="M815" t="s">
        <v>28</v>
      </c>
      <c r="N815" t="s">
        <v>162</v>
      </c>
    </row>
    <row r="816" spans="1:14" x14ac:dyDescent="0.3">
      <c r="A816" t="s">
        <v>28</v>
      </c>
      <c r="B816">
        <f>VLOOKUP(M816,Sheet9!$I$1:$J$17,2,FALSE)</f>
        <v>12</v>
      </c>
      <c r="C816">
        <f>VLOOKUP(N816,Sheet9!$M$1:$N$2,2,FALSE)</f>
        <v>1</v>
      </c>
      <c r="D816">
        <v>16</v>
      </c>
      <c r="E816" t="s">
        <v>95</v>
      </c>
      <c r="F816">
        <v>130</v>
      </c>
      <c r="H816">
        <v>16</v>
      </c>
      <c r="I816">
        <v>1.2</v>
      </c>
      <c r="J816">
        <v>19.2</v>
      </c>
      <c r="K816">
        <v>20.81</v>
      </c>
      <c r="L816">
        <v>21.45</v>
      </c>
      <c r="M816" t="s">
        <v>28</v>
      </c>
      <c r="N816" t="s">
        <v>162</v>
      </c>
    </row>
    <row r="817" spans="1:14" x14ac:dyDescent="0.3">
      <c r="A817" t="s">
        <v>28</v>
      </c>
      <c r="B817">
        <f>VLOOKUP(M817,Sheet9!$I$1:$J$17,2,FALSE)</f>
        <v>12</v>
      </c>
      <c r="C817">
        <f>VLOOKUP(N817,Sheet9!$M$1:$N$2,2,FALSE)</f>
        <v>1</v>
      </c>
      <c r="D817">
        <v>32</v>
      </c>
      <c r="E817" t="s">
        <v>95</v>
      </c>
      <c r="F817">
        <v>80</v>
      </c>
      <c r="H817">
        <v>4</v>
      </c>
      <c r="I817">
        <v>0.6</v>
      </c>
      <c r="J817">
        <v>2.4</v>
      </c>
      <c r="K817">
        <v>1.88</v>
      </c>
      <c r="L817">
        <v>3.49</v>
      </c>
      <c r="M817" t="s">
        <v>28</v>
      </c>
      <c r="N817" t="s">
        <v>162</v>
      </c>
    </row>
    <row r="818" spans="1:14" x14ac:dyDescent="0.3">
      <c r="A818" t="s">
        <v>28</v>
      </c>
      <c r="B818">
        <f>VLOOKUP(M818,Sheet9!$I$1:$J$17,2,FALSE)</f>
        <v>12</v>
      </c>
      <c r="C818">
        <f>VLOOKUP(N818,Sheet9!$M$1:$N$2,2,FALSE)</f>
        <v>1</v>
      </c>
      <c r="D818">
        <v>32</v>
      </c>
      <c r="E818" t="s">
        <v>95</v>
      </c>
      <c r="F818">
        <v>80</v>
      </c>
      <c r="H818">
        <v>12</v>
      </c>
      <c r="I818">
        <v>0.6</v>
      </c>
      <c r="J818">
        <v>7.2</v>
      </c>
      <c r="K818">
        <v>1.9</v>
      </c>
      <c r="L818">
        <v>3.54</v>
      </c>
      <c r="M818" t="s">
        <v>28</v>
      </c>
      <c r="N818" t="s">
        <v>162</v>
      </c>
    </row>
    <row r="819" spans="1:14" x14ac:dyDescent="0.3">
      <c r="A819" t="s">
        <v>28</v>
      </c>
      <c r="B819">
        <f>VLOOKUP(M819,Sheet9!$I$1:$J$17,2,FALSE)</f>
        <v>12</v>
      </c>
      <c r="C819">
        <f>VLOOKUP(N819,Sheet9!$M$1:$N$2,2,FALSE)</f>
        <v>1</v>
      </c>
      <c r="D819">
        <v>32</v>
      </c>
      <c r="E819" t="s">
        <v>95</v>
      </c>
      <c r="F819">
        <v>80</v>
      </c>
      <c r="H819">
        <v>16</v>
      </c>
      <c r="I819">
        <v>0.6</v>
      </c>
      <c r="J819">
        <v>9.6</v>
      </c>
      <c r="K819">
        <v>1.68</v>
      </c>
      <c r="L819">
        <v>3.12</v>
      </c>
      <c r="M819" t="s">
        <v>28</v>
      </c>
      <c r="N819" t="s">
        <v>162</v>
      </c>
    </row>
    <row r="820" spans="1:14" x14ac:dyDescent="0.3">
      <c r="A820" t="s">
        <v>28</v>
      </c>
      <c r="B820">
        <f>VLOOKUP(M820,Sheet9!$I$1:$J$17,2,FALSE)</f>
        <v>12</v>
      </c>
      <c r="C820">
        <f>VLOOKUP(N820,Sheet9!$M$1:$N$2,2,FALSE)</f>
        <v>1</v>
      </c>
      <c r="D820">
        <v>32</v>
      </c>
      <c r="E820" t="s">
        <v>95</v>
      </c>
      <c r="F820">
        <v>80</v>
      </c>
      <c r="H820">
        <v>1</v>
      </c>
      <c r="I820">
        <v>10</v>
      </c>
      <c r="J820">
        <v>10</v>
      </c>
      <c r="K820">
        <v>1.37</v>
      </c>
      <c r="L820">
        <v>2.5499999999999998</v>
      </c>
      <c r="M820" t="s">
        <v>28</v>
      </c>
      <c r="N820" t="s">
        <v>162</v>
      </c>
    </row>
    <row r="821" spans="1:14" x14ac:dyDescent="0.3">
      <c r="A821" t="s">
        <v>28</v>
      </c>
      <c r="B821">
        <f>VLOOKUP(M821,Sheet9!$I$1:$J$17,2,FALSE)</f>
        <v>12</v>
      </c>
      <c r="C821">
        <f>VLOOKUP(N821,Sheet9!$M$1:$N$2,2,FALSE)</f>
        <v>1</v>
      </c>
      <c r="D821">
        <v>32</v>
      </c>
      <c r="E821" t="s">
        <v>95</v>
      </c>
      <c r="F821">
        <v>80</v>
      </c>
      <c r="H821">
        <v>12</v>
      </c>
      <c r="I821">
        <v>1.2</v>
      </c>
      <c r="J821">
        <v>14.4</v>
      </c>
      <c r="K821">
        <v>1.5</v>
      </c>
      <c r="L821">
        <v>2.78</v>
      </c>
      <c r="M821" t="s">
        <v>28</v>
      </c>
      <c r="N821" t="s">
        <v>162</v>
      </c>
    </row>
    <row r="822" spans="1:14" x14ac:dyDescent="0.3">
      <c r="A822" t="s">
        <v>28</v>
      </c>
      <c r="B822">
        <f>VLOOKUP(M822,Sheet9!$I$1:$J$17,2,FALSE)</f>
        <v>12</v>
      </c>
      <c r="C822">
        <f>VLOOKUP(N822,Sheet9!$M$1:$N$2,2,FALSE)</f>
        <v>1</v>
      </c>
      <c r="D822">
        <v>32</v>
      </c>
      <c r="E822" t="s">
        <v>95</v>
      </c>
      <c r="F822">
        <v>80</v>
      </c>
      <c r="H822">
        <v>2</v>
      </c>
      <c r="I822">
        <v>8</v>
      </c>
      <c r="J822">
        <v>16</v>
      </c>
      <c r="K822">
        <v>1.35</v>
      </c>
      <c r="L822">
        <v>2.5</v>
      </c>
      <c r="M822" t="s">
        <v>28</v>
      </c>
      <c r="N822" t="s">
        <v>162</v>
      </c>
    </row>
    <row r="823" spans="1:14" x14ac:dyDescent="0.3">
      <c r="A823" t="s">
        <v>28</v>
      </c>
      <c r="B823">
        <f>VLOOKUP(M823,Sheet9!$I$1:$J$17,2,FALSE)</f>
        <v>12</v>
      </c>
      <c r="C823">
        <f>VLOOKUP(N823,Sheet9!$M$1:$N$2,2,FALSE)</f>
        <v>1</v>
      </c>
      <c r="D823">
        <v>32</v>
      </c>
      <c r="E823" t="s">
        <v>95</v>
      </c>
      <c r="F823">
        <v>80</v>
      </c>
      <c r="H823">
        <v>16</v>
      </c>
      <c r="I823">
        <v>1.2</v>
      </c>
      <c r="J823">
        <v>19.2</v>
      </c>
      <c r="K823">
        <v>1.52</v>
      </c>
      <c r="L823">
        <v>2.9</v>
      </c>
      <c r="M823" t="s">
        <v>28</v>
      </c>
      <c r="N823" t="s">
        <v>162</v>
      </c>
    </row>
    <row r="824" spans="1:14" x14ac:dyDescent="0.3">
      <c r="A824" t="s">
        <v>28</v>
      </c>
      <c r="B824">
        <f>VLOOKUP(M824,Sheet9!$I$1:$J$17,2,FALSE)</f>
        <v>12</v>
      </c>
      <c r="C824">
        <f>VLOOKUP(N824,Sheet9!$M$1:$N$2,2,FALSE)</f>
        <v>1</v>
      </c>
      <c r="D824">
        <v>32</v>
      </c>
      <c r="E824" t="s">
        <v>95</v>
      </c>
      <c r="F824">
        <v>110</v>
      </c>
      <c r="H824">
        <v>4</v>
      </c>
      <c r="I824">
        <v>0.6</v>
      </c>
      <c r="J824">
        <v>2.4</v>
      </c>
      <c r="K824">
        <v>5.24</v>
      </c>
      <c r="L824">
        <v>8.6300000000000008</v>
      </c>
      <c r="M824" t="s">
        <v>28</v>
      </c>
      <c r="N824" t="s">
        <v>162</v>
      </c>
    </row>
    <row r="825" spans="1:14" x14ac:dyDescent="0.3">
      <c r="A825" t="s">
        <v>28</v>
      </c>
      <c r="B825">
        <f>VLOOKUP(M825,Sheet9!$I$1:$J$17,2,FALSE)</f>
        <v>12</v>
      </c>
      <c r="C825">
        <f>VLOOKUP(N825,Sheet9!$M$1:$N$2,2,FALSE)</f>
        <v>1</v>
      </c>
      <c r="D825">
        <v>32</v>
      </c>
      <c r="E825" t="s">
        <v>95</v>
      </c>
      <c r="F825">
        <v>110</v>
      </c>
      <c r="H825">
        <v>12</v>
      </c>
      <c r="I825">
        <v>0.6</v>
      </c>
      <c r="J825">
        <v>7.2</v>
      </c>
      <c r="K825">
        <v>5.12</v>
      </c>
      <c r="L825">
        <v>8.5</v>
      </c>
      <c r="M825" t="s">
        <v>28</v>
      </c>
      <c r="N825" t="s">
        <v>162</v>
      </c>
    </row>
    <row r="826" spans="1:14" x14ac:dyDescent="0.3">
      <c r="A826" t="s">
        <v>28</v>
      </c>
      <c r="B826">
        <f>VLOOKUP(M826,Sheet9!$I$1:$J$17,2,FALSE)</f>
        <v>12</v>
      </c>
      <c r="C826">
        <f>VLOOKUP(N826,Sheet9!$M$1:$N$2,2,FALSE)</f>
        <v>1</v>
      </c>
      <c r="D826">
        <v>32</v>
      </c>
      <c r="E826" t="s">
        <v>95</v>
      </c>
      <c r="F826">
        <v>110</v>
      </c>
      <c r="H826">
        <v>16</v>
      </c>
      <c r="I826">
        <v>0.6</v>
      </c>
      <c r="J826">
        <v>9.6</v>
      </c>
      <c r="K826">
        <v>4.5199999999999996</v>
      </c>
      <c r="L826">
        <v>7.51</v>
      </c>
      <c r="M826" t="s">
        <v>28</v>
      </c>
      <c r="N826" t="s">
        <v>162</v>
      </c>
    </row>
    <row r="827" spans="1:14" x14ac:dyDescent="0.3">
      <c r="A827" t="s">
        <v>28</v>
      </c>
      <c r="B827">
        <f>VLOOKUP(M827,Sheet9!$I$1:$J$17,2,FALSE)</f>
        <v>12</v>
      </c>
      <c r="C827">
        <f>VLOOKUP(N827,Sheet9!$M$1:$N$2,2,FALSE)</f>
        <v>1</v>
      </c>
      <c r="D827">
        <v>32</v>
      </c>
      <c r="E827" t="s">
        <v>95</v>
      </c>
      <c r="F827">
        <v>110</v>
      </c>
      <c r="H827">
        <v>1</v>
      </c>
      <c r="I827">
        <v>10</v>
      </c>
      <c r="J827">
        <v>10</v>
      </c>
      <c r="K827">
        <v>3.68</v>
      </c>
      <c r="L827">
        <v>6.12</v>
      </c>
      <c r="M827" t="s">
        <v>28</v>
      </c>
      <c r="N827" t="s">
        <v>162</v>
      </c>
    </row>
    <row r="828" spans="1:14" x14ac:dyDescent="0.3">
      <c r="A828" t="s">
        <v>28</v>
      </c>
      <c r="B828">
        <f>VLOOKUP(M828,Sheet9!$I$1:$J$17,2,FALSE)</f>
        <v>12</v>
      </c>
      <c r="C828">
        <f>VLOOKUP(N828,Sheet9!$M$1:$N$2,2,FALSE)</f>
        <v>1</v>
      </c>
      <c r="D828">
        <v>32</v>
      </c>
      <c r="E828" t="s">
        <v>95</v>
      </c>
      <c r="F828">
        <v>110</v>
      </c>
      <c r="H828">
        <v>12</v>
      </c>
      <c r="I828">
        <v>1.2</v>
      </c>
      <c r="J828">
        <v>14.4</v>
      </c>
      <c r="K828">
        <v>4.05</v>
      </c>
      <c r="L828">
        <v>6.69</v>
      </c>
      <c r="M828" t="s">
        <v>28</v>
      </c>
      <c r="N828" t="s">
        <v>162</v>
      </c>
    </row>
    <row r="829" spans="1:14" x14ac:dyDescent="0.3">
      <c r="A829" t="s">
        <v>28</v>
      </c>
      <c r="B829">
        <f>VLOOKUP(M829,Sheet9!$I$1:$J$17,2,FALSE)</f>
        <v>12</v>
      </c>
      <c r="C829">
        <f>VLOOKUP(N829,Sheet9!$M$1:$N$2,2,FALSE)</f>
        <v>1</v>
      </c>
      <c r="D829">
        <v>32</v>
      </c>
      <c r="E829" t="s">
        <v>95</v>
      </c>
      <c r="F829">
        <v>110</v>
      </c>
      <c r="H829">
        <v>2</v>
      </c>
      <c r="I829">
        <v>8</v>
      </c>
      <c r="J829">
        <v>16</v>
      </c>
      <c r="K829">
        <v>3.64</v>
      </c>
      <c r="L829">
        <v>6.02</v>
      </c>
      <c r="M829" t="s">
        <v>28</v>
      </c>
      <c r="N829" t="s">
        <v>162</v>
      </c>
    </row>
    <row r="830" spans="1:14" x14ac:dyDescent="0.3">
      <c r="A830" t="s">
        <v>28</v>
      </c>
      <c r="B830">
        <f>VLOOKUP(M830,Sheet9!$I$1:$J$17,2,FALSE)</f>
        <v>12</v>
      </c>
      <c r="C830">
        <f>VLOOKUP(N830,Sheet9!$M$1:$N$2,2,FALSE)</f>
        <v>1</v>
      </c>
      <c r="D830">
        <v>32</v>
      </c>
      <c r="E830" t="s">
        <v>95</v>
      </c>
      <c r="F830">
        <v>110</v>
      </c>
      <c r="H830">
        <v>16</v>
      </c>
      <c r="I830">
        <v>1.2</v>
      </c>
      <c r="J830">
        <v>19.2</v>
      </c>
      <c r="K830">
        <v>4.12</v>
      </c>
      <c r="L830">
        <v>6.82</v>
      </c>
      <c r="M830" t="s">
        <v>28</v>
      </c>
      <c r="N830" t="s">
        <v>162</v>
      </c>
    </row>
    <row r="831" spans="1:14" x14ac:dyDescent="0.3">
      <c r="A831" t="s">
        <v>28</v>
      </c>
      <c r="B831">
        <f>VLOOKUP(M831,Sheet9!$I$1:$J$17,2,FALSE)</f>
        <v>12</v>
      </c>
      <c r="C831">
        <f>VLOOKUP(N831,Sheet9!$M$1:$N$2,2,FALSE)</f>
        <v>1</v>
      </c>
      <c r="D831">
        <v>32</v>
      </c>
      <c r="E831" t="s">
        <v>95</v>
      </c>
      <c r="F831">
        <v>130</v>
      </c>
      <c r="H831">
        <v>4</v>
      </c>
      <c r="I831">
        <v>0.6</v>
      </c>
      <c r="J831">
        <v>2.4</v>
      </c>
      <c r="K831">
        <v>7.95</v>
      </c>
      <c r="L831">
        <v>12.63</v>
      </c>
      <c r="M831" t="s">
        <v>28</v>
      </c>
      <c r="N831" t="s">
        <v>162</v>
      </c>
    </row>
    <row r="832" spans="1:14" x14ac:dyDescent="0.3">
      <c r="A832" t="s">
        <v>28</v>
      </c>
      <c r="B832">
        <f>VLOOKUP(M832,Sheet9!$I$1:$J$17,2,FALSE)</f>
        <v>12</v>
      </c>
      <c r="C832">
        <f>VLOOKUP(N832,Sheet9!$M$1:$N$2,2,FALSE)</f>
        <v>1</v>
      </c>
      <c r="D832">
        <v>32</v>
      </c>
      <c r="E832" t="s">
        <v>95</v>
      </c>
      <c r="F832">
        <v>130</v>
      </c>
      <c r="H832">
        <v>12</v>
      </c>
      <c r="I832">
        <v>0.6</v>
      </c>
      <c r="J832">
        <v>7.2</v>
      </c>
      <c r="K832">
        <v>8.02</v>
      </c>
      <c r="L832">
        <v>12.79</v>
      </c>
      <c r="M832" t="s">
        <v>28</v>
      </c>
      <c r="N832" t="s">
        <v>162</v>
      </c>
    </row>
    <row r="833" spans="1:14" x14ac:dyDescent="0.3">
      <c r="A833" t="s">
        <v>28</v>
      </c>
      <c r="B833">
        <f>VLOOKUP(M833,Sheet9!$I$1:$J$17,2,FALSE)</f>
        <v>12</v>
      </c>
      <c r="C833">
        <f>VLOOKUP(N833,Sheet9!$M$1:$N$2,2,FALSE)</f>
        <v>1</v>
      </c>
      <c r="D833">
        <v>32</v>
      </c>
      <c r="E833" t="s">
        <v>95</v>
      </c>
      <c r="F833">
        <v>130</v>
      </c>
      <c r="H833">
        <v>16</v>
      </c>
      <c r="I833">
        <v>0.6</v>
      </c>
      <c r="J833">
        <v>9.6</v>
      </c>
      <c r="K833">
        <v>7.09</v>
      </c>
      <c r="L833">
        <v>11.29</v>
      </c>
      <c r="M833" t="s">
        <v>28</v>
      </c>
      <c r="N833" t="s">
        <v>162</v>
      </c>
    </row>
    <row r="834" spans="1:14" x14ac:dyDescent="0.3">
      <c r="A834" t="s">
        <v>28</v>
      </c>
      <c r="B834">
        <f>VLOOKUP(M834,Sheet9!$I$1:$J$17,2,FALSE)</f>
        <v>12</v>
      </c>
      <c r="C834">
        <f>VLOOKUP(N834,Sheet9!$M$1:$N$2,2,FALSE)</f>
        <v>1</v>
      </c>
      <c r="D834">
        <v>32</v>
      </c>
      <c r="E834" t="s">
        <v>95</v>
      </c>
      <c r="F834">
        <v>130</v>
      </c>
      <c r="H834">
        <v>1</v>
      </c>
      <c r="I834">
        <v>10</v>
      </c>
      <c r="J834">
        <v>10</v>
      </c>
      <c r="K834">
        <v>5.78</v>
      </c>
      <c r="L834">
        <v>9.2100000000000009</v>
      </c>
      <c r="M834" t="s">
        <v>28</v>
      </c>
      <c r="N834" t="s">
        <v>162</v>
      </c>
    </row>
    <row r="835" spans="1:14" x14ac:dyDescent="0.3">
      <c r="A835" t="s">
        <v>28</v>
      </c>
      <c r="B835">
        <f>VLOOKUP(M835,Sheet9!$I$1:$J$17,2,FALSE)</f>
        <v>12</v>
      </c>
      <c r="C835">
        <f>VLOOKUP(N835,Sheet9!$M$1:$N$2,2,FALSE)</f>
        <v>1</v>
      </c>
      <c r="D835">
        <v>32</v>
      </c>
      <c r="E835" t="s">
        <v>95</v>
      </c>
      <c r="F835">
        <v>130</v>
      </c>
      <c r="H835">
        <v>12</v>
      </c>
      <c r="I835">
        <v>1.2</v>
      </c>
      <c r="J835">
        <v>14.4</v>
      </c>
      <c r="K835">
        <v>6.31</v>
      </c>
      <c r="L835">
        <v>10.039999999999999</v>
      </c>
      <c r="M835" t="s">
        <v>28</v>
      </c>
      <c r="N835" t="s">
        <v>162</v>
      </c>
    </row>
    <row r="836" spans="1:14" x14ac:dyDescent="0.3">
      <c r="A836" t="s">
        <v>28</v>
      </c>
      <c r="B836">
        <f>VLOOKUP(M836,Sheet9!$I$1:$J$17,2,FALSE)</f>
        <v>12</v>
      </c>
      <c r="C836">
        <f>VLOOKUP(N836,Sheet9!$M$1:$N$2,2,FALSE)</f>
        <v>1</v>
      </c>
      <c r="D836">
        <v>32</v>
      </c>
      <c r="E836" t="s">
        <v>95</v>
      </c>
      <c r="F836">
        <v>130</v>
      </c>
      <c r="H836">
        <v>2</v>
      </c>
      <c r="I836">
        <v>8</v>
      </c>
      <c r="J836">
        <v>16</v>
      </c>
      <c r="K836">
        <v>5.68</v>
      </c>
      <c r="L836">
        <v>9.0399999999999991</v>
      </c>
      <c r="M836" t="s">
        <v>28</v>
      </c>
      <c r="N836" t="s">
        <v>162</v>
      </c>
    </row>
    <row r="837" spans="1:14" x14ac:dyDescent="0.3">
      <c r="A837" t="s">
        <v>28</v>
      </c>
      <c r="B837">
        <f>VLOOKUP(M837,Sheet9!$I$1:$J$17,2,FALSE)</f>
        <v>12</v>
      </c>
      <c r="C837">
        <f>VLOOKUP(N837,Sheet9!$M$1:$N$2,2,FALSE)</f>
        <v>1</v>
      </c>
      <c r="D837">
        <v>32</v>
      </c>
      <c r="E837" t="s">
        <v>95</v>
      </c>
      <c r="F837">
        <v>130</v>
      </c>
      <c r="H837">
        <v>16</v>
      </c>
      <c r="I837">
        <v>1.2</v>
      </c>
      <c r="J837">
        <v>19.2</v>
      </c>
      <c r="K837">
        <v>6.41</v>
      </c>
      <c r="L837">
        <v>10.210000000000001</v>
      </c>
      <c r="M837" t="s">
        <v>28</v>
      </c>
      <c r="N837" t="s">
        <v>162</v>
      </c>
    </row>
    <row r="838" spans="1:14" x14ac:dyDescent="0.3">
      <c r="A838" t="s">
        <v>159</v>
      </c>
      <c r="B838">
        <f>VLOOKUP(M838,Sheet9!$I$1:$J$17,2,FALSE)</f>
        <v>11</v>
      </c>
      <c r="C838">
        <f>VLOOKUP(N838,Sheet9!$M$1:$N$2,2,FALSE)</f>
        <v>1</v>
      </c>
      <c r="D838">
        <v>16</v>
      </c>
      <c r="E838" t="s">
        <v>95</v>
      </c>
      <c r="F838">
        <v>70</v>
      </c>
      <c r="H838">
        <v>2</v>
      </c>
      <c r="I838">
        <v>1</v>
      </c>
      <c r="J838">
        <v>2</v>
      </c>
      <c r="K838">
        <v>2.6</v>
      </c>
      <c r="L838">
        <v>2.74</v>
      </c>
      <c r="M838" t="s">
        <v>159</v>
      </c>
      <c r="N838" t="s">
        <v>162</v>
      </c>
    </row>
    <row r="839" spans="1:14" x14ac:dyDescent="0.3">
      <c r="A839" t="s">
        <v>159</v>
      </c>
      <c r="B839">
        <f>VLOOKUP(M839,Sheet9!$I$1:$J$17,2,FALSE)</f>
        <v>11</v>
      </c>
      <c r="C839">
        <f>VLOOKUP(N839,Sheet9!$M$1:$N$2,2,FALSE)</f>
        <v>1</v>
      </c>
      <c r="D839">
        <v>16</v>
      </c>
      <c r="E839" t="s">
        <v>95</v>
      </c>
      <c r="F839">
        <v>70</v>
      </c>
      <c r="H839">
        <v>6</v>
      </c>
      <c r="I839">
        <v>0.6</v>
      </c>
      <c r="J839">
        <v>3.6</v>
      </c>
      <c r="K839">
        <v>4.22</v>
      </c>
      <c r="L839">
        <v>4.43</v>
      </c>
      <c r="M839" t="s">
        <v>159</v>
      </c>
      <c r="N839" t="s">
        <v>162</v>
      </c>
    </row>
    <row r="840" spans="1:14" x14ac:dyDescent="0.3">
      <c r="A840" t="s">
        <v>159</v>
      </c>
      <c r="B840">
        <f>VLOOKUP(M840,Sheet9!$I$1:$J$17,2,FALSE)</f>
        <v>11</v>
      </c>
      <c r="C840">
        <f>VLOOKUP(N840,Sheet9!$M$1:$N$2,2,FALSE)</f>
        <v>1</v>
      </c>
      <c r="D840">
        <v>16</v>
      </c>
      <c r="E840" t="s">
        <v>95</v>
      </c>
      <c r="F840">
        <v>70</v>
      </c>
      <c r="H840">
        <v>8</v>
      </c>
      <c r="I840">
        <v>0.6</v>
      </c>
      <c r="J840">
        <v>4.8</v>
      </c>
      <c r="K840">
        <v>3.88</v>
      </c>
      <c r="L840">
        <v>4.07</v>
      </c>
      <c r="M840" t="s">
        <v>159</v>
      </c>
      <c r="N840" t="s">
        <v>162</v>
      </c>
    </row>
    <row r="841" spans="1:14" x14ac:dyDescent="0.3">
      <c r="A841" t="s">
        <v>159</v>
      </c>
      <c r="B841">
        <f>VLOOKUP(M841,Sheet9!$I$1:$J$17,2,FALSE)</f>
        <v>11</v>
      </c>
      <c r="C841">
        <f>VLOOKUP(N841,Sheet9!$M$1:$N$2,2,FALSE)</f>
        <v>1</v>
      </c>
      <c r="D841">
        <v>16</v>
      </c>
      <c r="E841" t="s">
        <v>167</v>
      </c>
      <c r="F841">
        <v>70</v>
      </c>
      <c r="H841">
        <v>8</v>
      </c>
      <c r="I841">
        <v>0.6</v>
      </c>
      <c r="J841">
        <v>4.8</v>
      </c>
      <c r="K841">
        <v>4.58</v>
      </c>
      <c r="L841">
        <v>4.78</v>
      </c>
      <c r="M841" t="s">
        <v>159</v>
      </c>
      <c r="N841" t="s">
        <v>162</v>
      </c>
    </row>
    <row r="842" spans="1:14" x14ac:dyDescent="0.3">
      <c r="A842" t="s">
        <v>159</v>
      </c>
      <c r="B842">
        <f>VLOOKUP(M842,Sheet9!$I$1:$J$17,2,FALSE)</f>
        <v>11</v>
      </c>
      <c r="C842">
        <f>VLOOKUP(N842,Sheet9!$M$1:$N$2,2,FALSE)</f>
        <v>1</v>
      </c>
      <c r="D842">
        <v>16</v>
      </c>
      <c r="E842" t="s">
        <v>95</v>
      </c>
      <c r="F842">
        <v>70</v>
      </c>
      <c r="H842">
        <v>1</v>
      </c>
      <c r="I842">
        <v>5</v>
      </c>
      <c r="J842">
        <v>5</v>
      </c>
      <c r="K842">
        <v>2.34</v>
      </c>
      <c r="L842">
        <v>2.46</v>
      </c>
      <c r="M842" t="s">
        <v>159</v>
      </c>
      <c r="N842" t="s">
        <v>162</v>
      </c>
    </row>
    <row r="843" spans="1:14" x14ac:dyDescent="0.3">
      <c r="A843" t="s">
        <v>159</v>
      </c>
      <c r="B843">
        <f>VLOOKUP(M843,Sheet9!$I$1:$J$17,2,FALSE)</f>
        <v>11</v>
      </c>
      <c r="C843">
        <f>VLOOKUP(N843,Sheet9!$M$1:$N$2,2,FALSE)</f>
        <v>1</v>
      </c>
      <c r="D843">
        <v>16</v>
      </c>
      <c r="E843" t="s">
        <v>167</v>
      </c>
      <c r="F843">
        <v>70</v>
      </c>
      <c r="H843">
        <v>10</v>
      </c>
      <c r="I843">
        <v>0.6</v>
      </c>
      <c r="J843">
        <v>6</v>
      </c>
      <c r="K843">
        <v>3.17</v>
      </c>
      <c r="L843">
        <v>3.31</v>
      </c>
      <c r="M843" t="s">
        <v>159</v>
      </c>
      <c r="N843" t="s">
        <v>162</v>
      </c>
    </row>
    <row r="844" spans="1:14" x14ac:dyDescent="0.3">
      <c r="A844" t="s">
        <v>159</v>
      </c>
      <c r="B844">
        <f>VLOOKUP(M844,Sheet9!$I$1:$J$17,2,FALSE)</f>
        <v>11</v>
      </c>
      <c r="C844">
        <f>VLOOKUP(N844,Sheet9!$M$1:$N$2,2,FALSE)</f>
        <v>1</v>
      </c>
      <c r="D844">
        <v>16</v>
      </c>
      <c r="E844" t="s">
        <v>95</v>
      </c>
      <c r="F844">
        <v>70</v>
      </c>
      <c r="H844">
        <v>6</v>
      </c>
      <c r="I844">
        <v>1.2</v>
      </c>
      <c r="J844">
        <v>7.2</v>
      </c>
      <c r="K844">
        <v>3.3</v>
      </c>
      <c r="L844">
        <v>3.35</v>
      </c>
      <c r="M844" t="s">
        <v>159</v>
      </c>
      <c r="N844" t="s">
        <v>162</v>
      </c>
    </row>
    <row r="845" spans="1:14" x14ac:dyDescent="0.3">
      <c r="A845" t="s">
        <v>159</v>
      </c>
      <c r="B845">
        <f>VLOOKUP(M845,Sheet9!$I$1:$J$17,2,FALSE)</f>
        <v>11</v>
      </c>
      <c r="C845">
        <f>VLOOKUP(N845,Sheet9!$M$1:$N$2,2,FALSE)</f>
        <v>1</v>
      </c>
      <c r="D845">
        <v>16</v>
      </c>
      <c r="E845" t="s">
        <v>95</v>
      </c>
      <c r="F845">
        <v>70</v>
      </c>
      <c r="H845">
        <v>1</v>
      </c>
      <c r="I845">
        <v>10</v>
      </c>
      <c r="J845">
        <v>10</v>
      </c>
      <c r="K845">
        <v>2.34</v>
      </c>
      <c r="L845">
        <v>2.46</v>
      </c>
      <c r="M845" t="s">
        <v>159</v>
      </c>
      <c r="N845" t="s">
        <v>162</v>
      </c>
    </row>
    <row r="846" spans="1:14" x14ac:dyDescent="0.3">
      <c r="A846" t="s">
        <v>159</v>
      </c>
      <c r="B846">
        <f>VLOOKUP(M846,Sheet9!$I$1:$J$17,2,FALSE)</f>
        <v>11</v>
      </c>
      <c r="C846">
        <f>VLOOKUP(N846,Sheet9!$M$1:$N$2,2,FALSE)</f>
        <v>1</v>
      </c>
      <c r="D846">
        <v>16</v>
      </c>
      <c r="E846" t="s">
        <v>167</v>
      </c>
      <c r="F846">
        <v>70</v>
      </c>
      <c r="H846">
        <v>20</v>
      </c>
      <c r="I846">
        <v>0.6</v>
      </c>
      <c r="J846">
        <v>12</v>
      </c>
      <c r="K846">
        <v>3.23</v>
      </c>
      <c r="L846">
        <v>3.38</v>
      </c>
      <c r="M846" t="s">
        <v>159</v>
      </c>
      <c r="N846" t="s">
        <v>162</v>
      </c>
    </row>
    <row r="847" spans="1:14" x14ac:dyDescent="0.3">
      <c r="A847" t="s">
        <v>159</v>
      </c>
      <c r="B847">
        <f>VLOOKUP(M847,Sheet9!$I$1:$J$17,2,FALSE)</f>
        <v>11</v>
      </c>
      <c r="C847">
        <f>VLOOKUP(N847,Sheet9!$M$1:$N$2,2,FALSE)</f>
        <v>1</v>
      </c>
      <c r="D847">
        <v>16</v>
      </c>
      <c r="E847" t="s">
        <v>95</v>
      </c>
      <c r="F847">
        <v>70</v>
      </c>
      <c r="H847">
        <v>12</v>
      </c>
      <c r="I847">
        <v>1.2</v>
      </c>
      <c r="J847">
        <v>14.4</v>
      </c>
      <c r="K847">
        <v>3</v>
      </c>
      <c r="L847">
        <v>3.15</v>
      </c>
      <c r="M847" t="s">
        <v>159</v>
      </c>
      <c r="N847" t="s">
        <v>162</v>
      </c>
    </row>
    <row r="848" spans="1:14" x14ac:dyDescent="0.3">
      <c r="A848" t="s">
        <v>159</v>
      </c>
      <c r="B848">
        <f>VLOOKUP(M848,Sheet9!$I$1:$J$17,2,FALSE)</f>
        <v>11</v>
      </c>
      <c r="C848">
        <f>VLOOKUP(N848,Sheet9!$M$1:$N$2,2,FALSE)</f>
        <v>1</v>
      </c>
      <c r="D848">
        <v>16</v>
      </c>
      <c r="E848" t="s">
        <v>95</v>
      </c>
      <c r="F848">
        <v>70</v>
      </c>
      <c r="H848">
        <v>64</v>
      </c>
      <c r="I848">
        <v>0.6</v>
      </c>
      <c r="J848">
        <v>19.2</v>
      </c>
      <c r="K848">
        <v>3.01</v>
      </c>
      <c r="L848">
        <v>3.15</v>
      </c>
      <c r="M848" t="s">
        <v>159</v>
      </c>
      <c r="N848" t="s">
        <v>162</v>
      </c>
    </row>
    <row r="849" spans="1:14" x14ac:dyDescent="0.3">
      <c r="A849" t="s">
        <v>159</v>
      </c>
      <c r="B849">
        <f>VLOOKUP(M849,Sheet9!$I$1:$J$17,2,FALSE)</f>
        <v>11</v>
      </c>
      <c r="C849">
        <f>VLOOKUP(N849,Sheet9!$M$1:$N$2,2,FALSE)</f>
        <v>1</v>
      </c>
      <c r="D849">
        <v>16</v>
      </c>
      <c r="E849" t="s">
        <v>167</v>
      </c>
      <c r="F849">
        <v>70</v>
      </c>
      <c r="H849">
        <v>64</v>
      </c>
      <c r="I849">
        <v>0.6</v>
      </c>
      <c r="J849">
        <v>38.4</v>
      </c>
      <c r="K849">
        <v>2.87</v>
      </c>
      <c r="L849">
        <v>3.01</v>
      </c>
      <c r="M849" t="s">
        <v>159</v>
      </c>
      <c r="N849" t="s">
        <v>162</v>
      </c>
    </row>
    <row r="850" spans="1:14" x14ac:dyDescent="0.3">
      <c r="A850" t="s">
        <v>159</v>
      </c>
      <c r="B850">
        <f>VLOOKUP(M850,Sheet9!$I$1:$J$17,2,FALSE)</f>
        <v>11</v>
      </c>
      <c r="C850">
        <f>VLOOKUP(N850,Sheet9!$M$1:$N$2,2,FALSE)</f>
        <v>1</v>
      </c>
      <c r="D850">
        <v>16</v>
      </c>
      <c r="E850" t="s">
        <v>95</v>
      </c>
      <c r="F850">
        <v>80</v>
      </c>
      <c r="H850">
        <v>2</v>
      </c>
      <c r="I850">
        <v>1</v>
      </c>
      <c r="J850">
        <v>2</v>
      </c>
      <c r="K850">
        <v>4.18</v>
      </c>
      <c r="L850">
        <v>4.3600000000000003</v>
      </c>
      <c r="M850" t="s">
        <v>159</v>
      </c>
      <c r="N850" t="s">
        <v>162</v>
      </c>
    </row>
    <row r="851" spans="1:14" x14ac:dyDescent="0.3">
      <c r="A851" t="s">
        <v>159</v>
      </c>
      <c r="B851">
        <f>VLOOKUP(M851,Sheet9!$I$1:$J$17,2,FALSE)</f>
        <v>11</v>
      </c>
      <c r="C851">
        <f>VLOOKUP(N851,Sheet9!$M$1:$N$2,2,FALSE)</f>
        <v>1</v>
      </c>
      <c r="D851">
        <v>16</v>
      </c>
      <c r="E851" t="s">
        <v>95</v>
      </c>
      <c r="F851">
        <v>80</v>
      </c>
      <c r="H851">
        <v>6</v>
      </c>
      <c r="I851">
        <v>0.6</v>
      </c>
      <c r="J851">
        <v>3.6</v>
      </c>
      <c r="K851">
        <v>6.76</v>
      </c>
      <c r="L851">
        <v>7.06</v>
      </c>
      <c r="M851" t="s">
        <v>159</v>
      </c>
      <c r="N851" t="s">
        <v>162</v>
      </c>
    </row>
    <row r="852" spans="1:14" x14ac:dyDescent="0.3">
      <c r="A852" t="s">
        <v>159</v>
      </c>
      <c r="B852">
        <f>VLOOKUP(M852,Sheet9!$I$1:$J$17,2,FALSE)</f>
        <v>11</v>
      </c>
      <c r="C852">
        <f>VLOOKUP(N852,Sheet9!$M$1:$N$2,2,FALSE)</f>
        <v>1</v>
      </c>
      <c r="D852">
        <v>16</v>
      </c>
      <c r="E852" t="s">
        <v>95</v>
      </c>
      <c r="F852">
        <v>80</v>
      </c>
      <c r="H852">
        <v>8</v>
      </c>
      <c r="I852">
        <v>0.6</v>
      </c>
      <c r="J852">
        <v>4.8</v>
      </c>
      <c r="K852">
        <v>6.22</v>
      </c>
      <c r="L852">
        <v>6.49</v>
      </c>
      <c r="M852" t="s">
        <v>159</v>
      </c>
      <c r="N852" t="s">
        <v>162</v>
      </c>
    </row>
    <row r="853" spans="1:14" x14ac:dyDescent="0.3">
      <c r="A853" t="s">
        <v>159</v>
      </c>
      <c r="B853">
        <f>VLOOKUP(M853,Sheet9!$I$1:$J$17,2,FALSE)</f>
        <v>11</v>
      </c>
      <c r="C853">
        <f>VLOOKUP(N853,Sheet9!$M$1:$N$2,2,FALSE)</f>
        <v>1</v>
      </c>
      <c r="D853">
        <v>16</v>
      </c>
      <c r="E853" t="s">
        <v>167</v>
      </c>
      <c r="F853">
        <v>80</v>
      </c>
      <c r="H853">
        <v>8</v>
      </c>
      <c r="I853">
        <v>0.6</v>
      </c>
      <c r="J853">
        <v>4.8</v>
      </c>
      <c r="K853">
        <v>7.24</v>
      </c>
      <c r="L853">
        <v>7.46</v>
      </c>
      <c r="M853" t="s">
        <v>159</v>
      </c>
      <c r="N853" t="s">
        <v>162</v>
      </c>
    </row>
    <row r="854" spans="1:14" x14ac:dyDescent="0.3">
      <c r="A854" t="s">
        <v>159</v>
      </c>
      <c r="B854">
        <f>VLOOKUP(M854,Sheet9!$I$1:$J$17,2,FALSE)</f>
        <v>11</v>
      </c>
      <c r="C854">
        <f>VLOOKUP(N854,Sheet9!$M$1:$N$2,2,FALSE)</f>
        <v>1</v>
      </c>
      <c r="D854">
        <v>16</v>
      </c>
      <c r="E854" t="s">
        <v>95</v>
      </c>
      <c r="F854">
        <v>80</v>
      </c>
      <c r="H854">
        <v>1</v>
      </c>
      <c r="I854">
        <v>5</v>
      </c>
      <c r="J854">
        <v>5</v>
      </c>
      <c r="K854">
        <v>3.75</v>
      </c>
      <c r="L854">
        <v>3.91</v>
      </c>
      <c r="M854" t="s">
        <v>159</v>
      </c>
      <c r="N854" t="s">
        <v>162</v>
      </c>
    </row>
    <row r="855" spans="1:14" x14ac:dyDescent="0.3">
      <c r="A855" t="s">
        <v>159</v>
      </c>
      <c r="B855">
        <f>VLOOKUP(M855,Sheet9!$I$1:$J$17,2,FALSE)</f>
        <v>11</v>
      </c>
      <c r="C855">
        <f>VLOOKUP(N855,Sheet9!$M$1:$N$2,2,FALSE)</f>
        <v>1</v>
      </c>
      <c r="D855">
        <v>16</v>
      </c>
      <c r="E855" t="s">
        <v>167</v>
      </c>
      <c r="F855">
        <v>80</v>
      </c>
      <c r="H855">
        <v>10</v>
      </c>
      <c r="I855">
        <v>0.6</v>
      </c>
      <c r="J855">
        <v>6</v>
      </c>
      <c r="K855">
        <v>5.0199999999999996</v>
      </c>
      <c r="L855">
        <v>5.17</v>
      </c>
      <c r="M855" t="s">
        <v>159</v>
      </c>
      <c r="N855" t="s">
        <v>162</v>
      </c>
    </row>
    <row r="856" spans="1:14" x14ac:dyDescent="0.3">
      <c r="A856" t="s">
        <v>159</v>
      </c>
      <c r="B856">
        <f>VLOOKUP(M856,Sheet9!$I$1:$J$17,2,FALSE)</f>
        <v>11</v>
      </c>
      <c r="C856">
        <f>VLOOKUP(N856,Sheet9!$M$1:$N$2,2,FALSE)</f>
        <v>1</v>
      </c>
      <c r="D856">
        <v>16</v>
      </c>
      <c r="E856" t="s">
        <v>95</v>
      </c>
      <c r="F856">
        <v>80</v>
      </c>
      <c r="H856">
        <v>6</v>
      </c>
      <c r="I856">
        <v>1.2</v>
      </c>
      <c r="J856">
        <v>7.2</v>
      </c>
      <c r="K856">
        <v>5.39</v>
      </c>
      <c r="L856">
        <v>5.62</v>
      </c>
      <c r="M856" t="s">
        <v>159</v>
      </c>
      <c r="N856" t="s">
        <v>162</v>
      </c>
    </row>
    <row r="857" spans="1:14" x14ac:dyDescent="0.3">
      <c r="A857" t="s">
        <v>159</v>
      </c>
      <c r="B857">
        <f>VLOOKUP(M857,Sheet9!$I$1:$J$17,2,FALSE)</f>
        <v>11</v>
      </c>
      <c r="C857">
        <f>VLOOKUP(N857,Sheet9!$M$1:$N$2,2,FALSE)</f>
        <v>1</v>
      </c>
      <c r="D857">
        <v>16</v>
      </c>
      <c r="E857" t="s">
        <v>95</v>
      </c>
      <c r="F857">
        <v>80</v>
      </c>
      <c r="H857">
        <v>1</v>
      </c>
      <c r="I857">
        <v>10</v>
      </c>
      <c r="J857">
        <v>10</v>
      </c>
      <c r="K857">
        <v>3.75</v>
      </c>
      <c r="L857">
        <v>3.91</v>
      </c>
      <c r="M857" t="s">
        <v>159</v>
      </c>
      <c r="N857" t="s">
        <v>162</v>
      </c>
    </row>
    <row r="858" spans="1:14" x14ac:dyDescent="0.3">
      <c r="A858" t="s">
        <v>159</v>
      </c>
      <c r="B858">
        <f>VLOOKUP(M858,Sheet9!$I$1:$J$17,2,FALSE)</f>
        <v>11</v>
      </c>
      <c r="C858">
        <f>VLOOKUP(N858,Sheet9!$M$1:$N$2,2,FALSE)</f>
        <v>1</v>
      </c>
      <c r="D858">
        <v>16</v>
      </c>
      <c r="E858" t="s">
        <v>167</v>
      </c>
      <c r="F858">
        <v>80</v>
      </c>
      <c r="H858">
        <v>20</v>
      </c>
      <c r="I858">
        <v>0.6</v>
      </c>
      <c r="J858">
        <v>12</v>
      </c>
      <c r="K858">
        <v>5.12</v>
      </c>
      <c r="L858">
        <v>5.27</v>
      </c>
      <c r="M858" t="s">
        <v>159</v>
      </c>
      <c r="N858" t="s">
        <v>162</v>
      </c>
    </row>
    <row r="859" spans="1:14" x14ac:dyDescent="0.3">
      <c r="A859" t="s">
        <v>159</v>
      </c>
      <c r="B859">
        <f>VLOOKUP(M859,Sheet9!$I$1:$J$17,2,FALSE)</f>
        <v>11</v>
      </c>
      <c r="C859">
        <f>VLOOKUP(N859,Sheet9!$M$1:$N$2,2,FALSE)</f>
        <v>1</v>
      </c>
      <c r="D859">
        <v>16</v>
      </c>
      <c r="E859" t="s">
        <v>95</v>
      </c>
      <c r="F859">
        <v>80</v>
      </c>
      <c r="H859">
        <v>12</v>
      </c>
      <c r="I859">
        <v>1.2</v>
      </c>
      <c r="J859">
        <v>14.4</v>
      </c>
      <c r="K859">
        <v>4.8099999999999996</v>
      </c>
      <c r="L859">
        <v>5.0199999999999996</v>
      </c>
      <c r="M859" t="s">
        <v>159</v>
      </c>
      <c r="N859" t="s">
        <v>162</v>
      </c>
    </row>
    <row r="860" spans="1:14" x14ac:dyDescent="0.3">
      <c r="A860" t="s">
        <v>159</v>
      </c>
      <c r="B860">
        <f>VLOOKUP(M860,Sheet9!$I$1:$J$17,2,FALSE)</f>
        <v>11</v>
      </c>
      <c r="C860">
        <f>VLOOKUP(N860,Sheet9!$M$1:$N$2,2,FALSE)</f>
        <v>1</v>
      </c>
      <c r="D860">
        <v>16</v>
      </c>
      <c r="E860" t="s">
        <v>95</v>
      </c>
      <c r="F860">
        <v>80</v>
      </c>
      <c r="H860">
        <v>64</v>
      </c>
      <c r="I860">
        <v>0.6</v>
      </c>
      <c r="J860">
        <v>19.2</v>
      </c>
      <c r="K860">
        <v>4.7699999999999996</v>
      </c>
      <c r="L860">
        <v>4.91</v>
      </c>
      <c r="M860" t="s">
        <v>159</v>
      </c>
      <c r="N860" t="s">
        <v>162</v>
      </c>
    </row>
    <row r="861" spans="1:14" x14ac:dyDescent="0.3">
      <c r="A861" t="s">
        <v>159</v>
      </c>
      <c r="B861">
        <f>VLOOKUP(M861,Sheet9!$I$1:$J$17,2,FALSE)</f>
        <v>11</v>
      </c>
      <c r="C861">
        <f>VLOOKUP(N861,Sheet9!$M$1:$N$2,2,FALSE)</f>
        <v>1</v>
      </c>
      <c r="D861">
        <v>16</v>
      </c>
      <c r="E861" t="s">
        <v>167</v>
      </c>
      <c r="F861">
        <v>80</v>
      </c>
      <c r="H861">
        <v>64</v>
      </c>
      <c r="I861">
        <v>0.6</v>
      </c>
      <c r="J861">
        <v>38.4</v>
      </c>
      <c r="K861">
        <v>4.5999999999999996</v>
      </c>
      <c r="L861">
        <v>4.8</v>
      </c>
      <c r="M861" t="s">
        <v>159</v>
      </c>
      <c r="N861" t="s">
        <v>162</v>
      </c>
    </row>
    <row r="862" spans="1:14" x14ac:dyDescent="0.3">
      <c r="A862" t="s">
        <v>159</v>
      </c>
      <c r="B862">
        <f>VLOOKUP(M862,Sheet9!$I$1:$J$17,2,FALSE)</f>
        <v>11</v>
      </c>
      <c r="C862">
        <f>VLOOKUP(N862,Sheet9!$M$1:$N$2,2,FALSE)</f>
        <v>1</v>
      </c>
      <c r="D862">
        <v>16</v>
      </c>
      <c r="E862" t="s">
        <v>95</v>
      </c>
      <c r="F862">
        <v>100</v>
      </c>
      <c r="H862">
        <v>2</v>
      </c>
      <c r="I862">
        <v>1</v>
      </c>
      <c r="J862">
        <v>2</v>
      </c>
      <c r="K862">
        <v>8.44</v>
      </c>
      <c r="L862">
        <v>8.65</v>
      </c>
      <c r="M862" t="s">
        <v>159</v>
      </c>
      <c r="N862" t="s">
        <v>162</v>
      </c>
    </row>
    <row r="863" spans="1:14" x14ac:dyDescent="0.3">
      <c r="A863" t="s">
        <v>159</v>
      </c>
      <c r="B863">
        <f>VLOOKUP(M863,Sheet9!$I$1:$J$17,2,FALSE)</f>
        <v>11</v>
      </c>
      <c r="C863">
        <f>VLOOKUP(N863,Sheet9!$M$1:$N$2,2,FALSE)</f>
        <v>1</v>
      </c>
      <c r="D863">
        <v>16</v>
      </c>
      <c r="E863" t="s">
        <v>95</v>
      </c>
      <c r="F863">
        <v>100</v>
      </c>
      <c r="H863">
        <v>6</v>
      </c>
      <c r="I863">
        <v>0.6</v>
      </c>
      <c r="J863">
        <v>3.6</v>
      </c>
      <c r="K863">
        <v>13.67</v>
      </c>
      <c r="L863">
        <v>14.01</v>
      </c>
      <c r="M863" t="s">
        <v>159</v>
      </c>
      <c r="N863" t="s">
        <v>162</v>
      </c>
    </row>
    <row r="864" spans="1:14" x14ac:dyDescent="0.3">
      <c r="A864" t="s">
        <v>159</v>
      </c>
      <c r="B864">
        <f>VLOOKUP(M864,Sheet9!$I$1:$J$17,2,FALSE)</f>
        <v>11</v>
      </c>
      <c r="C864">
        <f>VLOOKUP(N864,Sheet9!$M$1:$N$2,2,FALSE)</f>
        <v>1</v>
      </c>
      <c r="D864">
        <v>16</v>
      </c>
      <c r="E864" t="s">
        <v>95</v>
      </c>
      <c r="F864">
        <v>100</v>
      </c>
      <c r="H864">
        <v>8</v>
      </c>
      <c r="I864">
        <v>0.6</v>
      </c>
      <c r="J864">
        <v>4.8</v>
      </c>
      <c r="K864">
        <v>12.56</v>
      </c>
      <c r="L864">
        <v>12.88</v>
      </c>
      <c r="M864" t="s">
        <v>159</v>
      </c>
      <c r="N864" t="s">
        <v>162</v>
      </c>
    </row>
    <row r="865" spans="1:14" x14ac:dyDescent="0.3">
      <c r="A865" t="s">
        <v>159</v>
      </c>
      <c r="B865">
        <f>VLOOKUP(M865,Sheet9!$I$1:$J$17,2,FALSE)</f>
        <v>11</v>
      </c>
      <c r="C865">
        <f>VLOOKUP(N865,Sheet9!$M$1:$N$2,2,FALSE)</f>
        <v>1</v>
      </c>
      <c r="D865">
        <v>16</v>
      </c>
      <c r="E865" t="s">
        <v>167</v>
      </c>
      <c r="F865">
        <v>100</v>
      </c>
      <c r="H865">
        <v>8</v>
      </c>
      <c r="I865">
        <v>0.6</v>
      </c>
      <c r="J865">
        <v>4.8</v>
      </c>
      <c r="K865">
        <v>14.69</v>
      </c>
      <c r="L865">
        <v>14.93</v>
      </c>
      <c r="M865" t="s">
        <v>159</v>
      </c>
      <c r="N865" t="s">
        <v>162</v>
      </c>
    </row>
    <row r="866" spans="1:14" x14ac:dyDescent="0.3">
      <c r="A866" t="s">
        <v>159</v>
      </c>
      <c r="B866">
        <f>VLOOKUP(M866,Sheet9!$I$1:$J$17,2,FALSE)</f>
        <v>11</v>
      </c>
      <c r="C866">
        <f>VLOOKUP(N866,Sheet9!$M$1:$N$2,2,FALSE)</f>
        <v>1</v>
      </c>
      <c r="D866">
        <v>16</v>
      </c>
      <c r="E866" t="s">
        <v>95</v>
      </c>
      <c r="F866">
        <v>100</v>
      </c>
      <c r="H866">
        <v>1</v>
      </c>
      <c r="I866">
        <v>5</v>
      </c>
      <c r="J866">
        <v>5</v>
      </c>
      <c r="K866">
        <v>7.57</v>
      </c>
      <c r="L866">
        <v>7.76</v>
      </c>
      <c r="M866" t="s">
        <v>159</v>
      </c>
      <c r="N866" t="s">
        <v>162</v>
      </c>
    </row>
    <row r="867" spans="1:14" x14ac:dyDescent="0.3">
      <c r="A867" t="s">
        <v>159</v>
      </c>
      <c r="B867">
        <f>VLOOKUP(M867,Sheet9!$I$1:$J$17,2,FALSE)</f>
        <v>11</v>
      </c>
      <c r="C867">
        <f>VLOOKUP(N867,Sheet9!$M$1:$N$2,2,FALSE)</f>
        <v>1</v>
      </c>
      <c r="D867">
        <v>16</v>
      </c>
      <c r="E867" t="s">
        <v>167</v>
      </c>
      <c r="F867">
        <v>100</v>
      </c>
      <c r="H867">
        <v>10</v>
      </c>
      <c r="I867">
        <v>0.6</v>
      </c>
      <c r="J867">
        <v>6</v>
      </c>
      <c r="K867">
        <v>10.19</v>
      </c>
      <c r="L867">
        <v>10.35</v>
      </c>
      <c r="M867" t="s">
        <v>159</v>
      </c>
      <c r="N867" t="s">
        <v>162</v>
      </c>
    </row>
    <row r="868" spans="1:14" x14ac:dyDescent="0.3">
      <c r="A868" t="s">
        <v>159</v>
      </c>
      <c r="B868">
        <f>VLOOKUP(M868,Sheet9!$I$1:$J$17,2,FALSE)</f>
        <v>11</v>
      </c>
      <c r="C868">
        <f>VLOOKUP(N868,Sheet9!$M$1:$N$2,2,FALSE)</f>
        <v>1</v>
      </c>
      <c r="D868">
        <v>16</v>
      </c>
      <c r="E868" t="s">
        <v>95</v>
      </c>
      <c r="F868">
        <v>100</v>
      </c>
      <c r="H868">
        <v>6</v>
      </c>
      <c r="I868">
        <v>1.2</v>
      </c>
      <c r="J868">
        <v>7.2</v>
      </c>
      <c r="K868">
        <v>10.89</v>
      </c>
      <c r="L868">
        <v>11.16</v>
      </c>
      <c r="M868" t="s">
        <v>159</v>
      </c>
      <c r="N868" t="s">
        <v>162</v>
      </c>
    </row>
    <row r="869" spans="1:14" x14ac:dyDescent="0.3">
      <c r="A869" t="s">
        <v>159</v>
      </c>
      <c r="B869">
        <f>VLOOKUP(M869,Sheet9!$I$1:$J$17,2,FALSE)</f>
        <v>11</v>
      </c>
      <c r="C869">
        <f>VLOOKUP(N869,Sheet9!$M$1:$N$2,2,FALSE)</f>
        <v>1</v>
      </c>
      <c r="D869">
        <v>16</v>
      </c>
      <c r="E869" t="s">
        <v>95</v>
      </c>
      <c r="F869">
        <v>100</v>
      </c>
      <c r="H869">
        <v>1</v>
      </c>
      <c r="I869">
        <v>10</v>
      </c>
      <c r="J869">
        <v>10</v>
      </c>
      <c r="K869">
        <v>7.57</v>
      </c>
      <c r="L869">
        <v>7.76</v>
      </c>
      <c r="M869" t="s">
        <v>159</v>
      </c>
      <c r="N869" t="s">
        <v>162</v>
      </c>
    </row>
    <row r="870" spans="1:14" x14ac:dyDescent="0.3">
      <c r="A870" t="s">
        <v>159</v>
      </c>
      <c r="B870">
        <f>VLOOKUP(M870,Sheet9!$I$1:$J$17,2,FALSE)</f>
        <v>11</v>
      </c>
      <c r="C870">
        <f>VLOOKUP(N870,Sheet9!$M$1:$N$2,2,FALSE)</f>
        <v>1</v>
      </c>
      <c r="D870">
        <v>16</v>
      </c>
      <c r="E870" t="s">
        <v>167</v>
      </c>
      <c r="F870">
        <v>100</v>
      </c>
      <c r="H870">
        <v>20</v>
      </c>
      <c r="I870">
        <v>0.6</v>
      </c>
      <c r="J870">
        <v>12</v>
      </c>
      <c r="K870">
        <v>10.38</v>
      </c>
      <c r="L870">
        <v>10.55</v>
      </c>
      <c r="M870" t="s">
        <v>159</v>
      </c>
      <c r="N870" t="s">
        <v>162</v>
      </c>
    </row>
    <row r="871" spans="1:14" x14ac:dyDescent="0.3">
      <c r="A871" t="s">
        <v>159</v>
      </c>
      <c r="B871">
        <f>VLOOKUP(M871,Sheet9!$I$1:$J$17,2,FALSE)</f>
        <v>11</v>
      </c>
      <c r="C871">
        <f>VLOOKUP(N871,Sheet9!$M$1:$N$2,2,FALSE)</f>
        <v>1</v>
      </c>
      <c r="D871">
        <v>16</v>
      </c>
      <c r="E871" t="s">
        <v>95</v>
      </c>
      <c r="F871">
        <v>100</v>
      </c>
      <c r="H871">
        <v>12</v>
      </c>
      <c r="I871">
        <v>1.2</v>
      </c>
      <c r="J871">
        <v>14.4</v>
      </c>
      <c r="K871">
        <v>9.7100000000000009</v>
      </c>
      <c r="L871">
        <v>9.9600000000000009</v>
      </c>
      <c r="M871" t="s">
        <v>159</v>
      </c>
      <c r="N871" t="s">
        <v>162</v>
      </c>
    </row>
    <row r="872" spans="1:14" x14ac:dyDescent="0.3">
      <c r="A872" t="s">
        <v>159</v>
      </c>
      <c r="B872">
        <f>VLOOKUP(M872,Sheet9!$I$1:$J$17,2,FALSE)</f>
        <v>11</v>
      </c>
      <c r="C872">
        <f>VLOOKUP(N872,Sheet9!$M$1:$N$2,2,FALSE)</f>
        <v>1</v>
      </c>
      <c r="D872">
        <v>16</v>
      </c>
      <c r="E872" t="s">
        <v>95</v>
      </c>
      <c r="F872">
        <v>100</v>
      </c>
      <c r="H872">
        <v>64</v>
      </c>
      <c r="I872">
        <v>0.6</v>
      </c>
      <c r="J872">
        <v>19.2</v>
      </c>
      <c r="K872">
        <v>8.48</v>
      </c>
      <c r="L872">
        <v>8.69</v>
      </c>
      <c r="M872" t="s">
        <v>159</v>
      </c>
      <c r="N872" t="s">
        <v>162</v>
      </c>
    </row>
    <row r="873" spans="1:14" x14ac:dyDescent="0.3">
      <c r="A873" t="s">
        <v>159</v>
      </c>
      <c r="B873">
        <f>VLOOKUP(M873,Sheet9!$I$1:$J$17,2,FALSE)</f>
        <v>11</v>
      </c>
      <c r="C873">
        <f>VLOOKUP(N873,Sheet9!$M$1:$N$2,2,FALSE)</f>
        <v>1</v>
      </c>
      <c r="D873">
        <v>16</v>
      </c>
      <c r="E873" t="s">
        <v>167</v>
      </c>
      <c r="F873">
        <v>100</v>
      </c>
      <c r="H873">
        <v>64</v>
      </c>
      <c r="I873">
        <v>0.6</v>
      </c>
      <c r="J873">
        <v>38.4</v>
      </c>
      <c r="K873">
        <v>8.57</v>
      </c>
      <c r="L873">
        <v>8.7100000000000009</v>
      </c>
      <c r="M873" t="s">
        <v>159</v>
      </c>
      <c r="N873" t="s">
        <v>162</v>
      </c>
    </row>
    <row r="874" spans="1:14" x14ac:dyDescent="0.3">
      <c r="A874" t="s">
        <v>159</v>
      </c>
      <c r="B874">
        <f>VLOOKUP(M874,Sheet9!$I$1:$J$17,2,FALSE)</f>
        <v>11</v>
      </c>
      <c r="C874">
        <f>VLOOKUP(N874,Sheet9!$M$1:$N$2,2,FALSE)</f>
        <v>1</v>
      </c>
      <c r="D874">
        <v>16</v>
      </c>
      <c r="E874" t="s">
        <v>95</v>
      </c>
      <c r="F874">
        <v>120</v>
      </c>
      <c r="H874">
        <v>2</v>
      </c>
      <c r="I874">
        <v>1</v>
      </c>
      <c r="J874">
        <v>2</v>
      </c>
      <c r="K874">
        <v>13.85</v>
      </c>
      <c r="L874">
        <v>14.11</v>
      </c>
      <c r="M874" t="s">
        <v>159</v>
      </c>
      <c r="N874" t="s">
        <v>162</v>
      </c>
    </row>
    <row r="875" spans="1:14" x14ac:dyDescent="0.3">
      <c r="A875" t="s">
        <v>159</v>
      </c>
      <c r="B875">
        <f>VLOOKUP(M875,Sheet9!$I$1:$J$17,2,FALSE)</f>
        <v>11</v>
      </c>
      <c r="C875">
        <f>VLOOKUP(N875,Sheet9!$M$1:$N$2,2,FALSE)</f>
        <v>1</v>
      </c>
      <c r="D875">
        <v>16</v>
      </c>
      <c r="E875" t="s">
        <v>95</v>
      </c>
      <c r="F875">
        <v>120</v>
      </c>
      <c r="H875">
        <v>6</v>
      </c>
      <c r="I875">
        <v>0.6</v>
      </c>
      <c r="J875">
        <v>3.6</v>
      </c>
      <c r="K875">
        <v>22.42</v>
      </c>
      <c r="L875">
        <v>22.85</v>
      </c>
      <c r="M875" t="s">
        <v>159</v>
      </c>
      <c r="N875" t="s">
        <v>162</v>
      </c>
    </row>
    <row r="876" spans="1:14" x14ac:dyDescent="0.3">
      <c r="A876" t="s">
        <v>159</v>
      </c>
      <c r="B876">
        <f>VLOOKUP(M876,Sheet9!$I$1:$J$17,2,FALSE)</f>
        <v>11</v>
      </c>
      <c r="C876">
        <f>VLOOKUP(N876,Sheet9!$M$1:$N$2,2,FALSE)</f>
        <v>1</v>
      </c>
      <c r="D876">
        <v>16</v>
      </c>
      <c r="E876" t="s">
        <v>95</v>
      </c>
      <c r="F876">
        <v>120</v>
      </c>
      <c r="H876">
        <v>8</v>
      </c>
      <c r="I876">
        <v>0.6</v>
      </c>
      <c r="J876">
        <v>4.8</v>
      </c>
      <c r="K876">
        <v>20.6</v>
      </c>
      <c r="L876">
        <v>21</v>
      </c>
      <c r="M876" t="s">
        <v>159</v>
      </c>
      <c r="N876" t="s">
        <v>162</v>
      </c>
    </row>
    <row r="877" spans="1:14" x14ac:dyDescent="0.3">
      <c r="A877" t="s">
        <v>159</v>
      </c>
      <c r="B877">
        <f>VLOOKUP(M877,Sheet9!$I$1:$J$17,2,FALSE)</f>
        <v>11</v>
      </c>
      <c r="C877">
        <f>VLOOKUP(N877,Sheet9!$M$1:$N$2,2,FALSE)</f>
        <v>1</v>
      </c>
      <c r="D877">
        <v>16</v>
      </c>
      <c r="E877" t="s">
        <v>167</v>
      </c>
      <c r="F877">
        <v>120</v>
      </c>
      <c r="H877">
        <v>8</v>
      </c>
      <c r="I877">
        <v>0.6</v>
      </c>
      <c r="J877">
        <v>4.8</v>
      </c>
      <c r="K877">
        <v>24.33</v>
      </c>
      <c r="L877">
        <v>24.63</v>
      </c>
      <c r="M877" t="s">
        <v>159</v>
      </c>
      <c r="N877" t="s">
        <v>162</v>
      </c>
    </row>
    <row r="878" spans="1:14" x14ac:dyDescent="0.3">
      <c r="A878" t="s">
        <v>159</v>
      </c>
      <c r="B878">
        <f>VLOOKUP(M878,Sheet9!$I$1:$J$17,2,FALSE)</f>
        <v>11</v>
      </c>
      <c r="C878">
        <f>VLOOKUP(N878,Sheet9!$M$1:$N$2,2,FALSE)</f>
        <v>1</v>
      </c>
      <c r="D878">
        <v>16</v>
      </c>
      <c r="E878" t="s">
        <v>95</v>
      </c>
      <c r="F878">
        <v>120</v>
      </c>
      <c r="H878">
        <v>1</v>
      </c>
      <c r="I878">
        <v>5</v>
      </c>
      <c r="J878">
        <v>5</v>
      </c>
      <c r="K878">
        <v>12.42</v>
      </c>
      <c r="L878">
        <v>12.66</v>
      </c>
      <c r="M878" t="s">
        <v>159</v>
      </c>
      <c r="N878" t="s">
        <v>162</v>
      </c>
    </row>
    <row r="879" spans="1:14" x14ac:dyDescent="0.3">
      <c r="A879" t="s">
        <v>159</v>
      </c>
      <c r="B879">
        <f>VLOOKUP(M879,Sheet9!$I$1:$J$17,2,FALSE)</f>
        <v>11</v>
      </c>
      <c r="C879">
        <f>VLOOKUP(N879,Sheet9!$M$1:$N$2,2,FALSE)</f>
        <v>1</v>
      </c>
      <c r="D879">
        <v>16</v>
      </c>
      <c r="E879" t="s">
        <v>167</v>
      </c>
      <c r="F879">
        <v>120</v>
      </c>
      <c r="H879">
        <v>10</v>
      </c>
      <c r="I879">
        <v>0.6</v>
      </c>
      <c r="J879">
        <v>6</v>
      </c>
      <c r="K879">
        <v>16.87</v>
      </c>
      <c r="L879">
        <v>17.079999999999998</v>
      </c>
      <c r="M879" t="s">
        <v>159</v>
      </c>
      <c r="N879" t="s">
        <v>162</v>
      </c>
    </row>
    <row r="880" spans="1:14" x14ac:dyDescent="0.3">
      <c r="A880" t="s">
        <v>159</v>
      </c>
      <c r="B880">
        <f>VLOOKUP(M880,Sheet9!$I$1:$J$17,2,FALSE)</f>
        <v>11</v>
      </c>
      <c r="C880">
        <f>VLOOKUP(N880,Sheet9!$M$1:$N$2,2,FALSE)</f>
        <v>1</v>
      </c>
      <c r="D880">
        <v>16</v>
      </c>
      <c r="E880" t="s">
        <v>95</v>
      </c>
      <c r="F880">
        <v>120</v>
      </c>
      <c r="H880">
        <v>6</v>
      </c>
      <c r="I880">
        <v>1.2</v>
      </c>
      <c r="J880">
        <v>7.2</v>
      </c>
      <c r="K880">
        <v>17.86</v>
      </c>
      <c r="L880">
        <v>18.2</v>
      </c>
      <c r="M880" t="s">
        <v>159</v>
      </c>
      <c r="N880" t="s">
        <v>162</v>
      </c>
    </row>
    <row r="881" spans="1:14" x14ac:dyDescent="0.3">
      <c r="A881" t="s">
        <v>159</v>
      </c>
      <c r="B881">
        <f>VLOOKUP(M881,Sheet9!$I$1:$J$17,2,FALSE)</f>
        <v>11</v>
      </c>
      <c r="C881">
        <f>VLOOKUP(N881,Sheet9!$M$1:$N$2,2,FALSE)</f>
        <v>1</v>
      </c>
      <c r="D881">
        <v>16</v>
      </c>
      <c r="E881" t="s">
        <v>95</v>
      </c>
      <c r="F881">
        <v>120</v>
      </c>
      <c r="H881">
        <v>1</v>
      </c>
      <c r="I881">
        <v>10</v>
      </c>
      <c r="J881">
        <v>10</v>
      </c>
      <c r="K881">
        <v>12.42</v>
      </c>
      <c r="L881">
        <v>12.66</v>
      </c>
      <c r="M881" t="s">
        <v>159</v>
      </c>
      <c r="N881" t="s">
        <v>162</v>
      </c>
    </row>
    <row r="882" spans="1:14" x14ac:dyDescent="0.3">
      <c r="A882" t="s">
        <v>159</v>
      </c>
      <c r="B882">
        <f>VLOOKUP(M882,Sheet9!$I$1:$J$17,2,FALSE)</f>
        <v>11</v>
      </c>
      <c r="C882">
        <f>VLOOKUP(N882,Sheet9!$M$1:$N$2,2,FALSE)</f>
        <v>1</v>
      </c>
      <c r="D882">
        <v>16</v>
      </c>
      <c r="E882" t="s">
        <v>167</v>
      </c>
      <c r="F882">
        <v>120</v>
      </c>
      <c r="H882">
        <v>20</v>
      </c>
      <c r="I882">
        <v>0.6</v>
      </c>
      <c r="J882">
        <v>12</v>
      </c>
      <c r="K882">
        <v>17.190000000000001</v>
      </c>
      <c r="L882">
        <v>17.41</v>
      </c>
      <c r="M882" t="s">
        <v>159</v>
      </c>
      <c r="N882" t="s">
        <v>162</v>
      </c>
    </row>
    <row r="883" spans="1:14" x14ac:dyDescent="0.3">
      <c r="A883" t="s">
        <v>159</v>
      </c>
      <c r="B883">
        <f>VLOOKUP(M883,Sheet9!$I$1:$J$17,2,FALSE)</f>
        <v>11</v>
      </c>
      <c r="C883">
        <f>VLOOKUP(N883,Sheet9!$M$1:$N$2,2,FALSE)</f>
        <v>1</v>
      </c>
      <c r="D883">
        <v>16</v>
      </c>
      <c r="E883" t="s">
        <v>95</v>
      </c>
      <c r="F883">
        <v>120</v>
      </c>
      <c r="H883">
        <v>12</v>
      </c>
      <c r="I883">
        <v>1.2</v>
      </c>
      <c r="J883">
        <v>14.4</v>
      </c>
      <c r="K883">
        <v>15.93</v>
      </c>
      <c r="L883">
        <v>16.239999999999998</v>
      </c>
      <c r="M883" t="s">
        <v>159</v>
      </c>
      <c r="N883" t="s">
        <v>162</v>
      </c>
    </row>
    <row r="884" spans="1:14" x14ac:dyDescent="0.3">
      <c r="A884" t="s">
        <v>159</v>
      </c>
      <c r="B884">
        <f>VLOOKUP(M884,Sheet9!$I$1:$J$17,2,FALSE)</f>
        <v>11</v>
      </c>
      <c r="C884">
        <f>VLOOKUP(N884,Sheet9!$M$1:$N$2,2,FALSE)</f>
        <v>1</v>
      </c>
      <c r="D884">
        <v>16</v>
      </c>
      <c r="E884" t="s">
        <v>95</v>
      </c>
      <c r="F884">
        <v>120</v>
      </c>
      <c r="H884">
        <v>64</v>
      </c>
      <c r="I884">
        <v>0.6</v>
      </c>
      <c r="J884">
        <v>19.2</v>
      </c>
      <c r="K884">
        <v>13.91</v>
      </c>
      <c r="L884">
        <v>14.17</v>
      </c>
      <c r="M884" t="s">
        <v>159</v>
      </c>
      <c r="N884" t="s">
        <v>162</v>
      </c>
    </row>
    <row r="885" spans="1:14" x14ac:dyDescent="0.3">
      <c r="A885" t="s">
        <v>159</v>
      </c>
      <c r="B885">
        <f>VLOOKUP(M885,Sheet9!$I$1:$J$17,2,FALSE)</f>
        <v>11</v>
      </c>
      <c r="C885">
        <f>VLOOKUP(N885,Sheet9!$M$1:$N$2,2,FALSE)</f>
        <v>1</v>
      </c>
      <c r="D885">
        <v>16</v>
      </c>
      <c r="E885" t="s">
        <v>167</v>
      </c>
      <c r="F885">
        <v>120</v>
      </c>
      <c r="H885">
        <v>64</v>
      </c>
      <c r="I885">
        <v>0.6</v>
      </c>
      <c r="J885">
        <v>38.4</v>
      </c>
      <c r="K885">
        <v>14.19</v>
      </c>
      <c r="L885">
        <v>14.37</v>
      </c>
      <c r="M885" t="s">
        <v>159</v>
      </c>
      <c r="N885" t="s">
        <v>162</v>
      </c>
    </row>
    <row r="886" spans="1:14" x14ac:dyDescent="0.3">
      <c r="A886" t="s">
        <v>159</v>
      </c>
      <c r="B886">
        <f>VLOOKUP(M886,Sheet9!$I$1:$J$17,2,FALSE)</f>
        <v>11</v>
      </c>
      <c r="C886">
        <f>VLOOKUP(N886,Sheet9!$M$1:$N$2,2,FALSE)</f>
        <v>1</v>
      </c>
      <c r="D886">
        <v>16</v>
      </c>
      <c r="E886" t="s">
        <v>95</v>
      </c>
      <c r="F886">
        <v>140</v>
      </c>
      <c r="H886">
        <v>2</v>
      </c>
      <c r="I886">
        <v>1</v>
      </c>
      <c r="J886">
        <v>2</v>
      </c>
      <c r="K886">
        <v>20.239999999999998</v>
      </c>
      <c r="L886">
        <v>20.6</v>
      </c>
      <c r="M886" t="s">
        <v>159</v>
      </c>
      <c r="N886" t="s">
        <v>162</v>
      </c>
    </row>
    <row r="887" spans="1:14" x14ac:dyDescent="0.3">
      <c r="A887" t="s">
        <v>159</v>
      </c>
      <c r="B887">
        <f>VLOOKUP(M887,Sheet9!$I$1:$J$17,2,FALSE)</f>
        <v>11</v>
      </c>
      <c r="C887">
        <f>VLOOKUP(N887,Sheet9!$M$1:$N$2,2,FALSE)</f>
        <v>1</v>
      </c>
      <c r="D887">
        <v>16</v>
      </c>
      <c r="E887" t="s">
        <v>95</v>
      </c>
      <c r="F887">
        <v>140</v>
      </c>
      <c r="H887">
        <v>6</v>
      </c>
      <c r="I887">
        <v>0.6</v>
      </c>
      <c r="J887">
        <v>3.6</v>
      </c>
      <c r="K887">
        <v>32.770000000000003</v>
      </c>
      <c r="L887">
        <v>33.35</v>
      </c>
      <c r="M887" t="s">
        <v>159</v>
      </c>
      <c r="N887" t="s">
        <v>162</v>
      </c>
    </row>
    <row r="888" spans="1:14" x14ac:dyDescent="0.3">
      <c r="A888" t="s">
        <v>159</v>
      </c>
      <c r="B888">
        <f>VLOOKUP(M888,Sheet9!$I$1:$J$17,2,FALSE)</f>
        <v>11</v>
      </c>
      <c r="C888">
        <f>VLOOKUP(N888,Sheet9!$M$1:$N$2,2,FALSE)</f>
        <v>1</v>
      </c>
      <c r="D888">
        <v>16</v>
      </c>
      <c r="E888" t="s">
        <v>95</v>
      </c>
      <c r="F888">
        <v>140</v>
      </c>
      <c r="H888">
        <v>8</v>
      </c>
      <c r="I888">
        <v>0.6</v>
      </c>
      <c r="J888">
        <v>4.8</v>
      </c>
      <c r="K888">
        <v>30.12</v>
      </c>
      <c r="L888">
        <v>30.65</v>
      </c>
      <c r="M888" t="s">
        <v>159</v>
      </c>
      <c r="N888" t="s">
        <v>162</v>
      </c>
    </row>
    <row r="889" spans="1:14" x14ac:dyDescent="0.3">
      <c r="A889" t="s">
        <v>159</v>
      </c>
      <c r="B889">
        <f>VLOOKUP(M889,Sheet9!$I$1:$J$17,2,FALSE)</f>
        <v>11</v>
      </c>
      <c r="C889">
        <f>VLOOKUP(N889,Sheet9!$M$1:$N$2,2,FALSE)</f>
        <v>1</v>
      </c>
      <c r="D889">
        <v>16</v>
      </c>
      <c r="E889" t="s">
        <v>167</v>
      </c>
      <c r="F889">
        <v>140</v>
      </c>
      <c r="H889">
        <v>8</v>
      </c>
      <c r="I889">
        <v>0.6</v>
      </c>
      <c r="J889">
        <v>4.8</v>
      </c>
      <c r="K889">
        <v>36.159999999999997</v>
      </c>
      <c r="L889">
        <v>36.6</v>
      </c>
      <c r="M889" t="s">
        <v>159</v>
      </c>
      <c r="N889" t="s">
        <v>162</v>
      </c>
    </row>
    <row r="890" spans="1:14" x14ac:dyDescent="0.3">
      <c r="A890" t="s">
        <v>159</v>
      </c>
      <c r="B890">
        <f>VLOOKUP(M890,Sheet9!$I$1:$J$17,2,FALSE)</f>
        <v>11</v>
      </c>
      <c r="C890">
        <f>VLOOKUP(N890,Sheet9!$M$1:$N$2,2,FALSE)</f>
        <v>1</v>
      </c>
      <c r="D890">
        <v>16</v>
      </c>
      <c r="E890" t="s">
        <v>95</v>
      </c>
      <c r="F890">
        <v>140</v>
      </c>
      <c r="H890">
        <v>1</v>
      </c>
      <c r="I890">
        <v>5</v>
      </c>
      <c r="J890">
        <v>5</v>
      </c>
      <c r="K890">
        <v>18.16</v>
      </c>
      <c r="L890">
        <v>18.48</v>
      </c>
      <c r="M890" t="s">
        <v>159</v>
      </c>
      <c r="N890" t="s">
        <v>162</v>
      </c>
    </row>
    <row r="891" spans="1:14" x14ac:dyDescent="0.3">
      <c r="A891" t="s">
        <v>159</v>
      </c>
      <c r="B891">
        <f>VLOOKUP(M891,Sheet9!$I$1:$J$17,2,FALSE)</f>
        <v>11</v>
      </c>
      <c r="C891">
        <f>VLOOKUP(N891,Sheet9!$M$1:$N$2,2,FALSE)</f>
        <v>1</v>
      </c>
      <c r="D891">
        <v>16</v>
      </c>
      <c r="E891" t="s">
        <v>167</v>
      </c>
      <c r="F891">
        <v>140</v>
      </c>
      <c r="H891">
        <v>10</v>
      </c>
      <c r="I891">
        <v>0.6</v>
      </c>
      <c r="J891">
        <v>6</v>
      </c>
      <c r="K891">
        <v>25.07</v>
      </c>
      <c r="L891">
        <v>25.4</v>
      </c>
      <c r="M891" t="s">
        <v>159</v>
      </c>
      <c r="N891" t="s">
        <v>162</v>
      </c>
    </row>
    <row r="892" spans="1:14" x14ac:dyDescent="0.3">
      <c r="A892" t="s">
        <v>159</v>
      </c>
      <c r="B892">
        <f>VLOOKUP(M892,Sheet9!$I$1:$J$17,2,FALSE)</f>
        <v>11</v>
      </c>
      <c r="C892">
        <f>VLOOKUP(N892,Sheet9!$M$1:$N$2,2,FALSE)</f>
        <v>1</v>
      </c>
      <c r="D892">
        <v>16</v>
      </c>
      <c r="E892" t="s">
        <v>95</v>
      </c>
      <c r="F892">
        <v>140</v>
      </c>
      <c r="H892">
        <v>6</v>
      </c>
      <c r="I892">
        <v>1.2</v>
      </c>
      <c r="J892">
        <v>7.2</v>
      </c>
      <c r="K892">
        <v>26.11</v>
      </c>
      <c r="L892">
        <v>26.56</v>
      </c>
      <c r="M892" t="s">
        <v>159</v>
      </c>
      <c r="N892" t="s">
        <v>162</v>
      </c>
    </row>
    <row r="893" spans="1:14" x14ac:dyDescent="0.3">
      <c r="A893" t="s">
        <v>159</v>
      </c>
      <c r="B893">
        <f>VLOOKUP(M893,Sheet9!$I$1:$J$17,2,FALSE)</f>
        <v>11</v>
      </c>
      <c r="C893">
        <f>VLOOKUP(N893,Sheet9!$M$1:$N$2,2,FALSE)</f>
        <v>1</v>
      </c>
      <c r="D893">
        <v>16</v>
      </c>
      <c r="E893" t="s">
        <v>95</v>
      </c>
      <c r="F893">
        <v>140</v>
      </c>
      <c r="H893">
        <v>1</v>
      </c>
      <c r="I893">
        <v>10</v>
      </c>
      <c r="J893">
        <v>10</v>
      </c>
      <c r="K893">
        <v>18.16</v>
      </c>
      <c r="L893">
        <v>18.48</v>
      </c>
      <c r="M893" t="s">
        <v>159</v>
      </c>
      <c r="N893" t="s">
        <v>162</v>
      </c>
    </row>
    <row r="894" spans="1:14" x14ac:dyDescent="0.3">
      <c r="A894" t="s">
        <v>159</v>
      </c>
      <c r="B894">
        <f>VLOOKUP(M894,Sheet9!$I$1:$J$17,2,FALSE)</f>
        <v>11</v>
      </c>
      <c r="C894">
        <f>VLOOKUP(N894,Sheet9!$M$1:$N$2,2,FALSE)</f>
        <v>1</v>
      </c>
      <c r="D894">
        <v>16</v>
      </c>
      <c r="E894" t="s">
        <v>167</v>
      </c>
      <c r="F894">
        <v>140</v>
      </c>
      <c r="H894">
        <v>20</v>
      </c>
      <c r="I894">
        <v>0.6</v>
      </c>
      <c r="J894">
        <v>12</v>
      </c>
      <c r="K894">
        <v>25.55</v>
      </c>
      <c r="L894">
        <v>25.89</v>
      </c>
      <c r="M894" t="s">
        <v>159</v>
      </c>
      <c r="N894" t="s">
        <v>162</v>
      </c>
    </row>
    <row r="895" spans="1:14" x14ac:dyDescent="0.3">
      <c r="A895" t="s">
        <v>159</v>
      </c>
      <c r="B895">
        <f>VLOOKUP(M895,Sheet9!$I$1:$J$17,2,FALSE)</f>
        <v>11</v>
      </c>
      <c r="C895">
        <f>VLOOKUP(N895,Sheet9!$M$1:$N$2,2,FALSE)</f>
        <v>1</v>
      </c>
      <c r="D895">
        <v>16</v>
      </c>
      <c r="E895" t="s">
        <v>95</v>
      </c>
      <c r="F895">
        <v>140</v>
      </c>
      <c r="H895">
        <v>12</v>
      </c>
      <c r="I895">
        <v>1.2</v>
      </c>
      <c r="J895">
        <v>14.4</v>
      </c>
      <c r="K895">
        <v>23.3</v>
      </c>
      <c r="L895">
        <v>23.7</v>
      </c>
      <c r="M895" t="s">
        <v>159</v>
      </c>
      <c r="N895" t="s">
        <v>162</v>
      </c>
    </row>
    <row r="896" spans="1:14" x14ac:dyDescent="0.3">
      <c r="A896" t="s">
        <v>159</v>
      </c>
      <c r="B896">
        <f>VLOOKUP(M896,Sheet9!$I$1:$J$17,2,FALSE)</f>
        <v>11</v>
      </c>
      <c r="C896">
        <f>VLOOKUP(N896,Sheet9!$M$1:$N$2,2,FALSE)</f>
        <v>1</v>
      </c>
      <c r="D896">
        <v>16</v>
      </c>
      <c r="E896" t="s">
        <v>95</v>
      </c>
      <c r="F896">
        <v>140</v>
      </c>
      <c r="H896">
        <v>64</v>
      </c>
      <c r="I896">
        <v>0.6</v>
      </c>
      <c r="J896">
        <v>19.2</v>
      </c>
      <c r="K896">
        <v>20.329999999999998</v>
      </c>
      <c r="L896">
        <v>20.69</v>
      </c>
      <c r="M896" t="s">
        <v>159</v>
      </c>
      <c r="N896" t="s">
        <v>162</v>
      </c>
    </row>
    <row r="897" spans="1:14" x14ac:dyDescent="0.3">
      <c r="A897" t="s">
        <v>159</v>
      </c>
      <c r="B897">
        <f>VLOOKUP(M897,Sheet9!$I$1:$J$17,2,FALSE)</f>
        <v>11</v>
      </c>
      <c r="C897">
        <f>VLOOKUP(N897,Sheet9!$M$1:$N$2,2,FALSE)</f>
        <v>1</v>
      </c>
      <c r="D897">
        <v>16</v>
      </c>
      <c r="E897" t="s">
        <v>167</v>
      </c>
      <c r="F897">
        <v>140</v>
      </c>
      <c r="H897">
        <v>64</v>
      </c>
      <c r="I897">
        <v>0.6</v>
      </c>
      <c r="J897">
        <v>38.4</v>
      </c>
      <c r="K897">
        <v>21.09</v>
      </c>
      <c r="L897">
        <v>21.37</v>
      </c>
      <c r="M897" t="s">
        <v>159</v>
      </c>
      <c r="N897" t="s">
        <v>162</v>
      </c>
    </row>
    <row r="898" spans="1:14" x14ac:dyDescent="0.3">
      <c r="A898" t="s">
        <v>159</v>
      </c>
      <c r="B898">
        <f>VLOOKUP(M898,Sheet9!$I$1:$J$17,2,FALSE)</f>
        <v>11</v>
      </c>
      <c r="C898">
        <f>VLOOKUP(N898,Sheet9!$M$1:$N$2,2,FALSE)</f>
        <v>1</v>
      </c>
      <c r="D898">
        <v>16</v>
      </c>
      <c r="E898" t="s">
        <v>96</v>
      </c>
      <c r="F898">
        <v>70</v>
      </c>
      <c r="H898">
        <v>2</v>
      </c>
      <c r="I898">
        <v>1</v>
      </c>
      <c r="J898">
        <v>2</v>
      </c>
      <c r="K898">
        <v>2.36</v>
      </c>
      <c r="L898">
        <v>2.36</v>
      </c>
      <c r="M898" t="s">
        <v>159</v>
      </c>
      <c r="N898" t="s">
        <v>162</v>
      </c>
    </row>
    <row r="899" spans="1:14" x14ac:dyDescent="0.3">
      <c r="A899" t="s">
        <v>159</v>
      </c>
      <c r="B899">
        <f>VLOOKUP(M899,Sheet9!$I$1:$J$17,2,FALSE)</f>
        <v>11</v>
      </c>
      <c r="C899">
        <f>VLOOKUP(N899,Sheet9!$M$1:$N$2,2,FALSE)</f>
        <v>1</v>
      </c>
      <c r="D899">
        <v>16</v>
      </c>
      <c r="E899" t="s">
        <v>96</v>
      </c>
      <c r="F899">
        <v>70</v>
      </c>
      <c r="H899">
        <v>6</v>
      </c>
      <c r="I899">
        <v>0.6</v>
      </c>
      <c r="J899">
        <v>3.6</v>
      </c>
      <c r="K899">
        <v>3.83</v>
      </c>
      <c r="L899">
        <v>3.81</v>
      </c>
      <c r="M899" t="s">
        <v>159</v>
      </c>
      <c r="N899" t="s">
        <v>162</v>
      </c>
    </row>
    <row r="900" spans="1:14" x14ac:dyDescent="0.3">
      <c r="A900" t="s">
        <v>159</v>
      </c>
      <c r="B900">
        <f>VLOOKUP(M900,Sheet9!$I$1:$J$17,2,FALSE)</f>
        <v>11</v>
      </c>
      <c r="C900">
        <f>VLOOKUP(N900,Sheet9!$M$1:$N$2,2,FALSE)</f>
        <v>1</v>
      </c>
      <c r="D900">
        <v>16</v>
      </c>
      <c r="E900" t="s">
        <v>96</v>
      </c>
      <c r="F900">
        <v>70</v>
      </c>
      <c r="H900">
        <v>8</v>
      </c>
      <c r="I900">
        <v>0.6</v>
      </c>
      <c r="J900">
        <v>4.8</v>
      </c>
      <c r="K900">
        <v>3.52</v>
      </c>
      <c r="L900">
        <v>3.51</v>
      </c>
      <c r="M900" t="s">
        <v>159</v>
      </c>
      <c r="N900" t="s">
        <v>162</v>
      </c>
    </row>
    <row r="901" spans="1:14" x14ac:dyDescent="0.3">
      <c r="A901" t="s">
        <v>159</v>
      </c>
      <c r="B901">
        <f>VLOOKUP(M901,Sheet9!$I$1:$J$17,2,FALSE)</f>
        <v>11</v>
      </c>
      <c r="C901">
        <f>VLOOKUP(N901,Sheet9!$M$1:$N$2,2,FALSE)</f>
        <v>1</v>
      </c>
      <c r="D901">
        <v>16</v>
      </c>
      <c r="E901" t="s">
        <v>168</v>
      </c>
      <c r="F901">
        <v>70</v>
      </c>
      <c r="H901">
        <v>8</v>
      </c>
      <c r="I901">
        <v>0.6</v>
      </c>
      <c r="J901">
        <v>4.8</v>
      </c>
      <c r="K901">
        <v>4.12</v>
      </c>
      <c r="L901">
        <v>4.07</v>
      </c>
      <c r="M901" t="s">
        <v>159</v>
      </c>
      <c r="N901" t="s">
        <v>162</v>
      </c>
    </row>
    <row r="902" spans="1:14" x14ac:dyDescent="0.3">
      <c r="A902" t="s">
        <v>159</v>
      </c>
      <c r="B902">
        <f>VLOOKUP(M902,Sheet9!$I$1:$J$17,2,FALSE)</f>
        <v>11</v>
      </c>
      <c r="C902">
        <f>VLOOKUP(N902,Sheet9!$M$1:$N$2,2,FALSE)</f>
        <v>1</v>
      </c>
      <c r="D902">
        <v>16</v>
      </c>
      <c r="E902" t="s">
        <v>96</v>
      </c>
      <c r="F902">
        <v>70</v>
      </c>
      <c r="H902">
        <v>1</v>
      </c>
      <c r="I902">
        <v>5</v>
      </c>
      <c r="J902">
        <v>5</v>
      </c>
      <c r="K902">
        <v>2.12</v>
      </c>
      <c r="L902">
        <v>2.11</v>
      </c>
      <c r="M902" t="s">
        <v>159</v>
      </c>
      <c r="N902" t="s">
        <v>162</v>
      </c>
    </row>
    <row r="903" spans="1:14" x14ac:dyDescent="0.3">
      <c r="A903" t="s">
        <v>159</v>
      </c>
      <c r="B903">
        <f>VLOOKUP(M903,Sheet9!$I$1:$J$17,2,FALSE)</f>
        <v>11</v>
      </c>
      <c r="C903">
        <f>VLOOKUP(N903,Sheet9!$M$1:$N$2,2,FALSE)</f>
        <v>1</v>
      </c>
      <c r="D903">
        <v>16</v>
      </c>
      <c r="E903" t="s">
        <v>168</v>
      </c>
      <c r="F903">
        <v>70</v>
      </c>
      <c r="H903">
        <v>10</v>
      </c>
      <c r="I903">
        <v>0.6</v>
      </c>
      <c r="J903">
        <v>6</v>
      </c>
      <c r="K903">
        <v>2.86</v>
      </c>
      <c r="L903">
        <v>2.82</v>
      </c>
      <c r="M903" t="s">
        <v>159</v>
      </c>
      <c r="N903" t="s">
        <v>162</v>
      </c>
    </row>
    <row r="904" spans="1:14" x14ac:dyDescent="0.3">
      <c r="A904" t="s">
        <v>159</v>
      </c>
      <c r="B904">
        <f>VLOOKUP(M904,Sheet9!$I$1:$J$17,2,FALSE)</f>
        <v>11</v>
      </c>
      <c r="C904">
        <f>VLOOKUP(N904,Sheet9!$M$1:$N$2,2,FALSE)</f>
        <v>1</v>
      </c>
      <c r="D904">
        <v>16</v>
      </c>
      <c r="E904" t="s">
        <v>96</v>
      </c>
      <c r="F904">
        <v>70</v>
      </c>
      <c r="H904">
        <v>6</v>
      </c>
      <c r="I904">
        <v>1.2</v>
      </c>
      <c r="J904">
        <v>7.2</v>
      </c>
      <c r="K904">
        <v>3.05</v>
      </c>
      <c r="L904">
        <v>3.04</v>
      </c>
      <c r="M904" t="s">
        <v>159</v>
      </c>
      <c r="N904" t="s">
        <v>162</v>
      </c>
    </row>
    <row r="905" spans="1:14" x14ac:dyDescent="0.3">
      <c r="A905" t="s">
        <v>159</v>
      </c>
      <c r="B905">
        <f>VLOOKUP(M905,Sheet9!$I$1:$J$17,2,FALSE)</f>
        <v>11</v>
      </c>
      <c r="C905">
        <f>VLOOKUP(N905,Sheet9!$M$1:$N$2,2,FALSE)</f>
        <v>1</v>
      </c>
      <c r="D905">
        <v>16</v>
      </c>
      <c r="E905" t="s">
        <v>96</v>
      </c>
      <c r="F905">
        <v>70</v>
      </c>
      <c r="H905">
        <v>1</v>
      </c>
      <c r="I905">
        <v>10</v>
      </c>
      <c r="J905">
        <v>10</v>
      </c>
      <c r="K905">
        <v>2.12</v>
      </c>
      <c r="L905">
        <v>2.11</v>
      </c>
      <c r="M905" t="s">
        <v>159</v>
      </c>
      <c r="N905" t="s">
        <v>162</v>
      </c>
    </row>
    <row r="906" spans="1:14" x14ac:dyDescent="0.3">
      <c r="A906" t="s">
        <v>159</v>
      </c>
      <c r="B906">
        <f>VLOOKUP(M906,Sheet9!$I$1:$J$17,2,FALSE)</f>
        <v>11</v>
      </c>
      <c r="C906">
        <f>VLOOKUP(N906,Sheet9!$M$1:$N$2,2,FALSE)</f>
        <v>1</v>
      </c>
      <c r="D906">
        <v>16</v>
      </c>
      <c r="E906" t="s">
        <v>168</v>
      </c>
      <c r="F906">
        <v>70</v>
      </c>
      <c r="H906">
        <v>20</v>
      </c>
      <c r="I906">
        <v>0.6</v>
      </c>
      <c r="J906">
        <v>12</v>
      </c>
      <c r="K906">
        <v>2.91</v>
      </c>
      <c r="L906">
        <v>2.88</v>
      </c>
      <c r="M906" t="s">
        <v>159</v>
      </c>
      <c r="N906" t="s">
        <v>162</v>
      </c>
    </row>
    <row r="907" spans="1:14" x14ac:dyDescent="0.3">
      <c r="A907" t="s">
        <v>159</v>
      </c>
      <c r="B907">
        <f>VLOOKUP(M907,Sheet9!$I$1:$J$17,2,FALSE)</f>
        <v>11</v>
      </c>
      <c r="C907">
        <f>VLOOKUP(N907,Sheet9!$M$1:$N$2,2,FALSE)</f>
        <v>1</v>
      </c>
      <c r="D907">
        <v>16</v>
      </c>
      <c r="E907" t="s">
        <v>96</v>
      </c>
      <c r="F907">
        <v>70</v>
      </c>
      <c r="H907">
        <v>12</v>
      </c>
      <c r="I907">
        <v>1.2</v>
      </c>
      <c r="J907">
        <v>14.4</v>
      </c>
      <c r="K907">
        <v>2.72</v>
      </c>
      <c r="L907">
        <v>2.71</v>
      </c>
      <c r="M907" t="s">
        <v>159</v>
      </c>
      <c r="N907" t="s">
        <v>162</v>
      </c>
    </row>
    <row r="908" spans="1:14" x14ac:dyDescent="0.3">
      <c r="A908" t="s">
        <v>159</v>
      </c>
      <c r="B908">
        <f>VLOOKUP(M908,Sheet9!$I$1:$J$17,2,FALSE)</f>
        <v>11</v>
      </c>
      <c r="C908">
        <f>VLOOKUP(N908,Sheet9!$M$1:$N$2,2,FALSE)</f>
        <v>1</v>
      </c>
      <c r="D908">
        <v>16</v>
      </c>
      <c r="E908" t="s">
        <v>96</v>
      </c>
      <c r="F908">
        <v>70</v>
      </c>
      <c r="H908">
        <v>64</v>
      </c>
      <c r="I908">
        <v>0.6</v>
      </c>
      <c r="J908">
        <v>19.2</v>
      </c>
      <c r="K908">
        <v>2.38</v>
      </c>
      <c r="L908">
        <v>2.37</v>
      </c>
      <c r="M908" t="s">
        <v>159</v>
      </c>
      <c r="N908" t="s">
        <v>162</v>
      </c>
    </row>
    <row r="909" spans="1:14" x14ac:dyDescent="0.3">
      <c r="A909" t="s">
        <v>159</v>
      </c>
      <c r="B909">
        <f>VLOOKUP(M909,Sheet9!$I$1:$J$17,2,FALSE)</f>
        <v>11</v>
      </c>
      <c r="C909">
        <f>VLOOKUP(N909,Sheet9!$M$1:$N$2,2,FALSE)</f>
        <v>1</v>
      </c>
      <c r="D909">
        <v>16</v>
      </c>
      <c r="E909" t="s">
        <v>168</v>
      </c>
      <c r="F909">
        <v>70</v>
      </c>
      <c r="H909">
        <v>64</v>
      </c>
      <c r="I909">
        <v>0.6</v>
      </c>
      <c r="J909">
        <v>38.4</v>
      </c>
      <c r="K909">
        <v>2.4</v>
      </c>
      <c r="L909">
        <v>2.37</v>
      </c>
      <c r="M909" t="s">
        <v>159</v>
      </c>
      <c r="N909" t="s">
        <v>162</v>
      </c>
    </row>
    <row r="910" spans="1:14" x14ac:dyDescent="0.3">
      <c r="A910" t="s">
        <v>159</v>
      </c>
      <c r="B910">
        <f>VLOOKUP(M910,Sheet9!$I$1:$J$17,2,FALSE)</f>
        <v>11</v>
      </c>
      <c r="C910">
        <f>VLOOKUP(N910,Sheet9!$M$1:$N$2,2,FALSE)</f>
        <v>1</v>
      </c>
      <c r="D910">
        <v>16</v>
      </c>
      <c r="E910" t="s">
        <v>96</v>
      </c>
      <c r="F910">
        <v>80</v>
      </c>
      <c r="H910">
        <v>2</v>
      </c>
      <c r="I910">
        <v>1</v>
      </c>
      <c r="J910">
        <v>2</v>
      </c>
      <c r="K910">
        <v>3.81</v>
      </c>
      <c r="L910">
        <v>3.78</v>
      </c>
      <c r="M910" t="s">
        <v>159</v>
      </c>
      <c r="N910" t="s">
        <v>162</v>
      </c>
    </row>
    <row r="911" spans="1:14" x14ac:dyDescent="0.3">
      <c r="A911" t="s">
        <v>159</v>
      </c>
      <c r="B911">
        <f>VLOOKUP(M911,Sheet9!$I$1:$J$17,2,FALSE)</f>
        <v>11</v>
      </c>
      <c r="C911">
        <f>VLOOKUP(N911,Sheet9!$M$1:$N$2,2,FALSE)</f>
        <v>1</v>
      </c>
      <c r="D911">
        <v>16</v>
      </c>
      <c r="E911" t="s">
        <v>96</v>
      </c>
      <c r="F911">
        <v>80</v>
      </c>
      <c r="H911">
        <v>6</v>
      </c>
      <c r="I911">
        <v>0.6</v>
      </c>
      <c r="J911">
        <v>3.6</v>
      </c>
      <c r="K911">
        <v>6.17</v>
      </c>
      <c r="L911">
        <v>6.12</v>
      </c>
      <c r="M911" t="s">
        <v>159</v>
      </c>
      <c r="N911" t="s">
        <v>162</v>
      </c>
    </row>
    <row r="912" spans="1:14" x14ac:dyDescent="0.3">
      <c r="A912" t="s">
        <v>159</v>
      </c>
      <c r="B912">
        <f>VLOOKUP(M912,Sheet9!$I$1:$J$17,2,FALSE)</f>
        <v>11</v>
      </c>
      <c r="C912">
        <f>VLOOKUP(N912,Sheet9!$M$1:$N$2,2,FALSE)</f>
        <v>1</v>
      </c>
      <c r="D912">
        <v>16</v>
      </c>
      <c r="E912" t="s">
        <v>96</v>
      </c>
      <c r="F912">
        <v>80</v>
      </c>
      <c r="H912">
        <v>8</v>
      </c>
      <c r="I912">
        <v>0.6</v>
      </c>
      <c r="J912">
        <v>4.8</v>
      </c>
      <c r="K912">
        <v>5.67</v>
      </c>
      <c r="L912">
        <v>5.63</v>
      </c>
      <c r="M912" t="s">
        <v>159</v>
      </c>
      <c r="N912" t="s">
        <v>162</v>
      </c>
    </row>
    <row r="913" spans="1:14" x14ac:dyDescent="0.3">
      <c r="A913" t="s">
        <v>159</v>
      </c>
      <c r="B913">
        <f>VLOOKUP(M913,Sheet9!$I$1:$J$17,2,FALSE)</f>
        <v>11</v>
      </c>
      <c r="C913">
        <f>VLOOKUP(N913,Sheet9!$M$1:$N$2,2,FALSE)</f>
        <v>1</v>
      </c>
      <c r="D913">
        <v>16</v>
      </c>
      <c r="E913" t="s">
        <v>168</v>
      </c>
      <c r="F913">
        <v>80</v>
      </c>
      <c r="H913">
        <v>8</v>
      </c>
      <c r="I913">
        <v>0.6</v>
      </c>
      <c r="J913">
        <v>4.8</v>
      </c>
      <c r="K913">
        <v>6.58</v>
      </c>
      <c r="L913">
        <v>6.44</v>
      </c>
      <c r="M913" t="s">
        <v>159</v>
      </c>
      <c r="N913" t="s">
        <v>162</v>
      </c>
    </row>
    <row r="914" spans="1:14" x14ac:dyDescent="0.3">
      <c r="A914" t="s">
        <v>159</v>
      </c>
      <c r="B914">
        <f>VLOOKUP(M914,Sheet9!$I$1:$J$17,2,FALSE)</f>
        <v>11</v>
      </c>
      <c r="C914">
        <f>VLOOKUP(N914,Sheet9!$M$1:$N$2,2,FALSE)</f>
        <v>1</v>
      </c>
      <c r="D914">
        <v>16</v>
      </c>
      <c r="E914" t="s">
        <v>96</v>
      </c>
      <c r="F914">
        <v>80</v>
      </c>
      <c r="H914">
        <v>1</v>
      </c>
      <c r="I914">
        <v>5</v>
      </c>
      <c r="J914">
        <v>5</v>
      </c>
      <c r="K914">
        <v>3.42</v>
      </c>
      <c r="L914">
        <v>3.39</v>
      </c>
      <c r="M914" t="s">
        <v>159</v>
      </c>
      <c r="N914" t="s">
        <v>162</v>
      </c>
    </row>
    <row r="915" spans="1:14" x14ac:dyDescent="0.3">
      <c r="A915" t="s">
        <v>159</v>
      </c>
      <c r="B915">
        <f>VLOOKUP(M915,Sheet9!$I$1:$J$17,2,FALSE)</f>
        <v>11</v>
      </c>
      <c r="C915">
        <f>VLOOKUP(N915,Sheet9!$M$1:$N$2,2,FALSE)</f>
        <v>1</v>
      </c>
      <c r="D915">
        <v>16</v>
      </c>
      <c r="E915" t="s">
        <v>168</v>
      </c>
      <c r="F915">
        <v>80</v>
      </c>
      <c r="H915">
        <v>10</v>
      </c>
      <c r="I915">
        <v>0.6</v>
      </c>
      <c r="J915">
        <v>6</v>
      </c>
      <c r="K915">
        <v>4.5599999999999996</v>
      </c>
      <c r="L915">
        <v>4.47</v>
      </c>
      <c r="M915" t="s">
        <v>159</v>
      </c>
      <c r="N915" t="s">
        <v>162</v>
      </c>
    </row>
    <row r="916" spans="1:14" x14ac:dyDescent="0.3">
      <c r="A916" t="s">
        <v>159</v>
      </c>
      <c r="B916">
        <f>VLOOKUP(M916,Sheet9!$I$1:$J$17,2,FALSE)</f>
        <v>11</v>
      </c>
      <c r="C916">
        <f>VLOOKUP(N916,Sheet9!$M$1:$N$2,2,FALSE)</f>
        <v>1</v>
      </c>
      <c r="D916">
        <v>16</v>
      </c>
      <c r="E916" t="s">
        <v>96</v>
      </c>
      <c r="F916">
        <v>80</v>
      </c>
      <c r="H916">
        <v>6</v>
      </c>
      <c r="I916">
        <v>1.2</v>
      </c>
      <c r="J916">
        <v>7.2</v>
      </c>
      <c r="K916">
        <v>4.92</v>
      </c>
      <c r="L916">
        <v>4.88</v>
      </c>
      <c r="M916" t="s">
        <v>159</v>
      </c>
      <c r="N916" t="s">
        <v>162</v>
      </c>
    </row>
    <row r="917" spans="1:14" x14ac:dyDescent="0.3">
      <c r="A917" t="s">
        <v>159</v>
      </c>
      <c r="B917">
        <f>VLOOKUP(M917,Sheet9!$I$1:$J$17,2,FALSE)</f>
        <v>11</v>
      </c>
      <c r="C917">
        <f>VLOOKUP(N917,Sheet9!$M$1:$N$2,2,FALSE)</f>
        <v>1</v>
      </c>
      <c r="D917">
        <v>16</v>
      </c>
      <c r="E917" t="s">
        <v>96</v>
      </c>
      <c r="F917">
        <v>80</v>
      </c>
      <c r="H917">
        <v>1</v>
      </c>
      <c r="I917">
        <v>10</v>
      </c>
      <c r="J917">
        <v>10</v>
      </c>
      <c r="K917">
        <v>3.42</v>
      </c>
      <c r="L917">
        <v>3.39</v>
      </c>
      <c r="M917" t="s">
        <v>159</v>
      </c>
      <c r="N917" t="s">
        <v>162</v>
      </c>
    </row>
    <row r="918" spans="1:14" x14ac:dyDescent="0.3">
      <c r="A918" t="s">
        <v>159</v>
      </c>
      <c r="B918">
        <f>VLOOKUP(M918,Sheet9!$I$1:$J$17,2,FALSE)</f>
        <v>11</v>
      </c>
      <c r="C918">
        <f>VLOOKUP(N918,Sheet9!$M$1:$N$2,2,FALSE)</f>
        <v>1</v>
      </c>
      <c r="D918">
        <v>16</v>
      </c>
      <c r="E918" t="s">
        <v>168</v>
      </c>
      <c r="F918">
        <v>80</v>
      </c>
      <c r="H918">
        <v>20</v>
      </c>
      <c r="I918">
        <v>0.6</v>
      </c>
      <c r="J918">
        <v>12</v>
      </c>
      <c r="K918">
        <v>4.6500000000000004</v>
      </c>
      <c r="L918">
        <v>4.55</v>
      </c>
      <c r="M918" t="s">
        <v>159</v>
      </c>
      <c r="N918" t="s">
        <v>162</v>
      </c>
    </row>
    <row r="919" spans="1:14" x14ac:dyDescent="0.3">
      <c r="A919" t="s">
        <v>159</v>
      </c>
      <c r="B919">
        <f>VLOOKUP(M919,Sheet9!$I$1:$J$17,2,FALSE)</f>
        <v>11</v>
      </c>
      <c r="C919">
        <f>VLOOKUP(N919,Sheet9!$M$1:$N$2,2,FALSE)</f>
        <v>1</v>
      </c>
      <c r="D919">
        <v>16</v>
      </c>
      <c r="E919" t="s">
        <v>96</v>
      </c>
      <c r="F919">
        <v>80</v>
      </c>
      <c r="H919">
        <v>12</v>
      </c>
      <c r="I919">
        <v>1.2</v>
      </c>
      <c r="J919">
        <v>14.4</v>
      </c>
      <c r="K919">
        <v>4.3899999999999997</v>
      </c>
      <c r="L919">
        <v>4.3499999999999996</v>
      </c>
      <c r="M919" t="s">
        <v>159</v>
      </c>
      <c r="N919" t="s">
        <v>162</v>
      </c>
    </row>
    <row r="920" spans="1:14" x14ac:dyDescent="0.3">
      <c r="A920" t="s">
        <v>159</v>
      </c>
      <c r="B920">
        <f>VLOOKUP(M920,Sheet9!$I$1:$J$17,2,FALSE)</f>
        <v>11</v>
      </c>
      <c r="C920">
        <f>VLOOKUP(N920,Sheet9!$M$1:$N$2,2,FALSE)</f>
        <v>1</v>
      </c>
      <c r="D920">
        <v>16</v>
      </c>
      <c r="E920" t="s">
        <v>96</v>
      </c>
      <c r="F920">
        <v>80</v>
      </c>
      <c r="H920">
        <v>64</v>
      </c>
      <c r="I920">
        <v>0.6</v>
      </c>
      <c r="J920">
        <v>19.2</v>
      </c>
      <c r="K920">
        <v>3.83</v>
      </c>
      <c r="L920">
        <v>3.8</v>
      </c>
      <c r="M920" t="s">
        <v>159</v>
      </c>
      <c r="N920" t="s">
        <v>162</v>
      </c>
    </row>
    <row r="921" spans="1:14" x14ac:dyDescent="0.3">
      <c r="A921" t="s">
        <v>159</v>
      </c>
      <c r="B921">
        <f>VLOOKUP(M921,Sheet9!$I$1:$J$17,2,FALSE)</f>
        <v>11</v>
      </c>
      <c r="C921">
        <f>VLOOKUP(N921,Sheet9!$M$1:$N$2,2,FALSE)</f>
        <v>1</v>
      </c>
      <c r="D921">
        <v>16</v>
      </c>
      <c r="E921" t="s">
        <v>168</v>
      </c>
      <c r="F921">
        <v>80</v>
      </c>
      <c r="H921">
        <v>64</v>
      </c>
      <c r="I921">
        <v>0.6</v>
      </c>
      <c r="J921">
        <v>38.4</v>
      </c>
      <c r="K921">
        <v>3.84</v>
      </c>
      <c r="L921">
        <v>3.76</v>
      </c>
      <c r="M921" t="s">
        <v>159</v>
      </c>
      <c r="N921" t="s">
        <v>162</v>
      </c>
    </row>
    <row r="922" spans="1:14" x14ac:dyDescent="0.3">
      <c r="A922" t="s">
        <v>159</v>
      </c>
      <c r="B922">
        <f>VLOOKUP(M922,Sheet9!$I$1:$J$17,2,FALSE)</f>
        <v>11</v>
      </c>
      <c r="C922">
        <f>VLOOKUP(N922,Sheet9!$M$1:$N$2,2,FALSE)</f>
        <v>1</v>
      </c>
      <c r="D922">
        <v>16</v>
      </c>
      <c r="E922" t="s">
        <v>96</v>
      </c>
      <c r="F922">
        <v>100</v>
      </c>
      <c r="H922">
        <v>2</v>
      </c>
      <c r="I922">
        <v>1</v>
      </c>
      <c r="J922">
        <v>2</v>
      </c>
      <c r="K922">
        <v>7.81</v>
      </c>
      <c r="L922">
        <v>7.69</v>
      </c>
      <c r="M922" t="s">
        <v>159</v>
      </c>
      <c r="N922" t="s">
        <v>162</v>
      </c>
    </row>
    <row r="923" spans="1:14" x14ac:dyDescent="0.3">
      <c r="A923" t="s">
        <v>159</v>
      </c>
      <c r="B923">
        <f>VLOOKUP(M923,Sheet9!$I$1:$J$17,2,FALSE)</f>
        <v>11</v>
      </c>
      <c r="C923">
        <f>VLOOKUP(N923,Sheet9!$M$1:$N$2,2,FALSE)</f>
        <v>1</v>
      </c>
      <c r="D923">
        <v>16</v>
      </c>
      <c r="E923" t="s">
        <v>96</v>
      </c>
      <c r="F923">
        <v>100</v>
      </c>
      <c r="H923">
        <v>6</v>
      </c>
      <c r="I923">
        <v>0.6</v>
      </c>
      <c r="J923">
        <v>3.6</v>
      </c>
      <c r="K923">
        <v>12.65</v>
      </c>
      <c r="L923">
        <v>12.45</v>
      </c>
      <c r="M923" t="s">
        <v>159</v>
      </c>
      <c r="N923" t="s">
        <v>162</v>
      </c>
    </row>
    <row r="924" spans="1:14" x14ac:dyDescent="0.3">
      <c r="A924" t="s">
        <v>159</v>
      </c>
      <c r="B924">
        <f>VLOOKUP(M924,Sheet9!$I$1:$J$17,2,FALSE)</f>
        <v>11</v>
      </c>
      <c r="C924">
        <f>VLOOKUP(N924,Sheet9!$M$1:$N$2,2,FALSE)</f>
        <v>1</v>
      </c>
      <c r="D924">
        <v>16</v>
      </c>
      <c r="E924" t="s">
        <v>96</v>
      </c>
      <c r="F924">
        <v>100</v>
      </c>
      <c r="H924">
        <v>8</v>
      </c>
      <c r="I924">
        <v>0.6</v>
      </c>
      <c r="J924">
        <v>4.8</v>
      </c>
      <c r="K924">
        <v>11.63</v>
      </c>
      <c r="L924">
        <v>11.44</v>
      </c>
      <c r="M924" t="s">
        <v>159</v>
      </c>
      <c r="N924" t="s">
        <v>162</v>
      </c>
    </row>
    <row r="925" spans="1:14" x14ac:dyDescent="0.3">
      <c r="A925" t="s">
        <v>159</v>
      </c>
      <c r="B925">
        <f>VLOOKUP(M925,Sheet9!$I$1:$J$17,2,FALSE)</f>
        <v>11</v>
      </c>
      <c r="C925">
        <f>VLOOKUP(N925,Sheet9!$M$1:$N$2,2,FALSE)</f>
        <v>1</v>
      </c>
      <c r="D925">
        <v>16</v>
      </c>
      <c r="E925" t="s">
        <v>168</v>
      </c>
      <c r="F925">
        <v>100</v>
      </c>
      <c r="H925">
        <v>8</v>
      </c>
      <c r="I925">
        <v>0.6</v>
      </c>
      <c r="J925">
        <v>4.8</v>
      </c>
      <c r="K925">
        <v>13.53</v>
      </c>
      <c r="L925">
        <v>13.14</v>
      </c>
      <c r="M925" t="s">
        <v>159</v>
      </c>
      <c r="N925" t="s">
        <v>162</v>
      </c>
    </row>
    <row r="926" spans="1:14" x14ac:dyDescent="0.3">
      <c r="A926" t="s">
        <v>159</v>
      </c>
      <c r="B926">
        <f>VLOOKUP(M926,Sheet9!$I$1:$J$17,2,FALSE)</f>
        <v>11</v>
      </c>
      <c r="C926">
        <f>VLOOKUP(N926,Sheet9!$M$1:$N$2,2,FALSE)</f>
        <v>1</v>
      </c>
      <c r="D926">
        <v>16</v>
      </c>
      <c r="E926" t="s">
        <v>96</v>
      </c>
      <c r="F926">
        <v>100</v>
      </c>
      <c r="H926">
        <v>1</v>
      </c>
      <c r="I926">
        <v>5</v>
      </c>
      <c r="J926">
        <v>5</v>
      </c>
      <c r="K926">
        <v>7.01</v>
      </c>
      <c r="L926">
        <v>6.9</v>
      </c>
      <c r="M926" t="s">
        <v>159</v>
      </c>
      <c r="N926" t="s">
        <v>162</v>
      </c>
    </row>
    <row r="927" spans="1:14" x14ac:dyDescent="0.3">
      <c r="A927" t="s">
        <v>159</v>
      </c>
      <c r="B927">
        <f>VLOOKUP(M927,Sheet9!$I$1:$J$17,2,FALSE)</f>
        <v>11</v>
      </c>
      <c r="C927">
        <f>VLOOKUP(N927,Sheet9!$M$1:$N$2,2,FALSE)</f>
        <v>1</v>
      </c>
      <c r="D927">
        <v>16</v>
      </c>
      <c r="E927" t="s">
        <v>168</v>
      </c>
      <c r="F927">
        <v>100</v>
      </c>
      <c r="H927">
        <v>10</v>
      </c>
      <c r="I927">
        <v>0.6</v>
      </c>
      <c r="J927">
        <v>6</v>
      </c>
      <c r="K927">
        <v>9.3800000000000008</v>
      </c>
      <c r="L927">
        <v>9.11</v>
      </c>
      <c r="M927" t="s">
        <v>159</v>
      </c>
      <c r="N927" t="s">
        <v>162</v>
      </c>
    </row>
    <row r="928" spans="1:14" x14ac:dyDescent="0.3">
      <c r="A928" t="s">
        <v>159</v>
      </c>
      <c r="B928">
        <f>VLOOKUP(M928,Sheet9!$I$1:$J$17,2,FALSE)</f>
        <v>11</v>
      </c>
      <c r="C928">
        <f>VLOOKUP(N928,Sheet9!$M$1:$N$2,2,FALSE)</f>
        <v>1</v>
      </c>
      <c r="D928">
        <v>16</v>
      </c>
      <c r="E928" t="s">
        <v>96</v>
      </c>
      <c r="F928">
        <v>100</v>
      </c>
      <c r="H928">
        <v>6</v>
      </c>
      <c r="I928">
        <v>1.2</v>
      </c>
      <c r="J928">
        <v>7.2</v>
      </c>
      <c r="K928">
        <v>10.08</v>
      </c>
      <c r="L928">
        <v>9.92</v>
      </c>
      <c r="M928" t="s">
        <v>159</v>
      </c>
      <c r="N928" t="s">
        <v>162</v>
      </c>
    </row>
    <row r="929" spans="1:14" x14ac:dyDescent="0.3">
      <c r="A929" t="s">
        <v>159</v>
      </c>
      <c r="B929">
        <f>VLOOKUP(M929,Sheet9!$I$1:$J$17,2,FALSE)</f>
        <v>11</v>
      </c>
      <c r="C929">
        <f>VLOOKUP(N929,Sheet9!$M$1:$N$2,2,FALSE)</f>
        <v>1</v>
      </c>
      <c r="D929">
        <v>16</v>
      </c>
      <c r="E929" t="s">
        <v>96</v>
      </c>
      <c r="F929">
        <v>100</v>
      </c>
      <c r="H929">
        <v>1</v>
      </c>
      <c r="I929">
        <v>10</v>
      </c>
      <c r="J929">
        <v>10</v>
      </c>
      <c r="K929">
        <v>7.01</v>
      </c>
      <c r="L929">
        <v>6.9</v>
      </c>
      <c r="M929" t="s">
        <v>159</v>
      </c>
      <c r="N929" t="s">
        <v>162</v>
      </c>
    </row>
    <row r="930" spans="1:14" x14ac:dyDescent="0.3">
      <c r="A930" t="s">
        <v>159</v>
      </c>
      <c r="B930">
        <f>VLOOKUP(M930,Sheet9!$I$1:$J$17,2,FALSE)</f>
        <v>11</v>
      </c>
      <c r="C930">
        <f>VLOOKUP(N930,Sheet9!$M$1:$N$2,2,FALSE)</f>
        <v>1</v>
      </c>
      <c r="D930">
        <v>16</v>
      </c>
      <c r="E930" t="s">
        <v>168</v>
      </c>
      <c r="F930">
        <v>100</v>
      </c>
      <c r="H930">
        <v>20</v>
      </c>
      <c r="I930">
        <v>0.6</v>
      </c>
      <c r="J930">
        <v>12</v>
      </c>
      <c r="K930">
        <v>9.56</v>
      </c>
      <c r="L930">
        <v>9.2899999999999991</v>
      </c>
      <c r="M930" t="s">
        <v>159</v>
      </c>
      <c r="N930" t="s">
        <v>162</v>
      </c>
    </row>
    <row r="931" spans="1:14" x14ac:dyDescent="0.3">
      <c r="A931" t="s">
        <v>159</v>
      </c>
      <c r="B931">
        <f>VLOOKUP(M931,Sheet9!$I$1:$J$17,2,FALSE)</f>
        <v>11</v>
      </c>
      <c r="C931">
        <f>VLOOKUP(N931,Sheet9!$M$1:$N$2,2,FALSE)</f>
        <v>1</v>
      </c>
      <c r="D931">
        <v>16</v>
      </c>
      <c r="E931" t="s">
        <v>96</v>
      </c>
      <c r="F931">
        <v>100</v>
      </c>
      <c r="H931">
        <v>12</v>
      </c>
      <c r="I931">
        <v>1.2</v>
      </c>
      <c r="J931">
        <v>14.4</v>
      </c>
      <c r="K931">
        <v>8.99</v>
      </c>
      <c r="L931">
        <v>8.85</v>
      </c>
      <c r="M931" t="s">
        <v>159</v>
      </c>
      <c r="N931" t="s">
        <v>162</v>
      </c>
    </row>
    <row r="932" spans="1:14" x14ac:dyDescent="0.3">
      <c r="A932" t="s">
        <v>159</v>
      </c>
      <c r="B932">
        <f>VLOOKUP(M932,Sheet9!$I$1:$J$17,2,FALSE)</f>
        <v>11</v>
      </c>
      <c r="C932">
        <f>VLOOKUP(N932,Sheet9!$M$1:$N$2,2,FALSE)</f>
        <v>1</v>
      </c>
      <c r="D932">
        <v>16</v>
      </c>
      <c r="E932" t="s">
        <v>96</v>
      </c>
      <c r="F932">
        <v>100</v>
      </c>
      <c r="H932">
        <v>64</v>
      </c>
      <c r="I932">
        <v>0.6</v>
      </c>
      <c r="J932">
        <v>19.2</v>
      </c>
      <c r="K932">
        <v>7.85</v>
      </c>
      <c r="L932">
        <v>7.72</v>
      </c>
      <c r="M932" t="s">
        <v>159</v>
      </c>
      <c r="N932" t="s">
        <v>162</v>
      </c>
    </row>
    <row r="933" spans="1:14" x14ac:dyDescent="0.3">
      <c r="A933" t="s">
        <v>159</v>
      </c>
      <c r="B933">
        <f>VLOOKUP(M933,Sheet9!$I$1:$J$17,2,FALSE)</f>
        <v>11</v>
      </c>
      <c r="C933">
        <f>VLOOKUP(N933,Sheet9!$M$1:$N$2,2,FALSE)</f>
        <v>1</v>
      </c>
      <c r="D933">
        <v>16</v>
      </c>
      <c r="E933" t="s">
        <v>168</v>
      </c>
      <c r="F933">
        <v>100</v>
      </c>
      <c r="H933">
        <v>64</v>
      </c>
      <c r="I933">
        <v>0.6</v>
      </c>
      <c r="J933">
        <v>38.4</v>
      </c>
      <c r="K933">
        <v>7.89</v>
      </c>
      <c r="L933">
        <v>7.67</v>
      </c>
      <c r="M933" t="s">
        <v>159</v>
      </c>
      <c r="N933" t="s">
        <v>162</v>
      </c>
    </row>
    <row r="934" spans="1:14" x14ac:dyDescent="0.3">
      <c r="A934" t="s">
        <v>159</v>
      </c>
      <c r="B934">
        <f>VLOOKUP(M934,Sheet9!$I$1:$J$17,2,FALSE)</f>
        <v>11</v>
      </c>
      <c r="C934">
        <f>VLOOKUP(N934,Sheet9!$M$1:$N$2,2,FALSE)</f>
        <v>1</v>
      </c>
      <c r="D934">
        <v>16</v>
      </c>
      <c r="E934" t="s">
        <v>96</v>
      </c>
      <c r="F934">
        <v>120</v>
      </c>
      <c r="H934">
        <v>2</v>
      </c>
      <c r="I934">
        <v>1</v>
      </c>
      <c r="J934">
        <v>2</v>
      </c>
      <c r="K934">
        <v>12.93</v>
      </c>
      <c r="L934">
        <v>12.68</v>
      </c>
      <c r="M934" t="s">
        <v>159</v>
      </c>
      <c r="N934" t="s">
        <v>162</v>
      </c>
    </row>
    <row r="935" spans="1:14" x14ac:dyDescent="0.3">
      <c r="A935" t="s">
        <v>159</v>
      </c>
      <c r="B935">
        <f>VLOOKUP(M935,Sheet9!$I$1:$J$17,2,FALSE)</f>
        <v>11</v>
      </c>
      <c r="C935">
        <f>VLOOKUP(N935,Sheet9!$M$1:$N$2,2,FALSE)</f>
        <v>1</v>
      </c>
      <c r="D935">
        <v>16</v>
      </c>
      <c r="E935" t="s">
        <v>96</v>
      </c>
      <c r="F935">
        <v>120</v>
      </c>
      <c r="H935">
        <v>6</v>
      </c>
      <c r="I935">
        <v>0.6</v>
      </c>
      <c r="J935">
        <v>3.6</v>
      </c>
      <c r="K935">
        <v>20.93</v>
      </c>
      <c r="L935">
        <v>20.52</v>
      </c>
      <c r="M935" t="s">
        <v>159</v>
      </c>
      <c r="N935" t="s">
        <v>162</v>
      </c>
    </row>
    <row r="936" spans="1:14" x14ac:dyDescent="0.3">
      <c r="A936" t="s">
        <v>159</v>
      </c>
      <c r="B936">
        <f>VLOOKUP(M936,Sheet9!$I$1:$J$17,2,FALSE)</f>
        <v>11</v>
      </c>
      <c r="C936">
        <f>VLOOKUP(N936,Sheet9!$M$1:$N$2,2,FALSE)</f>
        <v>1</v>
      </c>
      <c r="D936">
        <v>16</v>
      </c>
      <c r="E936" t="s">
        <v>96</v>
      </c>
      <c r="F936">
        <v>120</v>
      </c>
      <c r="H936">
        <v>8</v>
      </c>
      <c r="I936">
        <v>0.6</v>
      </c>
      <c r="J936">
        <v>4.8</v>
      </c>
      <c r="K936">
        <v>19.23</v>
      </c>
      <c r="L936">
        <v>18.86</v>
      </c>
      <c r="M936" t="s">
        <v>159</v>
      </c>
      <c r="N936" t="s">
        <v>162</v>
      </c>
    </row>
    <row r="937" spans="1:14" x14ac:dyDescent="0.3">
      <c r="A937" t="s">
        <v>159</v>
      </c>
      <c r="B937">
        <f>VLOOKUP(M937,Sheet9!$I$1:$J$17,2,FALSE)</f>
        <v>11</v>
      </c>
      <c r="C937">
        <f>VLOOKUP(N937,Sheet9!$M$1:$N$2,2,FALSE)</f>
        <v>1</v>
      </c>
      <c r="D937">
        <v>16</v>
      </c>
      <c r="E937" t="s">
        <v>168</v>
      </c>
      <c r="F937">
        <v>120</v>
      </c>
      <c r="H937">
        <v>8</v>
      </c>
      <c r="I937">
        <v>0.6</v>
      </c>
      <c r="J937">
        <v>4.8</v>
      </c>
      <c r="K937">
        <v>22.53</v>
      </c>
      <c r="L937">
        <v>21.91</v>
      </c>
      <c r="M937" t="s">
        <v>159</v>
      </c>
      <c r="N937" t="s">
        <v>162</v>
      </c>
    </row>
    <row r="938" spans="1:14" x14ac:dyDescent="0.3">
      <c r="A938" t="s">
        <v>159</v>
      </c>
      <c r="B938">
        <f>VLOOKUP(M938,Sheet9!$I$1:$J$17,2,FALSE)</f>
        <v>11</v>
      </c>
      <c r="C938">
        <f>VLOOKUP(N938,Sheet9!$M$1:$N$2,2,FALSE)</f>
        <v>1</v>
      </c>
      <c r="D938">
        <v>16</v>
      </c>
      <c r="E938" t="s">
        <v>96</v>
      </c>
      <c r="F938">
        <v>120</v>
      </c>
      <c r="H938">
        <v>1</v>
      </c>
      <c r="I938">
        <v>5</v>
      </c>
      <c r="J938">
        <v>5</v>
      </c>
      <c r="K938">
        <v>11.6</v>
      </c>
      <c r="L938">
        <v>11.37</v>
      </c>
      <c r="M938" t="s">
        <v>159</v>
      </c>
      <c r="N938" t="s">
        <v>162</v>
      </c>
    </row>
    <row r="939" spans="1:14" x14ac:dyDescent="0.3">
      <c r="A939" t="s">
        <v>159</v>
      </c>
      <c r="B939">
        <f>VLOOKUP(M939,Sheet9!$I$1:$J$17,2,FALSE)</f>
        <v>11</v>
      </c>
      <c r="C939">
        <f>VLOOKUP(N939,Sheet9!$M$1:$N$2,2,FALSE)</f>
        <v>1</v>
      </c>
      <c r="D939">
        <v>16</v>
      </c>
      <c r="E939" t="s">
        <v>168</v>
      </c>
      <c r="F939">
        <v>120</v>
      </c>
      <c r="H939">
        <v>10</v>
      </c>
      <c r="I939">
        <v>0.6</v>
      </c>
      <c r="J939">
        <v>6</v>
      </c>
      <c r="K939">
        <v>15.62</v>
      </c>
      <c r="L939">
        <v>15.19</v>
      </c>
      <c r="M939" t="s">
        <v>159</v>
      </c>
      <c r="N939" t="s">
        <v>162</v>
      </c>
    </row>
    <row r="940" spans="1:14" x14ac:dyDescent="0.3">
      <c r="A940" t="s">
        <v>159</v>
      </c>
      <c r="B940">
        <f>VLOOKUP(M940,Sheet9!$I$1:$J$17,2,FALSE)</f>
        <v>11</v>
      </c>
      <c r="C940">
        <f>VLOOKUP(N940,Sheet9!$M$1:$N$2,2,FALSE)</f>
        <v>1</v>
      </c>
      <c r="D940">
        <v>16</v>
      </c>
      <c r="E940" t="s">
        <v>96</v>
      </c>
      <c r="F940">
        <v>120</v>
      </c>
      <c r="H940">
        <v>6</v>
      </c>
      <c r="I940">
        <v>1.2</v>
      </c>
      <c r="J940">
        <v>7.2</v>
      </c>
      <c r="K940">
        <v>16.670000000000002</v>
      </c>
      <c r="L940">
        <v>16.350000000000001</v>
      </c>
      <c r="M940" t="s">
        <v>159</v>
      </c>
      <c r="N940" t="s">
        <v>162</v>
      </c>
    </row>
    <row r="941" spans="1:14" x14ac:dyDescent="0.3">
      <c r="A941" t="s">
        <v>159</v>
      </c>
      <c r="B941">
        <f>VLOOKUP(M941,Sheet9!$I$1:$J$17,2,FALSE)</f>
        <v>11</v>
      </c>
      <c r="C941">
        <f>VLOOKUP(N941,Sheet9!$M$1:$N$2,2,FALSE)</f>
        <v>1</v>
      </c>
      <c r="D941">
        <v>16</v>
      </c>
      <c r="E941" t="s">
        <v>96</v>
      </c>
      <c r="F941">
        <v>120</v>
      </c>
      <c r="H941">
        <v>1</v>
      </c>
      <c r="I941">
        <v>10</v>
      </c>
      <c r="J941">
        <v>10</v>
      </c>
      <c r="K941">
        <v>11.6</v>
      </c>
      <c r="L941">
        <v>11.37</v>
      </c>
      <c r="M941" t="s">
        <v>159</v>
      </c>
      <c r="N941" t="s">
        <v>162</v>
      </c>
    </row>
    <row r="942" spans="1:14" x14ac:dyDescent="0.3">
      <c r="A942" t="s">
        <v>159</v>
      </c>
      <c r="B942">
        <f>VLOOKUP(M942,Sheet9!$I$1:$J$17,2,FALSE)</f>
        <v>11</v>
      </c>
      <c r="C942">
        <f>VLOOKUP(N942,Sheet9!$M$1:$N$2,2,FALSE)</f>
        <v>1</v>
      </c>
      <c r="D942">
        <v>16</v>
      </c>
      <c r="E942" t="s">
        <v>168</v>
      </c>
      <c r="F942">
        <v>120</v>
      </c>
      <c r="H942">
        <v>20</v>
      </c>
      <c r="I942">
        <v>0.6</v>
      </c>
      <c r="J942">
        <v>12</v>
      </c>
      <c r="K942">
        <v>15.92</v>
      </c>
      <c r="L942">
        <v>15.48</v>
      </c>
      <c r="M942" t="s">
        <v>159</v>
      </c>
      <c r="N942" t="s">
        <v>162</v>
      </c>
    </row>
    <row r="943" spans="1:14" x14ac:dyDescent="0.3">
      <c r="A943" t="s">
        <v>159</v>
      </c>
      <c r="B943">
        <f>VLOOKUP(M943,Sheet9!$I$1:$J$17,2,FALSE)</f>
        <v>11</v>
      </c>
      <c r="C943">
        <f>VLOOKUP(N943,Sheet9!$M$1:$N$2,2,FALSE)</f>
        <v>1</v>
      </c>
      <c r="D943">
        <v>16</v>
      </c>
      <c r="E943" t="s">
        <v>96</v>
      </c>
      <c r="F943">
        <v>120</v>
      </c>
      <c r="H943">
        <v>12</v>
      </c>
      <c r="I943">
        <v>1.2</v>
      </c>
      <c r="J943">
        <v>14.4</v>
      </c>
      <c r="K943">
        <v>14.87</v>
      </c>
      <c r="L943">
        <v>14.59</v>
      </c>
      <c r="M943" t="s">
        <v>159</v>
      </c>
      <c r="N943" t="s">
        <v>162</v>
      </c>
    </row>
    <row r="944" spans="1:14" x14ac:dyDescent="0.3">
      <c r="A944" t="s">
        <v>159</v>
      </c>
      <c r="B944">
        <f>VLOOKUP(M944,Sheet9!$I$1:$J$17,2,FALSE)</f>
        <v>11</v>
      </c>
      <c r="C944">
        <f>VLOOKUP(N944,Sheet9!$M$1:$N$2,2,FALSE)</f>
        <v>1</v>
      </c>
      <c r="D944">
        <v>16</v>
      </c>
      <c r="E944" t="s">
        <v>96</v>
      </c>
      <c r="F944">
        <v>120</v>
      </c>
      <c r="H944">
        <v>64</v>
      </c>
      <c r="I944">
        <v>0.6</v>
      </c>
      <c r="J944">
        <v>19.2</v>
      </c>
      <c r="K944">
        <v>12.98</v>
      </c>
      <c r="L944">
        <v>12.73</v>
      </c>
      <c r="M944" t="s">
        <v>159</v>
      </c>
      <c r="N944" t="s">
        <v>162</v>
      </c>
    </row>
    <row r="945" spans="1:14" x14ac:dyDescent="0.3">
      <c r="A945" t="s">
        <v>159</v>
      </c>
      <c r="B945">
        <f>VLOOKUP(M945,Sheet9!$I$1:$J$17,2,FALSE)</f>
        <v>11</v>
      </c>
      <c r="C945">
        <f>VLOOKUP(N945,Sheet9!$M$1:$N$2,2,FALSE)</f>
        <v>1</v>
      </c>
      <c r="D945">
        <v>16</v>
      </c>
      <c r="E945" t="s">
        <v>168</v>
      </c>
      <c r="F945">
        <v>120</v>
      </c>
      <c r="H945">
        <v>64</v>
      </c>
      <c r="I945">
        <v>0.6</v>
      </c>
      <c r="J945">
        <v>38.4</v>
      </c>
      <c r="K945">
        <v>13.14</v>
      </c>
      <c r="L945">
        <v>12.78</v>
      </c>
      <c r="M945" t="s">
        <v>159</v>
      </c>
      <c r="N945" t="s">
        <v>162</v>
      </c>
    </row>
    <row r="946" spans="1:14" x14ac:dyDescent="0.3">
      <c r="A946" t="s">
        <v>159</v>
      </c>
      <c r="B946">
        <f>VLOOKUP(M946,Sheet9!$I$1:$J$17,2,FALSE)</f>
        <v>11</v>
      </c>
      <c r="C946">
        <f>VLOOKUP(N946,Sheet9!$M$1:$N$2,2,FALSE)</f>
        <v>1</v>
      </c>
      <c r="D946">
        <v>16</v>
      </c>
      <c r="E946" t="s">
        <v>96</v>
      </c>
      <c r="F946">
        <v>140</v>
      </c>
      <c r="H946">
        <v>2</v>
      </c>
      <c r="I946">
        <v>1</v>
      </c>
      <c r="J946">
        <v>2</v>
      </c>
      <c r="K946">
        <v>18.829999999999998</v>
      </c>
      <c r="L946">
        <v>18.5</v>
      </c>
      <c r="M946" t="s">
        <v>159</v>
      </c>
      <c r="N946" t="s">
        <v>162</v>
      </c>
    </row>
    <row r="947" spans="1:14" x14ac:dyDescent="0.3">
      <c r="A947" t="s">
        <v>159</v>
      </c>
      <c r="B947">
        <f>VLOOKUP(M947,Sheet9!$I$1:$J$17,2,FALSE)</f>
        <v>11</v>
      </c>
      <c r="C947">
        <f>VLOOKUP(N947,Sheet9!$M$1:$N$2,2,FALSE)</f>
        <v>1</v>
      </c>
      <c r="D947">
        <v>16</v>
      </c>
      <c r="E947" t="s">
        <v>96</v>
      </c>
      <c r="F947">
        <v>140</v>
      </c>
      <c r="H947">
        <v>6</v>
      </c>
      <c r="I947">
        <v>0.6</v>
      </c>
      <c r="J947">
        <v>3.6</v>
      </c>
      <c r="K947">
        <v>30.49</v>
      </c>
      <c r="L947">
        <v>29.95</v>
      </c>
      <c r="M947" t="s">
        <v>159</v>
      </c>
      <c r="N947" t="s">
        <v>162</v>
      </c>
    </row>
    <row r="948" spans="1:14" x14ac:dyDescent="0.3">
      <c r="A948" t="s">
        <v>159</v>
      </c>
      <c r="B948">
        <f>VLOOKUP(M948,Sheet9!$I$1:$J$17,2,FALSE)</f>
        <v>11</v>
      </c>
      <c r="C948">
        <f>VLOOKUP(N948,Sheet9!$M$1:$N$2,2,FALSE)</f>
        <v>1</v>
      </c>
      <c r="D948">
        <v>16</v>
      </c>
      <c r="E948" t="s">
        <v>96</v>
      </c>
      <c r="F948">
        <v>140</v>
      </c>
      <c r="H948">
        <v>8</v>
      </c>
      <c r="I948">
        <v>0.6</v>
      </c>
      <c r="J948">
        <v>4.8</v>
      </c>
      <c r="K948">
        <v>28.02</v>
      </c>
      <c r="L948">
        <v>27.53</v>
      </c>
      <c r="M948" t="s">
        <v>159</v>
      </c>
      <c r="N948" t="s">
        <v>162</v>
      </c>
    </row>
    <row r="949" spans="1:14" x14ac:dyDescent="0.3">
      <c r="A949" t="s">
        <v>159</v>
      </c>
      <c r="B949">
        <f>VLOOKUP(M949,Sheet9!$I$1:$J$17,2,FALSE)</f>
        <v>11</v>
      </c>
      <c r="C949">
        <f>VLOOKUP(N949,Sheet9!$M$1:$N$2,2,FALSE)</f>
        <v>1</v>
      </c>
      <c r="D949">
        <v>16</v>
      </c>
      <c r="E949" t="s">
        <v>168</v>
      </c>
      <c r="F949">
        <v>140</v>
      </c>
      <c r="H949">
        <v>8</v>
      </c>
      <c r="I949">
        <v>0.6</v>
      </c>
      <c r="J949">
        <v>4.8</v>
      </c>
      <c r="K949">
        <v>33.71</v>
      </c>
      <c r="L949">
        <v>32.85</v>
      </c>
      <c r="M949" t="s">
        <v>159</v>
      </c>
      <c r="N949" t="s">
        <v>162</v>
      </c>
    </row>
    <row r="950" spans="1:14" x14ac:dyDescent="0.3">
      <c r="A950" t="s">
        <v>159</v>
      </c>
      <c r="B950">
        <f>VLOOKUP(M950,Sheet9!$I$1:$J$17,2,FALSE)</f>
        <v>11</v>
      </c>
      <c r="C950">
        <f>VLOOKUP(N950,Sheet9!$M$1:$N$2,2,FALSE)</f>
        <v>1</v>
      </c>
      <c r="D950">
        <v>16</v>
      </c>
      <c r="E950" t="s">
        <v>96</v>
      </c>
      <c r="F950">
        <v>140</v>
      </c>
      <c r="H950">
        <v>1</v>
      </c>
      <c r="I950">
        <v>5</v>
      </c>
      <c r="J950">
        <v>5</v>
      </c>
      <c r="K950">
        <v>16.89</v>
      </c>
      <c r="L950">
        <v>16.600000000000001</v>
      </c>
      <c r="M950" t="s">
        <v>159</v>
      </c>
      <c r="N950" t="s">
        <v>162</v>
      </c>
    </row>
    <row r="951" spans="1:14" x14ac:dyDescent="0.3">
      <c r="A951" t="s">
        <v>159</v>
      </c>
      <c r="B951">
        <f>VLOOKUP(M951,Sheet9!$I$1:$J$17,2,FALSE)</f>
        <v>11</v>
      </c>
      <c r="C951">
        <f>VLOOKUP(N951,Sheet9!$M$1:$N$2,2,FALSE)</f>
        <v>1</v>
      </c>
      <c r="D951">
        <v>16</v>
      </c>
      <c r="E951" t="s">
        <v>168</v>
      </c>
      <c r="F951">
        <v>140</v>
      </c>
      <c r="H951">
        <v>10</v>
      </c>
      <c r="I951">
        <v>0.6</v>
      </c>
      <c r="J951">
        <v>6</v>
      </c>
      <c r="K951">
        <v>23.38</v>
      </c>
      <c r="L951">
        <v>22.77</v>
      </c>
      <c r="M951" t="s">
        <v>159</v>
      </c>
      <c r="N951" t="s">
        <v>162</v>
      </c>
    </row>
    <row r="952" spans="1:14" x14ac:dyDescent="0.3">
      <c r="A952" t="s">
        <v>159</v>
      </c>
      <c r="B952">
        <f>VLOOKUP(M952,Sheet9!$I$1:$J$17,2,FALSE)</f>
        <v>11</v>
      </c>
      <c r="C952">
        <f>VLOOKUP(N952,Sheet9!$M$1:$N$2,2,FALSE)</f>
        <v>1</v>
      </c>
      <c r="D952">
        <v>16</v>
      </c>
      <c r="E952" t="s">
        <v>96</v>
      </c>
      <c r="F952">
        <v>140</v>
      </c>
      <c r="H952">
        <v>6</v>
      </c>
      <c r="I952">
        <v>1.2</v>
      </c>
      <c r="J952">
        <v>7.2</v>
      </c>
      <c r="K952">
        <v>24.29</v>
      </c>
      <c r="L952">
        <v>23.86</v>
      </c>
      <c r="M952" t="s">
        <v>159</v>
      </c>
      <c r="N952" t="s">
        <v>162</v>
      </c>
    </row>
    <row r="953" spans="1:14" x14ac:dyDescent="0.3">
      <c r="A953" t="s">
        <v>159</v>
      </c>
      <c r="B953">
        <f>VLOOKUP(M953,Sheet9!$I$1:$J$17,2,FALSE)</f>
        <v>11</v>
      </c>
      <c r="C953">
        <f>VLOOKUP(N953,Sheet9!$M$1:$N$2,2,FALSE)</f>
        <v>1</v>
      </c>
      <c r="D953">
        <v>16</v>
      </c>
      <c r="E953" t="s">
        <v>96</v>
      </c>
      <c r="F953">
        <v>140</v>
      </c>
      <c r="H953">
        <v>1</v>
      </c>
      <c r="I953">
        <v>10</v>
      </c>
      <c r="J953">
        <v>10</v>
      </c>
      <c r="K953">
        <v>16.89</v>
      </c>
      <c r="L953">
        <v>16.600000000000001</v>
      </c>
      <c r="M953" t="s">
        <v>159</v>
      </c>
      <c r="N953" t="s">
        <v>162</v>
      </c>
    </row>
    <row r="954" spans="1:14" x14ac:dyDescent="0.3">
      <c r="A954" t="s">
        <v>159</v>
      </c>
      <c r="B954">
        <f>VLOOKUP(M954,Sheet9!$I$1:$J$17,2,FALSE)</f>
        <v>11</v>
      </c>
      <c r="C954">
        <f>VLOOKUP(N954,Sheet9!$M$1:$N$2,2,FALSE)</f>
        <v>1</v>
      </c>
      <c r="D954">
        <v>16</v>
      </c>
      <c r="E954" t="s">
        <v>168</v>
      </c>
      <c r="F954">
        <v>140</v>
      </c>
      <c r="H954">
        <v>20</v>
      </c>
      <c r="I954">
        <v>0.6</v>
      </c>
      <c r="J954">
        <v>12</v>
      </c>
      <c r="K954">
        <v>23.82</v>
      </c>
      <c r="L954">
        <v>23.21</v>
      </c>
      <c r="M954" t="s">
        <v>159</v>
      </c>
      <c r="N954" t="s">
        <v>162</v>
      </c>
    </row>
    <row r="955" spans="1:14" x14ac:dyDescent="0.3">
      <c r="A955" t="s">
        <v>159</v>
      </c>
      <c r="B955">
        <f>VLOOKUP(M955,Sheet9!$I$1:$J$17,2,FALSE)</f>
        <v>11</v>
      </c>
      <c r="C955">
        <f>VLOOKUP(N955,Sheet9!$M$1:$N$2,2,FALSE)</f>
        <v>1</v>
      </c>
      <c r="D955">
        <v>16</v>
      </c>
      <c r="E955" t="s">
        <v>96</v>
      </c>
      <c r="F955">
        <v>140</v>
      </c>
      <c r="H955">
        <v>12</v>
      </c>
      <c r="I955">
        <v>1.2</v>
      </c>
      <c r="J955">
        <v>14.4</v>
      </c>
      <c r="K955">
        <v>21.67</v>
      </c>
      <c r="L955">
        <v>21.29</v>
      </c>
      <c r="M955" t="s">
        <v>159</v>
      </c>
      <c r="N955" t="s">
        <v>162</v>
      </c>
    </row>
    <row r="956" spans="1:14" x14ac:dyDescent="0.3">
      <c r="A956" t="s">
        <v>159</v>
      </c>
      <c r="B956">
        <f>VLOOKUP(M956,Sheet9!$I$1:$J$17,2,FALSE)</f>
        <v>11</v>
      </c>
      <c r="C956">
        <f>VLOOKUP(N956,Sheet9!$M$1:$N$2,2,FALSE)</f>
        <v>1</v>
      </c>
      <c r="D956">
        <v>16</v>
      </c>
      <c r="E956" t="s">
        <v>96</v>
      </c>
      <c r="F956">
        <v>140</v>
      </c>
      <c r="H956">
        <v>64</v>
      </c>
      <c r="I956">
        <v>0.6</v>
      </c>
      <c r="J956">
        <v>19.2</v>
      </c>
      <c r="K956">
        <v>18.91</v>
      </c>
      <c r="L956">
        <v>18.579999999999998</v>
      </c>
      <c r="M956" t="s">
        <v>159</v>
      </c>
      <c r="N956" t="s">
        <v>162</v>
      </c>
    </row>
    <row r="957" spans="1:14" x14ac:dyDescent="0.3">
      <c r="A957" t="s">
        <v>159</v>
      </c>
      <c r="B957">
        <f>VLOOKUP(M957,Sheet9!$I$1:$J$17,2,FALSE)</f>
        <v>11</v>
      </c>
      <c r="C957">
        <f>VLOOKUP(N957,Sheet9!$M$1:$N$2,2,FALSE)</f>
        <v>1</v>
      </c>
      <c r="D957">
        <v>16</v>
      </c>
      <c r="E957" t="s">
        <v>168</v>
      </c>
      <c r="F957">
        <v>140</v>
      </c>
      <c r="H957">
        <v>64</v>
      </c>
      <c r="I957">
        <v>0.6</v>
      </c>
      <c r="J957">
        <v>38.4</v>
      </c>
      <c r="K957">
        <v>19.670000000000002</v>
      </c>
      <c r="L957">
        <v>19.16</v>
      </c>
      <c r="M957" t="s">
        <v>159</v>
      </c>
      <c r="N957" t="s">
        <v>162</v>
      </c>
    </row>
    <row r="958" spans="1:14" x14ac:dyDescent="0.3">
      <c r="A958" t="s">
        <v>159</v>
      </c>
      <c r="B958">
        <f>VLOOKUP(M958,Sheet9!$I$1:$J$17,2,FALSE)</f>
        <v>11</v>
      </c>
      <c r="C958">
        <f>VLOOKUP(N958,Sheet9!$M$1:$N$2,2,FALSE)</f>
        <v>1</v>
      </c>
      <c r="D958">
        <v>32</v>
      </c>
      <c r="E958" t="s">
        <v>95</v>
      </c>
      <c r="F958">
        <v>70</v>
      </c>
      <c r="H958">
        <v>2</v>
      </c>
      <c r="I958">
        <v>1</v>
      </c>
      <c r="J958">
        <v>2</v>
      </c>
      <c r="K958">
        <v>0.61</v>
      </c>
      <c r="L958">
        <v>1.1299999999999999</v>
      </c>
      <c r="M958" t="s">
        <v>159</v>
      </c>
      <c r="N958" t="s">
        <v>162</v>
      </c>
    </row>
    <row r="959" spans="1:14" x14ac:dyDescent="0.3">
      <c r="A959" t="s">
        <v>159</v>
      </c>
      <c r="B959">
        <f>VLOOKUP(M959,Sheet9!$I$1:$J$17,2,FALSE)</f>
        <v>11</v>
      </c>
      <c r="C959">
        <f>VLOOKUP(N959,Sheet9!$M$1:$N$2,2,FALSE)</f>
        <v>1</v>
      </c>
      <c r="D959">
        <v>32</v>
      </c>
      <c r="E959" t="s">
        <v>95</v>
      </c>
      <c r="F959">
        <v>70</v>
      </c>
      <c r="H959">
        <v>6</v>
      </c>
      <c r="I959">
        <v>0.6</v>
      </c>
      <c r="J959">
        <v>3.6</v>
      </c>
      <c r="K959">
        <v>0.99</v>
      </c>
      <c r="L959">
        <v>1.83</v>
      </c>
      <c r="M959" t="s">
        <v>159</v>
      </c>
      <c r="N959" t="s">
        <v>162</v>
      </c>
    </row>
    <row r="960" spans="1:14" x14ac:dyDescent="0.3">
      <c r="A960" t="s">
        <v>159</v>
      </c>
      <c r="B960">
        <f>VLOOKUP(M960,Sheet9!$I$1:$J$17,2,FALSE)</f>
        <v>11</v>
      </c>
      <c r="C960">
        <f>VLOOKUP(N960,Sheet9!$M$1:$N$2,2,FALSE)</f>
        <v>1</v>
      </c>
      <c r="D960">
        <v>32</v>
      </c>
      <c r="E960" t="s">
        <v>95</v>
      </c>
      <c r="F960">
        <v>70</v>
      </c>
      <c r="H960">
        <v>8</v>
      </c>
      <c r="I960">
        <v>0.6</v>
      </c>
      <c r="J960">
        <v>4.8</v>
      </c>
      <c r="K960">
        <v>0.91</v>
      </c>
      <c r="L960">
        <v>1.68</v>
      </c>
      <c r="M960" t="s">
        <v>159</v>
      </c>
      <c r="N960" t="s">
        <v>162</v>
      </c>
    </row>
    <row r="961" spans="1:14" x14ac:dyDescent="0.3">
      <c r="A961" t="s">
        <v>159</v>
      </c>
      <c r="B961">
        <f>VLOOKUP(M961,Sheet9!$I$1:$J$17,2,FALSE)</f>
        <v>11</v>
      </c>
      <c r="C961">
        <f>VLOOKUP(N961,Sheet9!$M$1:$N$2,2,FALSE)</f>
        <v>1</v>
      </c>
      <c r="D961">
        <v>32</v>
      </c>
      <c r="E961" t="s">
        <v>167</v>
      </c>
      <c r="F961">
        <v>70</v>
      </c>
      <c r="H961">
        <v>8</v>
      </c>
      <c r="I961">
        <v>0.6</v>
      </c>
      <c r="J961">
        <v>4.8</v>
      </c>
      <c r="K961">
        <v>1.07</v>
      </c>
      <c r="L961">
        <v>1.97</v>
      </c>
      <c r="M961" t="s">
        <v>159</v>
      </c>
      <c r="N961" t="s">
        <v>162</v>
      </c>
    </row>
    <row r="962" spans="1:14" x14ac:dyDescent="0.3">
      <c r="A962" t="s">
        <v>159</v>
      </c>
      <c r="B962">
        <f>VLOOKUP(M962,Sheet9!$I$1:$J$17,2,FALSE)</f>
        <v>11</v>
      </c>
      <c r="C962">
        <f>VLOOKUP(N962,Sheet9!$M$1:$N$2,2,FALSE)</f>
        <v>1</v>
      </c>
      <c r="D962">
        <v>32</v>
      </c>
      <c r="E962" t="s">
        <v>95</v>
      </c>
      <c r="F962">
        <v>70</v>
      </c>
      <c r="H962">
        <v>1</v>
      </c>
      <c r="I962">
        <v>5</v>
      </c>
      <c r="J962">
        <v>5</v>
      </c>
      <c r="K962">
        <v>0.55000000000000004</v>
      </c>
      <c r="L962">
        <v>1.01</v>
      </c>
      <c r="M962" t="s">
        <v>159</v>
      </c>
      <c r="N962" t="s">
        <v>162</v>
      </c>
    </row>
    <row r="963" spans="1:14" x14ac:dyDescent="0.3">
      <c r="A963" t="s">
        <v>159</v>
      </c>
      <c r="B963">
        <f>VLOOKUP(M963,Sheet9!$I$1:$J$17,2,FALSE)</f>
        <v>11</v>
      </c>
      <c r="C963">
        <f>VLOOKUP(N963,Sheet9!$M$1:$N$2,2,FALSE)</f>
        <v>1</v>
      </c>
      <c r="D963">
        <v>32</v>
      </c>
      <c r="E963" t="s">
        <v>167</v>
      </c>
      <c r="F963">
        <v>70</v>
      </c>
      <c r="H963">
        <v>10</v>
      </c>
      <c r="I963">
        <v>0.6</v>
      </c>
      <c r="J963">
        <v>6</v>
      </c>
      <c r="K963">
        <v>0.74</v>
      </c>
      <c r="L963">
        <v>1.37</v>
      </c>
      <c r="M963" t="s">
        <v>159</v>
      </c>
      <c r="N963" t="s">
        <v>162</v>
      </c>
    </row>
    <row r="964" spans="1:14" x14ac:dyDescent="0.3">
      <c r="A964" t="s">
        <v>159</v>
      </c>
      <c r="B964">
        <f>VLOOKUP(M964,Sheet9!$I$1:$J$17,2,FALSE)</f>
        <v>11</v>
      </c>
      <c r="C964">
        <f>VLOOKUP(N964,Sheet9!$M$1:$N$2,2,FALSE)</f>
        <v>1</v>
      </c>
      <c r="D964">
        <v>32</v>
      </c>
      <c r="E964" t="s">
        <v>95</v>
      </c>
      <c r="F964">
        <v>70</v>
      </c>
      <c r="H964">
        <v>6</v>
      </c>
      <c r="I964">
        <v>1.2</v>
      </c>
      <c r="J964">
        <v>7.2</v>
      </c>
      <c r="K964">
        <v>0.79</v>
      </c>
      <c r="L964">
        <v>1.46</v>
      </c>
      <c r="M964" t="s">
        <v>159</v>
      </c>
      <c r="N964" t="s">
        <v>162</v>
      </c>
    </row>
    <row r="965" spans="1:14" x14ac:dyDescent="0.3">
      <c r="A965" t="s">
        <v>159</v>
      </c>
      <c r="B965">
        <f>VLOOKUP(M965,Sheet9!$I$1:$J$17,2,FALSE)</f>
        <v>11</v>
      </c>
      <c r="C965">
        <f>VLOOKUP(N965,Sheet9!$M$1:$N$2,2,FALSE)</f>
        <v>1</v>
      </c>
      <c r="D965">
        <v>32</v>
      </c>
      <c r="E965" t="s">
        <v>95</v>
      </c>
      <c r="F965">
        <v>70</v>
      </c>
      <c r="H965">
        <v>1</v>
      </c>
      <c r="I965">
        <v>10</v>
      </c>
      <c r="J965">
        <v>10</v>
      </c>
      <c r="K965">
        <v>0.55000000000000004</v>
      </c>
      <c r="L965">
        <v>1.01</v>
      </c>
      <c r="M965" t="s">
        <v>159</v>
      </c>
      <c r="N965" t="s">
        <v>162</v>
      </c>
    </row>
    <row r="966" spans="1:14" x14ac:dyDescent="0.3">
      <c r="A966" t="s">
        <v>159</v>
      </c>
      <c r="B966">
        <f>VLOOKUP(M966,Sheet9!$I$1:$J$17,2,FALSE)</f>
        <v>11</v>
      </c>
      <c r="C966">
        <f>VLOOKUP(N966,Sheet9!$M$1:$N$2,2,FALSE)</f>
        <v>1</v>
      </c>
      <c r="D966">
        <v>32</v>
      </c>
      <c r="E966" t="s">
        <v>167</v>
      </c>
      <c r="F966">
        <v>70</v>
      </c>
      <c r="H966">
        <v>20</v>
      </c>
      <c r="I966">
        <v>0.6</v>
      </c>
      <c r="J966">
        <v>12</v>
      </c>
      <c r="K966">
        <v>0.75</v>
      </c>
      <c r="L966">
        <v>1.4</v>
      </c>
      <c r="M966" t="s">
        <v>159</v>
      </c>
      <c r="N966" t="s">
        <v>162</v>
      </c>
    </row>
    <row r="967" spans="1:14" x14ac:dyDescent="0.3">
      <c r="A967" t="s">
        <v>159</v>
      </c>
      <c r="B967">
        <f>VLOOKUP(M967,Sheet9!$I$1:$J$17,2,FALSE)</f>
        <v>11</v>
      </c>
      <c r="C967">
        <f>VLOOKUP(N967,Sheet9!$M$1:$N$2,2,FALSE)</f>
        <v>1</v>
      </c>
      <c r="D967">
        <v>32</v>
      </c>
      <c r="E967" t="s">
        <v>95</v>
      </c>
      <c r="F967">
        <v>70</v>
      </c>
      <c r="H967">
        <v>12</v>
      </c>
      <c r="I967">
        <v>1.2</v>
      </c>
      <c r="J967">
        <v>14.4</v>
      </c>
      <c r="K967">
        <v>0.7</v>
      </c>
      <c r="L967">
        <v>1.3</v>
      </c>
      <c r="M967" t="s">
        <v>159</v>
      </c>
      <c r="N967" t="s">
        <v>162</v>
      </c>
    </row>
    <row r="968" spans="1:14" x14ac:dyDescent="0.3">
      <c r="A968" t="s">
        <v>159</v>
      </c>
      <c r="B968">
        <f>VLOOKUP(M968,Sheet9!$I$1:$J$17,2,FALSE)</f>
        <v>11</v>
      </c>
      <c r="C968">
        <f>VLOOKUP(N968,Sheet9!$M$1:$N$2,2,FALSE)</f>
        <v>1</v>
      </c>
      <c r="D968">
        <v>32</v>
      </c>
      <c r="E968" t="s">
        <v>95</v>
      </c>
      <c r="F968">
        <v>70</v>
      </c>
      <c r="H968">
        <v>64</v>
      </c>
      <c r="I968">
        <v>0.6</v>
      </c>
      <c r="J968">
        <v>19.2</v>
      </c>
      <c r="K968">
        <v>0.61</v>
      </c>
      <c r="L968">
        <v>1.1399999999999999</v>
      </c>
      <c r="M968" t="s">
        <v>159</v>
      </c>
      <c r="N968" t="s">
        <v>162</v>
      </c>
    </row>
    <row r="969" spans="1:14" x14ac:dyDescent="0.3">
      <c r="A969" t="s">
        <v>159</v>
      </c>
      <c r="B969">
        <f>VLOOKUP(M969,Sheet9!$I$1:$J$17,2,FALSE)</f>
        <v>11</v>
      </c>
      <c r="C969">
        <f>VLOOKUP(N969,Sheet9!$M$1:$N$2,2,FALSE)</f>
        <v>1</v>
      </c>
      <c r="D969">
        <v>32</v>
      </c>
      <c r="E969" t="s">
        <v>167</v>
      </c>
      <c r="F969">
        <v>70</v>
      </c>
      <c r="H969">
        <v>64</v>
      </c>
      <c r="I969">
        <v>0.6</v>
      </c>
      <c r="J969">
        <v>38.4</v>
      </c>
      <c r="K969">
        <v>0.62</v>
      </c>
      <c r="L969">
        <v>1.1499999999999999</v>
      </c>
      <c r="M969" t="s">
        <v>159</v>
      </c>
      <c r="N969" t="s">
        <v>162</v>
      </c>
    </row>
    <row r="970" spans="1:14" x14ac:dyDescent="0.3">
      <c r="A970" t="s">
        <v>159</v>
      </c>
      <c r="B970">
        <f>VLOOKUP(M970,Sheet9!$I$1:$J$17,2,FALSE)</f>
        <v>11</v>
      </c>
      <c r="C970">
        <f>VLOOKUP(N970,Sheet9!$M$1:$N$2,2,FALSE)</f>
        <v>1</v>
      </c>
      <c r="D970">
        <v>32</v>
      </c>
      <c r="E970" t="s">
        <v>95</v>
      </c>
      <c r="F970">
        <v>80</v>
      </c>
      <c r="H970">
        <v>2</v>
      </c>
      <c r="I970">
        <v>1</v>
      </c>
      <c r="J970">
        <v>2</v>
      </c>
      <c r="K970">
        <v>1.07</v>
      </c>
      <c r="L970">
        <v>1.86</v>
      </c>
      <c r="M970" t="s">
        <v>159</v>
      </c>
      <c r="N970" t="s">
        <v>162</v>
      </c>
    </row>
    <row r="971" spans="1:14" x14ac:dyDescent="0.3">
      <c r="A971" t="s">
        <v>159</v>
      </c>
      <c r="B971">
        <f>VLOOKUP(M971,Sheet9!$I$1:$J$17,2,FALSE)</f>
        <v>11</v>
      </c>
      <c r="C971">
        <f>VLOOKUP(N971,Sheet9!$M$1:$N$2,2,FALSE)</f>
        <v>1</v>
      </c>
      <c r="D971">
        <v>32</v>
      </c>
      <c r="E971" t="s">
        <v>95</v>
      </c>
      <c r="F971">
        <v>80</v>
      </c>
      <c r="H971">
        <v>6</v>
      </c>
      <c r="I971">
        <v>0.6</v>
      </c>
      <c r="J971">
        <v>3.6</v>
      </c>
      <c r="K971">
        <v>1.73</v>
      </c>
      <c r="L971">
        <v>3.01</v>
      </c>
      <c r="M971" t="s">
        <v>159</v>
      </c>
      <c r="N971" t="s">
        <v>162</v>
      </c>
    </row>
    <row r="972" spans="1:14" x14ac:dyDescent="0.3">
      <c r="A972" t="s">
        <v>159</v>
      </c>
      <c r="B972">
        <f>VLOOKUP(M972,Sheet9!$I$1:$J$17,2,FALSE)</f>
        <v>11</v>
      </c>
      <c r="C972">
        <f>VLOOKUP(N972,Sheet9!$M$1:$N$2,2,FALSE)</f>
        <v>1</v>
      </c>
      <c r="D972">
        <v>32</v>
      </c>
      <c r="E972" t="s">
        <v>95</v>
      </c>
      <c r="F972">
        <v>80</v>
      </c>
      <c r="H972">
        <v>8</v>
      </c>
      <c r="I972">
        <v>0.6</v>
      </c>
      <c r="J972">
        <v>4.8</v>
      </c>
      <c r="K972">
        <v>1.59</v>
      </c>
      <c r="L972">
        <v>2.77</v>
      </c>
      <c r="M972" t="s">
        <v>159</v>
      </c>
      <c r="N972" t="s">
        <v>162</v>
      </c>
    </row>
    <row r="973" spans="1:14" x14ac:dyDescent="0.3">
      <c r="A973" t="s">
        <v>159</v>
      </c>
      <c r="B973">
        <f>VLOOKUP(M973,Sheet9!$I$1:$J$17,2,FALSE)</f>
        <v>11</v>
      </c>
      <c r="C973">
        <f>VLOOKUP(N973,Sheet9!$M$1:$N$2,2,FALSE)</f>
        <v>1</v>
      </c>
      <c r="D973">
        <v>32</v>
      </c>
      <c r="E973" t="s">
        <v>167</v>
      </c>
      <c r="F973">
        <v>80</v>
      </c>
      <c r="H973">
        <v>8</v>
      </c>
      <c r="I973">
        <v>0.6</v>
      </c>
      <c r="J973">
        <v>4.8</v>
      </c>
      <c r="K973">
        <v>1.83</v>
      </c>
      <c r="L973">
        <v>3.18</v>
      </c>
      <c r="M973" t="s">
        <v>159</v>
      </c>
      <c r="N973" t="s">
        <v>162</v>
      </c>
    </row>
    <row r="974" spans="1:14" x14ac:dyDescent="0.3">
      <c r="A974" t="s">
        <v>159</v>
      </c>
      <c r="B974">
        <f>VLOOKUP(M974,Sheet9!$I$1:$J$17,2,FALSE)</f>
        <v>11</v>
      </c>
      <c r="C974">
        <f>VLOOKUP(N974,Sheet9!$M$1:$N$2,2,FALSE)</f>
        <v>1</v>
      </c>
      <c r="D974">
        <v>32</v>
      </c>
      <c r="E974" t="s">
        <v>95</v>
      </c>
      <c r="F974">
        <v>80</v>
      </c>
      <c r="H974">
        <v>1</v>
      </c>
      <c r="I974">
        <v>5</v>
      </c>
      <c r="J974">
        <v>5</v>
      </c>
      <c r="K974">
        <v>0.96</v>
      </c>
      <c r="L974">
        <v>1.67</v>
      </c>
      <c r="M974" t="s">
        <v>159</v>
      </c>
      <c r="N974" t="s">
        <v>162</v>
      </c>
    </row>
    <row r="975" spans="1:14" x14ac:dyDescent="0.3">
      <c r="A975" t="s">
        <v>159</v>
      </c>
      <c r="B975">
        <f>VLOOKUP(M975,Sheet9!$I$1:$J$17,2,FALSE)</f>
        <v>11</v>
      </c>
      <c r="C975">
        <f>VLOOKUP(N975,Sheet9!$M$1:$N$2,2,FALSE)</f>
        <v>1</v>
      </c>
      <c r="D975">
        <v>32</v>
      </c>
      <c r="E975" t="s">
        <v>167</v>
      </c>
      <c r="F975">
        <v>80</v>
      </c>
      <c r="H975">
        <v>10</v>
      </c>
      <c r="I975">
        <v>0.6</v>
      </c>
      <c r="J975">
        <v>6</v>
      </c>
      <c r="K975">
        <v>1.27</v>
      </c>
      <c r="L975">
        <v>2.21</v>
      </c>
      <c r="M975" t="s">
        <v>159</v>
      </c>
      <c r="N975" t="s">
        <v>162</v>
      </c>
    </row>
    <row r="976" spans="1:14" x14ac:dyDescent="0.3">
      <c r="A976" t="s">
        <v>159</v>
      </c>
      <c r="B976">
        <f>VLOOKUP(M976,Sheet9!$I$1:$J$17,2,FALSE)</f>
        <v>11</v>
      </c>
      <c r="C976">
        <f>VLOOKUP(N976,Sheet9!$M$1:$N$2,2,FALSE)</f>
        <v>1</v>
      </c>
      <c r="D976">
        <v>32</v>
      </c>
      <c r="E976" t="s">
        <v>95</v>
      </c>
      <c r="F976">
        <v>80</v>
      </c>
      <c r="H976">
        <v>6</v>
      </c>
      <c r="I976">
        <v>1.2</v>
      </c>
      <c r="J976">
        <v>7.2</v>
      </c>
      <c r="K976">
        <v>1.38</v>
      </c>
      <c r="L976">
        <v>2.4</v>
      </c>
      <c r="M976" t="s">
        <v>159</v>
      </c>
      <c r="N976" t="s">
        <v>162</v>
      </c>
    </row>
    <row r="977" spans="1:14" x14ac:dyDescent="0.3">
      <c r="A977" t="s">
        <v>159</v>
      </c>
      <c r="B977">
        <f>VLOOKUP(M977,Sheet9!$I$1:$J$17,2,FALSE)</f>
        <v>11</v>
      </c>
      <c r="C977">
        <f>VLOOKUP(N977,Sheet9!$M$1:$N$2,2,FALSE)</f>
        <v>1</v>
      </c>
      <c r="D977">
        <v>32</v>
      </c>
      <c r="E977" t="s">
        <v>95</v>
      </c>
      <c r="F977">
        <v>80</v>
      </c>
      <c r="H977">
        <v>1</v>
      </c>
      <c r="I977">
        <v>10</v>
      </c>
      <c r="J977">
        <v>10</v>
      </c>
      <c r="K977">
        <v>0.96</v>
      </c>
      <c r="L977">
        <v>1.67</v>
      </c>
      <c r="M977" t="s">
        <v>159</v>
      </c>
      <c r="N977" t="s">
        <v>162</v>
      </c>
    </row>
    <row r="978" spans="1:14" x14ac:dyDescent="0.3">
      <c r="A978" t="s">
        <v>159</v>
      </c>
      <c r="B978">
        <f>VLOOKUP(M978,Sheet9!$I$1:$J$17,2,FALSE)</f>
        <v>11</v>
      </c>
      <c r="C978">
        <f>VLOOKUP(N978,Sheet9!$M$1:$N$2,2,FALSE)</f>
        <v>1</v>
      </c>
      <c r="D978">
        <v>32</v>
      </c>
      <c r="E978" t="s">
        <v>167</v>
      </c>
      <c r="F978">
        <v>80</v>
      </c>
      <c r="H978">
        <v>20</v>
      </c>
      <c r="I978">
        <v>0.6</v>
      </c>
      <c r="J978">
        <v>12</v>
      </c>
      <c r="K978">
        <v>1.29</v>
      </c>
      <c r="L978">
        <v>2.25</v>
      </c>
      <c r="M978" t="s">
        <v>159</v>
      </c>
      <c r="N978" t="s">
        <v>162</v>
      </c>
    </row>
    <row r="979" spans="1:14" x14ac:dyDescent="0.3">
      <c r="A979" t="s">
        <v>159</v>
      </c>
      <c r="B979">
        <f>VLOOKUP(M979,Sheet9!$I$1:$J$17,2,FALSE)</f>
        <v>11</v>
      </c>
      <c r="C979">
        <f>VLOOKUP(N979,Sheet9!$M$1:$N$2,2,FALSE)</f>
        <v>1</v>
      </c>
      <c r="D979">
        <v>32</v>
      </c>
      <c r="E979" t="s">
        <v>95</v>
      </c>
      <c r="F979">
        <v>80</v>
      </c>
      <c r="H979">
        <v>12</v>
      </c>
      <c r="I979">
        <v>1.2</v>
      </c>
      <c r="J979">
        <v>14.4</v>
      </c>
      <c r="K979">
        <v>1.23</v>
      </c>
      <c r="L979">
        <v>2.14</v>
      </c>
      <c r="M979" t="s">
        <v>159</v>
      </c>
      <c r="N979" t="s">
        <v>162</v>
      </c>
    </row>
    <row r="980" spans="1:14" x14ac:dyDescent="0.3">
      <c r="A980" t="s">
        <v>159</v>
      </c>
      <c r="B980">
        <f>VLOOKUP(M980,Sheet9!$I$1:$J$17,2,FALSE)</f>
        <v>11</v>
      </c>
      <c r="C980">
        <f>VLOOKUP(N980,Sheet9!$M$1:$N$2,2,FALSE)</f>
        <v>1</v>
      </c>
      <c r="D980">
        <v>32</v>
      </c>
      <c r="E980" t="s">
        <v>95</v>
      </c>
      <c r="F980">
        <v>80</v>
      </c>
      <c r="H980">
        <v>64</v>
      </c>
      <c r="I980">
        <v>0.6</v>
      </c>
      <c r="J980">
        <v>19.2</v>
      </c>
      <c r="K980">
        <v>1.08</v>
      </c>
      <c r="L980">
        <v>1.87</v>
      </c>
      <c r="M980" t="s">
        <v>159</v>
      </c>
      <c r="N980" t="s">
        <v>162</v>
      </c>
    </row>
    <row r="981" spans="1:14" x14ac:dyDescent="0.3">
      <c r="A981" t="s">
        <v>159</v>
      </c>
      <c r="B981">
        <f>VLOOKUP(M981,Sheet9!$I$1:$J$17,2,FALSE)</f>
        <v>11</v>
      </c>
      <c r="C981">
        <f>VLOOKUP(N981,Sheet9!$M$1:$N$2,2,FALSE)</f>
        <v>1</v>
      </c>
      <c r="D981">
        <v>32</v>
      </c>
      <c r="E981" t="s">
        <v>167</v>
      </c>
      <c r="F981">
        <v>80</v>
      </c>
      <c r="H981">
        <v>64</v>
      </c>
      <c r="I981">
        <v>0.6</v>
      </c>
      <c r="J981">
        <v>38.4</v>
      </c>
      <c r="K981">
        <v>1.07</v>
      </c>
      <c r="L981">
        <v>1.86</v>
      </c>
      <c r="M981" t="s">
        <v>159</v>
      </c>
      <c r="N981" t="s">
        <v>162</v>
      </c>
    </row>
    <row r="982" spans="1:14" x14ac:dyDescent="0.3">
      <c r="A982" t="s">
        <v>159</v>
      </c>
      <c r="B982">
        <f>VLOOKUP(M982,Sheet9!$I$1:$J$17,2,FALSE)</f>
        <v>11</v>
      </c>
      <c r="C982">
        <f>VLOOKUP(N982,Sheet9!$M$1:$N$2,2,FALSE)</f>
        <v>1</v>
      </c>
      <c r="D982">
        <v>32</v>
      </c>
      <c r="E982" t="s">
        <v>95</v>
      </c>
      <c r="F982">
        <v>100</v>
      </c>
      <c r="H982">
        <v>2</v>
      </c>
      <c r="I982">
        <v>1</v>
      </c>
      <c r="J982">
        <v>2</v>
      </c>
      <c r="K982">
        <v>2.4300000000000002</v>
      </c>
      <c r="L982">
        <v>3.9</v>
      </c>
      <c r="M982" t="s">
        <v>159</v>
      </c>
      <c r="N982" t="s">
        <v>162</v>
      </c>
    </row>
    <row r="983" spans="1:14" x14ac:dyDescent="0.3">
      <c r="A983" t="s">
        <v>159</v>
      </c>
      <c r="B983">
        <f>VLOOKUP(M983,Sheet9!$I$1:$J$17,2,FALSE)</f>
        <v>11</v>
      </c>
      <c r="C983">
        <f>VLOOKUP(N983,Sheet9!$M$1:$N$2,2,FALSE)</f>
        <v>1</v>
      </c>
      <c r="D983">
        <v>32</v>
      </c>
      <c r="E983" t="s">
        <v>95</v>
      </c>
      <c r="F983">
        <v>100</v>
      </c>
      <c r="H983">
        <v>6</v>
      </c>
      <c r="I983">
        <v>0.6</v>
      </c>
      <c r="J983">
        <v>3.6</v>
      </c>
      <c r="K983">
        <v>3.94</v>
      </c>
      <c r="L983">
        <v>6.32</v>
      </c>
      <c r="M983" t="s">
        <v>159</v>
      </c>
      <c r="N983" t="s">
        <v>162</v>
      </c>
    </row>
    <row r="984" spans="1:14" x14ac:dyDescent="0.3">
      <c r="A984" t="s">
        <v>159</v>
      </c>
      <c r="B984">
        <f>VLOOKUP(M984,Sheet9!$I$1:$J$17,2,FALSE)</f>
        <v>11</v>
      </c>
      <c r="C984">
        <f>VLOOKUP(N984,Sheet9!$M$1:$N$2,2,FALSE)</f>
        <v>1</v>
      </c>
      <c r="D984">
        <v>32</v>
      </c>
      <c r="E984" t="s">
        <v>95</v>
      </c>
      <c r="F984">
        <v>100</v>
      </c>
      <c r="H984">
        <v>8</v>
      </c>
      <c r="I984">
        <v>0.6</v>
      </c>
      <c r="J984">
        <v>4.8</v>
      </c>
      <c r="K984">
        <v>3.62</v>
      </c>
      <c r="L984">
        <v>5.81</v>
      </c>
      <c r="M984" t="s">
        <v>159</v>
      </c>
      <c r="N984" t="s">
        <v>162</v>
      </c>
    </row>
    <row r="985" spans="1:14" x14ac:dyDescent="0.3">
      <c r="A985" t="s">
        <v>159</v>
      </c>
      <c r="B985">
        <f>VLOOKUP(M985,Sheet9!$I$1:$J$17,2,FALSE)</f>
        <v>11</v>
      </c>
      <c r="C985">
        <f>VLOOKUP(N985,Sheet9!$M$1:$N$2,2,FALSE)</f>
        <v>1</v>
      </c>
      <c r="D985">
        <v>32</v>
      </c>
      <c r="E985" t="s">
        <v>167</v>
      </c>
      <c r="F985">
        <v>100</v>
      </c>
      <c r="H985">
        <v>8</v>
      </c>
      <c r="I985">
        <v>0.6</v>
      </c>
      <c r="J985">
        <v>4.8</v>
      </c>
      <c r="K985">
        <v>4.1900000000000004</v>
      </c>
      <c r="L985">
        <v>6.75</v>
      </c>
      <c r="M985" t="s">
        <v>159</v>
      </c>
      <c r="N985" t="s">
        <v>162</v>
      </c>
    </row>
    <row r="986" spans="1:14" x14ac:dyDescent="0.3">
      <c r="A986" t="s">
        <v>159</v>
      </c>
      <c r="B986">
        <f>VLOOKUP(M986,Sheet9!$I$1:$J$17,2,FALSE)</f>
        <v>11</v>
      </c>
      <c r="C986">
        <f>VLOOKUP(N986,Sheet9!$M$1:$N$2,2,FALSE)</f>
        <v>1</v>
      </c>
      <c r="D986">
        <v>32</v>
      </c>
      <c r="E986" t="s">
        <v>95</v>
      </c>
      <c r="F986">
        <v>100</v>
      </c>
      <c r="H986">
        <v>1</v>
      </c>
      <c r="I986">
        <v>5</v>
      </c>
      <c r="J986">
        <v>5</v>
      </c>
      <c r="K986">
        <v>2.1800000000000002</v>
      </c>
      <c r="L986">
        <v>3.5</v>
      </c>
      <c r="M986" t="s">
        <v>159</v>
      </c>
      <c r="N986" t="s">
        <v>162</v>
      </c>
    </row>
    <row r="987" spans="1:14" x14ac:dyDescent="0.3">
      <c r="A987" t="s">
        <v>159</v>
      </c>
      <c r="B987">
        <f>VLOOKUP(M987,Sheet9!$I$1:$J$17,2,FALSE)</f>
        <v>11</v>
      </c>
      <c r="C987">
        <f>VLOOKUP(N987,Sheet9!$M$1:$N$2,2,FALSE)</f>
        <v>1</v>
      </c>
      <c r="D987">
        <v>32</v>
      </c>
      <c r="E987" t="s">
        <v>167</v>
      </c>
      <c r="F987">
        <v>100</v>
      </c>
      <c r="H987">
        <v>10</v>
      </c>
      <c r="I987">
        <v>0.6</v>
      </c>
      <c r="J987">
        <v>6</v>
      </c>
      <c r="K987">
        <v>2.91</v>
      </c>
      <c r="L987">
        <v>4.68</v>
      </c>
      <c r="M987" t="s">
        <v>159</v>
      </c>
      <c r="N987" t="s">
        <v>162</v>
      </c>
    </row>
    <row r="988" spans="1:14" x14ac:dyDescent="0.3">
      <c r="A988" t="s">
        <v>159</v>
      </c>
      <c r="B988">
        <f>VLOOKUP(M988,Sheet9!$I$1:$J$17,2,FALSE)</f>
        <v>11</v>
      </c>
      <c r="C988">
        <f>VLOOKUP(N988,Sheet9!$M$1:$N$2,2,FALSE)</f>
        <v>1</v>
      </c>
      <c r="D988">
        <v>32</v>
      </c>
      <c r="E988" t="s">
        <v>95</v>
      </c>
      <c r="F988">
        <v>100</v>
      </c>
      <c r="H988">
        <v>6</v>
      </c>
      <c r="I988">
        <v>1.2</v>
      </c>
      <c r="J988">
        <v>7.2</v>
      </c>
      <c r="K988">
        <v>3.14</v>
      </c>
      <c r="L988">
        <v>5.03</v>
      </c>
      <c r="M988" t="s">
        <v>159</v>
      </c>
      <c r="N988" t="s">
        <v>162</v>
      </c>
    </row>
    <row r="989" spans="1:14" x14ac:dyDescent="0.3">
      <c r="A989" t="s">
        <v>159</v>
      </c>
      <c r="B989">
        <f>VLOOKUP(M989,Sheet9!$I$1:$J$17,2,FALSE)</f>
        <v>11</v>
      </c>
      <c r="C989">
        <f>VLOOKUP(N989,Sheet9!$M$1:$N$2,2,FALSE)</f>
        <v>1</v>
      </c>
      <c r="D989">
        <v>32</v>
      </c>
      <c r="E989" t="s">
        <v>95</v>
      </c>
      <c r="F989">
        <v>100</v>
      </c>
      <c r="H989">
        <v>1</v>
      </c>
      <c r="I989">
        <v>10</v>
      </c>
      <c r="J989">
        <v>10</v>
      </c>
      <c r="K989">
        <v>2.1800000000000002</v>
      </c>
      <c r="L989">
        <v>3.5</v>
      </c>
      <c r="M989" t="s">
        <v>159</v>
      </c>
      <c r="N989" t="s">
        <v>162</v>
      </c>
    </row>
    <row r="990" spans="1:14" x14ac:dyDescent="0.3">
      <c r="A990" t="s">
        <v>159</v>
      </c>
      <c r="B990">
        <f>VLOOKUP(M990,Sheet9!$I$1:$J$17,2,FALSE)</f>
        <v>11</v>
      </c>
      <c r="C990">
        <f>VLOOKUP(N990,Sheet9!$M$1:$N$2,2,FALSE)</f>
        <v>1</v>
      </c>
      <c r="D990">
        <v>32</v>
      </c>
      <c r="E990" t="s">
        <v>167</v>
      </c>
      <c r="F990">
        <v>100</v>
      </c>
      <c r="H990">
        <v>20</v>
      </c>
      <c r="I990">
        <v>0.6</v>
      </c>
      <c r="J990">
        <v>12</v>
      </c>
      <c r="K990">
        <v>2.96</v>
      </c>
      <c r="L990">
        <v>4.7699999999999996</v>
      </c>
      <c r="M990" t="s">
        <v>159</v>
      </c>
      <c r="N990" t="s">
        <v>162</v>
      </c>
    </row>
    <row r="991" spans="1:14" x14ac:dyDescent="0.3">
      <c r="A991" t="s">
        <v>159</v>
      </c>
      <c r="B991">
        <f>VLOOKUP(M991,Sheet9!$I$1:$J$17,2,FALSE)</f>
        <v>11</v>
      </c>
      <c r="C991">
        <f>VLOOKUP(N991,Sheet9!$M$1:$N$2,2,FALSE)</f>
        <v>1</v>
      </c>
      <c r="D991">
        <v>32</v>
      </c>
      <c r="E991" t="s">
        <v>95</v>
      </c>
      <c r="F991">
        <v>100</v>
      </c>
      <c r="H991">
        <v>12</v>
      </c>
      <c r="I991">
        <v>1.2</v>
      </c>
      <c r="J991">
        <v>14.4</v>
      </c>
      <c r="K991">
        <v>2.8</v>
      </c>
      <c r="L991">
        <v>4.49</v>
      </c>
      <c r="M991" t="s">
        <v>159</v>
      </c>
      <c r="N991" t="s">
        <v>162</v>
      </c>
    </row>
    <row r="992" spans="1:14" x14ac:dyDescent="0.3">
      <c r="A992" t="s">
        <v>159</v>
      </c>
      <c r="B992">
        <f>VLOOKUP(M992,Sheet9!$I$1:$J$17,2,FALSE)</f>
        <v>11</v>
      </c>
      <c r="C992">
        <f>VLOOKUP(N992,Sheet9!$M$1:$N$2,2,FALSE)</f>
        <v>1</v>
      </c>
      <c r="D992">
        <v>32</v>
      </c>
      <c r="E992" t="s">
        <v>95</v>
      </c>
      <c r="F992">
        <v>100</v>
      </c>
      <c r="H992">
        <v>64</v>
      </c>
      <c r="I992">
        <v>0.6</v>
      </c>
      <c r="J992">
        <v>19.2</v>
      </c>
      <c r="K992">
        <v>2.44</v>
      </c>
      <c r="L992">
        <v>3.92</v>
      </c>
      <c r="M992" t="s">
        <v>159</v>
      </c>
      <c r="N992" t="s">
        <v>162</v>
      </c>
    </row>
    <row r="993" spans="1:14" x14ac:dyDescent="0.3">
      <c r="A993" t="s">
        <v>159</v>
      </c>
      <c r="B993">
        <f>VLOOKUP(M993,Sheet9!$I$1:$J$17,2,FALSE)</f>
        <v>11</v>
      </c>
      <c r="C993">
        <f>VLOOKUP(N993,Sheet9!$M$1:$N$2,2,FALSE)</f>
        <v>1</v>
      </c>
      <c r="D993">
        <v>32</v>
      </c>
      <c r="E993" t="s">
        <v>167</v>
      </c>
      <c r="F993">
        <v>100</v>
      </c>
      <c r="H993">
        <v>64</v>
      </c>
      <c r="I993">
        <v>0.6</v>
      </c>
      <c r="J993">
        <v>38.4</v>
      </c>
      <c r="K993">
        <v>2.4500000000000002</v>
      </c>
      <c r="L993">
        <v>3.94</v>
      </c>
      <c r="M993" t="s">
        <v>159</v>
      </c>
      <c r="N993" t="s">
        <v>162</v>
      </c>
    </row>
    <row r="994" spans="1:14" x14ac:dyDescent="0.3">
      <c r="A994" t="s">
        <v>159</v>
      </c>
      <c r="B994">
        <f>VLOOKUP(M994,Sheet9!$I$1:$J$17,2,FALSE)</f>
        <v>11</v>
      </c>
      <c r="C994">
        <f>VLOOKUP(N994,Sheet9!$M$1:$N$2,2,FALSE)</f>
        <v>1</v>
      </c>
      <c r="D994">
        <v>32</v>
      </c>
      <c r="E994" t="s">
        <v>95</v>
      </c>
      <c r="F994">
        <v>120</v>
      </c>
      <c r="H994">
        <v>2</v>
      </c>
      <c r="I994">
        <v>1</v>
      </c>
      <c r="J994">
        <v>2</v>
      </c>
      <c r="K994">
        <v>4.28</v>
      </c>
      <c r="L994">
        <v>6.61</v>
      </c>
      <c r="M994" t="s">
        <v>159</v>
      </c>
      <c r="N994" t="s">
        <v>162</v>
      </c>
    </row>
    <row r="995" spans="1:14" x14ac:dyDescent="0.3">
      <c r="A995" t="s">
        <v>159</v>
      </c>
      <c r="B995">
        <f>VLOOKUP(M995,Sheet9!$I$1:$J$17,2,FALSE)</f>
        <v>11</v>
      </c>
      <c r="C995">
        <f>VLOOKUP(N995,Sheet9!$M$1:$N$2,2,FALSE)</f>
        <v>1</v>
      </c>
      <c r="D995">
        <v>32</v>
      </c>
      <c r="E995" t="s">
        <v>95</v>
      </c>
      <c r="F995">
        <v>120</v>
      </c>
      <c r="H995">
        <v>6</v>
      </c>
      <c r="I995">
        <v>0.6</v>
      </c>
      <c r="J995">
        <v>3.6</v>
      </c>
      <c r="K995">
        <v>6.93</v>
      </c>
      <c r="L995">
        <v>10.7</v>
      </c>
      <c r="M995" t="s">
        <v>159</v>
      </c>
      <c r="N995" t="s">
        <v>162</v>
      </c>
    </row>
    <row r="996" spans="1:14" x14ac:dyDescent="0.3">
      <c r="A996" t="s">
        <v>159</v>
      </c>
      <c r="B996">
        <f>VLOOKUP(M996,Sheet9!$I$1:$J$17,2,FALSE)</f>
        <v>11</v>
      </c>
      <c r="C996">
        <f>VLOOKUP(N996,Sheet9!$M$1:$N$2,2,FALSE)</f>
        <v>1</v>
      </c>
      <c r="D996">
        <v>32</v>
      </c>
      <c r="E996" t="s">
        <v>95</v>
      </c>
      <c r="F996">
        <v>120</v>
      </c>
      <c r="H996">
        <v>8</v>
      </c>
      <c r="I996">
        <v>0.6</v>
      </c>
      <c r="J996">
        <v>4.8</v>
      </c>
      <c r="K996">
        <v>6.37</v>
      </c>
      <c r="L996">
        <v>9.84</v>
      </c>
      <c r="M996" t="s">
        <v>159</v>
      </c>
      <c r="N996" t="s">
        <v>162</v>
      </c>
    </row>
    <row r="997" spans="1:14" x14ac:dyDescent="0.3">
      <c r="A997" t="s">
        <v>159</v>
      </c>
      <c r="B997">
        <f>VLOOKUP(M997,Sheet9!$I$1:$J$17,2,FALSE)</f>
        <v>11</v>
      </c>
      <c r="C997">
        <f>VLOOKUP(N997,Sheet9!$M$1:$N$2,2,FALSE)</f>
        <v>1</v>
      </c>
      <c r="D997">
        <v>32</v>
      </c>
      <c r="E997" t="s">
        <v>167</v>
      </c>
      <c r="F997">
        <v>120</v>
      </c>
      <c r="H997">
        <v>8</v>
      </c>
      <c r="I997">
        <v>0.6</v>
      </c>
      <c r="J997">
        <v>4.8</v>
      </c>
      <c r="K997">
        <v>7.5</v>
      </c>
      <c r="L997">
        <v>11.55</v>
      </c>
      <c r="M997" t="s">
        <v>159</v>
      </c>
      <c r="N997" t="s">
        <v>162</v>
      </c>
    </row>
    <row r="998" spans="1:14" x14ac:dyDescent="0.3">
      <c r="A998" t="s">
        <v>159</v>
      </c>
      <c r="B998">
        <f>VLOOKUP(M998,Sheet9!$I$1:$J$17,2,FALSE)</f>
        <v>11</v>
      </c>
      <c r="C998">
        <f>VLOOKUP(N998,Sheet9!$M$1:$N$2,2,FALSE)</f>
        <v>1</v>
      </c>
      <c r="D998">
        <v>32</v>
      </c>
      <c r="E998" t="s">
        <v>95</v>
      </c>
      <c r="F998">
        <v>120</v>
      </c>
      <c r="H998">
        <v>1</v>
      </c>
      <c r="I998">
        <v>5</v>
      </c>
      <c r="J998">
        <v>5</v>
      </c>
      <c r="K998">
        <v>3.84</v>
      </c>
      <c r="L998">
        <v>5.93</v>
      </c>
      <c r="M998" t="s">
        <v>159</v>
      </c>
      <c r="N998" t="s">
        <v>162</v>
      </c>
    </row>
    <row r="999" spans="1:14" x14ac:dyDescent="0.3">
      <c r="A999" t="s">
        <v>159</v>
      </c>
      <c r="B999">
        <f>VLOOKUP(M999,Sheet9!$I$1:$J$17,2,FALSE)</f>
        <v>11</v>
      </c>
      <c r="C999">
        <f>VLOOKUP(N999,Sheet9!$M$1:$N$2,2,FALSE)</f>
        <v>1</v>
      </c>
      <c r="D999">
        <v>32</v>
      </c>
      <c r="E999" t="s">
        <v>167</v>
      </c>
      <c r="F999">
        <v>120</v>
      </c>
      <c r="H999">
        <v>10</v>
      </c>
      <c r="I999">
        <v>0.6</v>
      </c>
      <c r="J999">
        <v>6</v>
      </c>
      <c r="K999">
        <v>5</v>
      </c>
      <c r="L999">
        <v>8.01</v>
      </c>
      <c r="M999" t="s">
        <v>159</v>
      </c>
      <c r="N999" t="s">
        <v>162</v>
      </c>
    </row>
    <row r="1000" spans="1:14" x14ac:dyDescent="0.3">
      <c r="A1000" t="s">
        <v>159</v>
      </c>
      <c r="B1000">
        <f>VLOOKUP(M1000,Sheet9!$I$1:$J$17,2,FALSE)</f>
        <v>11</v>
      </c>
      <c r="C1000">
        <f>VLOOKUP(N1000,Sheet9!$M$1:$N$2,2,FALSE)</f>
        <v>1</v>
      </c>
      <c r="D1000">
        <v>32</v>
      </c>
      <c r="E1000" t="s">
        <v>95</v>
      </c>
      <c r="F1000">
        <v>120</v>
      </c>
      <c r="H1000">
        <v>6</v>
      </c>
      <c r="I1000">
        <v>1.2</v>
      </c>
      <c r="J1000">
        <v>7.2</v>
      </c>
      <c r="K1000">
        <v>5.52</v>
      </c>
      <c r="L1000">
        <v>8.5299999999999994</v>
      </c>
      <c r="M1000" t="s">
        <v>159</v>
      </c>
      <c r="N1000" t="s">
        <v>162</v>
      </c>
    </row>
    <row r="1001" spans="1:14" x14ac:dyDescent="0.3">
      <c r="A1001" t="s">
        <v>159</v>
      </c>
      <c r="B1001">
        <f>VLOOKUP(M1001,Sheet9!$I$1:$J$17,2,FALSE)</f>
        <v>11</v>
      </c>
      <c r="C1001">
        <f>VLOOKUP(N1001,Sheet9!$M$1:$N$2,2,FALSE)</f>
        <v>1</v>
      </c>
      <c r="D1001">
        <v>32</v>
      </c>
      <c r="E1001" t="s">
        <v>95</v>
      </c>
      <c r="F1001">
        <v>120</v>
      </c>
      <c r="H1001">
        <v>1</v>
      </c>
      <c r="I1001">
        <v>10</v>
      </c>
      <c r="J1001">
        <v>10</v>
      </c>
      <c r="K1001">
        <v>3.84</v>
      </c>
      <c r="L1001">
        <v>5.93</v>
      </c>
      <c r="M1001" t="s">
        <v>159</v>
      </c>
      <c r="N1001" t="s">
        <v>162</v>
      </c>
    </row>
    <row r="1002" spans="1:14" x14ac:dyDescent="0.3">
      <c r="A1002" t="s">
        <v>159</v>
      </c>
      <c r="B1002">
        <f>VLOOKUP(M1002,Sheet9!$I$1:$J$17,2,FALSE)</f>
        <v>11</v>
      </c>
      <c r="C1002">
        <f>VLOOKUP(N1002,Sheet9!$M$1:$N$2,2,FALSE)</f>
        <v>1</v>
      </c>
      <c r="D1002">
        <v>32</v>
      </c>
      <c r="E1002" t="s">
        <v>167</v>
      </c>
      <c r="F1002">
        <v>120</v>
      </c>
      <c r="H1002">
        <v>20</v>
      </c>
      <c r="I1002">
        <v>0.6</v>
      </c>
      <c r="J1002">
        <v>12</v>
      </c>
      <c r="K1002">
        <v>5.3</v>
      </c>
      <c r="L1002">
        <v>8.16</v>
      </c>
      <c r="M1002" t="s">
        <v>159</v>
      </c>
      <c r="N1002" t="s">
        <v>162</v>
      </c>
    </row>
    <row r="1003" spans="1:14" x14ac:dyDescent="0.3">
      <c r="A1003" t="s">
        <v>159</v>
      </c>
      <c r="B1003">
        <f>VLOOKUP(M1003,Sheet9!$I$1:$J$17,2,FALSE)</f>
        <v>11</v>
      </c>
      <c r="C1003">
        <f>VLOOKUP(N1003,Sheet9!$M$1:$N$2,2,FALSE)</f>
        <v>1</v>
      </c>
      <c r="D1003">
        <v>32</v>
      </c>
      <c r="E1003" t="s">
        <v>95</v>
      </c>
      <c r="F1003">
        <v>120</v>
      </c>
      <c r="H1003">
        <v>12</v>
      </c>
      <c r="I1003">
        <v>1.2</v>
      </c>
      <c r="J1003">
        <v>14.4</v>
      </c>
      <c r="K1003">
        <v>4.93</v>
      </c>
      <c r="L1003">
        <v>7.61</v>
      </c>
      <c r="M1003" t="s">
        <v>159</v>
      </c>
      <c r="N1003" t="s">
        <v>162</v>
      </c>
    </row>
    <row r="1004" spans="1:14" x14ac:dyDescent="0.3">
      <c r="A1004" t="s">
        <v>159</v>
      </c>
      <c r="B1004">
        <f>VLOOKUP(M1004,Sheet9!$I$1:$J$17,2,FALSE)</f>
        <v>11</v>
      </c>
      <c r="C1004">
        <f>VLOOKUP(N1004,Sheet9!$M$1:$N$2,2,FALSE)</f>
        <v>1</v>
      </c>
      <c r="D1004">
        <v>32</v>
      </c>
      <c r="E1004" t="s">
        <v>95</v>
      </c>
      <c r="F1004">
        <v>120</v>
      </c>
      <c r="H1004">
        <v>64</v>
      </c>
      <c r="I1004">
        <v>0.6</v>
      </c>
      <c r="J1004">
        <v>19.2</v>
      </c>
      <c r="K1004">
        <v>4.3</v>
      </c>
      <c r="L1004">
        <v>6.64</v>
      </c>
      <c r="M1004" t="s">
        <v>159</v>
      </c>
      <c r="N1004" t="s">
        <v>162</v>
      </c>
    </row>
    <row r="1005" spans="1:14" x14ac:dyDescent="0.3">
      <c r="A1005" t="s">
        <v>159</v>
      </c>
      <c r="B1005">
        <f>VLOOKUP(M1005,Sheet9!$I$1:$J$17,2,FALSE)</f>
        <v>11</v>
      </c>
      <c r="C1005">
        <f>VLOOKUP(N1005,Sheet9!$M$1:$N$2,2,FALSE)</f>
        <v>1</v>
      </c>
      <c r="D1005">
        <v>32</v>
      </c>
      <c r="E1005" t="s">
        <v>167</v>
      </c>
      <c r="F1005">
        <v>120</v>
      </c>
      <c r="H1005">
        <v>64</v>
      </c>
      <c r="I1005">
        <v>0.6</v>
      </c>
      <c r="J1005">
        <v>38.4</v>
      </c>
      <c r="K1005">
        <v>4.37</v>
      </c>
      <c r="L1005">
        <v>6.74</v>
      </c>
      <c r="M1005" t="s">
        <v>159</v>
      </c>
      <c r="N1005" t="s">
        <v>162</v>
      </c>
    </row>
    <row r="1006" spans="1:14" x14ac:dyDescent="0.3">
      <c r="A1006" t="s">
        <v>159</v>
      </c>
      <c r="B1006">
        <f>VLOOKUP(M1006,Sheet9!$I$1:$J$17,2,FALSE)</f>
        <v>11</v>
      </c>
      <c r="C1006">
        <f>VLOOKUP(N1006,Sheet9!$M$1:$N$2,2,FALSE)</f>
        <v>1</v>
      </c>
      <c r="D1006">
        <v>32</v>
      </c>
      <c r="E1006" t="s">
        <v>95</v>
      </c>
      <c r="F1006">
        <v>140</v>
      </c>
      <c r="H1006">
        <v>2</v>
      </c>
      <c r="I1006">
        <v>1</v>
      </c>
      <c r="J1006">
        <v>2</v>
      </c>
      <c r="K1006">
        <v>6.57</v>
      </c>
      <c r="L1006">
        <v>9.94</v>
      </c>
      <c r="M1006" t="s">
        <v>159</v>
      </c>
      <c r="N1006" t="s">
        <v>162</v>
      </c>
    </row>
    <row r="1007" spans="1:14" x14ac:dyDescent="0.3">
      <c r="A1007" t="s">
        <v>159</v>
      </c>
      <c r="B1007">
        <f>VLOOKUP(M1007,Sheet9!$I$1:$J$17,2,FALSE)</f>
        <v>11</v>
      </c>
      <c r="C1007">
        <f>VLOOKUP(N1007,Sheet9!$M$1:$N$2,2,FALSE)</f>
        <v>1</v>
      </c>
      <c r="D1007">
        <v>32</v>
      </c>
      <c r="E1007" t="s">
        <v>95</v>
      </c>
      <c r="F1007">
        <v>140</v>
      </c>
      <c r="H1007">
        <v>6</v>
      </c>
      <c r="I1007">
        <v>0.6</v>
      </c>
      <c r="J1007">
        <v>3.6</v>
      </c>
      <c r="K1007">
        <v>10.64</v>
      </c>
      <c r="L1007">
        <v>16.09</v>
      </c>
      <c r="M1007" t="s">
        <v>159</v>
      </c>
      <c r="N1007" t="s">
        <v>162</v>
      </c>
    </row>
    <row r="1008" spans="1:14" x14ac:dyDescent="0.3">
      <c r="A1008" t="s">
        <v>159</v>
      </c>
      <c r="B1008">
        <f>VLOOKUP(M1008,Sheet9!$I$1:$J$17,2,FALSE)</f>
        <v>11</v>
      </c>
      <c r="C1008">
        <f>VLOOKUP(N1008,Sheet9!$M$1:$N$2,2,FALSE)</f>
        <v>1</v>
      </c>
      <c r="D1008">
        <v>32</v>
      </c>
      <c r="E1008" t="s">
        <v>95</v>
      </c>
      <c r="F1008">
        <v>140</v>
      </c>
      <c r="H1008">
        <v>8</v>
      </c>
      <c r="I1008">
        <v>0.6</v>
      </c>
      <c r="J1008">
        <v>4.8</v>
      </c>
      <c r="K1008">
        <v>9.7799999999999994</v>
      </c>
      <c r="L1008">
        <v>14.79</v>
      </c>
      <c r="M1008" t="s">
        <v>159</v>
      </c>
      <c r="N1008" t="s">
        <v>162</v>
      </c>
    </row>
    <row r="1009" spans="1:14" x14ac:dyDescent="0.3">
      <c r="A1009" t="s">
        <v>159</v>
      </c>
      <c r="B1009">
        <f>VLOOKUP(M1009,Sheet9!$I$1:$J$17,2,FALSE)</f>
        <v>11</v>
      </c>
      <c r="C1009">
        <f>VLOOKUP(N1009,Sheet9!$M$1:$N$2,2,FALSE)</f>
        <v>1</v>
      </c>
      <c r="D1009">
        <v>32</v>
      </c>
      <c r="E1009" t="s">
        <v>167</v>
      </c>
      <c r="F1009">
        <v>140</v>
      </c>
      <c r="H1009">
        <v>8</v>
      </c>
      <c r="I1009">
        <v>0.6</v>
      </c>
      <c r="J1009">
        <v>4.8</v>
      </c>
      <c r="K1009">
        <v>11.59</v>
      </c>
      <c r="L1009">
        <v>17.62</v>
      </c>
      <c r="M1009" t="s">
        <v>159</v>
      </c>
      <c r="N1009" t="s">
        <v>162</v>
      </c>
    </row>
    <row r="1010" spans="1:14" x14ac:dyDescent="0.3">
      <c r="A1010" t="s">
        <v>159</v>
      </c>
      <c r="B1010">
        <f>VLOOKUP(M1010,Sheet9!$I$1:$J$17,2,FALSE)</f>
        <v>11</v>
      </c>
      <c r="C1010">
        <f>VLOOKUP(N1010,Sheet9!$M$1:$N$2,2,FALSE)</f>
        <v>1</v>
      </c>
      <c r="D1010">
        <v>32</v>
      </c>
      <c r="E1010" t="s">
        <v>95</v>
      </c>
      <c r="F1010">
        <v>140</v>
      </c>
      <c r="H1010">
        <v>1</v>
      </c>
      <c r="I1010">
        <v>5</v>
      </c>
      <c r="J1010">
        <v>5</v>
      </c>
      <c r="K1010">
        <v>5.89</v>
      </c>
      <c r="L1010">
        <v>8.91</v>
      </c>
      <c r="M1010" t="s">
        <v>159</v>
      </c>
      <c r="N1010" t="s">
        <v>162</v>
      </c>
    </row>
    <row r="1011" spans="1:14" x14ac:dyDescent="0.3">
      <c r="A1011" t="s">
        <v>159</v>
      </c>
      <c r="B1011">
        <f>VLOOKUP(M1011,Sheet9!$I$1:$J$17,2,FALSE)</f>
        <v>11</v>
      </c>
      <c r="C1011">
        <f>VLOOKUP(N1011,Sheet9!$M$1:$N$2,2,FALSE)</f>
        <v>1</v>
      </c>
      <c r="D1011">
        <v>32</v>
      </c>
      <c r="E1011" t="s">
        <v>167</v>
      </c>
      <c r="F1011">
        <v>140</v>
      </c>
      <c r="H1011">
        <v>10</v>
      </c>
      <c r="I1011">
        <v>0.6</v>
      </c>
      <c r="J1011">
        <v>6</v>
      </c>
      <c r="K1011">
        <v>8.0299999999999994</v>
      </c>
      <c r="L1011">
        <v>12.22</v>
      </c>
      <c r="M1011" t="s">
        <v>159</v>
      </c>
      <c r="N1011" t="s">
        <v>162</v>
      </c>
    </row>
    <row r="1012" spans="1:14" x14ac:dyDescent="0.3">
      <c r="A1012" t="s">
        <v>159</v>
      </c>
      <c r="B1012">
        <f>VLOOKUP(M1012,Sheet9!$I$1:$J$17,2,FALSE)</f>
        <v>11</v>
      </c>
      <c r="C1012">
        <f>VLOOKUP(N1012,Sheet9!$M$1:$N$2,2,FALSE)</f>
        <v>1</v>
      </c>
      <c r="D1012">
        <v>32</v>
      </c>
      <c r="E1012" t="s">
        <v>95</v>
      </c>
      <c r="F1012">
        <v>140</v>
      </c>
      <c r="H1012">
        <v>6</v>
      </c>
      <c r="I1012">
        <v>1.2</v>
      </c>
      <c r="J1012">
        <v>7.2</v>
      </c>
      <c r="K1012">
        <v>8.4700000000000006</v>
      </c>
      <c r="L1012">
        <v>12.81</v>
      </c>
      <c r="M1012" t="s">
        <v>159</v>
      </c>
      <c r="N1012" t="s">
        <v>162</v>
      </c>
    </row>
    <row r="1013" spans="1:14" x14ac:dyDescent="0.3">
      <c r="A1013" t="s">
        <v>159</v>
      </c>
      <c r="B1013">
        <f>VLOOKUP(M1013,Sheet9!$I$1:$J$17,2,FALSE)</f>
        <v>11</v>
      </c>
      <c r="C1013">
        <f>VLOOKUP(N1013,Sheet9!$M$1:$N$2,2,FALSE)</f>
        <v>1</v>
      </c>
      <c r="D1013">
        <v>32</v>
      </c>
      <c r="E1013" t="s">
        <v>95</v>
      </c>
      <c r="F1013">
        <v>140</v>
      </c>
      <c r="H1013">
        <v>1</v>
      </c>
      <c r="I1013">
        <v>10</v>
      </c>
      <c r="J1013">
        <v>10</v>
      </c>
      <c r="K1013">
        <v>5.89</v>
      </c>
      <c r="L1013">
        <v>8.91</v>
      </c>
      <c r="M1013" t="s">
        <v>159</v>
      </c>
      <c r="N1013" t="s">
        <v>162</v>
      </c>
    </row>
    <row r="1014" spans="1:14" x14ac:dyDescent="0.3">
      <c r="A1014" t="s">
        <v>159</v>
      </c>
      <c r="B1014">
        <f>VLOOKUP(M1014,Sheet9!$I$1:$J$17,2,FALSE)</f>
        <v>11</v>
      </c>
      <c r="C1014">
        <f>VLOOKUP(N1014,Sheet9!$M$1:$N$2,2,FALSE)</f>
        <v>1</v>
      </c>
      <c r="D1014">
        <v>32</v>
      </c>
      <c r="E1014" t="s">
        <v>167</v>
      </c>
      <c r="F1014">
        <v>140</v>
      </c>
      <c r="H1014">
        <v>20</v>
      </c>
      <c r="I1014">
        <v>0.6</v>
      </c>
      <c r="J1014">
        <v>12</v>
      </c>
      <c r="K1014">
        <v>8.19</v>
      </c>
      <c r="L1014">
        <v>12.45</v>
      </c>
      <c r="M1014" t="s">
        <v>159</v>
      </c>
      <c r="N1014" t="s">
        <v>162</v>
      </c>
    </row>
    <row r="1015" spans="1:14" x14ac:dyDescent="0.3">
      <c r="A1015" t="s">
        <v>159</v>
      </c>
      <c r="B1015">
        <f>VLOOKUP(M1015,Sheet9!$I$1:$J$17,2,FALSE)</f>
        <v>11</v>
      </c>
      <c r="C1015">
        <f>VLOOKUP(N1015,Sheet9!$M$1:$N$2,2,FALSE)</f>
        <v>1</v>
      </c>
      <c r="D1015">
        <v>32</v>
      </c>
      <c r="E1015" t="s">
        <v>95</v>
      </c>
      <c r="F1015">
        <v>140</v>
      </c>
      <c r="H1015">
        <v>12</v>
      </c>
      <c r="I1015">
        <v>1.2</v>
      </c>
      <c r="J1015">
        <v>14.4</v>
      </c>
      <c r="K1015">
        <v>7.56</v>
      </c>
      <c r="L1015">
        <v>11.43</v>
      </c>
      <c r="M1015" t="s">
        <v>159</v>
      </c>
      <c r="N1015" t="s">
        <v>162</v>
      </c>
    </row>
    <row r="1016" spans="1:14" x14ac:dyDescent="0.3">
      <c r="A1016" t="s">
        <v>159</v>
      </c>
      <c r="B1016">
        <f>VLOOKUP(M1016,Sheet9!$I$1:$J$17,2,FALSE)</f>
        <v>11</v>
      </c>
      <c r="C1016">
        <f>VLOOKUP(N1016,Sheet9!$M$1:$N$2,2,FALSE)</f>
        <v>1</v>
      </c>
      <c r="D1016">
        <v>32</v>
      </c>
      <c r="E1016" t="s">
        <v>95</v>
      </c>
      <c r="F1016">
        <v>140</v>
      </c>
      <c r="H1016">
        <v>64</v>
      </c>
      <c r="I1016">
        <v>0.6</v>
      </c>
      <c r="J1016">
        <v>19.2</v>
      </c>
      <c r="K1016">
        <v>6.6</v>
      </c>
      <c r="L1016">
        <v>9.98</v>
      </c>
      <c r="M1016" t="s">
        <v>159</v>
      </c>
      <c r="N1016" t="s">
        <v>162</v>
      </c>
    </row>
    <row r="1017" spans="1:14" x14ac:dyDescent="0.3">
      <c r="A1017" t="s">
        <v>159</v>
      </c>
      <c r="B1017">
        <f>VLOOKUP(M1017,Sheet9!$I$1:$J$17,2,FALSE)</f>
        <v>11</v>
      </c>
      <c r="C1017">
        <f>VLOOKUP(N1017,Sheet9!$M$1:$N$2,2,FALSE)</f>
        <v>1</v>
      </c>
      <c r="D1017">
        <v>32</v>
      </c>
      <c r="E1017" t="s">
        <v>167</v>
      </c>
      <c r="F1017">
        <v>140</v>
      </c>
      <c r="H1017">
        <v>64</v>
      </c>
      <c r="I1017">
        <v>0.6</v>
      </c>
      <c r="J1017">
        <v>38.4</v>
      </c>
      <c r="K1017">
        <v>6.76</v>
      </c>
      <c r="L1017">
        <v>10.28</v>
      </c>
      <c r="M1017" t="s">
        <v>159</v>
      </c>
      <c r="N1017" t="s">
        <v>162</v>
      </c>
    </row>
    <row r="1018" spans="1:14" x14ac:dyDescent="0.3">
      <c r="A1018" t="s">
        <v>159</v>
      </c>
      <c r="B1018">
        <f>VLOOKUP(M1018,Sheet9!$I$1:$J$17,2,FALSE)</f>
        <v>11</v>
      </c>
      <c r="C1018">
        <f>VLOOKUP(N1018,Sheet9!$M$1:$N$2,2,FALSE)</f>
        <v>1</v>
      </c>
      <c r="D1018">
        <v>32</v>
      </c>
      <c r="E1018" t="s">
        <v>96</v>
      </c>
      <c r="F1018">
        <v>70</v>
      </c>
      <c r="H1018">
        <v>2</v>
      </c>
      <c r="I1018">
        <v>1</v>
      </c>
      <c r="J1018">
        <v>2</v>
      </c>
      <c r="K1018">
        <v>0.54</v>
      </c>
      <c r="L1018">
        <v>0.9</v>
      </c>
      <c r="M1018" t="s">
        <v>159</v>
      </c>
      <c r="N1018" t="s">
        <v>162</v>
      </c>
    </row>
    <row r="1019" spans="1:14" x14ac:dyDescent="0.3">
      <c r="A1019" t="s">
        <v>159</v>
      </c>
      <c r="B1019">
        <f>VLOOKUP(M1019,Sheet9!$I$1:$J$17,2,FALSE)</f>
        <v>11</v>
      </c>
      <c r="C1019">
        <f>VLOOKUP(N1019,Sheet9!$M$1:$N$2,2,FALSE)</f>
        <v>1</v>
      </c>
      <c r="D1019">
        <v>32</v>
      </c>
      <c r="E1019" t="s">
        <v>96</v>
      </c>
      <c r="F1019">
        <v>70</v>
      </c>
      <c r="H1019">
        <v>6</v>
      </c>
      <c r="I1019">
        <v>0.6</v>
      </c>
      <c r="J1019">
        <v>3.6</v>
      </c>
      <c r="K1019">
        <v>0.87</v>
      </c>
      <c r="L1019">
        <v>1.45</v>
      </c>
      <c r="M1019" t="s">
        <v>159</v>
      </c>
      <c r="N1019" t="s">
        <v>162</v>
      </c>
    </row>
    <row r="1020" spans="1:14" x14ac:dyDescent="0.3">
      <c r="A1020" t="s">
        <v>159</v>
      </c>
      <c r="B1020">
        <f>VLOOKUP(M1020,Sheet9!$I$1:$J$17,2,FALSE)</f>
        <v>11</v>
      </c>
      <c r="C1020">
        <f>VLOOKUP(N1020,Sheet9!$M$1:$N$2,2,FALSE)</f>
        <v>1</v>
      </c>
      <c r="D1020">
        <v>32</v>
      </c>
      <c r="E1020" t="s">
        <v>96</v>
      </c>
      <c r="F1020">
        <v>70</v>
      </c>
      <c r="H1020">
        <v>8</v>
      </c>
      <c r="I1020">
        <v>0.6</v>
      </c>
      <c r="J1020">
        <v>4.8</v>
      </c>
      <c r="K1020">
        <v>0.8</v>
      </c>
      <c r="L1020">
        <v>1.33</v>
      </c>
      <c r="M1020" t="s">
        <v>159</v>
      </c>
      <c r="N1020" t="s">
        <v>162</v>
      </c>
    </row>
    <row r="1021" spans="1:14" x14ac:dyDescent="0.3">
      <c r="A1021" t="s">
        <v>159</v>
      </c>
      <c r="B1021">
        <f>VLOOKUP(M1021,Sheet9!$I$1:$J$17,2,FALSE)</f>
        <v>11</v>
      </c>
      <c r="C1021">
        <f>VLOOKUP(N1021,Sheet9!$M$1:$N$2,2,FALSE)</f>
        <v>1</v>
      </c>
      <c r="D1021">
        <v>32</v>
      </c>
      <c r="E1021" t="s">
        <v>168</v>
      </c>
      <c r="F1021">
        <v>70</v>
      </c>
      <c r="H1021">
        <v>8</v>
      </c>
      <c r="I1021">
        <v>0.6</v>
      </c>
      <c r="J1021">
        <v>4.8</v>
      </c>
      <c r="K1021">
        <v>0.93</v>
      </c>
      <c r="L1021">
        <v>1.54</v>
      </c>
      <c r="M1021" t="s">
        <v>159</v>
      </c>
      <c r="N1021" t="s">
        <v>162</v>
      </c>
    </row>
    <row r="1022" spans="1:14" x14ac:dyDescent="0.3">
      <c r="A1022" t="s">
        <v>159</v>
      </c>
      <c r="B1022">
        <f>VLOOKUP(M1022,Sheet9!$I$1:$J$17,2,FALSE)</f>
        <v>11</v>
      </c>
      <c r="C1022">
        <f>VLOOKUP(N1022,Sheet9!$M$1:$N$2,2,FALSE)</f>
        <v>1</v>
      </c>
      <c r="D1022">
        <v>32</v>
      </c>
      <c r="E1022" t="s">
        <v>96</v>
      </c>
      <c r="F1022">
        <v>70</v>
      </c>
      <c r="H1022">
        <v>1</v>
      </c>
      <c r="I1022">
        <v>5</v>
      </c>
      <c r="J1022">
        <v>5</v>
      </c>
      <c r="K1022">
        <v>0.48</v>
      </c>
      <c r="L1022">
        <v>0.8</v>
      </c>
      <c r="M1022" t="s">
        <v>159</v>
      </c>
      <c r="N1022" t="s">
        <v>162</v>
      </c>
    </row>
    <row r="1023" spans="1:14" x14ac:dyDescent="0.3">
      <c r="A1023" t="s">
        <v>159</v>
      </c>
      <c r="B1023">
        <f>VLOOKUP(M1023,Sheet9!$I$1:$J$17,2,FALSE)</f>
        <v>11</v>
      </c>
      <c r="C1023">
        <f>VLOOKUP(N1023,Sheet9!$M$1:$N$2,2,FALSE)</f>
        <v>1</v>
      </c>
      <c r="D1023">
        <v>32</v>
      </c>
      <c r="E1023" t="s">
        <v>168</v>
      </c>
      <c r="F1023">
        <v>70</v>
      </c>
      <c r="H1023">
        <v>10</v>
      </c>
      <c r="I1023">
        <v>0.6</v>
      </c>
      <c r="J1023">
        <v>6</v>
      </c>
      <c r="K1023">
        <v>0.65</v>
      </c>
      <c r="L1023">
        <v>1.07</v>
      </c>
      <c r="M1023" t="s">
        <v>159</v>
      </c>
      <c r="N1023" t="s">
        <v>162</v>
      </c>
    </row>
    <row r="1024" spans="1:14" x14ac:dyDescent="0.3">
      <c r="A1024" t="s">
        <v>159</v>
      </c>
      <c r="B1024">
        <f>VLOOKUP(M1024,Sheet9!$I$1:$J$17,2,FALSE)</f>
        <v>11</v>
      </c>
      <c r="C1024">
        <f>VLOOKUP(N1024,Sheet9!$M$1:$N$2,2,FALSE)</f>
        <v>1</v>
      </c>
      <c r="D1024">
        <v>32</v>
      </c>
      <c r="E1024" t="s">
        <v>96</v>
      </c>
      <c r="F1024">
        <v>70</v>
      </c>
      <c r="H1024">
        <v>6</v>
      </c>
      <c r="I1024">
        <v>1.2</v>
      </c>
      <c r="J1024">
        <v>7.2</v>
      </c>
      <c r="K1024">
        <v>0.69</v>
      </c>
      <c r="L1024">
        <v>1.1599999999999999</v>
      </c>
      <c r="M1024" t="s">
        <v>159</v>
      </c>
      <c r="N1024" t="s">
        <v>162</v>
      </c>
    </row>
    <row r="1025" spans="1:14" x14ac:dyDescent="0.3">
      <c r="A1025" t="s">
        <v>159</v>
      </c>
      <c r="B1025">
        <f>VLOOKUP(M1025,Sheet9!$I$1:$J$17,2,FALSE)</f>
        <v>11</v>
      </c>
      <c r="C1025">
        <f>VLOOKUP(N1025,Sheet9!$M$1:$N$2,2,FALSE)</f>
        <v>1</v>
      </c>
      <c r="D1025">
        <v>32</v>
      </c>
      <c r="E1025" t="s">
        <v>96</v>
      </c>
      <c r="F1025">
        <v>70</v>
      </c>
      <c r="H1025">
        <v>1</v>
      </c>
      <c r="I1025">
        <v>10</v>
      </c>
      <c r="J1025">
        <v>10</v>
      </c>
      <c r="K1025">
        <v>0.48</v>
      </c>
      <c r="L1025">
        <v>0.8</v>
      </c>
      <c r="M1025" t="s">
        <v>159</v>
      </c>
      <c r="N1025" t="s">
        <v>162</v>
      </c>
    </row>
    <row r="1026" spans="1:14" x14ac:dyDescent="0.3">
      <c r="A1026" t="s">
        <v>159</v>
      </c>
      <c r="B1026">
        <f>VLOOKUP(M1026,Sheet9!$I$1:$J$17,2,FALSE)</f>
        <v>11</v>
      </c>
      <c r="C1026">
        <f>VLOOKUP(N1026,Sheet9!$M$1:$N$2,2,FALSE)</f>
        <v>1</v>
      </c>
      <c r="D1026">
        <v>32</v>
      </c>
      <c r="E1026" t="s">
        <v>168</v>
      </c>
      <c r="F1026">
        <v>70</v>
      </c>
      <c r="H1026">
        <v>20</v>
      </c>
      <c r="I1026">
        <v>0.6</v>
      </c>
      <c r="J1026">
        <v>12</v>
      </c>
      <c r="K1026">
        <v>0.66</v>
      </c>
      <c r="L1026">
        <v>1.0900000000000001</v>
      </c>
      <c r="M1026" t="s">
        <v>159</v>
      </c>
      <c r="N1026" t="s">
        <v>162</v>
      </c>
    </row>
    <row r="1027" spans="1:14" x14ac:dyDescent="0.3">
      <c r="A1027" t="s">
        <v>159</v>
      </c>
      <c r="B1027">
        <f>VLOOKUP(M1027,Sheet9!$I$1:$J$17,2,FALSE)</f>
        <v>11</v>
      </c>
      <c r="C1027">
        <f>VLOOKUP(N1027,Sheet9!$M$1:$N$2,2,FALSE)</f>
        <v>1</v>
      </c>
      <c r="D1027">
        <v>32</v>
      </c>
      <c r="E1027" t="s">
        <v>96</v>
      </c>
      <c r="F1027">
        <v>70</v>
      </c>
      <c r="H1027">
        <v>12</v>
      </c>
      <c r="I1027">
        <v>1.2</v>
      </c>
      <c r="J1027">
        <v>14.4</v>
      </c>
      <c r="K1027">
        <v>0.62</v>
      </c>
      <c r="L1027">
        <v>1.03</v>
      </c>
      <c r="M1027" t="s">
        <v>159</v>
      </c>
      <c r="N1027" t="s">
        <v>162</v>
      </c>
    </row>
    <row r="1028" spans="1:14" x14ac:dyDescent="0.3">
      <c r="A1028" t="s">
        <v>159</v>
      </c>
      <c r="B1028">
        <f>VLOOKUP(M1028,Sheet9!$I$1:$J$17,2,FALSE)</f>
        <v>11</v>
      </c>
      <c r="C1028">
        <f>VLOOKUP(N1028,Sheet9!$M$1:$N$2,2,FALSE)</f>
        <v>1</v>
      </c>
      <c r="D1028">
        <v>32</v>
      </c>
      <c r="E1028" t="s">
        <v>96</v>
      </c>
      <c r="F1028">
        <v>70</v>
      </c>
      <c r="H1028">
        <v>64</v>
      </c>
      <c r="I1028">
        <v>0.6</v>
      </c>
      <c r="J1028">
        <v>19.2</v>
      </c>
      <c r="K1028">
        <v>0.54</v>
      </c>
      <c r="L1028">
        <v>0.9</v>
      </c>
      <c r="M1028" t="s">
        <v>159</v>
      </c>
      <c r="N1028" t="s">
        <v>162</v>
      </c>
    </row>
    <row r="1029" spans="1:14" x14ac:dyDescent="0.3">
      <c r="A1029" t="s">
        <v>159</v>
      </c>
      <c r="B1029">
        <f>VLOOKUP(M1029,Sheet9!$I$1:$J$17,2,FALSE)</f>
        <v>11</v>
      </c>
      <c r="C1029">
        <f>VLOOKUP(N1029,Sheet9!$M$1:$N$2,2,FALSE)</f>
        <v>1</v>
      </c>
      <c r="D1029">
        <v>32</v>
      </c>
      <c r="E1029" t="s">
        <v>168</v>
      </c>
      <c r="F1029">
        <v>70</v>
      </c>
      <c r="H1029">
        <v>64</v>
      </c>
      <c r="I1029">
        <v>0.6</v>
      </c>
      <c r="J1029">
        <v>38.4</v>
      </c>
      <c r="K1029">
        <v>0.55000000000000004</v>
      </c>
      <c r="L1029">
        <v>0.9</v>
      </c>
      <c r="M1029" t="s">
        <v>159</v>
      </c>
      <c r="N1029" t="s">
        <v>162</v>
      </c>
    </row>
    <row r="1030" spans="1:14" x14ac:dyDescent="0.3">
      <c r="A1030" t="s">
        <v>159</v>
      </c>
      <c r="B1030">
        <f>VLOOKUP(M1030,Sheet9!$I$1:$J$17,2,FALSE)</f>
        <v>11</v>
      </c>
      <c r="C1030">
        <f>VLOOKUP(N1030,Sheet9!$M$1:$N$2,2,FALSE)</f>
        <v>1</v>
      </c>
      <c r="D1030">
        <v>32</v>
      </c>
      <c r="E1030" t="s">
        <v>96</v>
      </c>
      <c r="F1030">
        <v>80</v>
      </c>
      <c r="H1030">
        <v>2</v>
      </c>
      <c r="I1030">
        <v>1</v>
      </c>
      <c r="J1030">
        <v>2</v>
      </c>
      <c r="K1030">
        <v>0.94</v>
      </c>
      <c r="L1030">
        <v>1.46</v>
      </c>
      <c r="M1030" t="s">
        <v>159</v>
      </c>
      <c r="N1030" t="s">
        <v>162</v>
      </c>
    </row>
    <row r="1031" spans="1:14" x14ac:dyDescent="0.3">
      <c r="A1031" t="s">
        <v>159</v>
      </c>
      <c r="B1031">
        <f>VLOOKUP(M1031,Sheet9!$I$1:$J$17,2,FALSE)</f>
        <v>11</v>
      </c>
      <c r="C1031">
        <f>VLOOKUP(N1031,Sheet9!$M$1:$N$2,2,FALSE)</f>
        <v>1</v>
      </c>
      <c r="D1031">
        <v>32</v>
      </c>
      <c r="E1031" t="s">
        <v>96</v>
      </c>
      <c r="F1031">
        <v>80</v>
      </c>
      <c r="H1031">
        <v>6</v>
      </c>
      <c r="I1031">
        <v>0.6</v>
      </c>
      <c r="J1031">
        <v>3.6</v>
      </c>
      <c r="K1031">
        <v>1.52</v>
      </c>
      <c r="L1031">
        <v>2.36</v>
      </c>
      <c r="M1031" t="s">
        <v>159</v>
      </c>
      <c r="N1031" t="s">
        <v>162</v>
      </c>
    </row>
    <row r="1032" spans="1:14" x14ac:dyDescent="0.3">
      <c r="A1032" t="s">
        <v>159</v>
      </c>
      <c r="B1032">
        <f>VLOOKUP(M1032,Sheet9!$I$1:$J$17,2,FALSE)</f>
        <v>11</v>
      </c>
      <c r="C1032">
        <f>VLOOKUP(N1032,Sheet9!$M$1:$N$2,2,FALSE)</f>
        <v>1</v>
      </c>
      <c r="D1032">
        <v>32</v>
      </c>
      <c r="E1032" t="s">
        <v>96</v>
      </c>
      <c r="F1032">
        <v>80</v>
      </c>
      <c r="H1032">
        <v>8</v>
      </c>
      <c r="I1032">
        <v>0.6</v>
      </c>
      <c r="J1032">
        <v>4.8</v>
      </c>
      <c r="K1032">
        <v>1.39</v>
      </c>
      <c r="L1032">
        <v>2.17</v>
      </c>
      <c r="M1032" t="s">
        <v>159</v>
      </c>
      <c r="N1032" t="s">
        <v>162</v>
      </c>
    </row>
    <row r="1033" spans="1:14" x14ac:dyDescent="0.3">
      <c r="A1033" t="s">
        <v>159</v>
      </c>
      <c r="B1033">
        <f>VLOOKUP(M1033,Sheet9!$I$1:$J$17,2,FALSE)</f>
        <v>11</v>
      </c>
      <c r="C1033">
        <f>VLOOKUP(N1033,Sheet9!$M$1:$N$2,2,FALSE)</f>
        <v>1</v>
      </c>
      <c r="D1033">
        <v>32</v>
      </c>
      <c r="E1033" t="s">
        <v>168</v>
      </c>
      <c r="F1033">
        <v>80</v>
      </c>
      <c r="H1033">
        <v>8</v>
      </c>
      <c r="I1033">
        <v>0.6</v>
      </c>
      <c r="J1033">
        <v>4.8</v>
      </c>
      <c r="K1033">
        <v>1.62</v>
      </c>
      <c r="L1033">
        <v>2.48</v>
      </c>
      <c r="M1033" t="s">
        <v>159</v>
      </c>
      <c r="N1033" t="s">
        <v>162</v>
      </c>
    </row>
    <row r="1034" spans="1:14" x14ac:dyDescent="0.3">
      <c r="A1034" t="s">
        <v>159</v>
      </c>
      <c r="B1034">
        <f>VLOOKUP(M1034,Sheet9!$I$1:$J$17,2,FALSE)</f>
        <v>11</v>
      </c>
      <c r="C1034">
        <f>VLOOKUP(N1034,Sheet9!$M$1:$N$2,2,FALSE)</f>
        <v>1</v>
      </c>
      <c r="D1034">
        <v>32</v>
      </c>
      <c r="E1034" t="s">
        <v>96</v>
      </c>
      <c r="F1034">
        <v>80</v>
      </c>
      <c r="H1034">
        <v>1</v>
      </c>
      <c r="I1034">
        <v>5</v>
      </c>
      <c r="J1034">
        <v>5</v>
      </c>
      <c r="K1034">
        <v>0.84</v>
      </c>
      <c r="L1034">
        <v>1.31</v>
      </c>
      <c r="M1034" t="s">
        <v>159</v>
      </c>
      <c r="N1034" t="s">
        <v>162</v>
      </c>
    </row>
    <row r="1035" spans="1:14" x14ac:dyDescent="0.3">
      <c r="A1035" t="s">
        <v>159</v>
      </c>
      <c r="B1035">
        <f>VLOOKUP(M1035,Sheet9!$I$1:$J$17,2,FALSE)</f>
        <v>11</v>
      </c>
      <c r="C1035">
        <f>VLOOKUP(N1035,Sheet9!$M$1:$N$2,2,FALSE)</f>
        <v>1</v>
      </c>
      <c r="D1035">
        <v>32</v>
      </c>
      <c r="E1035" t="s">
        <v>168</v>
      </c>
      <c r="F1035">
        <v>80</v>
      </c>
      <c r="H1035">
        <v>10</v>
      </c>
      <c r="I1035">
        <v>0.6</v>
      </c>
      <c r="J1035">
        <v>6</v>
      </c>
      <c r="K1035">
        <v>1.1200000000000001</v>
      </c>
      <c r="L1035">
        <v>1.72</v>
      </c>
      <c r="M1035" t="s">
        <v>159</v>
      </c>
      <c r="N1035" t="s">
        <v>162</v>
      </c>
    </row>
    <row r="1036" spans="1:14" x14ac:dyDescent="0.3">
      <c r="A1036" t="s">
        <v>159</v>
      </c>
      <c r="B1036">
        <f>VLOOKUP(M1036,Sheet9!$I$1:$J$17,2,FALSE)</f>
        <v>11</v>
      </c>
      <c r="C1036">
        <f>VLOOKUP(N1036,Sheet9!$M$1:$N$2,2,FALSE)</f>
        <v>1</v>
      </c>
      <c r="D1036">
        <v>32</v>
      </c>
      <c r="E1036" t="s">
        <v>96</v>
      </c>
      <c r="F1036">
        <v>80</v>
      </c>
      <c r="H1036">
        <v>6</v>
      </c>
      <c r="I1036">
        <v>1.2</v>
      </c>
      <c r="J1036">
        <v>7.2</v>
      </c>
      <c r="K1036">
        <v>1.21</v>
      </c>
      <c r="L1036">
        <v>1.88</v>
      </c>
      <c r="M1036" t="s">
        <v>159</v>
      </c>
      <c r="N1036" t="s">
        <v>162</v>
      </c>
    </row>
    <row r="1037" spans="1:14" x14ac:dyDescent="0.3">
      <c r="A1037" t="s">
        <v>159</v>
      </c>
      <c r="B1037">
        <f>VLOOKUP(M1037,Sheet9!$I$1:$J$17,2,FALSE)</f>
        <v>11</v>
      </c>
      <c r="C1037">
        <f>VLOOKUP(N1037,Sheet9!$M$1:$N$2,2,FALSE)</f>
        <v>1</v>
      </c>
      <c r="D1037">
        <v>32</v>
      </c>
      <c r="E1037" t="s">
        <v>96</v>
      </c>
      <c r="F1037">
        <v>80</v>
      </c>
      <c r="H1037">
        <v>1</v>
      </c>
      <c r="I1037">
        <v>10</v>
      </c>
      <c r="J1037">
        <v>10</v>
      </c>
      <c r="K1037">
        <v>0.84</v>
      </c>
      <c r="L1037">
        <v>1.31</v>
      </c>
      <c r="M1037" t="s">
        <v>159</v>
      </c>
      <c r="N1037" t="s">
        <v>162</v>
      </c>
    </row>
    <row r="1038" spans="1:14" x14ac:dyDescent="0.3">
      <c r="A1038" t="s">
        <v>159</v>
      </c>
      <c r="B1038">
        <f>VLOOKUP(M1038,Sheet9!$I$1:$J$17,2,FALSE)</f>
        <v>11</v>
      </c>
      <c r="C1038">
        <f>VLOOKUP(N1038,Sheet9!$M$1:$N$2,2,FALSE)</f>
        <v>1</v>
      </c>
      <c r="D1038">
        <v>32</v>
      </c>
      <c r="E1038" t="s">
        <v>168</v>
      </c>
      <c r="F1038">
        <v>80</v>
      </c>
      <c r="H1038">
        <v>20</v>
      </c>
      <c r="I1038">
        <v>0.6</v>
      </c>
      <c r="J1038">
        <v>12</v>
      </c>
      <c r="K1038">
        <v>1.1499999999999999</v>
      </c>
      <c r="L1038">
        <v>1.76</v>
      </c>
      <c r="M1038" t="s">
        <v>159</v>
      </c>
      <c r="N1038" t="s">
        <v>162</v>
      </c>
    </row>
    <row r="1039" spans="1:14" x14ac:dyDescent="0.3">
      <c r="A1039" t="s">
        <v>159</v>
      </c>
      <c r="B1039">
        <f>VLOOKUP(M1039,Sheet9!$I$1:$J$17,2,FALSE)</f>
        <v>11</v>
      </c>
      <c r="C1039">
        <f>VLOOKUP(N1039,Sheet9!$M$1:$N$2,2,FALSE)</f>
        <v>1</v>
      </c>
      <c r="D1039">
        <v>32</v>
      </c>
      <c r="E1039" t="s">
        <v>96</v>
      </c>
      <c r="F1039">
        <v>80</v>
      </c>
      <c r="H1039">
        <v>12</v>
      </c>
      <c r="I1039">
        <v>1.2</v>
      </c>
      <c r="J1039">
        <v>14.4</v>
      </c>
      <c r="K1039">
        <v>1.08</v>
      </c>
      <c r="L1039">
        <v>1.68</v>
      </c>
      <c r="M1039" t="s">
        <v>159</v>
      </c>
      <c r="N1039" t="s">
        <v>162</v>
      </c>
    </row>
    <row r="1040" spans="1:14" x14ac:dyDescent="0.3">
      <c r="A1040" t="s">
        <v>159</v>
      </c>
      <c r="B1040">
        <f>VLOOKUP(M1040,Sheet9!$I$1:$J$17,2,FALSE)</f>
        <v>11</v>
      </c>
      <c r="C1040">
        <f>VLOOKUP(N1040,Sheet9!$M$1:$N$2,2,FALSE)</f>
        <v>1</v>
      </c>
      <c r="D1040">
        <v>32</v>
      </c>
      <c r="E1040" t="s">
        <v>96</v>
      </c>
      <c r="F1040">
        <v>80</v>
      </c>
      <c r="H1040">
        <v>64</v>
      </c>
      <c r="I1040">
        <v>0.6</v>
      </c>
      <c r="J1040">
        <v>19.2</v>
      </c>
      <c r="K1040">
        <v>0.94</v>
      </c>
      <c r="L1040">
        <v>1.47</v>
      </c>
      <c r="M1040" t="s">
        <v>159</v>
      </c>
      <c r="N1040" t="s">
        <v>162</v>
      </c>
    </row>
    <row r="1041" spans="1:14" x14ac:dyDescent="0.3">
      <c r="A1041" t="s">
        <v>159</v>
      </c>
      <c r="B1041">
        <f>VLOOKUP(M1041,Sheet9!$I$1:$J$17,2,FALSE)</f>
        <v>11</v>
      </c>
      <c r="C1041">
        <f>VLOOKUP(N1041,Sheet9!$M$1:$N$2,2,FALSE)</f>
        <v>1</v>
      </c>
      <c r="D1041">
        <v>32</v>
      </c>
      <c r="E1041" t="s">
        <v>168</v>
      </c>
      <c r="F1041">
        <v>80</v>
      </c>
      <c r="H1041">
        <v>64</v>
      </c>
      <c r="I1041">
        <v>0.6</v>
      </c>
      <c r="J1041">
        <v>38.4</v>
      </c>
      <c r="K1041">
        <v>0.95</v>
      </c>
      <c r="L1041">
        <v>1.45</v>
      </c>
      <c r="M1041" t="s">
        <v>159</v>
      </c>
      <c r="N1041" t="s">
        <v>162</v>
      </c>
    </row>
    <row r="1042" spans="1:14" x14ac:dyDescent="0.3">
      <c r="A1042" t="s">
        <v>159</v>
      </c>
      <c r="B1042">
        <f>VLOOKUP(M1042,Sheet9!$I$1:$J$17,2,FALSE)</f>
        <v>11</v>
      </c>
      <c r="C1042">
        <f>VLOOKUP(N1042,Sheet9!$M$1:$N$2,2,FALSE)</f>
        <v>1</v>
      </c>
      <c r="D1042">
        <v>32</v>
      </c>
      <c r="E1042" t="s">
        <v>96</v>
      </c>
      <c r="F1042">
        <v>100</v>
      </c>
      <c r="H1042">
        <v>2</v>
      </c>
      <c r="I1042">
        <v>1</v>
      </c>
      <c r="J1042">
        <v>2</v>
      </c>
      <c r="K1042">
        <v>2.17</v>
      </c>
      <c r="L1042">
        <v>3.12</v>
      </c>
      <c r="M1042" t="s">
        <v>159</v>
      </c>
      <c r="N1042" t="s">
        <v>162</v>
      </c>
    </row>
    <row r="1043" spans="1:14" x14ac:dyDescent="0.3">
      <c r="A1043" t="s">
        <v>159</v>
      </c>
      <c r="B1043">
        <f>VLOOKUP(M1043,Sheet9!$I$1:$J$17,2,FALSE)</f>
        <v>11</v>
      </c>
      <c r="C1043">
        <f>VLOOKUP(N1043,Sheet9!$M$1:$N$2,2,FALSE)</f>
        <v>1</v>
      </c>
      <c r="D1043">
        <v>32</v>
      </c>
      <c r="E1043" t="s">
        <v>96</v>
      </c>
      <c r="F1043">
        <v>100</v>
      </c>
      <c r="H1043">
        <v>6</v>
      </c>
      <c r="I1043">
        <v>0.6</v>
      </c>
      <c r="J1043">
        <v>3.6</v>
      </c>
      <c r="K1043">
        <v>3.51</v>
      </c>
      <c r="L1043">
        <v>5.0599999999999996</v>
      </c>
      <c r="M1043" t="s">
        <v>159</v>
      </c>
      <c r="N1043" t="s">
        <v>162</v>
      </c>
    </row>
    <row r="1044" spans="1:14" x14ac:dyDescent="0.3">
      <c r="A1044" t="s">
        <v>159</v>
      </c>
      <c r="B1044">
        <f>VLOOKUP(M1044,Sheet9!$I$1:$J$17,2,FALSE)</f>
        <v>11</v>
      </c>
      <c r="C1044">
        <f>VLOOKUP(N1044,Sheet9!$M$1:$N$2,2,FALSE)</f>
        <v>1</v>
      </c>
      <c r="D1044">
        <v>32</v>
      </c>
      <c r="E1044" t="s">
        <v>96</v>
      </c>
      <c r="F1044">
        <v>100</v>
      </c>
      <c r="H1044">
        <v>8</v>
      </c>
      <c r="I1044">
        <v>0.6</v>
      </c>
      <c r="J1044">
        <v>4.8</v>
      </c>
      <c r="K1044">
        <v>3.22</v>
      </c>
      <c r="L1044">
        <v>4.6500000000000004</v>
      </c>
      <c r="M1044" t="s">
        <v>159</v>
      </c>
      <c r="N1044" t="s">
        <v>162</v>
      </c>
    </row>
    <row r="1045" spans="1:14" x14ac:dyDescent="0.3">
      <c r="A1045" t="s">
        <v>159</v>
      </c>
      <c r="B1045">
        <f>VLOOKUP(M1045,Sheet9!$I$1:$J$17,2,FALSE)</f>
        <v>11</v>
      </c>
      <c r="C1045">
        <f>VLOOKUP(N1045,Sheet9!$M$1:$N$2,2,FALSE)</f>
        <v>1</v>
      </c>
      <c r="D1045">
        <v>32</v>
      </c>
      <c r="E1045" t="s">
        <v>168</v>
      </c>
      <c r="F1045">
        <v>100</v>
      </c>
      <c r="H1045">
        <v>8</v>
      </c>
      <c r="I1045">
        <v>0.6</v>
      </c>
      <c r="J1045">
        <v>4.8</v>
      </c>
      <c r="K1045">
        <v>3.75</v>
      </c>
      <c r="L1045">
        <v>5.34</v>
      </c>
      <c r="M1045" t="s">
        <v>159</v>
      </c>
      <c r="N1045" t="s">
        <v>162</v>
      </c>
    </row>
    <row r="1046" spans="1:14" x14ac:dyDescent="0.3">
      <c r="A1046" t="s">
        <v>159</v>
      </c>
      <c r="B1046">
        <f>VLOOKUP(M1046,Sheet9!$I$1:$J$17,2,FALSE)</f>
        <v>11</v>
      </c>
      <c r="C1046">
        <f>VLOOKUP(N1046,Sheet9!$M$1:$N$2,2,FALSE)</f>
        <v>1</v>
      </c>
      <c r="D1046">
        <v>32</v>
      </c>
      <c r="E1046" t="s">
        <v>96</v>
      </c>
      <c r="F1046">
        <v>100</v>
      </c>
      <c r="H1046">
        <v>1</v>
      </c>
      <c r="I1046">
        <v>5</v>
      </c>
      <c r="J1046">
        <v>5</v>
      </c>
      <c r="K1046">
        <v>1.94</v>
      </c>
      <c r="L1046">
        <v>2.8</v>
      </c>
      <c r="M1046" t="s">
        <v>159</v>
      </c>
      <c r="N1046" t="s">
        <v>162</v>
      </c>
    </row>
    <row r="1047" spans="1:14" x14ac:dyDescent="0.3">
      <c r="A1047" t="s">
        <v>159</v>
      </c>
      <c r="B1047">
        <f>VLOOKUP(M1047,Sheet9!$I$1:$J$17,2,FALSE)</f>
        <v>11</v>
      </c>
      <c r="C1047">
        <f>VLOOKUP(N1047,Sheet9!$M$1:$N$2,2,FALSE)</f>
        <v>1</v>
      </c>
      <c r="D1047">
        <v>32</v>
      </c>
      <c r="E1047" t="s">
        <v>168</v>
      </c>
      <c r="F1047">
        <v>100</v>
      </c>
      <c r="H1047">
        <v>10</v>
      </c>
      <c r="I1047">
        <v>0.6</v>
      </c>
      <c r="J1047">
        <v>6</v>
      </c>
      <c r="K1047">
        <v>2.6</v>
      </c>
      <c r="L1047">
        <v>3.7</v>
      </c>
      <c r="M1047" t="s">
        <v>159</v>
      </c>
      <c r="N1047" t="s">
        <v>162</v>
      </c>
    </row>
    <row r="1048" spans="1:14" x14ac:dyDescent="0.3">
      <c r="A1048" t="s">
        <v>159</v>
      </c>
      <c r="B1048">
        <f>VLOOKUP(M1048,Sheet9!$I$1:$J$17,2,FALSE)</f>
        <v>11</v>
      </c>
      <c r="C1048">
        <f>VLOOKUP(N1048,Sheet9!$M$1:$N$2,2,FALSE)</f>
        <v>1</v>
      </c>
      <c r="D1048">
        <v>32</v>
      </c>
      <c r="E1048" t="s">
        <v>96</v>
      </c>
      <c r="F1048">
        <v>100</v>
      </c>
      <c r="H1048">
        <v>6</v>
      </c>
      <c r="I1048">
        <v>1.2</v>
      </c>
      <c r="J1048">
        <v>7.2</v>
      </c>
      <c r="K1048">
        <v>2.79</v>
      </c>
      <c r="L1048">
        <v>4.03</v>
      </c>
      <c r="M1048" t="s">
        <v>159</v>
      </c>
      <c r="N1048" t="s">
        <v>162</v>
      </c>
    </row>
    <row r="1049" spans="1:14" x14ac:dyDescent="0.3">
      <c r="A1049" t="s">
        <v>159</v>
      </c>
      <c r="B1049">
        <f>VLOOKUP(M1049,Sheet9!$I$1:$J$17,2,FALSE)</f>
        <v>11</v>
      </c>
      <c r="C1049">
        <f>VLOOKUP(N1049,Sheet9!$M$1:$N$2,2,FALSE)</f>
        <v>1</v>
      </c>
      <c r="D1049">
        <v>32</v>
      </c>
      <c r="E1049" t="s">
        <v>96</v>
      </c>
      <c r="F1049">
        <v>100</v>
      </c>
      <c r="H1049">
        <v>1</v>
      </c>
      <c r="I1049">
        <v>10</v>
      </c>
      <c r="J1049">
        <v>10</v>
      </c>
      <c r="K1049">
        <v>1.94</v>
      </c>
      <c r="L1049">
        <v>2.8</v>
      </c>
      <c r="M1049" t="s">
        <v>159</v>
      </c>
      <c r="N1049" t="s">
        <v>162</v>
      </c>
    </row>
    <row r="1050" spans="1:14" x14ac:dyDescent="0.3">
      <c r="A1050" t="s">
        <v>159</v>
      </c>
      <c r="B1050">
        <f>VLOOKUP(M1050,Sheet9!$I$1:$J$17,2,FALSE)</f>
        <v>11</v>
      </c>
      <c r="C1050">
        <f>VLOOKUP(N1050,Sheet9!$M$1:$N$2,2,FALSE)</f>
        <v>1</v>
      </c>
      <c r="D1050">
        <v>32</v>
      </c>
      <c r="E1050" t="s">
        <v>168</v>
      </c>
      <c r="F1050">
        <v>100</v>
      </c>
      <c r="H1050">
        <v>20</v>
      </c>
      <c r="I1050">
        <v>0.6</v>
      </c>
      <c r="J1050">
        <v>12</v>
      </c>
      <c r="K1050">
        <v>2.65</v>
      </c>
      <c r="L1050">
        <v>3.78</v>
      </c>
      <c r="M1050" t="s">
        <v>159</v>
      </c>
      <c r="N1050" t="s">
        <v>162</v>
      </c>
    </row>
    <row r="1051" spans="1:14" x14ac:dyDescent="0.3">
      <c r="A1051" t="s">
        <v>159</v>
      </c>
      <c r="B1051">
        <f>VLOOKUP(M1051,Sheet9!$I$1:$J$17,2,FALSE)</f>
        <v>11</v>
      </c>
      <c r="C1051">
        <f>VLOOKUP(N1051,Sheet9!$M$1:$N$2,2,FALSE)</f>
        <v>1</v>
      </c>
      <c r="D1051">
        <v>32</v>
      </c>
      <c r="E1051" t="s">
        <v>96</v>
      </c>
      <c r="F1051">
        <v>100</v>
      </c>
      <c r="H1051">
        <v>12</v>
      </c>
      <c r="I1051">
        <v>1.2</v>
      </c>
      <c r="J1051">
        <v>14.4</v>
      </c>
      <c r="K1051">
        <v>2.4900000000000002</v>
      </c>
      <c r="L1051">
        <v>3.59</v>
      </c>
      <c r="M1051" t="s">
        <v>159</v>
      </c>
      <c r="N1051" t="s">
        <v>162</v>
      </c>
    </row>
    <row r="1052" spans="1:14" x14ac:dyDescent="0.3">
      <c r="A1052" t="s">
        <v>159</v>
      </c>
      <c r="B1052">
        <f>VLOOKUP(M1052,Sheet9!$I$1:$J$17,2,FALSE)</f>
        <v>11</v>
      </c>
      <c r="C1052">
        <f>VLOOKUP(N1052,Sheet9!$M$1:$N$2,2,FALSE)</f>
        <v>1</v>
      </c>
      <c r="D1052">
        <v>32</v>
      </c>
      <c r="E1052" t="s">
        <v>96</v>
      </c>
      <c r="F1052">
        <v>100</v>
      </c>
      <c r="H1052">
        <v>64</v>
      </c>
      <c r="I1052">
        <v>0.6</v>
      </c>
      <c r="J1052">
        <v>19.2</v>
      </c>
      <c r="K1052">
        <v>2.17</v>
      </c>
      <c r="L1052">
        <v>3.14</v>
      </c>
      <c r="M1052" t="s">
        <v>159</v>
      </c>
      <c r="N1052" t="s">
        <v>162</v>
      </c>
    </row>
    <row r="1053" spans="1:14" x14ac:dyDescent="0.3">
      <c r="A1053" t="s">
        <v>159</v>
      </c>
      <c r="B1053">
        <f>VLOOKUP(M1053,Sheet9!$I$1:$J$17,2,FALSE)</f>
        <v>11</v>
      </c>
      <c r="C1053">
        <f>VLOOKUP(N1053,Sheet9!$M$1:$N$2,2,FALSE)</f>
        <v>1</v>
      </c>
      <c r="D1053">
        <v>32</v>
      </c>
      <c r="E1053" t="s">
        <v>168</v>
      </c>
      <c r="F1053">
        <v>100</v>
      </c>
      <c r="H1053">
        <v>64</v>
      </c>
      <c r="I1053">
        <v>0.6</v>
      </c>
      <c r="J1053">
        <v>38.4</v>
      </c>
      <c r="K1053">
        <v>2.19</v>
      </c>
      <c r="L1053">
        <v>3.12</v>
      </c>
      <c r="M1053" t="s">
        <v>159</v>
      </c>
      <c r="N1053" t="s">
        <v>162</v>
      </c>
    </row>
    <row r="1054" spans="1:14" x14ac:dyDescent="0.3">
      <c r="A1054" t="s">
        <v>159</v>
      </c>
      <c r="B1054">
        <f>VLOOKUP(M1054,Sheet9!$I$1:$J$17,2,FALSE)</f>
        <v>11</v>
      </c>
      <c r="C1054">
        <f>VLOOKUP(N1054,Sheet9!$M$1:$N$2,2,FALSE)</f>
        <v>1</v>
      </c>
      <c r="D1054">
        <v>32</v>
      </c>
      <c r="E1054" t="s">
        <v>96</v>
      </c>
      <c r="F1054">
        <v>120</v>
      </c>
      <c r="H1054">
        <v>2</v>
      </c>
      <c r="I1054">
        <v>1</v>
      </c>
      <c r="J1054">
        <v>2</v>
      </c>
      <c r="K1054">
        <v>3.84</v>
      </c>
      <c r="L1054">
        <v>5.36</v>
      </c>
      <c r="M1054" t="s">
        <v>159</v>
      </c>
      <c r="N1054" t="s">
        <v>162</v>
      </c>
    </row>
    <row r="1055" spans="1:14" x14ac:dyDescent="0.3">
      <c r="A1055" t="s">
        <v>159</v>
      </c>
      <c r="B1055">
        <f>VLOOKUP(M1055,Sheet9!$I$1:$J$17,2,FALSE)</f>
        <v>11</v>
      </c>
      <c r="C1055">
        <f>VLOOKUP(N1055,Sheet9!$M$1:$N$2,2,FALSE)</f>
        <v>1</v>
      </c>
      <c r="D1055">
        <v>32</v>
      </c>
      <c r="E1055" t="s">
        <v>96</v>
      </c>
      <c r="F1055">
        <v>120</v>
      </c>
      <c r="H1055">
        <v>6</v>
      </c>
      <c r="I1055">
        <v>0.6</v>
      </c>
      <c r="J1055">
        <v>3.6</v>
      </c>
      <c r="K1055">
        <v>6.22</v>
      </c>
      <c r="L1055">
        <v>8.68</v>
      </c>
      <c r="M1055" t="s">
        <v>159</v>
      </c>
      <c r="N1055" t="s">
        <v>162</v>
      </c>
    </row>
    <row r="1056" spans="1:14" x14ac:dyDescent="0.3">
      <c r="A1056" t="s">
        <v>159</v>
      </c>
      <c r="B1056">
        <f>VLOOKUP(M1056,Sheet9!$I$1:$J$17,2,FALSE)</f>
        <v>11</v>
      </c>
      <c r="C1056">
        <f>VLOOKUP(N1056,Sheet9!$M$1:$N$2,2,FALSE)</f>
        <v>1</v>
      </c>
      <c r="D1056">
        <v>32</v>
      </c>
      <c r="E1056" t="s">
        <v>96</v>
      </c>
      <c r="F1056">
        <v>120</v>
      </c>
      <c r="H1056">
        <v>8</v>
      </c>
      <c r="I1056">
        <v>0.6</v>
      </c>
      <c r="J1056">
        <v>4.8</v>
      </c>
      <c r="K1056">
        <v>5.72</v>
      </c>
      <c r="L1056">
        <v>7.98</v>
      </c>
      <c r="M1056" t="s">
        <v>159</v>
      </c>
      <c r="N1056" t="s">
        <v>162</v>
      </c>
    </row>
    <row r="1057" spans="1:14" x14ac:dyDescent="0.3">
      <c r="A1057" t="s">
        <v>159</v>
      </c>
      <c r="B1057">
        <f>VLOOKUP(M1057,Sheet9!$I$1:$J$17,2,FALSE)</f>
        <v>11</v>
      </c>
      <c r="C1057">
        <f>VLOOKUP(N1057,Sheet9!$M$1:$N$2,2,FALSE)</f>
        <v>1</v>
      </c>
      <c r="D1057">
        <v>32</v>
      </c>
      <c r="E1057" t="s">
        <v>168</v>
      </c>
      <c r="F1057">
        <v>120</v>
      </c>
      <c r="H1057">
        <v>8</v>
      </c>
      <c r="I1057">
        <v>0.6</v>
      </c>
      <c r="J1057">
        <v>4.8</v>
      </c>
      <c r="K1057">
        <v>6.67</v>
      </c>
      <c r="L1057">
        <v>9.2100000000000009</v>
      </c>
      <c r="M1057" t="s">
        <v>159</v>
      </c>
      <c r="N1057" t="s">
        <v>162</v>
      </c>
    </row>
    <row r="1058" spans="1:14" x14ac:dyDescent="0.3">
      <c r="A1058" t="s">
        <v>159</v>
      </c>
      <c r="B1058">
        <f>VLOOKUP(M1058,Sheet9!$I$1:$J$17,2,FALSE)</f>
        <v>11</v>
      </c>
      <c r="C1058">
        <f>VLOOKUP(N1058,Sheet9!$M$1:$N$2,2,FALSE)</f>
        <v>1</v>
      </c>
      <c r="D1058">
        <v>32</v>
      </c>
      <c r="E1058" t="s">
        <v>96</v>
      </c>
      <c r="F1058">
        <v>120</v>
      </c>
      <c r="H1058">
        <v>1</v>
      </c>
      <c r="I1058">
        <v>5</v>
      </c>
      <c r="J1058">
        <v>5</v>
      </c>
      <c r="K1058">
        <v>3.45</v>
      </c>
      <c r="L1058">
        <v>4.8099999999999996</v>
      </c>
      <c r="M1058" t="s">
        <v>159</v>
      </c>
      <c r="N1058" t="s">
        <v>162</v>
      </c>
    </row>
    <row r="1059" spans="1:14" x14ac:dyDescent="0.3">
      <c r="A1059" t="s">
        <v>159</v>
      </c>
      <c r="B1059">
        <f>VLOOKUP(M1059,Sheet9!$I$1:$J$17,2,FALSE)</f>
        <v>11</v>
      </c>
      <c r="C1059">
        <f>VLOOKUP(N1059,Sheet9!$M$1:$N$2,2,FALSE)</f>
        <v>1</v>
      </c>
      <c r="D1059">
        <v>32</v>
      </c>
      <c r="E1059" t="s">
        <v>168</v>
      </c>
      <c r="F1059">
        <v>120</v>
      </c>
      <c r="H1059">
        <v>10</v>
      </c>
      <c r="I1059">
        <v>0.6</v>
      </c>
      <c r="J1059">
        <v>6</v>
      </c>
      <c r="K1059">
        <v>4.62</v>
      </c>
      <c r="L1059">
        <v>6.39</v>
      </c>
      <c r="M1059" t="s">
        <v>159</v>
      </c>
      <c r="N1059" t="s">
        <v>162</v>
      </c>
    </row>
    <row r="1060" spans="1:14" x14ac:dyDescent="0.3">
      <c r="A1060" t="s">
        <v>159</v>
      </c>
      <c r="B1060">
        <f>VLOOKUP(M1060,Sheet9!$I$1:$J$17,2,FALSE)</f>
        <v>11</v>
      </c>
      <c r="C1060">
        <f>VLOOKUP(N1060,Sheet9!$M$1:$N$2,2,FALSE)</f>
        <v>1</v>
      </c>
      <c r="D1060">
        <v>32</v>
      </c>
      <c r="E1060" t="s">
        <v>96</v>
      </c>
      <c r="F1060">
        <v>120</v>
      </c>
      <c r="H1060">
        <v>6</v>
      </c>
      <c r="I1060">
        <v>1.2</v>
      </c>
      <c r="J1060">
        <v>7.2</v>
      </c>
      <c r="K1060">
        <v>4.95</v>
      </c>
      <c r="L1060">
        <v>6.91</v>
      </c>
      <c r="M1060" t="s">
        <v>159</v>
      </c>
      <c r="N1060" t="s">
        <v>162</v>
      </c>
    </row>
    <row r="1061" spans="1:14" x14ac:dyDescent="0.3">
      <c r="A1061" t="s">
        <v>159</v>
      </c>
      <c r="B1061">
        <f>VLOOKUP(M1061,Sheet9!$I$1:$J$17,2,FALSE)</f>
        <v>11</v>
      </c>
      <c r="C1061">
        <f>VLOOKUP(N1061,Sheet9!$M$1:$N$2,2,FALSE)</f>
        <v>1</v>
      </c>
      <c r="D1061">
        <v>32</v>
      </c>
      <c r="E1061" t="s">
        <v>96</v>
      </c>
      <c r="F1061">
        <v>120</v>
      </c>
      <c r="H1061">
        <v>1</v>
      </c>
      <c r="I1061">
        <v>10</v>
      </c>
      <c r="J1061">
        <v>10</v>
      </c>
      <c r="K1061">
        <v>3.45</v>
      </c>
      <c r="L1061">
        <v>4.8099999999999996</v>
      </c>
      <c r="M1061" t="s">
        <v>159</v>
      </c>
      <c r="N1061" t="s">
        <v>162</v>
      </c>
    </row>
    <row r="1062" spans="1:14" x14ac:dyDescent="0.3">
      <c r="A1062" t="s">
        <v>159</v>
      </c>
      <c r="B1062">
        <f>VLOOKUP(M1062,Sheet9!$I$1:$J$17,2,FALSE)</f>
        <v>11</v>
      </c>
      <c r="C1062">
        <f>VLOOKUP(N1062,Sheet9!$M$1:$N$2,2,FALSE)</f>
        <v>1</v>
      </c>
      <c r="D1062">
        <v>32</v>
      </c>
      <c r="E1062" t="s">
        <v>168</v>
      </c>
      <c r="F1062">
        <v>120</v>
      </c>
      <c r="H1062">
        <v>20</v>
      </c>
      <c r="I1062">
        <v>0.6</v>
      </c>
      <c r="J1062">
        <v>12</v>
      </c>
      <c r="K1062">
        <v>4.71</v>
      </c>
      <c r="L1062">
        <v>6.51</v>
      </c>
      <c r="M1062" t="s">
        <v>159</v>
      </c>
      <c r="N1062" t="s">
        <v>162</v>
      </c>
    </row>
    <row r="1063" spans="1:14" x14ac:dyDescent="0.3">
      <c r="A1063" t="s">
        <v>159</v>
      </c>
      <c r="B1063">
        <f>VLOOKUP(M1063,Sheet9!$I$1:$J$17,2,FALSE)</f>
        <v>11</v>
      </c>
      <c r="C1063">
        <f>VLOOKUP(N1063,Sheet9!$M$1:$N$2,2,FALSE)</f>
        <v>1</v>
      </c>
      <c r="D1063">
        <v>32</v>
      </c>
      <c r="E1063" t="s">
        <v>96</v>
      </c>
      <c r="F1063">
        <v>120</v>
      </c>
      <c r="H1063">
        <v>12</v>
      </c>
      <c r="I1063">
        <v>1.2</v>
      </c>
      <c r="J1063">
        <v>14.4</v>
      </c>
      <c r="K1063">
        <v>4.42</v>
      </c>
      <c r="L1063">
        <v>6.17</v>
      </c>
      <c r="M1063" t="s">
        <v>159</v>
      </c>
      <c r="N1063" t="s">
        <v>162</v>
      </c>
    </row>
    <row r="1064" spans="1:14" x14ac:dyDescent="0.3">
      <c r="A1064" t="s">
        <v>159</v>
      </c>
      <c r="B1064">
        <f>VLOOKUP(M1064,Sheet9!$I$1:$J$17,2,FALSE)</f>
        <v>11</v>
      </c>
      <c r="C1064">
        <f>VLOOKUP(N1064,Sheet9!$M$1:$N$2,2,FALSE)</f>
        <v>1</v>
      </c>
      <c r="D1064">
        <v>32</v>
      </c>
      <c r="E1064" t="s">
        <v>96</v>
      </c>
      <c r="F1064">
        <v>120</v>
      </c>
      <c r="H1064">
        <v>64</v>
      </c>
      <c r="I1064">
        <v>0.6</v>
      </c>
      <c r="J1064">
        <v>19.2</v>
      </c>
      <c r="K1064">
        <v>3.86</v>
      </c>
      <c r="L1064">
        <v>5.39</v>
      </c>
      <c r="M1064" t="s">
        <v>159</v>
      </c>
      <c r="N1064" t="s">
        <v>162</v>
      </c>
    </row>
    <row r="1065" spans="1:14" x14ac:dyDescent="0.3">
      <c r="A1065" t="s">
        <v>159</v>
      </c>
      <c r="B1065">
        <f>VLOOKUP(M1065,Sheet9!$I$1:$J$17,2,FALSE)</f>
        <v>11</v>
      </c>
      <c r="C1065">
        <f>VLOOKUP(N1065,Sheet9!$M$1:$N$2,2,FALSE)</f>
        <v>1</v>
      </c>
      <c r="D1065">
        <v>32</v>
      </c>
      <c r="E1065" t="s">
        <v>168</v>
      </c>
      <c r="F1065">
        <v>120</v>
      </c>
      <c r="H1065">
        <v>64</v>
      </c>
      <c r="I1065">
        <v>0.6</v>
      </c>
      <c r="J1065">
        <v>38.4</v>
      </c>
      <c r="K1065">
        <v>3.89</v>
      </c>
      <c r="L1065">
        <v>5.38</v>
      </c>
      <c r="M1065" t="s">
        <v>159</v>
      </c>
      <c r="N1065" t="s">
        <v>162</v>
      </c>
    </row>
    <row r="1066" spans="1:14" x14ac:dyDescent="0.3">
      <c r="A1066" t="s">
        <v>159</v>
      </c>
      <c r="B1066">
        <f>VLOOKUP(M1066,Sheet9!$I$1:$J$17,2,FALSE)</f>
        <v>11</v>
      </c>
      <c r="C1066">
        <f>VLOOKUP(N1066,Sheet9!$M$1:$N$2,2,FALSE)</f>
        <v>1</v>
      </c>
      <c r="D1066">
        <v>32</v>
      </c>
      <c r="E1066" t="s">
        <v>96</v>
      </c>
      <c r="F1066">
        <v>140</v>
      </c>
      <c r="H1066">
        <v>2</v>
      </c>
      <c r="I1066">
        <v>1</v>
      </c>
      <c r="J1066">
        <v>2</v>
      </c>
      <c r="K1066">
        <v>5.89</v>
      </c>
      <c r="L1066">
        <v>8.0299999999999994</v>
      </c>
      <c r="M1066" t="s">
        <v>159</v>
      </c>
      <c r="N1066" t="s">
        <v>162</v>
      </c>
    </row>
    <row r="1067" spans="1:14" x14ac:dyDescent="0.3">
      <c r="A1067" t="s">
        <v>159</v>
      </c>
      <c r="B1067">
        <f>VLOOKUP(M1067,Sheet9!$I$1:$J$17,2,FALSE)</f>
        <v>11</v>
      </c>
      <c r="C1067">
        <f>VLOOKUP(N1067,Sheet9!$M$1:$N$2,2,FALSE)</f>
        <v>1</v>
      </c>
      <c r="D1067">
        <v>32</v>
      </c>
      <c r="E1067" t="s">
        <v>96</v>
      </c>
      <c r="F1067">
        <v>140</v>
      </c>
      <c r="H1067">
        <v>6</v>
      </c>
      <c r="I1067">
        <v>0.6</v>
      </c>
      <c r="J1067">
        <v>3.6</v>
      </c>
      <c r="K1067">
        <v>9.5299999999999994</v>
      </c>
      <c r="L1067">
        <v>13</v>
      </c>
      <c r="M1067" t="s">
        <v>159</v>
      </c>
      <c r="N1067" t="s">
        <v>162</v>
      </c>
    </row>
    <row r="1068" spans="1:14" x14ac:dyDescent="0.3">
      <c r="A1068" t="s">
        <v>159</v>
      </c>
      <c r="B1068">
        <f>VLOOKUP(M1068,Sheet9!$I$1:$J$17,2,FALSE)</f>
        <v>11</v>
      </c>
      <c r="C1068">
        <f>VLOOKUP(N1068,Sheet9!$M$1:$N$2,2,FALSE)</f>
        <v>1</v>
      </c>
      <c r="D1068">
        <v>32</v>
      </c>
      <c r="E1068" t="s">
        <v>96</v>
      </c>
      <c r="F1068">
        <v>140</v>
      </c>
      <c r="H1068">
        <v>8</v>
      </c>
      <c r="I1068">
        <v>0.6</v>
      </c>
      <c r="J1068">
        <v>4.8</v>
      </c>
      <c r="K1068">
        <v>8.76</v>
      </c>
      <c r="L1068">
        <v>11.95</v>
      </c>
      <c r="M1068" t="s">
        <v>159</v>
      </c>
      <c r="N1068" t="s">
        <v>162</v>
      </c>
    </row>
    <row r="1069" spans="1:14" x14ac:dyDescent="0.3">
      <c r="A1069" t="s">
        <v>159</v>
      </c>
      <c r="B1069">
        <f>VLOOKUP(M1069,Sheet9!$I$1:$J$17,2,FALSE)</f>
        <v>11</v>
      </c>
      <c r="C1069">
        <f>VLOOKUP(N1069,Sheet9!$M$1:$N$2,2,FALSE)</f>
        <v>1</v>
      </c>
      <c r="D1069">
        <v>32</v>
      </c>
      <c r="E1069" t="s">
        <v>168</v>
      </c>
      <c r="F1069">
        <v>140</v>
      </c>
      <c r="H1069">
        <v>8</v>
      </c>
      <c r="I1069">
        <v>0.6</v>
      </c>
      <c r="J1069">
        <v>4.8</v>
      </c>
      <c r="K1069">
        <v>10.45</v>
      </c>
      <c r="L1069">
        <v>14.2</v>
      </c>
      <c r="M1069" t="s">
        <v>159</v>
      </c>
      <c r="N1069" t="s">
        <v>162</v>
      </c>
    </row>
    <row r="1070" spans="1:14" x14ac:dyDescent="0.3">
      <c r="A1070" t="s">
        <v>159</v>
      </c>
      <c r="B1070">
        <f>VLOOKUP(M1070,Sheet9!$I$1:$J$17,2,FALSE)</f>
        <v>11</v>
      </c>
      <c r="C1070">
        <f>VLOOKUP(N1070,Sheet9!$M$1:$N$2,2,FALSE)</f>
        <v>1</v>
      </c>
      <c r="D1070">
        <v>32</v>
      </c>
      <c r="E1070" t="s">
        <v>96</v>
      </c>
      <c r="F1070">
        <v>140</v>
      </c>
      <c r="H1070">
        <v>1</v>
      </c>
      <c r="I1070">
        <v>5</v>
      </c>
      <c r="J1070">
        <v>5</v>
      </c>
      <c r="K1070">
        <v>5.28</v>
      </c>
      <c r="L1070">
        <v>7.2</v>
      </c>
      <c r="M1070" t="s">
        <v>159</v>
      </c>
      <c r="N1070" t="s">
        <v>162</v>
      </c>
    </row>
    <row r="1071" spans="1:14" x14ac:dyDescent="0.3">
      <c r="A1071" t="s">
        <v>159</v>
      </c>
      <c r="B1071">
        <f>VLOOKUP(M1071,Sheet9!$I$1:$J$17,2,FALSE)</f>
        <v>11</v>
      </c>
      <c r="C1071">
        <f>VLOOKUP(N1071,Sheet9!$M$1:$N$2,2,FALSE)</f>
        <v>1</v>
      </c>
      <c r="D1071">
        <v>32</v>
      </c>
      <c r="E1071" t="s">
        <v>168</v>
      </c>
      <c r="F1071">
        <v>140</v>
      </c>
      <c r="H1071">
        <v>10</v>
      </c>
      <c r="I1071">
        <v>0.6</v>
      </c>
      <c r="J1071">
        <v>6</v>
      </c>
      <c r="K1071">
        <v>7.25</v>
      </c>
      <c r="L1071">
        <v>9.84</v>
      </c>
      <c r="M1071" t="s">
        <v>159</v>
      </c>
      <c r="N1071" t="s">
        <v>162</v>
      </c>
    </row>
    <row r="1072" spans="1:14" x14ac:dyDescent="0.3">
      <c r="A1072" t="s">
        <v>159</v>
      </c>
      <c r="B1072">
        <f>VLOOKUP(M1072,Sheet9!$I$1:$J$17,2,FALSE)</f>
        <v>11</v>
      </c>
      <c r="C1072">
        <f>VLOOKUP(N1072,Sheet9!$M$1:$N$2,2,FALSE)</f>
        <v>1</v>
      </c>
      <c r="D1072">
        <v>32</v>
      </c>
      <c r="E1072" t="s">
        <v>96</v>
      </c>
      <c r="F1072">
        <v>140</v>
      </c>
      <c r="H1072">
        <v>6</v>
      </c>
      <c r="I1072">
        <v>1.2</v>
      </c>
      <c r="J1072">
        <v>7.2</v>
      </c>
      <c r="K1072">
        <v>7.59</v>
      </c>
      <c r="L1072">
        <v>10.36</v>
      </c>
      <c r="M1072" t="s">
        <v>159</v>
      </c>
      <c r="N1072" t="s">
        <v>162</v>
      </c>
    </row>
    <row r="1073" spans="1:14" x14ac:dyDescent="0.3">
      <c r="A1073" t="s">
        <v>159</v>
      </c>
      <c r="B1073">
        <f>VLOOKUP(M1073,Sheet9!$I$1:$J$17,2,FALSE)</f>
        <v>11</v>
      </c>
      <c r="C1073">
        <f>VLOOKUP(N1073,Sheet9!$M$1:$N$2,2,FALSE)</f>
        <v>1</v>
      </c>
      <c r="D1073">
        <v>32</v>
      </c>
      <c r="E1073" t="s">
        <v>96</v>
      </c>
      <c r="F1073">
        <v>140</v>
      </c>
      <c r="H1073">
        <v>1</v>
      </c>
      <c r="I1073">
        <v>10</v>
      </c>
      <c r="J1073">
        <v>10</v>
      </c>
      <c r="K1073">
        <v>5.28</v>
      </c>
      <c r="L1073">
        <v>7.2</v>
      </c>
      <c r="M1073" t="s">
        <v>159</v>
      </c>
      <c r="N1073" t="s">
        <v>162</v>
      </c>
    </row>
    <row r="1074" spans="1:14" x14ac:dyDescent="0.3">
      <c r="A1074" t="s">
        <v>159</v>
      </c>
      <c r="B1074">
        <f>VLOOKUP(M1074,Sheet9!$I$1:$J$17,2,FALSE)</f>
        <v>11</v>
      </c>
      <c r="C1074">
        <f>VLOOKUP(N1074,Sheet9!$M$1:$N$2,2,FALSE)</f>
        <v>1</v>
      </c>
      <c r="D1074">
        <v>32</v>
      </c>
      <c r="E1074" t="s">
        <v>168</v>
      </c>
      <c r="F1074">
        <v>140</v>
      </c>
      <c r="H1074">
        <v>20</v>
      </c>
      <c r="I1074">
        <v>0.6</v>
      </c>
      <c r="J1074">
        <v>12</v>
      </c>
      <c r="K1074">
        <v>7.38</v>
      </c>
      <c r="L1074">
        <v>10.029999999999999</v>
      </c>
      <c r="M1074" t="s">
        <v>159</v>
      </c>
      <c r="N1074" t="s">
        <v>162</v>
      </c>
    </row>
    <row r="1075" spans="1:14" x14ac:dyDescent="0.3">
      <c r="A1075" t="s">
        <v>159</v>
      </c>
      <c r="B1075">
        <f>VLOOKUP(M1075,Sheet9!$I$1:$J$17,2,FALSE)</f>
        <v>11</v>
      </c>
      <c r="C1075">
        <f>VLOOKUP(N1075,Sheet9!$M$1:$N$2,2,FALSE)</f>
        <v>1</v>
      </c>
      <c r="D1075">
        <v>32</v>
      </c>
      <c r="E1075" t="s">
        <v>96</v>
      </c>
      <c r="F1075">
        <v>140</v>
      </c>
      <c r="H1075">
        <v>12</v>
      </c>
      <c r="I1075">
        <v>1.2</v>
      </c>
      <c r="J1075">
        <v>14.4</v>
      </c>
      <c r="K1075">
        <v>6.77</v>
      </c>
      <c r="L1075">
        <v>9.24</v>
      </c>
      <c r="M1075" t="s">
        <v>159</v>
      </c>
      <c r="N1075" t="s">
        <v>162</v>
      </c>
    </row>
    <row r="1076" spans="1:14" x14ac:dyDescent="0.3">
      <c r="A1076" t="s">
        <v>159</v>
      </c>
      <c r="B1076">
        <f>VLOOKUP(M1076,Sheet9!$I$1:$J$17,2,FALSE)</f>
        <v>11</v>
      </c>
      <c r="C1076">
        <f>VLOOKUP(N1076,Sheet9!$M$1:$N$2,2,FALSE)</f>
        <v>1</v>
      </c>
      <c r="D1076">
        <v>32</v>
      </c>
      <c r="E1076" t="s">
        <v>96</v>
      </c>
      <c r="F1076">
        <v>140</v>
      </c>
      <c r="H1076">
        <v>64</v>
      </c>
      <c r="I1076">
        <v>0.6</v>
      </c>
      <c r="J1076">
        <v>19.2</v>
      </c>
      <c r="K1076">
        <v>5.91</v>
      </c>
      <c r="L1076">
        <v>8.07</v>
      </c>
      <c r="M1076" t="s">
        <v>159</v>
      </c>
      <c r="N1076" t="s">
        <v>162</v>
      </c>
    </row>
    <row r="1077" spans="1:14" x14ac:dyDescent="0.3">
      <c r="A1077" t="s">
        <v>159</v>
      </c>
      <c r="B1077">
        <f>VLOOKUP(M1077,Sheet9!$I$1:$J$17,2,FALSE)</f>
        <v>11</v>
      </c>
      <c r="C1077">
        <f>VLOOKUP(N1077,Sheet9!$M$1:$N$2,2,FALSE)</f>
        <v>1</v>
      </c>
      <c r="D1077">
        <v>32</v>
      </c>
      <c r="E1077" t="s">
        <v>168</v>
      </c>
      <c r="F1077">
        <v>140</v>
      </c>
      <c r="H1077">
        <v>64</v>
      </c>
      <c r="I1077">
        <v>0.6</v>
      </c>
      <c r="J1077">
        <v>38.4</v>
      </c>
      <c r="K1077">
        <v>6.1</v>
      </c>
      <c r="L1077">
        <v>8.2799999999999994</v>
      </c>
      <c r="M1077" t="s">
        <v>159</v>
      </c>
      <c r="N1077" t="s">
        <v>162</v>
      </c>
    </row>
    <row r="1078" spans="1:14" x14ac:dyDescent="0.3">
      <c r="A1078" t="s">
        <v>82</v>
      </c>
      <c r="B1078">
        <f>VLOOKUP(M1078,Sheet9!$I$1:$J$17,2,FALSE)</f>
        <v>10</v>
      </c>
      <c r="C1078">
        <f>VLOOKUP(N1078,Sheet9!$M$1:$N$2,2,FALSE)</f>
        <v>1</v>
      </c>
      <c r="D1078">
        <v>16</v>
      </c>
      <c r="E1078" t="s">
        <v>95</v>
      </c>
      <c r="F1078">
        <v>70</v>
      </c>
      <c r="H1078">
        <v>6</v>
      </c>
      <c r="I1078">
        <v>0.6</v>
      </c>
      <c r="J1078">
        <f>H1078*I1078</f>
        <v>3.5999999999999996</v>
      </c>
      <c r="M1078" t="s">
        <v>82</v>
      </c>
      <c r="N1078" t="s">
        <v>162</v>
      </c>
    </row>
    <row r="1079" spans="1:14" x14ac:dyDescent="0.3">
      <c r="A1079" t="s">
        <v>82</v>
      </c>
      <c r="B1079">
        <f>VLOOKUP(M1079,Sheet9!$I$1:$J$17,2,FALSE)</f>
        <v>10</v>
      </c>
      <c r="C1079">
        <f>VLOOKUP(N1079,Sheet9!$M$1:$N$2,2,FALSE)</f>
        <v>1</v>
      </c>
      <c r="D1079">
        <v>16</v>
      </c>
      <c r="E1079" t="s">
        <v>95</v>
      </c>
      <c r="F1079">
        <v>70</v>
      </c>
      <c r="H1079">
        <v>1</v>
      </c>
      <c r="I1079">
        <v>5</v>
      </c>
      <c r="J1079">
        <f t="shared" ref="J1079:J1085" si="1">H1079*I1079</f>
        <v>5</v>
      </c>
      <c r="M1079" t="s">
        <v>82</v>
      </c>
      <c r="N1079" t="s">
        <v>162</v>
      </c>
    </row>
    <row r="1080" spans="1:14" x14ac:dyDescent="0.3">
      <c r="A1080" t="s">
        <v>82</v>
      </c>
      <c r="B1080">
        <f>VLOOKUP(M1080,Sheet9!$I$1:$J$17,2,FALSE)</f>
        <v>10</v>
      </c>
      <c r="C1080">
        <f>VLOOKUP(N1080,Sheet9!$M$1:$N$2,2,FALSE)</f>
        <v>1</v>
      </c>
      <c r="D1080">
        <v>16</v>
      </c>
      <c r="E1080" t="s">
        <v>95</v>
      </c>
      <c r="F1080">
        <v>70</v>
      </c>
      <c r="H1080">
        <v>1</v>
      </c>
      <c r="I1080">
        <v>10</v>
      </c>
      <c r="J1080">
        <f t="shared" si="1"/>
        <v>10</v>
      </c>
      <c r="K1080">
        <v>3.16</v>
      </c>
      <c r="L1080">
        <v>3.4</v>
      </c>
      <c r="M1080" t="s">
        <v>82</v>
      </c>
      <c r="N1080" t="s">
        <v>162</v>
      </c>
    </row>
    <row r="1081" spans="1:14" x14ac:dyDescent="0.3">
      <c r="A1081" t="s">
        <v>82</v>
      </c>
      <c r="B1081">
        <f>VLOOKUP(M1081,Sheet9!$I$1:$J$17,2,FALSE)</f>
        <v>10</v>
      </c>
      <c r="C1081">
        <f>VLOOKUP(N1081,Sheet9!$M$1:$N$2,2,FALSE)</f>
        <v>1</v>
      </c>
      <c r="D1081">
        <v>16</v>
      </c>
      <c r="E1081" t="s">
        <v>95</v>
      </c>
      <c r="F1081">
        <v>70</v>
      </c>
      <c r="H1081">
        <v>3</v>
      </c>
      <c r="I1081">
        <v>3</v>
      </c>
      <c r="J1081">
        <f t="shared" si="1"/>
        <v>9</v>
      </c>
      <c r="M1081" t="s">
        <v>82</v>
      </c>
      <c r="N1081" t="s">
        <v>162</v>
      </c>
    </row>
    <row r="1082" spans="1:14" x14ac:dyDescent="0.3">
      <c r="A1082" t="s">
        <v>82</v>
      </c>
      <c r="B1082">
        <f>VLOOKUP(M1082,Sheet9!$I$1:$J$17,2,FALSE)</f>
        <v>10</v>
      </c>
      <c r="C1082">
        <f>VLOOKUP(N1082,Sheet9!$M$1:$N$2,2,FALSE)</f>
        <v>1</v>
      </c>
      <c r="D1082">
        <v>16</v>
      </c>
      <c r="E1082" t="s">
        <v>95</v>
      </c>
      <c r="F1082">
        <v>70</v>
      </c>
      <c r="H1082">
        <v>3</v>
      </c>
      <c r="I1082">
        <v>5</v>
      </c>
      <c r="J1082">
        <f t="shared" si="1"/>
        <v>15</v>
      </c>
      <c r="M1082" t="s">
        <v>82</v>
      </c>
      <c r="N1082" t="s">
        <v>162</v>
      </c>
    </row>
    <row r="1083" spans="1:14" x14ac:dyDescent="0.3">
      <c r="A1083" t="s">
        <v>82</v>
      </c>
      <c r="B1083">
        <f>VLOOKUP(M1083,Sheet9!$I$1:$J$17,2,FALSE)</f>
        <v>10</v>
      </c>
      <c r="C1083">
        <f>VLOOKUP(N1083,Sheet9!$M$1:$N$2,2,FALSE)</f>
        <v>1</v>
      </c>
      <c r="D1083">
        <v>16</v>
      </c>
      <c r="E1083" t="s">
        <v>167</v>
      </c>
      <c r="F1083">
        <v>70</v>
      </c>
      <c r="H1083">
        <v>32</v>
      </c>
      <c r="I1083">
        <v>0.6</v>
      </c>
      <c r="J1083">
        <f t="shared" si="1"/>
        <v>19.2</v>
      </c>
      <c r="K1083">
        <v>4.47</v>
      </c>
      <c r="L1083">
        <v>4.8</v>
      </c>
      <c r="M1083" t="s">
        <v>82</v>
      </c>
      <c r="N1083" t="s">
        <v>162</v>
      </c>
    </row>
    <row r="1084" spans="1:14" x14ac:dyDescent="0.3">
      <c r="A1084" t="s">
        <v>82</v>
      </c>
      <c r="B1084">
        <f>VLOOKUP(M1084,Sheet9!$I$1:$J$17,2,FALSE)</f>
        <v>10</v>
      </c>
      <c r="C1084">
        <f>VLOOKUP(N1084,Sheet9!$M$1:$N$2,2,FALSE)</f>
        <v>1</v>
      </c>
      <c r="D1084">
        <v>16</v>
      </c>
      <c r="E1084" t="s">
        <v>95</v>
      </c>
      <c r="F1084">
        <v>70</v>
      </c>
      <c r="H1084">
        <v>64</v>
      </c>
      <c r="I1084">
        <v>0.6</v>
      </c>
      <c r="J1084">
        <f t="shared" si="1"/>
        <v>38.4</v>
      </c>
      <c r="K1084">
        <v>3.93</v>
      </c>
      <c r="L1084">
        <v>4.24</v>
      </c>
      <c r="M1084" t="s">
        <v>82</v>
      </c>
      <c r="N1084" t="s">
        <v>162</v>
      </c>
    </row>
    <row r="1085" spans="1:14" x14ac:dyDescent="0.3">
      <c r="A1085" t="s">
        <v>82</v>
      </c>
      <c r="B1085">
        <f>VLOOKUP(M1085,Sheet9!$I$1:$J$17,2,FALSE)</f>
        <v>10</v>
      </c>
      <c r="C1085">
        <f>VLOOKUP(N1085,Sheet9!$M$1:$N$2,2,FALSE)</f>
        <v>1</v>
      </c>
      <c r="D1085">
        <v>16</v>
      </c>
      <c r="E1085" t="s">
        <v>167</v>
      </c>
      <c r="F1085">
        <v>70</v>
      </c>
      <c r="H1085">
        <v>128</v>
      </c>
      <c r="I1085">
        <v>0.6</v>
      </c>
      <c r="J1085">
        <f t="shared" si="1"/>
        <v>76.8</v>
      </c>
      <c r="K1085">
        <v>3.91</v>
      </c>
      <c r="L1085">
        <v>4.21</v>
      </c>
      <c r="M1085" t="s">
        <v>82</v>
      </c>
      <c r="N1085" t="s">
        <v>162</v>
      </c>
    </row>
    <row r="1086" spans="1:14" x14ac:dyDescent="0.3">
      <c r="A1086" t="s">
        <v>82</v>
      </c>
      <c r="B1086">
        <f>VLOOKUP(M1086,Sheet9!$I$1:$J$17,2,FALSE)</f>
        <v>10</v>
      </c>
      <c r="C1086">
        <f>VLOOKUP(N1086,Sheet9!$M$1:$N$2,2,FALSE)</f>
        <v>1</v>
      </c>
      <c r="D1086">
        <v>16</v>
      </c>
      <c r="E1086" t="s">
        <v>95</v>
      </c>
      <c r="F1086">
        <v>80</v>
      </c>
      <c r="H1086">
        <v>6</v>
      </c>
      <c r="I1086">
        <v>0.6</v>
      </c>
      <c r="J1086">
        <v>3.5999999999999996</v>
      </c>
      <c r="M1086" t="s">
        <v>82</v>
      </c>
      <c r="N1086" t="s">
        <v>162</v>
      </c>
    </row>
    <row r="1087" spans="1:14" x14ac:dyDescent="0.3">
      <c r="A1087" t="s">
        <v>82</v>
      </c>
      <c r="B1087">
        <f>VLOOKUP(M1087,Sheet9!$I$1:$J$17,2,FALSE)</f>
        <v>10</v>
      </c>
      <c r="C1087">
        <f>VLOOKUP(N1087,Sheet9!$M$1:$N$2,2,FALSE)</f>
        <v>1</v>
      </c>
      <c r="D1087">
        <v>16</v>
      </c>
      <c r="E1087" t="s">
        <v>95</v>
      </c>
      <c r="F1087">
        <v>80</v>
      </c>
      <c r="H1087">
        <v>1</v>
      </c>
      <c r="I1087">
        <v>5</v>
      </c>
      <c r="J1087">
        <v>5</v>
      </c>
      <c r="M1087" t="s">
        <v>82</v>
      </c>
      <c r="N1087" t="s">
        <v>162</v>
      </c>
    </row>
    <row r="1088" spans="1:14" x14ac:dyDescent="0.3">
      <c r="A1088" t="s">
        <v>82</v>
      </c>
      <c r="B1088">
        <f>VLOOKUP(M1088,Sheet9!$I$1:$J$17,2,FALSE)</f>
        <v>10</v>
      </c>
      <c r="C1088">
        <f>VLOOKUP(N1088,Sheet9!$M$1:$N$2,2,FALSE)</f>
        <v>1</v>
      </c>
      <c r="D1088">
        <v>16</v>
      </c>
      <c r="E1088" t="s">
        <v>95</v>
      </c>
      <c r="F1088">
        <v>80</v>
      </c>
      <c r="H1088">
        <v>1</v>
      </c>
      <c r="I1088">
        <v>10</v>
      </c>
      <c r="J1088">
        <v>10</v>
      </c>
      <c r="K1088">
        <v>4.87</v>
      </c>
      <c r="L1088">
        <v>5.14</v>
      </c>
      <c r="M1088" t="s">
        <v>82</v>
      </c>
      <c r="N1088" t="s">
        <v>162</v>
      </c>
    </row>
    <row r="1089" spans="1:14" x14ac:dyDescent="0.3">
      <c r="A1089" t="s">
        <v>82</v>
      </c>
      <c r="B1089">
        <f>VLOOKUP(M1089,Sheet9!$I$1:$J$17,2,FALSE)</f>
        <v>10</v>
      </c>
      <c r="C1089">
        <f>VLOOKUP(N1089,Sheet9!$M$1:$N$2,2,FALSE)</f>
        <v>1</v>
      </c>
      <c r="D1089">
        <v>16</v>
      </c>
      <c r="E1089" t="s">
        <v>95</v>
      </c>
      <c r="F1089">
        <v>80</v>
      </c>
      <c r="H1089">
        <v>3</v>
      </c>
      <c r="I1089">
        <v>3</v>
      </c>
      <c r="J1089">
        <v>9</v>
      </c>
      <c r="M1089" t="s">
        <v>82</v>
      </c>
      <c r="N1089" t="s">
        <v>162</v>
      </c>
    </row>
    <row r="1090" spans="1:14" x14ac:dyDescent="0.3">
      <c r="A1090" t="s">
        <v>82</v>
      </c>
      <c r="B1090">
        <f>VLOOKUP(M1090,Sheet9!$I$1:$J$17,2,FALSE)</f>
        <v>10</v>
      </c>
      <c r="C1090">
        <f>VLOOKUP(N1090,Sheet9!$M$1:$N$2,2,FALSE)</f>
        <v>1</v>
      </c>
      <c r="D1090">
        <v>16</v>
      </c>
      <c r="E1090" t="s">
        <v>95</v>
      </c>
      <c r="F1090">
        <v>80</v>
      </c>
      <c r="H1090">
        <v>3</v>
      </c>
      <c r="I1090">
        <v>5</v>
      </c>
      <c r="J1090">
        <v>15</v>
      </c>
      <c r="M1090" t="s">
        <v>82</v>
      </c>
      <c r="N1090" t="s">
        <v>162</v>
      </c>
    </row>
    <row r="1091" spans="1:14" x14ac:dyDescent="0.3">
      <c r="A1091" t="s">
        <v>82</v>
      </c>
      <c r="B1091">
        <f>VLOOKUP(M1091,Sheet9!$I$1:$J$17,2,FALSE)</f>
        <v>10</v>
      </c>
      <c r="C1091">
        <f>VLOOKUP(N1091,Sheet9!$M$1:$N$2,2,FALSE)</f>
        <v>1</v>
      </c>
      <c r="D1091">
        <v>16</v>
      </c>
      <c r="E1091" t="s">
        <v>167</v>
      </c>
      <c r="F1091">
        <v>80</v>
      </c>
      <c r="H1091">
        <v>32</v>
      </c>
      <c r="I1091">
        <v>0.6</v>
      </c>
      <c r="J1091">
        <v>19.2</v>
      </c>
      <c r="K1091">
        <v>6.88</v>
      </c>
      <c r="L1091">
        <v>7.25</v>
      </c>
      <c r="M1091" t="s">
        <v>82</v>
      </c>
      <c r="N1091" t="s">
        <v>162</v>
      </c>
    </row>
    <row r="1092" spans="1:14" x14ac:dyDescent="0.3">
      <c r="A1092" t="s">
        <v>82</v>
      </c>
      <c r="B1092">
        <f>VLOOKUP(M1092,Sheet9!$I$1:$J$17,2,FALSE)</f>
        <v>10</v>
      </c>
      <c r="C1092">
        <f>VLOOKUP(N1092,Sheet9!$M$1:$N$2,2,FALSE)</f>
        <v>1</v>
      </c>
      <c r="D1092">
        <v>16</v>
      </c>
      <c r="E1092" t="s">
        <v>95</v>
      </c>
      <c r="F1092">
        <v>80</v>
      </c>
      <c r="H1092">
        <v>64</v>
      </c>
      <c r="I1092">
        <v>0.6</v>
      </c>
      <c r="J1092">
        <v>38.4</v>
      </c>
      <c r="K1092">
        <v>6.05</v>
      </c>
      <c r="L1092">
        <v>6.42</v>
      </c>
      <c r="M1092" t="s">
        <v>82</v>
      </c>
      <c r="N1092" t="s">
        <v>162</v>
      </c>
    </row>
    <row r="1093" spans="1:14" x14ac:dyDescent="0.3">
      <c r="A1093" t="s">
        <v>82</v>
      </c>
      <c r="B1093">
        <f>VLOOKUP(M1093,Sheet9!$I$1:$J$17,2,FALSE)</f>
        <v>10</v>
      </c>
      <c r="C1093">
        <f>VLOOKUP(N1093,Sheet9!$M$1:$N$2,2,FALSE)</f>
        <v>1</v>
      </c>
      <c r="D1093">
        <v>16</v>
      </c>
      <c r="E1093" t="s">
        <v>167</v>
      </c>
      <c r="F1093">
        <v>80</v>
      </c>
      <c r="H1093">
        <v>128</v>
      </c>
      <c r="I1093">
        <v>0.6</v>
      </c>
      <c r="J1093">
        <v>76.8</v>
      </c>
      <c r="K1093">
        <v>6.02</v>
      </c>
      <c r="L1093">
        <v>6.37</v>
      </c>
      <c r="M1093" t="s">
        <v>82</v>
      </c>
      <c r="N1093" t="s">
        <v>162</v>
      </c>
    </row>
    <row r="1094" spans="1:14" x14ac:dyDescent="0.3">
      <c r="A1094" t="s">
        <v>82</v>
      </c>
      <c r="B1094">
        <f>VLOOKUP(M1094,Sheet9!$I$1:$J$17,2,FALSE)</f>
        <v>10</v>
      </c>
      <c r="C1094">
        <f>VLOOKUP(N1094,Sheet9!$M$1:$N$2,2,FALSE)</f>
        <v>1</v>
      </c>
      <c r="D1094">
        <v>16</v>
      </c>
      <c r="E1094" t="s">
        <v>95</v>
      </c>
      <c r="F1094">
        <v>90</v>
      </c>
      <c r="H1094">
        <v>6</v>
      </c>
      <c r="I1094">
        <v>0.6</v>
      </c>
      <c r="J1094">
        <v>3.5999999999999996</v>
      </c>
      <c r="M1094" t="s">
        <v>82</v>
      </c>
      <c r="N1094" t="s">
        <v>162</v>
      </c>
    </row>
    <row r="1095" spans="1:14" x14ac:dyDescent="0.3">
      <c r="A1095" t="s">
        <v>82</v>
      </c>
      <c r="B1095">
        <f>VLOOKUP(M1095,Sheet9!$I$1:$J$17,2,FALSE)</f>
        <v>10</v>
      </c>
      <c r="C1095">
        <f>VLOOKUP(N1095,Sheet9!$M$1:$N$2,2,FALSE)</f>
        <v>1</v>
      </c>
      <c r="D1095">
        <v>16</v>
      </c>
      <c r="E1095" t="s">
        <v>95</v>
      </c>
      <c r="F1095">
        <v>90</v>
      </c>
      <c r="H1095">
        <v>1</v>
      </c>
      <c r="I1095">
        <v>5</v>
      </c>
      <c r="J1095">
        <v>5</v>
      </c>
      <c r="M1095" t="s">
        <v>82</v>
      </c>
      <c r="N1095" t="s">
        <v>162</v>
      </c>
    </row>
    <row r="1096" spans="1:14" x14ac:dyDescent="0.3">
      <c r="A1096" t="s">
        <v>82</v>
      </c>
      <c r="B1096">
        <f>VLOOKUP(M1096,Sheet9!$I$1:$J$17,2,FALSE)</f>
        <v>10</v>
      </c>
      <c r="C1096">
        <f>VLOOKUP(N1096,Sheet9!$M$1:$N$2,2,FALSE)</f>
        <v>1</v>
      </c>
      <c r="D1096">
        <v>16</v>
      </c>
      <c r="E1096" t="s">
        <v>95</v>
      </c>
      <c r="F1096">
        <v>90</v>
      </c>
      <c r="H1096">
        <v>1</v>
      </c>
      <c r="I1096">
        <v>10</v>
      </c>
      <c r="J1096">
        <v>10</v>
      </c>
      <c r="K1096">
        <v>6.88</v>
      </c>
      <c r="L1096">
        <v>7.19</v>
      </c>
      <c r="M1096" t="s">
        <v>82</v>
      </c>
      <c r="N1096" t="s">
        <v>162</v>
      </c>
    </row>
    <row r="1097" spans="1:14" x14ac:dyDescent="0.3">
      <c r="A1097" t="s">
        <v>82</v>
      </c>
      <c r="B1097">
        <f>VLOOKUP(M1097,Sheet9!$I$1:$J$17,2,FALSE)</f>
        <v>10</v>
      </c>
      <c r="C1097">
        <f>VLOOKUP(N1097,Sheet9!$M$1:$N$2,2,FALSE)</f>
        <v>1</v>
      </c>
      <c r="D1097">
        <v>16</v>
      </c>
      <c r="E1097" t="s">
        <v>95</v>
      </c>
      <c r="F1097">
        <v>90</v>
      </c>
      <c r="H1097">
        <v>3</v>
      </c>
      <c r="I1097">
        <v>3</v>
      </c>
      <c r="J1097">
        <v>9</v>
      </c>
      <c r="M1097" t="s">
        <v>82</v>
      </c>
      <c r="N1097" t="s">
        <v>162</v>
      </c>
    </row>
    <row r="1098" spans="1:14" x14ac:dyDescent="0.3">
      <c r="A1098" t="s">
        <v>82</v>
      </c>
      <c r="B1098">
        <f>VLOOKUP(M1098,Sheet9!$I$1:$J$17,2,FALSE)</f>
        <v>10</v>
      </c>
      <c r="C1098">
        <f>VLOOKUP(N1098,Sheet9!$M$1:$N$2,2,FALSE)</f>
        <v>1</v>
      </c>
      <c r="D1098">
        <v>16</v>
      </c>
      <c r="E1098" t="s">
        <v>95</v>
      </c>
      <c r="F1098">
        <v>90</v>
      </c>
      <c r="H1098">
        <v>3</v>
      </c>
      <c r="I1098">
        <v>5</v>
      </c>
      <c r="J1098">
        <v>15</v>
      </c>
      <c r="M1098" t="s">
        <v>82</v>
      </c>
      <c r="N1098" t="s">
        <v>162</v>
      </c>
    </row>
    <row r="1099" spans="1:14" x14ac:dyDescent="0.3">
      <c r="A1099" t="s">
        <v>82</v>
      </c>
      <c r="B1099">
        <f>VLOOKUP(M1099,Sheet9!$I$1:$J$17,2,FALSE)</f>
        <v>10</v>
      </c>
      <c r="C1099">
        <f>VLOOKUP(N1099,Sheet9!$M$1:$N$2,2,FALSE)</f>
        <v>1</v>
      </c>
      <c r="D1099">
        <v>16</v>
      </c>
      <c r="E1099" t="s">
        <v>167</v>
      </c>
      <c r="F1099">
        <v>90</v>
      </c>
      <c r="H1099">
        <v>32</v>
      </c>
      <c r="I1099">
        <v>0.6</v>
      </c>
      <c r="J1099">
        <v>19.2</v>
      </c>
      <c r="K1099">
        <v>9.73</v>
      </c>
      <c r="L1099">
        <v>10.15</v>
      </c>
      <c r="M1099" t="s">
        <v>82</v>
      </c>
      <c r="N1099" t="s">
        <v>162</v>
      </c>
    </row>
    <row r="1100" spans="1:14" x14ac:dyDescent="0.3">
      <c r="A1100" t="s">
        <v>82</v>
      </c>
      <c r="B1100">
        <f>VLOOKUP(M1100,Sheet9!$I$1:$J$17,2,FALSE)</f>
        <v>10</v>
      </c>
      <c r="C1100">
        <f>VLOOKUP(N1100,Sheet9!$M$1:$N$2,2,FALSE)</f>
        <v>1</v>
      </c>
      <c r="D1100">
        <v>16</v>
      </c>
      <c r="E1100" t="s">
        <v>95</v>
      </c>
      <c r="F1100">
        <v>90</v>
      </c>
      <c r="H1100">
        <v>64</v>
      </c>
      <c r="I1100">
        <v>0.6</v>
      </c>
      <c r="J1100">
        <v>38.4</v>
      </c>
      <c r="K1100">
        <v>8.56</v>
      </c>
      <c r="L1100">
        <v>8.9700000000000006</v>
      </c>
      <c r="M1100" t="s">
        <v>82</v>
      </c>
      <c r="N1100" t="s">
        <v>162</v>
      </c>
    </row>
    <row r="1101" spans="1:14" x14ac:dyDescent="0.3">
      <c r="A1101" t="s">
        <v>82</v>
      </c>
      <c r="B1101">
        <f>VLOOKUP(M1101,Sheet9!$I$1:$J$17,2,FALSE)</f>
        <v>10</v>
      </c>
      <c r="C1101">
        <f>VLOOKUP(N1101,Sheet9!$M$1:$N$2,2,FALSE)</f>
        <v>1</v>
      </c>
      <c r="D1101">
        <v>16</v>
      </c>
      <c r="E1101" t="s">
        <v>167</v>
      </c>
      <c r="F1101">
        <v>90</v>
      </c>
      <c r="H1101">
        <v>128</v>
      </c>
      <c r="I1101">
        <v>0.6</v>
      </c>
      <c r="J1101">
        <v>76.8</v>
      </c>
      <c r="K1101">
        <v>8.52</v>
      </c>
      <c r="L1101">
        <v>8.9</v>
      </c>
      <c r="M1101" t="s">
        <v>82</v>
      </c>
      <c r="N1101" t="s">
        <v>162</v>
      </c>
    </row>
    <row r="1102" spans="1:14" x14ac:dyDescent="0.3">
      <c r="A1102" t="s">
        <v>82</v>
      </c>
      <c r="B1102">
        <f>VLOOKUP(M1102,Sheet9!$I$1:$J$17,2,FALSE)</f>
        <v>10</v>
      </c>
      <c r="C1102">
        <f>VLOOKUP(N1102,Sheet9!$M$1:$N$2,2,FALSE)</f>
        <v>1</v>
      </c>
      <c r="D1102">
        <v>16</v>
      </c>
      <c r="E1102" t="s">
        <v>95</v>
      </c>
      <c r="F1102">
        <v>100</v>
      </c>
      <c r="H1102">
        <v>6</v>
      </c>
      <c r="I1102">
        <v>0.6</v>
      </c>
      <c r="J1102">
        <v>3.5999999999999996</v>
      </c>
      <c r="M1102" t="s">
        <v>82</v>
      </c>
      <c r="N1102" t="s">
        <v>162</v>
      </c>
    </row>
    <row r="1103" spans="1:14" x14ac:dyDescent="0.3">
      <c r="A1103" t="s">
        <v>82</v>
      </c>
      <c r="B1103">
        <f>VLOOKUP(M1103,Sheet9!$I$1:$J$17,2,FALSE)</f>
        <v>10</v>
      </c>
      <c r="C1103">
        <f>VLOOKUP(N1103,Sheet9!$M$1:$N$2,2,FALSE)</f>
        <v>1</v>
      </c>
      <c r="D1103">
        <v>16</v>
      </c>
      <c r="E1103" t="s">
        <v>95</v>
      </c>
      <c r="F1103">
        <v>100</v>
      </c>
      <c r="H1103">
        <v>1</v>
      </c>
      <c r="I1103">
        <v>5</v>
      </c>
      <c r="J1103">
        <v>5</v>
      </c>
      <c r="M1103" t="s">
        <v>82</v>
      </c>
      <c r="N1103" t="s">
        <v>162</v>
      </c>
    </row>
    <row r="1104" spans="1:14" x14ac:dyDescent="0.3">
      <c r="A1104" t="s">
        <v>82</v>
      </c>
      <c r="B1104">
        <f>VLOOKUP(M1104,Sheet9!$I$1:$J$17,2,FALSE)</f>
        <v>10</v>
      </c>
      <c r="C1104">
        <f>VLOOKUP(N1104,Sheet9!$M$1:$N$2,2,FALSE)</f>
        <v>1</v>
      </c>
      <c r="D1104">
        <v>16</v>
      </c>
      <c r="E1104" t="s">
        <v>95</v>
      </c>
      <c r="F1104">
        <v>100</v>
      </c>
      <c r="H1104">
        <v>1</v>
      </c>
      <c r="I1104">
        <v>10</v>
      </c>
      <c r="J1104">
        <v>10</v>
      </c>
      <c r="K1104">
        <v>9.15</v>
      </c>
      <c r="L1104">
        <v>9.49</v>
      </c>
      <c r="M1104" t="s">
        <v>82</v>
      </c>
      <c r="N1104" t="s">
        <v>162</v>
      </c>
    </row>
    <row r="1105" spans="1:14" x14ac:dyDescent="0.3">
      <c r="A1105" t="s">
        <v>82</v>
      </c>
      <c r="B1105">
        <f>VLOOKUP(M1105,Sheet9!$I$1:$J$17,2,FALSE)</f>
        <v>10</v>
      </c>
      <c r="C1105">
        <f>VLOOKUP(N1105,Sheet9!$M$1:$N$2,2,FALSE)</f>
        <v>1</v>
      </c>
      <c r="D1105">
        <v>16</v>
      </c>
      <c r="E1105" t="s">
        <v>95</v>
      </c>
      <c r="F1105">
        <v>100</v>
      </c>
      <c r="H1105">
        <v>3</v>
      </c>
      <c r="I1105">
        <v>3</v>
      </c>
      <c r="J1105">
        <v>9</v>
      </c>
      <c r="M1105" t="s">
        <v>82</v>
      </c>
      <c r="N1105" t="s">
        <v>162</v>
      </c>
    </row>
    <row r="1106" spans="1:14" x14ac:dyDescent="0.3">
      <c r="A1106" t="s">
        <v>82</v>
      </c>
      <c r="B1106">
        <f>VLOOKUP(M1106,Sheet9!$I$1:$J$17,2,FALSE)</f>
        <v>10</v>
      </c>
      <c r="C1106">
        <f>VLOOKUP(N1106,Sheet9!$M$1:$N$2,2,FALSE)</f>
        <v>1</v>
      </c>
      <c r="D1106">
        <v>16</v>
      </c>
      <c r="E1106" t="s">
        <v>95</v>
      </c>
      <c r="F1106">
        <v>100</v>
      </c>
      <c r="H1106">
        <v>3</v>
      </c>
      <c r="I1106">
        <v>5</v>
      </c>
      <c r="J1106">
        <v>15</v>
      </c>
      <c r="M1106" t="s">
        <v>82</v>
      </c>
      <c r="N1106" t="s">
        <v>162</v>
      </c>
    </row>
    <row r="1107" spans="1:14" x14ac:dyDescent="0.3">
      <c r="A1107" t="s">
        <v>82</v>
      </c>
      <c r="B1107">
        <f>VLOOKUP(M1107,Sheet9!$I$1:$J$17,2,FALSE)</f>
        <v>10</v>
      </c>
      <c r="C1107">
        <f>VLOOKUP(N1107,Sheet9!$M$1:$N$2,2,FALSE)</f>
        <v>1</v>
      </c>
      <c r="D1107">
        <v>16</v>
      </c>
      <c r="E1107" t="s">
        <v>167</v>
      </c>
      <c r="F1107">
        <v>100</v>
      </c>
      <c r="H1107">
        <v>32</v>
      </c>
      <c r="I1107">
        <v>0.6</v>
      </c>
      <c r="J1107">
        <v>19.2</v>
      </c>
      <c r="K1107">
        <v>12.95</v>
      </c>
      <c r="L1107">
        <v>13.39</v>
      </c>
      <c r="M1107" t="s">
        <v>82</v>
      </c>
      <c r="N1107" t="s">
        <v>162</v>
      </c>
    </row>
    <row r="1108" spans="1:14" x14ac:dyDescent="0.3">
      <c r="A1108" t="s">
        <v>82</v>
      </c>
      <c r="B1108">
        <f>VLOOKUP(M1108,Sheet9!$I$1:$J$17,2,FALSE)</f>
        <v>10</v>
      </c>
      <c r="C1108">
        <f>VLOOKUP(N1108,Sheet9!$M$1:$N$2,2,FALSE)</f>
        <v>1</v>
      </c>
      <c r="D1108">
        <v>16</v>
      </c>
      <c r="E1108" t="s">
        <v>95</v>
      </c>
      <c r="F1108">
        <v>100</v>
      </c>
      <c r="H1108">
        <v>64</v>
      </c>
      <c r="I1108">
        <v>0.6</v>
      </c>
      <c r="J1108">
        <v>38.4</v>
      </c>
      <c r="K1108">
        <v>11.38</v>
      </c>
      <c r="L1108">
        <v>11.84</v>
      </c>
      <c r="M1108" t="s">
        <v>82</v>
      </c>
      <c r="N1108" t="s">
        <v>162</v>
      </c>
    </row>
    <row r="1109" spans="1:14" x14ac:dyDescent="0.3">
      <c r="A1109" t="s">
        <v>82</v>
      </c>
      <c r="B1109">
        <f>VLOOKUP(M1109,Sheet9!$I$1:$J$17,2,FALSE)</f>
        <v>10</v>
      </c>
      <c r="C1109">
        <f>VLOOKUP(N1109,Sheet9!$M$1:$N$2,2,FALSE)</f>
        <v>1</v>
      </c>
      <c r="D1109">
        <v>16</v>
      </c>
      <c r="E1109" t="s">
        <v>167</v>
      </c>
      <c r="F1109">
        <v>100</v>
      </c>
      <c r="H1109">
        <v>128</v>
      </c>
      <c r="I1109">
        <v>0.6</v>
      </c>
      <c r="J1109">
        <v>76.8</v>
      </c>
      <c r="K1109">
        <v>11.33</v>
      </c>
      <c r="L1109">
        <v>11.75</v>
      </c>
      <c r="M1109" t="s">
        <v>82</v>
      </c>
      <c r="N1109" t="s">
        <v>162</v>
      </c>
    </row>
    <row r="1110" spans="1:14" x14ac:dyDescent="0.3">
      <c r="A1110" t="s">
        <v>82</v>
      </c>
      <c r="B1110">
        <f>VLOOKUP(M1110,Sheet9!$I$1:$J$17,2,FALSE)</f>
        <v>10</v>
      </c>
      <c r="C1110">
        <f>VLOOKUP(N1110,Sheet9!$M$1:$N$2,2,FALSE)</f>
        <v>1</v>
      </c>
      <c r="D1110">
        <v>16</v>
      </c>
      <c r="E1110" t="s">
        <v>95</v>
      </c>
      <c r="F1110">
        <v>110</v>
      </c>
      <c r="H1110">
        <v>6</v>
      </c>
      <c r="I1110">
        <v>0.6</v>
      </c>
      <c r="J1110">
        <v>3.5999999999999996</v>
      </c>
      <c r="M1110" t="s">
        <v>82</v>
      </c>
      <c r="N1110" t="s">
        <v>162</v>
      </c>
    </row>
    <row r="1111" spans="1:14" x14ac:dyDescent="0.3">
      <c r="A1111" t="s">
        <v>82</v>
      </c>
      <c r="B1111">
        <f>VLOOKUP(M1111,Sheet9!$I$1:$J$17,2,FALSE)</f>
        <v>10</v>
      </c>
      <c r="C1111">
        <f>VLOOKUP(N1111,Sheet9!$M$1:$N$2,2,FALSE)</f>
        <v>1</v>
      </c>
      <c r="D1111">
        <v>16</v>
      </c>
      <c r="E1111" t="s">
        <v>95</v>
      </c>
      <c r="F1111">
        <v>110</v>
      </c>
      <c r="H1111">
        <v>1</v>
      </c>
      <c r="I1111">
        <v>5</v>
      </c>
      <c r="J1111">
        <v>5</v>
      </c>
      <c r="M1111" t="s">
        <v>82</v>
      </c>
      <c r="N1111" t="s">
        <v>162</v>
      </c>
    </row>
    <row r="1112" spans="1:14" x14ac:dyDescent="0.3">
      <c r="A1112" t="s">
        <v>82</v>
      </c>
      <c r="B1112">
        <f>VLOOKUP(M1112,Sheet9!$I$1:$J$17,2,FALSE)</f>
        <v>10</v>
      </c>
      <c r="C1112">
        <f>VLOOKUP(N1112,Sheet9!$M$1:$N$2,2,FALSE)</f>
        <v>1</v>
      </c>
      <c r="D1112">
        <v>16</v>
      </c>
      <c r="E1112" t="s">
        <v>95</v>
      </c>
      <c r="F1112">
        <v>110</v>
      </c>
      <c r="H1112">
        <v>1</v>
      </c>
      <c r="I1112">
        <v>10</v>
      </c>
      <c r="J1112">
        <v>10</v>
      </c>
      <c r="K1112">
        <v>11.63</v>
      </c>
      <c r="L1112">
        <v>12.01</v>
      </c>
      <c r="M1112" t="s">
        <v>82</v>
      </c>
      <c r="N1112" t="s">
        <v>162</v>
      </c>
    </row>
    <row r="1113" spans="1:14" x14ac:dyDescent="0.3">
      <c r="A1113" t="s">
        <v>82</v>
      </c>
      <c r="B1113">
        <f>VLOOKUP(M1113,Sheet9!$I$1:$J$17,2,FALSE)</f>
        <v>10</v>
      </c>
      <c r="C1113">
        <f>VLOOKUP(N1113,Sheet9!$M$1:$N$2,2,FALSE)</f>
        <v>1</v>
      </c>
      <c r="D1113">
        <v>16</v>
      </c>
      <c r="E1113" t="s">
        <v>95</v>
      </c>
      <c r="F1113">
        <v>110</v>
      </c>
      <c r="H1113">
        <v>3</v>
      </c>
      <c r="I1113">
        <v>3</v>
      </c>
      <c r="J1113">
        <v>9</v>
      </c>
      <c r="M1113" t="s">
        <v>82</v>
      </c>
      <c r="N1113" t="s">
        <v>162</v>
      </c>
    </row>
    <row r="1114" spans="1:14" x14ac:dyDescent="0.3">
      <c r="A1114" t="s">
        <v>82</v>
      </c>
      <c r="B1114">
        <f>VLOOKUP(M1114,Sheet9!$I$1:$J$17,2,FALSE)</f>
        <v>10</v>
      </c>
      <c r="C1114">
        <f>VLOOKUP(N1114,Sheet9!$M$1:$N$2,2,FALSE)</f>
        <v>1</v>
      </c>
      <c r="D1114">
        <v>16</v>
      </c>
      <c r="E1114" t="s">
        <v>95</v>
      </c>
      <c r="F1114">
        <v>110</v>
      </c>
      <c r="H1114">
        <v>3</v>
      </c>
      <c r="I1114">
        <v>5</v>
      </c>
      <c r="J1114">
        <v>15</v>
      </c>
      <c r="M1114" t="s">
        <v>82</v>
      </c>
      <c r="N1114" t="s">
        <v>162</v>
      </c>
    </row>
    <row r="1115" spans="1:14" x14ac:dyDescent="0.3">
      <c r="A1115" t="s">
        <v>82</v>
      </c>
      <c r="B1115">
        <f>VLOOKUP(M1115,Sheet9!$I$1:$J$17,2,FALSE)</f>
        <v>10</v>
      </c>
      <c r="C1115">
        <f>VLOOKUP(N1115,Sheet9!$M$1:$N$2,2,FALSE)</f>
        <v>1</v>
      </c>
      <c r="D1115">
        <v>16</v>
      </c>
      <c r="E1115" t="s">
        <v>167</v>
      </c>
      <c r="F1115">
        <v>110</v>
      </c>
      <c r="H1115">
        <v>32</v>
      </c>
      <c r="I1115">
        <v>0.6</v>
      </c>
      <c r="J1115">
        <v>19.2</v>
      </c>
      <c r="K1115">
        <v>16.45</v>
      </c>
      <c r="L1115">
        <v>16.940000000000001</v>
      </c>
      <c r="M1115" t="s">
        <v>82</v>
      </c>
      <c r="N1115" t="s">
        <v>162</v>
      </c>
    </row>
    <row r="1116" spans="1:14" x14ac:dyDescent="0.3">
      <c r="A1116" t="s">
        <v>82</v>
      </c>
      <c r="B1116">
        <f>VLOOKUP(M1116,Sheet9!$I$1:$J$17,2,FALSE)</f>
        <v>10</v>
      </c>
      <c r="C1116">
        <f>VLOOKUP(N1116,Sheet9!$M$1:$N$2,2,FALSE)</f>
        <v>1</v>
      </c>
      <c r="D1116">
        <v>16</v>
      </c>
      <c r="E1116" t="s">
        <v>95</v>
      </c>
      <c r="F1116">
        <v>110</v>
      </c>
      <c r="H1116">
        <v>64</v>
      </c>
      <c r="I1116">
        <v>0.6</v>
      </c>
      <c r="J1116">
        <v>38.4</v>
      </c>
      <c r="K1116">
        <v>14.46</v>
      </c>
      <c r="L1116">
        <v>14.98</v>
      </c>
      <c r="M1116" t="s">
        <v>82</v>
      </c>
      <c r="N1116" t="s">
        <v>162</v>
      </c>
    </row>
    <row r="1117" spans="1:14" x14ac:dyDescent="0.3">
      <c r="A1117" t="s">
        <v>82</v>
      </c>
      <c r="B1117">
        <f>VLOOKUP(M1117,Sheet9!$I$1:$J$17,2,FALSE)</f>
        <v>10</v>
      </c>
      <c r="C1117">
        <f>VLOOKUP(N1117,Sheet9!$M$1:$N$2,2,FALSE)</f>
        <v>1</v>
      </c>
      <c r="D1117">
        <v>16</v>
      </c>
      <c r="E1117" t="s">
        <v>167</v>
      </c>
      <c r="F1117">
        <v>110</v>
      </c>
      <c r="H1117">
        <v>128</v>
      </c>
      <c r="I1117">
        <v>0.6</v>
      </c>
      <c r="J1117">
        <v>76.8</v>
      </c>
      <c r="K1117">
        <v>14.4</v>
      </c>
      <c r="L1117">
        <v>14.86</v>
      </c>
      <c r="M1117" t="s">
        <v>82</v>
      </c>
      <c r="N1117" t="s">
        <v>162</v>
      </c>
    </row>
    <row r="1118" spans="1:14" x14ac:dyDescent="0.3">
      <c r="A1118" t="s">
        <v>82</v>
      </c>
      <c r="B1118">
        <f>VLOOKUP(M1118,Sheet9!$I$1:$J$17,2,FALSE)</f>
        <v>10</v>
      </c>
      <c r="C1118">
        <f>VLOOKUP(N1118,Sheet9!$M$1:$N$2,2,FALSE)</f>
        <v>1</v>
      </c>
      <c r="D1118">
        <v>16</v>
      </c>
      <c r="E1118" t="s">
        <v>95</v>
      </c>
      <c r="F1118">
        <v>120</v>
      </c>
      <c r="H1118">
        <v>6</v>
      </c>
      <c r="I1118">
        <v>0.6</v>
      </c>
      <c r="J1118">
        <v>3.5999999999999996</v>
      </c>
      <c r="M1118" t="s">
        <v>82</v>
      </c>
      <c r="N1118" t="s">
        <v>162</v>
      </c>
    </row>
    <row r="1119" spans="1:14" x14ac:dyDescent="0.3">
      <c r="A1119" t="s">
        <v>82</v>
      </c>
      <c r="B1119">
        <f>VLOOKUP(M1119,Sheet9!$I$1:$J$17,2,FALSE)</f>
        <v>10</v>
      </c>
      <c r="C1119">
        <f>VLOOKUP(N1119,Sheet9!$M$1:$N$2,2,FALSE)</f>
        <v>1</v>
      </c>
      <c r="D1119">
        <v>16</v>
      </c>
      <c r="E1119" t="s">
        <v>95</v>
      </c>
      <c r="F1119">
        <v>120</v>
      </c>
      <c r="H1119">
        <v>1</v>
      </c>
      <c r="I1119">
        <v>5</v>
      </c>
      <c r="J1119">
        <v>5</v>
      </c>
      <c r="M1119" t="s">
        <v>82</v>
      </c>
      <c r="N1119" t="s">
        <v>162</v>
      </c>
    </row>
    <row r="1120" spans="1:14" x14ac:dyDescent="0.3">
      <c r="A1120" t="s">
        <v>82</v>
      </c>
      <c r="B1120">
        <f>VLOOKUP(M1120,Sheet9!$I$1:$J$17,2,FALSE)</f>
        <v>10</v>
      </c>
      <c r="C1120">
        <f>VLOOKUP(N1120,Sheet9!$M$1:$N$2,2,FALSE)</f>
        <v>1</v>
      </c>
      <c r="D1120">
        <v>16</v>
      </c>
      <c r="E1120" t="s">
        <v>95</v>
      </c>
      <c r="F1120">
        <v>120</v>
      </c>
      <c r="H1120">
        <v>1</v>
      </c>
      <c r="I1120">
        <v>10</v>
      </c>
      <c r="J1120">
        <v>10</v>
      </c>
      <c r="K1120">
        <v>14.33</v>
      </c>
      <c r="L1120">
        <v>14.71</v>
      </c>
      <c r="M1120" t="s">
        <v>82</v>
      </c>
      <c r="N1120" t="s">
        <v>162</v>
      </c>
    </row>
    <row r="1121" spans="1:14" x14ac:dyDescent="0.3">
      <c r="A1121" t="s">
        <v>82</v>
      </c>
      <c r="B1121">
        <f>VLOOKUP(M1121,Sheet9!$I$1:$J$17,2,FALSE)</f>
        <v>10</v>
      </c>
      <c r="C1121">
        <f>VLOOKUP(N1121,Sheet9!$M$1:$N$2,2,FALSE)</f>
        <v>1</v>
      </c>
      <c r="D1121">
        <v>16</v>
      </c>
      <c r="E1121" t="s">
        <v>95</v>
      </c>
      <c r="F1121">
        <v>120</v>
      </c>
      <c r="H1121">
        <v>3</v>
      </c>
      <c r="I1121">
        <v>3</v>
      </c>
      <c r="J1121">
        <v>9</v>
      </c>
      <c r="M1121" t="s">
        <v>82</v>
      </c>
      <c r="N1121" t="s">
        <v>162</v>
      </c>
    </row>
    <row r="1122" spans="1:14" x14ac:dyDescent="0.3">
      <c r="A1122" t="s">
        <v>82</v>
      </c>
      <c r="B1122">
        <f>VLOOKUP(M1122,Sheet9!$I$1:$J$17,2,FALSE)</f>
        <v>10</v>
      </c>
      <c r="C1122">
        <f>VLOOKUP(N1122,Sheet9!$M$1:$N$2,2,FALSE)</f>
        <v>1</v>
      </c>
      <c r="D1122">
        <v>16</v>
      </c>
      <c r="E1122" t="s">
        <v>95</v>
      </c>
      <c r="F1122">
        <v>120</v>
      </c>
      <c r="H1122">
        <v>3</v>
      </c>
      <c r="I1122">
        <v>5</v>
      </c>
      <c r="J1122">
        <v>15</v>
      </c>
      <c r="M1122" t="s">
        <v>82</v>
      </c>
      <c r="N1122" t="s">
        <v>162</v>
      </c>
    </row>
    <row r="1123" spans="1:14" x14ac:dyDescent="0.3">
      <c r="A1123" t="s">
        <v>82</v>
      </c>
      <c r="B1123">
        <f>VLOOKUP(M1123,Sheet9!$I$1:$J$17,2,FALSE)</f>
        <v>10</v>
      </c>
      <c r="C1123">
        <f>VLOOKUP(N1123,Sheet9!$M$1:$N$2,2,FALSE)</f>
        <v>1</v>
      </c>
      <c r="D1123">
        <v>16</v>
      </c>
      <c r="E1123" t="s">
        <v>167</v>
      </c>
      <c r="F1123">
        <v>120</v>
      </c>
      <c r="H1123">
        <v>32</v>
      </c>
      <c r="I1123">
        <v>0.6</v>
      </c>
      <c r="J1123">
        <v>19.2</v>
      </c>
      <c r="K1123">
        <v>20.260000000000002</v>
      </c>
      <c r="L1123">
        <v>20.75</v>
      </c>
      <c r="M1123" t="s">
        <v>82</v>
      </c>
      <c r="N1123" t="s">
        <v>162</v>
      </c>
    </row>
    <row r="1124" spans="1:14" x14ac:dyDescent="0.3">
      <c r="A1124" t="s">
        <v>82</v>
      </c>
      <c r="B1124">
        <f>VLOOKUP(M1124,Sheet9!$I$1:$J$17,2,FALSE)</f>
        <v>10</v>
      </c>
      <c r="C1124">
        <f>VLOOKUP(N1124,Sheet9!$M$1:$N$2,2,FALSE)</f>
        <v>1</v>
      </c>
      <c r="D1124">
        <v>16</v>
      </c>
      <c r="E1124" t="s">
        <v>95</v>
      </c>
      <c r="F1124">
        <v>120</v>
      </c>
      <c r="H1124">
        <v>64</v>
      </c>
      <c r="I1124">
        <v>0.6</v>
      </c>
      <c r="J1124">
        <v>38.4</v>
      </c>
      <c r="K1124">
        <v>17.809999999999999</v>
      </c>
      <c r="L1124">
        <v>18.36</v>
      </c>
      <c r="M1124" t="s">
        <v>82</v>
      </c>
      <c r="N1124" t="s">
        <v>162</v>
      </c>
    </row>
    <row r="1125" spans="1:14" x14ac:dyDescent="0.3">
      <c r="A1125" t="s">
        <v>82</v>
      </c>
      <c r="B1125">
        <f>VLOOKUP(M1125,Sheet9!$I$1:$J$17,2,FALSE)</f>
        <v>10</v>
      </c>
      <c r="C1125">
        <f>VLOOKUP(N1125,Sheet9!$M$1:$N$2,2,FALSE)</f>
        <v>1</v>
      </c>
      <c r="D1125">
        <v>16</v>
      </c>
      <c r="E1125" t="s">
        <v>167</v>
      </c>
      <c r="F1125">
        <v>120</v>
      </c>
      <c r="H1125">
        <v>128</v>
      </c>
      <c r="I1125">
        <v>0.6</v>
      </c>
      <c r="J1125">
        <v>76.8</v>
      </c>
      <c r="K1125">
        <v>17.73</v>
      </c>
      <c r="L1125">
        <v>18.21</v>
      </c>
      <c r="M1125" t="s">
        <v>82</v>
      </c>
      <c r="N1125" t="s">
        <v>162</v>
      </c>
    </row>
    <row r="1126" spans="1:14" x14ac:dyDescent="0.3">
      <c r="A1126" t="s">
        <v>82</v>
      </c>
      <c r="B1126">
        <f>VLOOKUP(M1126,Sheet9!$I$1:$J$17,2,FALSE)</f>
        <v>10</v>
      </c>
      <c r="C1126">
        <f>VLOOKUP(N1126,Sheet9!$M$1:$N$2,2,FALSE)</f>
        <v>1</v>
      </c>
      <c r="D1126">
        <v>16</v>
      </c>
      <c r="E1126" t="s">
        <v>95</v>
      </c>
      <c r="F1126">
        <v>130</v>
      </c>
      <c r="H1126">
        <v>6</v>
      </c>
      <c r="I1126">
        <v>0.6</v>
      </c>
      <c r="J1126">
        <v>3.5999999999999996</v>
      </c>
      <c r="M1126" t="s">
        <v>82</v>
      </c>
      <c r="N1126" t="s">
        <v>162</v>
      </c>
    </row>
    <row r="1127" spans="1:14" x14ac:dyDescent="0.3">
      <c r="A1127" t="s">
        <v>82</v>
      </c>
      <c r="B1127">
        <f>VLOOKUP(M1127,Sheet9!$I$1:$J$17,2,FALSE)</f>
        <v>10</v>
      </c>
      <c r="C1127">
        <f>VLOOKUP(N1127,Sheet9!$M$1:$N$2,2,FALSE)</f>
        <v>1</v>
      </c>
      <c r="D1127">
        <v>16</v>
      </c>
      <c r="E1127" t="s">
        <v>95</v>
      </c>
      <c r="F1127">
        <v>130</v>
      </c>
      <c r="H1127">
        <v>1</v>
      </c>
      <c r="I1127">
        <v>5</v>
      </c>
      <c r="J1127">
        <v>5</v>
      </c>
      <c r="M1127" t="s">
        <v>82</v>
      </c>
      <c r="N1127" t="s">
        <v>162</v>
      </c>
    </row>
    <row r="1128" spans="1:14" x14ac:dyDescent="0.3">
      <c r="A1128" t="s">
        <v>82</v>
      </c>
      <c r="B1128">
        <f>VLOOKUP(M1128,Sheet9!$I$1:$J$17,2,FALSE)</f>
        <v>10</v>
      </c>
      <c r="C1128">
        <f>VLOOKUP(N1128,Sheet9!$M$1:$N$2,2,FALSE)</f>
        <v>1</v>
      </c>
      <c r="D1128">
        <v>16</v>
      </c>
      <c r="E1128" t="s">
        <v>95</v>
      </c>
      <c r="F1128">
        <v>130</v>
      </c>
      <c r="H1128">
        <v>1</v>
      </c>
      <c r="I1128">
        <v>10</v>
      </c>
      <c r="J1128">
        <v>10</v>
      </c>
      <c r="K1128">
        <v>17.149999999999999</v>
      </c>
      <c r="L1128">
        <v>17.600000000000001</v>
      </c>
      <c r="M1128" t="s">
        <v>82</v>
      </c>
      <c r="N1128" t="s">
        <v>162</v>
      </c>
    </row>
    <row r="1129" spans="1:14" x14ac:dyDescent="0.3">
      <c r="A1129" t="s">
        <v>82</v>
      </c>
      <c r="B1129">
        <f>VLOOKUP(M1129,Sheet9!$I$1:$J$17,2,FALSE)</f>
        <v>10</v>
      </c>
      <c r="C1129">
        <f>VLOOKUP(N1129,Sheet9!$M$1:$N$2,2,FALSE)</f>
        <v>1</v>
      </c>
      <c r="D1129">
        <v>16</v>
      </c>
      <c r="E1129" t="s">
        <v>95</v>
      </c>
      <c r="F1129">
        <v>130</v>
      </c>
      <c r="H1129">
        <v>3</v>
      </c>
      <c r="I1129">
        <v>3</v>
      </c>
      <c r="J1129">
        <v>9</v>
      </c>
      <c r="M1129" t="s">
        <v>82</v>
      </c>
      <c r="N1129" t="s">
        <v>162</v>
      </c>
    </row>
    <row r="1130" spans="1:14" x14ac:dyDescent="0.3">
      <c r="A1130" t="s">
        <v>82</v>
      </c>
      <c r="B1130">
        <f>VLOOKUP(M1130,Sheet9!$I$1:$J$17,2,FALSE)</f>
        <v>10</v>
      </c>
      <c r="C1130">
        <f>VLOOKUP(N1130,Sheet9!$M$1:$N$2,2,FALSE)</f>
        <v>1</v>
      </c>
      <c r="D1130">
        <v>16</v>
      </c>
      <c r="E1130" t="s">
        <v>95</v>
      </c>
      <c r="F1130">
        <v>130</v>
      </c>
      <c r="H1130">
        <v>3</v>
      </c>
      <c r="I1130">
        <v>5</v>
      </c>
      <c r="J1130">
        <v>15</v>
      </c>
      <c r="M1130" t="s">
        <v>82</v>
      </c>
      <c r="N1130" t="s">
        <v>162</v>
      </c>
    </row>
    <row r="1131" spans="1:14" x14ac:dyDescent="0.3">
      <c r="A1131" t="s">
        <v>82</v>
      </c>
      <c r="B1131">
        <f>VLOOKUP(M1131,Sheet9!$I$1:$J$17,2,FALSE)</f>
        <v>10</v>
      </c>
      <c r="C1131">
        <f>VLOOKUP(N1131,Sheet9!$M$1:$N$2,2,FALSE)</f>
        <v>1</v>
      </c>
      <c r="D1131">
        <v>16</v>
      </c>
      <c r="E1131" t="s">
        <v>167</v>
      </c>
      <c r="F1131">
        <v>130</v>
      </c>
      <c r="H1131">
        <v>32</v>
      </c>
      <c r="I1131">
        <v>0.6</v>
      </c>
      <c r="J1131">
        <v>19.2</v>
      </c>
      <c r="K1131">
        <v>24.27</v>
      </c>
      <c r="L1131">
        <v>24.83</v>
      </c>
      <c r="M1131" t="s">
        <v>82</v>
      </c>
      <c r="N1131" t="s">
        <v>162</v>
      </c>
    </row>
    <row r="1132" spans="1:14" x14ac:dyDescent="0.3">
      <c r="A1132" t="s">
        <v>82</v>
      </c>
      <c r="B1132">
        <f>VLOOKUP(M1132,Sheet9!$I$1:$J$17,2,FALSE)</f>
        <v>10</v>
      </c>
      <c r="C1132">
        <f>VLOOKUP(N1132,Sheet9!$M$1:$N$2,2,FALSE)</f>
        <v>1</v>
      </c>
      <c r="D1132">
        <v>16</v>
      </c>
      <c r="E1132" t="s">
        <v>95</v>
      </c>
      <c r="F1132">
        <v>130</v>
      </c>
      <c r="H1132">
        <v>64</v>
      </c>
      <c r="I1132">
        <v>0.6</v>
      </c>
      <c r="J1132">
        <v>38.4</v>
      </c>
      <c r="K1132">
        <v>21.33</v>
      </c>
      <c r="L1132">
        <v>21.96</v>
      </c>
      <c r="M1132" t="s">
        <v>82</v>
      </c>
      <c r="N1132" t="s">
        <v>162</v>
      </c>
    </row>
    <row r="1133" spans="1:14" x14ac:dyDescent="0.3">
      <c r="A1133" t="s">
        <v>82</v>
      </c>
      <c r="B1133">
        <f>VLOOKUP(M1133,Sheet9!$I$1:$J$17,2,FALSE)</f>
        <v>10</v>
      </c>
      <c r="C1133">
        <f>VLOOKUP(N1133,Sheet9!$M$1:$N$2,2,FALSE)</f>
        <v>1</v>
      </c>
      <c r="D1133">
        <v>16</v>
      </c>
      <c r="E1133" t="s">
        <v>167</v>
      </c>
      <c r="F1133">
        <v>130</v>
      </c>
      <c r="H1133">
        <v>128</v>
      </c>
      <c r="I1133">
        <v>0.6</v>
      </c>
      <c r="J1133">
        <v>76.8</v>
      </c>
      <c r="K1133">
        <v>21.24</v>
      </c>
      <c r="L1133">
        <v>21.79</v>
      </c>
      <c r="M1133" t="s">
        <v>82</v>
      </c>
      <c r="N1133" t="s">
        <v>162</v>
      </c>
    </row>
    <row r="1134" spans="1:14" x14ac:dyDescent="0.3">
      <c r="A1134" t="s">
        <v>82</v>
      </c>
      <c r="B1134">
        <f>VLOOKUP(M1134,Sheet9!$I$1:$J$17,2,FALSE)</f>
        <v>10</v>
      </c>
      <c r="C1134">
        <f>VLOOKUP(N1134,Sheet9!$M$1:$N$2,2,FALSE)</f>
        <v>1</v>
      </c>
      <c r="D1134">
        <v>16</v>
      </c>
      <c r="E1134" t="s">
        <v>95</v>
      </c>
      <c r="F1134">
        <v>140</v>
      </c>
      <c r="H1134">
        <v>6</v>
      </c>
      <c r="I1134">
        <v>0.6</v>
      </c>
      <c r="J1134">
        <v>3.5999999999999996</v>
      </c>
      <c r="M1134" t="s">
        <v>82</v>
      </c>
      <c r="N1134" t="s">
        <v>162</v>
      </c>
    </row>
    <row r="1135" spans="1:14" x14ac:dyDescent="0.3">
      <c r="A1135" t="s">
        <v>82</v>
      </c>
      <c r="B1135">
        <f>VLOOKUP(M1135,Sheet9!$I$1:$J$17,2,FALSE)</f>
        <v>10</v>
      </c>
      <c r="C1135">
        <f>VLOOKUP(N1135,Sheet9!$M$1:$N$2,2,FALSE)</f>
        <v>1</v>
      </c>
      <c r="D1135">
        <v>16</v>
      </c>
      <c r="E1135" t="s">
        <v>95</v>
      </c>
      <c r="F1135">
        <v>140</v>
      </c>
      <c r="H1135">
        <v>1</v>
      </c>
      <c r="I1135">
        <v>5</v>
      </c>
      <c r="J1135">
        <v>5</v>
      </c>
      <c r="M1135" t="s">
        <v>82</v>
      </c>
      <c r="N1135" t="s">
        <v>162</v>
      </c>
    </row>
    <row r="1136" spans="1:14" x14ac:dyDescent="0.3">
      <c r="A1136" t="s">
        <v>82</v>
      </c>
      <c r="B1136">
        <f>VLOOKUP(M1136,Sheet9!$I$1:$J$17,2,FALSE)</f>
        <v>10</v>
      </c>
      <c r="C1136">
        <f>VLOOKUP(N1136,Sheet9!$M$1:$N$2,2,FALSE)</f>
        <v>1</v>
      </c>
      <c r="D1136">
        <v>16</v>
      </c>
      <c r="E1136" t="s">
        <v>95</v>
      </c>
      <c r="F1136">
        <v>140</v>
      </c>
      <c r="H1136">
        <v>1</v>
      </c>
      <c r="I1136">
        <v>10</v>
      </c>
      <c r="J1136">
        <v>10</v>
      </c>
      <c r="K1136">
        <v>20.149999999999999</v>
      </c>
      <c r="L1136">
        <v>20.65</v>
      </c>
      <c r="M1136" t="s">
        <v>82</v>
      </c>
      <c r="N1136" t="s">
        <v>162</v>
      </c>
    </row>
    <row r="1137" spans="1:14" x14ac:dyDescent="0.3">
      <c r="A1137" t="s">
        <v>82</v>
      </c>
      <c r="B1137">
        <f>VLOOKUP(M1137,Sheet9!$I$1:$J$17,2,FALSE)</f>
        <v>10</v>
      </c>
      <c r="C1137">
        <f>VLOOKUP(N1137,Sheet9!$M$1:$N$2,2,FALSE)</f>
        <v>1</v>
      </c>
      <c r="D1137">
        <v>16</v>
      </c>
      <c r="E1137" t="s">
        <v>95</v>
      </c>
      <c r="F1137">
        <v>140</v>
      </c>
      <c r="H1137">
        <v>3</v>
      </c>
      <c r="I1137">
        <v>3</v>
      </c>
      <c r="J1137">
        <v>9</v>
      </c>
      <c r="M1137" t="s">
        <v>82</v>
      </c>
      <c r="N1137" t="s">
        <v>162</v>
      </c>
    </row>
    <row r="1138" spans="1:14" x14ac:dyDescent="0.3">
      <c r="A1138" t="s">
        <v>82</v>
      </c>
      <c r="B1138">
        <f>VLOOKUP(M1138,Sheet9!$I$1:$J$17,2,FALSE)</f>
        <v>10</v>
      </c>
      <c r="C1138">
        <f>VLOOKUP(N1138,Sheet9!$M$1:$N$2,2,FALSE)</f>
        <v>1</v>
      </c>
      <c r="D1138">
        <v>16</v>
      </c>
      <c r="E1138" t="s">
        <v>95</v>
      </c>
      <c r="F1138">
        <v>140</v>
      </c>
      <c r="H1138">
        <v>3</v>
      </c>
      <c r="I1138">
        <v>5</v>
      </c>
      <c r="J1138">
        <v>15</v>
      </c>
      <c r="M1138" t="s">
        <v>82</v>
      </c>
      <c r="N1138" t="s">
        <v>162</v>
      </c>
    </row>
    <row r="1139" spans="1:14" x14ac:dyDescent="0.3">
      <c r="A1139" t="s">
        <v>82</v>
      </c>
      <c r="B1139">
        <f>VLOOKUP(M1139,Sheet9!$I$1:$J$17,2,FALSE)</f>
        <v>10</v>
      </c>
      <c r="C1139">
        <f>VLOOKUP(N1139,Sheet9!$M$1:$N$2,2,FALSE)</f>
        <v>1</v>
      </c>
      <c r="D1139">
        <v>16</v>
      </c>
      <c r="E1139" t="s">
        <v>167</v>
      </c>
      <c r="F1139">
        <v>140</v>
      </c>
      <c r="H1139">
        <v>32</v>
      </c>
      <c r="I1139">
        <v>0.6</v>
      </c>
      <c r="J1139">
        <v>19.2</v>
      </c>
      <c r="K1139">
        <v>28.51</v>
      </c>
      <c r="L1139">
        <v>29.14</v>
      </c>
      <c r="M1139" t="s">
        <v>82</v>
      </c>
      <c r="N1139" t="s">
        <v>162</v>
      </c>
    </row>
    <row r="1140" spans="1:14" x14ac:dyDescent="0.3">
      <c r="A1140" t="s">
        <v>82</v>
      </c>
      <c r="B1140">
        <f>VLOOKUP(M1140,Sheet9!$I$1:$J$17,2,FALSE)</f>
        <v>10</v>
      </c>
      <c r="C1140">
        <f>VLOOKUP(N1140,Sheet9!$M$1:$N$2,2,FALSE)</f>
        <v>1</v>
      </c>
      <c r="D1140">
        <v>16</v>
      </c>
      <c r="E1140" t="s">
        <v>95</v>
      </c>
      <c r="F1140">
        <v>140</v>
      </c>
      <c r="H1140">
        <v>64</v>
      </c>
      <c r="I1140">
        <v>0.6</v>
      </c>
      <c r="J1140">
        <v>38.4</v>
      </c>
      <c r="K1140">
        <v>25.06</v>
      </c>
      <c r="L1140">
        <v>25.77</v>
      </c>
      <c r="M1140" t="s">
        <v>82</v>
      </c>
      <c r="N1140" t="s">
        <v>162</v>
      </c>
    </row>
    <row r="1141" spans="1:14" x14ac:dyDescent="0.3">
      <c r="A1141" t="s">
        <v>82</v>
      </c>
      <c r="B1141">
        <f>VLOOKUP(M1141,Sheet9!$I$1:$J$17,2,FALSE)</f>
        <v>10</v>
      </c>
      <c r="C1141">
        <f>VLOOKUP(N1141,Sheet9!$M$1:$N$2,2,FALSE)</f>
        <v>1</v>
      </c>
      <c r="D1141">
        <v>16</v>
      </c>
      <c r="E1141" t="s">
        <v>167</v>
      </c>
      <c r="F1141">
        <v>140</v>
      </c>
      <c r="H1141">
        <v>128</v>
      </c>
      <c r="I1141">
        <v>0.6</v>
      </c>
      <c r="J1141">
        <v>76.8</v>
      </c>
      <c r="K1141">
        <v>24.95</v>
      </c>
      <c r="L1141">
        <v>25.57</v>
      </c>
      <c r="M1141" t="s">
        <v>82</v>
      </c>
      <c r="N1141" t="s">
        <v>162</v>
      </c>
    </row>
    <row r="1142" spans="1:14" x14ac:dyDescent="0.3">
      <c r="A1142" t="s">
        <v>82</v>
      </c>
      <c r="B1142">
        <f>VLOOKUP(M1142,Sheet9!$I$1:$J$17,2,FALSE)</f>
        <v>10</v>
      </c>
      <c r="C1142">
        <f>VLOOKUP(N1142,Sheet9!$M$1:$N$2,2,FALSE)</f>
        <v>1</v>
      </c>
      <c r="D1142">
        <v>16</v>
      </c>
      <c r="E1142" t="s">
        <v>95</v>
      </c>
      <c r="F1142">
        <v>150</v>
      </c>
      <c r="H1142">
        <v>6</v>
      </c>
      <c r="I1142">
        <v>0.6</v>
      </c>
      <c r="J1142">
        <v>3.5999999999999996</v>
      </c>
      <c r="M1142" t="s">
        <v>82</v>
      </c>
      <c r="N1142" t="s">
        <v>162</v>
      </c>
    </row>
    <row r="1143" spans="1:14" x14ac:dyDescent="0.3">
      <c r="A1143" t="s">
        <v>82</v>
      </c>
      <c r="B1143">
        <f>VLOOKUP(M1143,Sheet9!$I$1:$J$17,2,FALSE)</f>
        <v>10</v>
      </c>
      <c r="C1143">
        <f>VLOOKUP(N1143,Sheet9!$M$1:$N$2,2,FALSE)</f>
        <v>1</v>
      </c>
      <c r="D1143">
        <v>16</v>
      </c>
      <c r="E1143" t="s">
        <v>95</v>
      </c>
      <c r="F1143">
        <v>150</v>
      </c>
      <c r="H1143">
        <v>1</v>
      </c>
      <c r="I1143">
        <v>5</v>
      </c>
      <c r="J1143">
        <v>5</v>
      </c>
      <c r="M1143" t="s">
        <v>82</v>
      </c>
      <c r="N1143" t="s">
        <v>162</v>
      </c>
    </row>
    <row r="1144" spans="1:14" x14ac:dyDescent="0.3">
      <c r="A1144" t="s">
        <v>82</v>
      </c>
      <c r="B1144">
        <f>VLOOKUP(M1144,Sheet9!$I$1:$J$17,2,FALSE)</f>
        <v>10</v>
      </c>
      <c r="C1144">
        <f>VLOOKUP(N1144,Sheet9!$M$1:$N$2,2,FALSE)</f>
        <v>1</v>
      </c>
      <c r="D1144">
        <v>16</v>
      </c>
      <c r="E1144" t="s">
        <v>95</v>
      </c>
      <c r="F1144">
        <v>150</v>
      </c>
      <c r="H1144">
        <v>1</v>
      </c>
      <c r="I1144">
        <v>10</v>
      </c>
      <c r="J1144">
        <v>10</v>
      </c>
      <c r="K1144">
        <v>23.36</v>
      </c>
      <c r="L1144">
        <v>23.89</v>
      </c>
      <c r="M1144" t="s">
        <v>82</v>
      </c>
      <c r="N1144" t="s">
        <v>162</v>
      </c>
    </row>
    <row r="1145" spans="1:14" x14ac:dyDescent="0.3">
      <c r="A1145" t="s">
        <v>82</v>
      </c>
      <c r="B1145">
        <f>VLOOKUP(M1145,Sheet9!$I$1:$J$17,2,FALSE)</f>
        <v>10</v>
      </c>
      <c r="C1145">
        <f>VLOOKUP(N1145,Sheet9!$M$1:$N$2,2,FALSE)</f>
        <v>1</v>
      </c>
      <c r="D1145">
        <v>16</v>
      </c>
      <c r="E1145" t="s">
        <v>95</v>
      </c>
      <c r="F1145">
        <v>150</v>
      </c>
      <c r="H1145">
        <v>3</v>
      </c>
      <c r="I1145">
        <v>3</v>
      </c>
      <c r="J1145">
        <v>9</v>
      </c>
      <c r="M1145" t="s">
        <v>82</v>
      </c>
      <c r="N1145" t="s">
        <v>162</v>
      </c>
    </row>
    <row r="1146" spans="1:14" x14ac:dyDescent="0.3">
      <c r="A1146" t="s">
        <v>82</v>
      </c>
      <c r="B1146">
        <f>VLOOKUP(M1146,Sheet9!$I$1:$J$17,2,FALSE)</f>
        <v>10</v>
      </c>
      <c r="C1146">
        <f>VLOOKUP(N1146,Sheet9!$M$1:$N$2,2,FALSE)</f>
        <v>1</v>
      </c>
      <c r="D1146">
        <v>16</v>
      </c>
      <c r="E1146" t="s">
        <v>95</v>
      </c>
      <c r="F1146">
        <v>150</v>
      </c>
      <c r="H1146">
        <v>3</v>
      </c>
      <c r="I1146">
        <v>5</v>
      </c>
      <c r="J1146">
        <v>15</v>
      </c>
      <c r="M1146" t="s">
        <v>82</v>
      </c>
      <c r="N1146" t="s">
        <v>162</v>
      </c>
    </row>
    <row r="1147" spans="1:14" x14ac:dyDescent="0.3">
      <c r="A1147" t="s">
        <v>82</v>
      </c>
      <c r="B1147">
        <f>VLOOKUP(M1147,Sheet9!$I$1:$J$17,2,FALSE)</f>
        <v>10</v>
      </c>
      <c r="C1147">
        <f>VLOOKUP(N1147,Sheet9!$M$1:$N$2,2,FALSE)</f>
        <v>1</v>
      </c>
      <c r="D1147">
        <v>16</v>
      </c>
      <c r="E1147" t="s">
        <v>167</v>
      </c>
      <c r="F1147">
        <v>150</v>
      </c>
      <c r="H1147">
        <v>32</v>
      </c>
      <c r="I1147">
        <v>0.6</v>
      </c>
      <c r="J1147">
        <v>19.2</v>
      </c>
      <c r="K1147">
        <v>33.04</v>
      </c>
      <c r="L1147">
        <v>33.700000000000003</v>
      </c>
      <c r="M1147" t="s">
        <v>82</v>
      </c>
      <c r="N1147" t="s">
        <v>162</v>
      </c>
    </row>
    <row r="1148" spans="1:14" x14ac:dyDescent="0.3">
      <c r="A1148" t="s">
        <v>82</v>
      </c>
      <c r="B1148">
        <f>VLOOKUP(M1148,Sheet9!$I$1:$J$17,2,FALSE)</f>
        <v>10</v>
      </c>
      <c r="C1148">
        <f>VLOOKUP(N1148,Sheet9!$M$1:$N$2,2,FALSE)</f>
        <v>1</v>
      </c>
      <c r="D1148">
        <v>16</v>
      </c>
      <c r="E1148" t="s">
        <v>95</v>
      </c>
      <c r="F1148">
        <v>150</v>
      </c>
      <c r="H1148">
        <v>64</v>
      </c>
      <c r="I1148">
        <v>0.6</v>
      </c>
      <c r="J1148">
        <v>38.4</v>
      </c>
      <c r="K1148">
        <v>29.05</v>
      </c>
      <c r="L1148">
        <v>29.81</v>
      </c>
      <c r="M1148" t="s">
        <v>82</v>
      </c>
      <c r="N1148" t="s">
        <v>162</v>
      </c>
    </row>
    <row r="1149" spans="1:14" x14ac:dyDescent="0.3">
      <c r="A1149" t="s">
        <v>82</v>
      </c>
      <c r="B1149">
        <f>VLOOKUP(M1149,Sheet9!$I$1:$J$17,2,FALSE)</f>
        <v>10</v>
      </c>
      <c r="C1149">
        <f>VLOOKUP(N1149,Sheet9!$M$1:$N$2,2,FALSE)</f>
        <v>1</v>
      </c>
      <c r="D1149">
        <v>16</v>
      </c>
      <c r="E1149" t="s">
        <v>167</v>
      </c>
      <c r="F1149">
        <v>150</v>
      </c>
      <c r="H1149">
        <v>128</v>
      </c>
      <c r="I1149">
        <v>0.6</v>
      </c>
      <c r="J1149">
        <v>76.8</v>
      </c>
      <c r="K1149">
        <v>28.92</v>
      </c>
      <c r="L1149">
        <v>29.57</v>
      </c>
      <c r="M1149" t="s">
        <v>82</v>
      </c>
      <c r="N1149" t="s">
        <v>162</v>
      </c>
    </row>
    <row r="1150" spans="1:14" x14ac:dyDescent="0.3">
      <c r="A1150" t="s">
        <v>82</v>
      </c>
      <c r="B1150">
        <f>VLOOKUP(M1150,Sheet9!$I$1:$J$17,2,FALSE)</f>
        <v>10</v>
      </c>
      <c r="C1150">
        <f>VLOOKUP(N1150,Sheet9!$M$1:$N$2,2,FALSE)</f>
        <v>1</v>
      </c>
      <c r="D1150">
        <v>16</v>
      </c>
      <c r="E1150" t="s">
        <v>95</v>
      </c>
      <c r="F1150">
        <v>100</v>
      </c>
      <c r="G1150" t="s">
        <v>169</v>
      </c>
      <c r="H1150">
        <v>6</v>
      </c>
      <c r="I1150">
        <v>0.6</v>
      </c>
      <c r="J1150">
        <v>3.5999999999999996</v>
      </c>
      <c r="K1150">
        <v>2.7</v>
      </c>
      <c r="L1150">
        <v>2.69</v>
      </c>
      <c r="M1150" t="s">
        <v>82</v>
      </c>
      <c r="N1150" t="s">
        <v>162</v>
      </c>
    </row>
    <row r="1151" spans="1:14" x14ac:dyDescent="0.3">
      <c r="A1151" t="s">
        <v>82</v>
      </c>
      <c r="B1151">
        <f>VLOOKUP(M1151,Sheet9!$I$1:$J$17,2,FALSE)</f>
        <v>10</v>
      </c>
      <c r="C1151">
        <f>VLOOKUP(N1151,Sheet9!$M$1:$N$2,2,FALSE)</f>
        <v>1</v>
      </c>
      <c r="D1151">
        <v>16</v>
      </c>
      <c r="E1151" t="s">
        <v>95</v>
      </c>
      <c r="F1151">
        <v>100</v>
      </c>
      <c r="H1151">
        <v>1</v>
      </c>
      <c r="I1151">
        <v>5</v>
      </c>
      <c r="J1151">
        <v>5</v>
      </c>
      <c r="M1151" t="s">
        <v>82</v>
      </c>
      <c r="N1151" t="s">
        <v>162</v>
      </c>
    </row>
    <row r="1152" spans="1:14" x14ac:dyDescent="0.3">
      <c r="A1152" t="s">
        <v>82</v>
      </c>
      <c r="B1152">
        <f>VLOOKUP(M1152,Sheet9!$I$1:$J$17,2,FALSE)</f>
        <v>10</v>
      </c>
      <c r="C1152">
        <f>VLOOKUP(N1152,Sheet9!$M$1:$N$2,2,FALSE)</f>
        <v>1</v>
      </c>
      <c r="D1152">
        <v>16</v>
      </c>
      <c r="E1152" t="s">
        <v>95</v>
      </c>
      <c r="F1152">
        <v>100</v>
      </c>
      <c r="H1152">
        <v>1</v>
      </c>
      <c r="I1152">
        <v>10</v>
      </c>
      <c r="J1152">
        <v>10</v>
      </c>
      <c r="M1152" t="s">
        <v>82</v>
      </c>
      <c r="N1152" t="s">
        <v>162</v>
      </c>
    </row>
    <row r="1153" spans="1:14" x14ac:dyDescent="0.3">
      <c r="A1153" t="s">
        <v>82</v>
      </c>
      <c r="B1153">
        <f>VLOOKUP(M1153,Sheet9!$I$1:$J$17,2,FALSE)</f>
        <v>10</v>
      </c>
      <c r="C1153">
        <f>VLOOKUP(N1153,Sheet9!$M$1:$N$2,2,FALSE)</f>
        <v>1</v>
      </c>
      <c r="D1153">
        <v>16</v>
      </c>
      <c r="E1153" t="s">
        <v>95</v>
      </c>
      <c r="F1153">
        <v>100</v>
      </c>
      <c r="H1153">
        <v>3</v>
      </c>
      <c r="I1153">
        <v>3</v>
      </c>
      <c r="J1153">
        <v>9</v>
      </c>
      <c r="M1153" t="s">
        <v>82</v>
      </c>
      <c r="N1153" t="s">
        <v>162</v>
      </c>
    </row>
    <row r="1154" spans="1:14" x14ac:dyDescent="0.3">
      <c r="A1154" t="s">
        <v>82</v>
      </c>
      <c r="B1154">
        <f>VLOOKUP(M1154,Sheet9!$I$1:$J$17,2,FALSE)</f>
        <v>10</v>
      </c>
      <c r="C1154">
        <f>VLOOKUP(N1154,Sheet9!$M$1:$N$2,2,FALSE)</f>
        <v>1</v>
      </c>
      <c r="D1154">
        <v>16</v>
      </c>
      <c r="E1154" t="s">
        <v>95</v>
      </c>
      <c r="F1154">
        <v>100</v>
      </c>
      <c r="H1154">
        <v>3</v>
      </c>
      <c r="I1154">
        <v>5</v>
      </c>
      <c r="J1154">
        <v>15</v>
      </c>
      <c r="M1154" t="s">
        <v>82</v>
      </c>
      <c r="N1154" t="s">
        <v>162</v>
      </c>
    </row>
    <row r="1155" spans="1:14" x14ac:dyDescent="0.3">
      <c r="A1155" t="s">
        <v>82</v>
      </c>
      <c r="B1155">
        <f>VLOOKUP(M1155,Sheet9!$I$1:$J$17,2,FALSE)</f>
        <v>10</v>
      </c>
      <c r="C1155">
        <f>VLOOKUP(N1155,Sheet9!$M$1:$N$2,2,FALSE)</f>
        <v>1</v>
      </c>
      <c r="D1155">
        <v>16</v>
      </c>
      <c r="E1155" t="s">
        <v>167</v>
      </c>
      <c r="F1155">
        <v>100</v>
      </c>
      <c r="H1155">
        <v>32</v>
      </c>
      <c r="I1155">
        <v>0.6</v>
      </c>
      <c r="J1155">
        <v>19.2</v>
      </c>
      <c r="K1155">
        <v>2.08</v>
      </c>
      <c r="L1155">
        <v>2.08</v>
      </c>
      <c r="M1155" t="s">
        <v>82</v>
      </c>
      <c r="N1155" t="s">
        <v>162</v>
      </c>
    </row>
    <row r="1156" spans="1:14" x14ac:dyDescent="0.3">
      <c r="A1156" t="s">
        <v>82</v>
      </c>
      <c r="B1156">
        <f>VLOOKUP(M1156,Sheet9!$I$1:$J$17,2,FALSE)</f>
        <v>10</v>
      </c>
      <c r="C1156">
        <f>VLOOKUP(N1156,Sheet9!$M$1:$N$2,2,FALSE)</f>
        <v>1</v>
      </c>
      <c r="D1156">
        <v>16</v>
      </c>
      <c r="E1156" t="s">
        <v>95</v>
      </c>
      <c r="F1156">
        <v>100</v>
      </c>
      <c r="H1156">
        <v>64</v>
      </c>
      <c r="I1156">
        <v>0.6</v>
      </c>
      <c r="J1156">
        <v>38.4</v>
      </c>
      <c r="K1156">
        <v>1.83</v>
      </c>
      <c r="L1156">
        <v>1.84</v>
      </c>
      <c r="M1156" t="s">
        <v>82</v>
      </c>
      <c r="N1156" t="s">
        <v>162</v>
      </c>
    </row>
    <row r="1157" spans="1:14" x14ac:dyDescent="0.3">
      <c r="A1157" t="s">
        <v>82</v>
      </c>
      <c r="B1157">
        <f>VLOOKUP(M1157,Sheet9!$I$1:$J$17,2,FALSE)</f>
        <v>10</v>
      </c>
      <c r="C1157">
        <f>VLOOKUP(N1157,Sheet9!$M$1:$N$2,2,FALSE)</f>
        <v>1</v>
      </c>
      <c r="D1157">
        <v>16</v>
      </c>
      <c r="E1157" t="s">
        <v>167</v>
      </c>
      <c r="F1157">
        <v>100</v>
      </c>
      <c r="H1157">
        <v>128</v>
      </c>
      <c r="I1157">
        <v>0.6</v>
      </c>
      <c r="J1157">
        <v>76.8</v>
      </c>
      <c r="K1157">
        <v>1.82</v>
      </c>
      <c r="L1157">
        <v>1.83</v>
      </c>
      <c r="M1157" t="s">
        <v>82</v>
      </c>
      <c r="N1157" t="s">
        <v>162</v>
      </c>
    </row>
    <row r="1158" spans="1:14" x14ac:dyDescent="0.3">
      <c r="A1158" t="s">
        <v>82</v>
      </c>
      <c r="B1158">
        <f>VLOOKUP(M1158,Sheet9!$I$1:$J$17,2,FALSE)</f>
        <v>10</v>
      </c>
      <c r="C1158">
        <f>VLOOKUP(N1158,Sheet9!$M$1:$N$2,2,FALSE)</f>
        <v>1</v>
      </c>
      <c r="D1158">
        <v>16</v>
      </c>
      <c r="E1158" t="s">
        <v>95</v>
      </c>
      <c r="F1158">
        <v>110</v>
      </c>
      <c r="H1158">
        <v>6</v>
      </c>
      <c r="I1158">
        <v>0.6</v>
      </c>
      <c r="J1158">
        <v>3.5999999999999996</v>
      </c>
      <c r="M1158" t="s">
        <v>82</v>
      </c>
      <c r="N1158" t="s">
        <v>162</v>
      </c>
    </row>
    <row r="1159" spans="1:14" x14ac:dyDescent="0.3">
      <c r="A1159" t="s">
        <v>82</v>
      </c>
      <c r="B1159">
        <f>VLOOKUP(M1159,Sheet9!$I$1:$J$17,2,FALSE)</f>
        <v>10</v>
      </c>
      <c r="C1159">
        <f>VLOOKUP(N1159,Sheet9!$M$1:$N$2,2,FALSE)</f>
        <v>1</v>
      </c>
      <c r="D1159">
        <v>16</v>
      </c>
      <c r="E1159" t="s">
        <v>95</v>
      </c>
      <c r="F1159">
        <v>110</v>
      </c>
      <c r="H1159">
        <v>1</v>
      </c>
      <c r="I1159">
        <v>5</v>
      </c>
      <c r="J1159">
        <v>5</v>
      </c>
      <c r="M1159" t="s">
        <v>82</v>
      </c>
      <c r="N1159" t="s">
        <v>162</v>
      </c>
    </row>
    <row r="1160" spans="1:14" x14ac:dyDescent="0.3">
      <c r="A1160" t="s">
        <v>82</v>
      </c>
      <c r="B1160">
        <f>VLOOKUP(M1160,Sheet9!$I$1:$J$17,2,FALSE)</f>
        <v>10</v>
      </c>
      <c r="C1160">
        <f>VLOOKUP(N1160,Sheet9!$M$1:$N$2,2,FALSE)</f>
        <v>1</v>
      </c>
      <c r="D1160">
        <v>16</v>
      </c>
      <c r="E1160" t="s">
        <v>95</v>
      </c>
      <c r="F1160">
        <v>110</v>
      </c>
      <c r="H1160">
        <v>1</v>
      </c>
      <c r="I1160">
        <v>10</v>
      </c>
      <c r="J1160">
        <v>10</v>
      </c>
      <c r="M1160" t="s">
        <v>82</v>
      </c>
      <c r="N1160" t="s">
        <v>162</v>
      </c>
    </row>
    <row r="1161" spans="1:14" x14ac:dyDescent="0.3">
      <c r="A1161" t="s">
        <v>82</v>
      </c>
      <c r="B1161">
        <f>VLOOKUP(M1161,Sheet9!$I$1:$J$17,2,FALSE)</f>
        <v>10</v>
      </c>
      <c r="C1161">
        <f>VLOOKUP(N1161,Sheet9!$M$1:$N$2,2,FALSE)</f>
        <v>1</v>
      </c>
      <c r="D1161">
        <v>16</v>
      </c>
      <c r="E1161" t="s">
        <v>95</v>
      </c>
      <c r="F1161">
        <v>110</v>
      </c>
      <c r="H1161">
        <v>3</v>
      </c>
      <c r="I1161">
        <v>3</v>
      </c>
      <c r="J1161">
        <v>9</v>
      </c>
      <c r="M1161" t="s">
        <v>82</v>
      </c>
      <c r="N1161" t="s">
        <v>162</v>
      </c>
    </row>
    <row r="1162" spans="1:14" x14ac:dyDescent="0.3">
      <c r="A1162" t="s">
        <v>82</v>
      </c>
      <c r="B1162">
        <f>VLOOKUP(M1162,Sheet9!$I$1:$J$17,2,FALSE)</f>
        <v>10</v>
      </c>
      <c r="C1162">
        <f>VLOOKUP(N1162,Sheet9!$M$1:$N$2,2,FALSE)</f>
        <v>1</v>
      </c>
      <c r="D1162">
        <v>16</v>
      </c>
      <c r="E1162" t="s">
        <v>95</v>
      </c>
      <c r="F1162">
        <v>110</v>
      </c>
      <c r="H1162">
        <v>3</v>
      </c>
      <c r="I1162">
        <v>5</v>
      </c>
      <c r="J1162">
        <v>15</v>
      </c>
      <c r="M1162" t="s">
        <v>82</v>
      </c>
      <c r="N1162" t="s">
        <v>162</v>
      </c>
    </row>
    <row r="1163" spans="1:14" x14ac:dyDescent="0.3">
      <c r="A1163" t="s">
        <v>82</v>
      </c>
      <c r="B1163">
        <f>VLOOKUP(M1163,Sheet9!$I$1:$J$17,2,FALSE)</f>
        <v>10</v>
      </c>
      <c r="C1163">
        <f>VLOOKUP(N1163,Sheet9!$M$1:$N$2,2,FALSE)</f>
        <v>1</v>
      </c>
      <c r="D1163">
        <v>16</v>
      </c>
      <c r="E1163" t="s">
        <v>167</v>
      </c>
      <c r="F1163">
        <v>110</v>
      </c>
      <c r="H1163">
        <v>32</v>
      </c>
      <c r="I1163">
        <v>0.6</v>
      </c>
      <c r="J1163">
        <v>19.2</v>
      </c>
      <c r="K1163">
        <v>3.19</v>
      </c>
      <c r="L1163">
        <v>3.18</v>
      </c>
      <c r="M1163" t="s">
        <v>82</v>
      </c>
      <c r="N1163" t="s">
        <v>162</v>
      </c>
    </row>
    <row r="1164" spans="1:14" x14ac:dyDescent="0.3">
      <c r="A1164" t="s">
        <v>82</v>
      </c>
      <c r="B1164">
        <f>VLOOKUP(M1164,Sheet9!$I$1:$J$17,2,FALSE)</f>
        <v>10</v>
      </c>
      <c r="C1164">
        <f>VLOOKUP(N1164,Sheet9!$M$1:$N$2,2,FALSE)</f>
        <v>1</v>
      </c>
      <c r="D1164">
        <v>16</v>
      </c>
      <c r="E1164" t="s">
        <v>95</v>
      </c>
      <c r="F1164">
        <v>110</v>
      </c>
      <c r="H1164">
        <v>64</v>
      </c>
      <c r="I1164">
        <v>0.6</v>
      </c>
      <c r="J1164">
        <v>38.4</v>
      </c>
      <c r="K1164">
        <v>2.8</v>
      </c>
      <c r="L1164">
        <v>2.8210000000000002</v>
      </c>
      <c r="M1164" t="s">
        <v>82</v>
      </c>
      <c r="N1164" t="s">
        <v>162</v>
      </c>
    </row>
    <row r="1165" spans="1:14" x14ac:dyDescent="0.3">
      <c r="A1165" t="s">
        <v>82</v>
      </c>
      <c r="B1165">
        <f>VLOOKUP(M1165,Sheet9!$I$1:$J$17,2,FALSE)</f>
        <v>10</v>
      </c>
      <c r="C1165">
        <f>VLOOKUP(N1165,Sheet9!$M$1:$N$2,2,FALSE)</f>
        <v>1</v>
      </c>
      <c r="D1165">
        <v>16</v>
      </c>
      <c r="E1165" t="s">
        <v>167</v>
      </c>
      <c r="F1165">
        <v>110</v>
      </c>
      <c r="H1165">
        <v>128</v>
      </c>
      <c r="I1165">
        <v>0.6</v>
      </c>
      <c r="J1165">
        <v>76.8</v>
      </c>
      <c r="K1165">
        <v>2.79</v>
      </c>
      <c r="L1165">
        <v>2.8</v>
      </c>
      <c r="M1165" t="s">
        <v>82</v>
      </c>
      <c r="N1165" t="s">
        <v>162</v>
      </c>
    </row>
    <row r="1166" spans="1:14" x14ac:dyDescent="0.3">
      <c r="A1166" t="s">
        <v>82</v>
      </c>
      <c r="B1166">
        <f>VLOOKUP(M1166,Sheet9!$I$1:$J$17,2,FALSE)</f>
        <v>10</v>
      </c>
      <c r="C1166">
        <f>VLOOKUP(N1166,Sheet9!$M$1:$N$2,2,FALSE)</f>
        <v>1</v>
      </c>
      <c r="D1166">
        <v>16</v>
      </c>
      <c r="E1166" t="s">
        <v>95</v>
      </c>
      <c r="F1166">
        <v>120</v>
      </c>
      <c r="H1166">
        <v>6</v>
      </c>
      <c r="I1166">
        <v>0.6</v>
      </c>
      <c r="J1166">
        <v>3.5999999999999996</v>
      </c>
      <c r="M1166" t="s">
        <v>82</v>
      </c>
      <c r="N1166" t="s">
        <v>162</v>
      </c>
    </row>
    <row r="1167" spans="1:14" x14ac:dyDescent="0.3">
      <c r="A1167" t="s">
        <v>82</v>
      </c>
      <c r="B1167">
        <f>VLOOKUP(M1167,Sheet9!$I$1:$J$17,2,FALSE)</f>
        <v>10</v>
      </c>
      <c r="C1167">
        <f>VLOOKUP(N1167,Sheet9!$M$1:$N$2,2,FALSE)</f>
        <v>1</v>
      </c>
      <c r="D1167">
        <v>16</v>
      </c>
      <c r="E1167" t="s">
        <v>95</v>
      </c>
      <c r="F1167">
        <v>120</v>
      </c>
      <c r="H1167">
        <v>1</v>
      </c>
      <c r="I1167">
        <v>5</v>
      </c>
      <c r="J1167">
        <v>5</v>
      </c>
      <c r="M1167" t="s">
        <v>82</v>
      </c>
      <c r="N1167" t="s">
        <v>162</v>
      </c>
    </row>
    <row r="1168" spans="1:14" x14ac:dyDescent="0.3">
      <c r="A1168" t="s">
        <v>82</v>
      </c>
      <c r="B1168">
        <f>VLOOKUP(M1168,Sheet9!$I$1:$J$17,2,FALSE)</f>
        <v>10</v>
      </c>
      <c r="C1168">
        <f>VLOOKUP(N1168,Sheet9!$M$1:$N$2,2,FALSE)</f>
        <v>1</v>
      </c>
      <c r="D1168">
        <v>16</v>
      </c>
      <c r="E1168" t="s">
        <v>95</v>
      </c>
      <c r="F1168">
        <v>120</v>
      </c>
      <c r="H1168">
        <v>1</v>
      </c>
      <c r="I1168">
        <v>10</v>
      </c>
      <c r="J1168">
        <v>10</v>
      </c>
      <c r="M1168" t="s">
        <v>82</v>
      </c>
      <c r="N1168" t="s">
        <v>162</v>
      </c>
    </row>
    <row r="1169" spans="1:14" x14ac:dyDescent="0.3">
      <c r="A1169" t="s">
        <v>82</v>
      </c>
      <c r="B1169">
        <f>VLOOKUP(M1169,Sheet9!$I$1:$J$17,2,FALSE)</f>
        <v>10</v>
      </c>
      <c r="C1169">
        <f>VLOOKUP(N1169,Sheet9!$M$1:$N$2,2,FALSE)</f>
        <v>1</v>
      </c>
      <c r="D1169">
        <v>16</v>
      </c>
      <c r="E1169" t="s">
        <v>95</v>
      </c>
      <c r="F1169">
        <v>120</v>
      </c>
      <c r="H1169">
        <v>3</v>
      </c>
      <c r="I1169">
        <v>3</v>
      </c>
      <c r="J1169">
        <v>9</v>
      </c>
      <c r="M1169" t="s">
        <v>82</v>
      </c>
      <c r="N1169" t="s">
        <v>162</v>
      </c>
    </row>
    <row r="1170" spans="1:14" x14ac:dyDescent="0.3">
      <c r="A1170" t="s">
        <v>82</v>
      </c>
      <c r="B1170">
        <f>VLOOKUP(M1170,Sheet9!$I$1:$J$17,2,FALSE)</f>
        <v>10</v>
      </c>
      <c r="C1170">
        <f>VLOOKUP(N1170,Sheet9!$M$1:$N$2,2,FALSE)</f>
        <v>1</v>
      </c>
      <c r="D1170">
        <v>16</v>
      </c>
      <c r="E1170" t="s">
        <v>95</v>
      </c>
      <c r="F1170">
        <v>120</v>
      </c>
      <c r="H1170">
        <v>3</v>
      </c>
      <c r="I1170">
        <v>5</v>
      </c>
      <c r="J1170">
        <v>15</v>
      </c>
      <c r="M1170" t="s">
        <v>82</v>
      </c>
      <c r="N1170" t="s">
        <v>162</v>
      </c>
    </row>
    <row r="1171" spans="1:14" x14ac:dyDescent="0.3">
      <c r="A1171" t="s">
        <v>82</v>
      </c>
      <c r="B1171">
        <f>VLOOKUP(M1171,Sheet9!$I$1:$J$17,2,FALSE)</f>
        <v>10</v>
      </c>
      <c r="C1171">
        <f>VLOOKUP(N1171,Sheet9!$M$1:$N$2,2,FALSE)</f>
        <v>1</v>
      </c>
      <c r="D1171">
        <v>16</v>
      </c>
      <c r="E1171" t="s">
        <v>167</v>
      </c>
      <c r="F1171">
        <v>120</v>
      </c>
      <c r="H1171">
        <v>32</v>
      </c>
      <c r="I1171">
        <v>0.6</v>
      </c>
      <c r="J1171">
        <v>19.2</v>
      </c>
      <c r="K1171">
        <v>4.55</v>
      </c>
      <c r="L1171">
        <v>4.55</v>
      </c>
      <c r="M1171" t="s">
        <v>82</v>
      </c>
      <c r="N1171" t="s">
        <v>162</v>
      </c>
    </row>
    <row r="1172" spans="1:14" x14ac:dyDescent="0.3">
      <c r="A1172" t="s">
        <v>82</v>
      </c>
      <c r="B1172">
        <f>VLOOKUP(M1172,Sheet9!$I$1:$J$17,2,FALSE)</f>
        <v>10</v>
      </c>
      <c r="C1172">
        <f>VLOOKUP(N1172,Sheet9!$M$1:$N$2,2,FALSE)</f>
        <v>1</v>
      </c>
      <c r="D1172">
        <v>16</v>
      </c>
      <c r="E1172" t="s">
        <v>95</v>
      </c>
      <c r="F1172">
        <v>120</v>
      </c>
      <c r="H1172">
        <v>64</v>
      </c>
      <c r="I1172">
        <v>0.6</v>
      </c>
      <c r="J1172">
        <v>38.4</v>
      </c>
      <c r="K1172">
        <v>4</v>
      </c>
      <c r="L1172">
        <v>4.03</v>
      </c>
      <c r="M1172" t="s">
        <v>82</v>
      </c>
      <c r="N1172" t="s">
        <v>162</v>
      </c>
    </row>
    <row r="1173" spans="1:14" x14ac:dyDescent="0.3">
      <c r="A1173" t="s">
        <v>82</v>
      </c>
      <c r="B1173">
        <f>VLOOKUP(M1173,Sheet9!$I$1:$J$17,2,FALSE)</f>
        <v>10</v>
      </c>
      <c r="C1173">
        <f>VLOOKUP(N1173,Sheet9!$M$1:$N$2,2,FALSE)</f>
        <v>1</v>
      </c>
      <c r="D1173">
        <v>16</v>
      </c>
      <c r="E1173" t="s">
        <v>167</v>
      </c>
      <c r="F1173">
        <v>120</v>
      </c>
      <c r="H1173">
        <v>128</v>
      </c>
      <c r="I1173">
        <v>0.6</v>
      </c>
      <c r="J1173">
        <v>76.8</v>
      </c>
      <c r="K1173">
        <v>3.97</v>
      </c>
      <c r="L1173">
        <v>4</v>
      </c>
      <c r="M1173" t="s">
        <v>82</v>
      </c>
      <c r="N1173" t="s">
        <v>162</v>
      </c>
    </row>
    <row r="1174" spans="1:14" x14ac:dyDescent="0.3">
      <c r="A1174" t="s">
        <v>82</v>
      </c>
      <c r="B1174">
        <f>VLOOKUP(M1174,Sheet9!$I$1:$J$17,2,FALSE)</f>
        <v>10</v>
      </c>
      <c r="C1174">
        <f>VLOOKUP(N1174,Sheet9!$M$1:$N$2,2,FALSE)</f>
        <v>1</v>
      </c>
      <c r="D1174">
        <v>16</v>
      </c>
      <c r="E1174" t="s">
        <v>95</v>
      </c>
      <c r="F1174">
        <v>130</v>
      </c>
      <c r="H1174">
        <v>6</v>
      </c>
      <c r="I1174">
        <v>0.6</v>
      </c>
      <c r="J1174">
        <v>3.5999999999999996</v>
      </c>
      <c r="M1174" t="s">
        <v>82</v>
      </c>
      <c r="N1174" t="s">
        <v>162</v>
      </c>
    </row>
    <row r="1175" spans="1:14" x14ac:dyDescent="0.3">
      <c r="A1175" t="s">
        <v>82</v>
      </c>
      <c r="B1175">
        <f>VLOOKUP(M1175,Sheet9!$I$1:$J$17,2,FALSE)</f>
        <v>10</v>
      </c>
      <c r="C1175">
        <f>VLOOKUP(N1175,Sheet9!$M$1:$N$2,2,FALSE)</f>
        <v>1</v>
      </c>
      <c r="D1175">
        <v>16</v>
      </c>
      <c r="E1175" t="s">
        <v>95</v>
      </c>
      <c r="F1175">
        <v>130</v>
      </c>
      <c r="H1175">
        <v>1</v>
      </c>
      <c r="I1175">
        <v>5</v>
      </c>
      <c r="J1175">
        <v>5</v>
      </c>
      <c r="M1175" t="s">
        <v>82</v>
      </c>
      <c r="N1175" t="s">
        <v>162</v>
      </c>
    </row>
    <row r="1176" spans="1:14" x14ac:dyDescent="0.3">
      <c r="A1176" t="s">
        <v>82</v>
      </c>
      <c r="B1176">
        <f>VLOOKUP(M1176,Sheet9!$I$1:$J$17,2,FALSE)</f>
        <v>10</v>
      </c>
      <c r="C1176">
        <f>VLOOKUP(N1176,Sheet9!$M$1:$N$2,2,FALSE)</f>
        <v>1</v>
      </c>
      <c r="D1176">
        <v>16</v>
      </c>
      <c r="E1176" t="s">
        <v>95</v>
      </c>
      <c r="F1176">
        <v>130</v>
      </c>
      <c r="H1176">
        <v>1</v>
      </c>
      <c r="I1176">
        <v>10</v>
      </c>
      <c r="J1176">
        <v>10</v>
      </c>
      <c r="M1176" t="s">
        <v>82</v>
      </c>
      <c r="N1176" t="s">
        <v>162</v>
      </c>
    </row>
    <row r="1177" spans="1:14" x14ac:dyDescent="0.3">
      <c r="A1177" t="s">
        <v>82</v>
      </c>
      <c r="B1177">
        <f>VLOOKUP(M1177,Sheet9!$I$1:$J$17,2,FALSE)</f>
        <v>10</v>
      </c>
      <c r="C1177">
        <f>VLOOKUP(N1177,Sheet9!$M$1:$N$2,2,FALSE)</f>
        <v>1</v>
      </c>
      <c r="D1177">
        <v>16</v>
      </c>
      <c r="E1177" t="s">
        <v>95</v>
      </c>
      <c r="F1177">
        <v>130</v>
      </c>
      <c r="H1177">
        <v>3</v>
      </c>
      <c r="I1177">
        <v>3</v>
      </c>
      <c r="J1177">
        <v>9</v>
      </c>
      <c r="M1177" t="s">
        <v>82</v>
      </c>
      <c r="N1177" t="s">
        <v>162</v>
      </c>
    </row>
    <row r="1178" spans="1:14" x14ac:dyDescent="0.3">
      <c r="A1178" t="s">
        <v>82</v>
      </c>
      <c r="B1178">
        <f>VLOOKUP(M1178,Sheet9!$I$1:$J$17,2,FALSE)</f>
        <v>10</v>
      </c>
      <c r="C1178">
        <f>VLOOKUP(N1178,Sheet9!$M$1:$N$2,2,FALSE)</f>
        <v>1</v>
      </c>
      <c r="D1178">
        <v>16</v>
      </c>
      <c r="E1178" t="s">
        <v>95</v>
      </c>
      <c r="F1178">
        <v>130</v>
      </c>
      <c r="H1178">
        <v>3</v>
      </c>
      <c r="I1178">
        <v>5</v>
      </c>
      <c r="J1178">
        <v>15</v>
      </c>
      <c r="M1178" t="s">
        <v>82</v>
      </c>
      <c r="N1178" t="s">
        <v>162</v>
      </c>
    </row>
    <row r="1179" spans="1:14" x14ac:dyDescent="0.3">
      <c r="A1179" t="s">
        <v>82</v>
      </c>
      <c r="B1179">
        <f>VLOOKUP(M1179,Sheet9!$I$1:$J$17,2,FALSE)</f>
        <v>10</v>
      </c>
      <c r="C1179">
        <f>VLOOKUP(N1179,Sheet9!$M$1:$N$2,2,FALSE)</f>
        <v>1</v>
      </c>
      <c r="D1179">
        <v>16</v>
      </c>
      <c r="E1179" t="s">
        <v>167</v>
      </c>
      <c r="F1179">
        <v>130</v>
      </c>
      <c r="H1179">
        <v>32</v>
      </c>
      <c r="I1179">
        <v>0.6</v>
      </c>
      <c r="J1179">
        <v>19.2</v>
      </c>
      <c r="K1179">
        <v>6.17</v>
      </c>
      <c r="L1179">
        <v>6.19</v>
      </c>
      <c r="M1179" t="s">
        <v>82</v>
      </c>
      <c r="N1179" t="s">
        <v>162</v>
      </c>
    </row>
    <row r="1180" spans="1:14" x14ac:dyDescent="0.3">
      <c r="A1180" t="s">
        <v>82</v>
      </c>
      <c r="B1180">
        <f>VLOOKUP(M1180,Sheet9!$I$1:$J$17,2,FALSE)</f>
        <v>10</v>
      </c>
      <c r="C1180">
        <f>VLOOKUP(N1180,Sheet9!$M$1:$N$2,2,FALSE)</f>
        <v>1</v>
      </c>
      <c r="D1180">
        <v>16</v>
      </c>
      <c r="E1180" t="s">
        <v>95</v>
      </c>
      <c r="F1180">
        <v>130</v>
      </c>
      <c r="H1180">
        <v>64</v>
      </c>
      <c r="I1180">
        <v>0.6</v>
      </c>
      <c r="J1180">
        <v>38.4</v>
      </c>
      <c r="K1180">
        <v>5.43</v>
      </c>
      <c r="L1180">
        <v>5.49</v>
      </c>
      <c r="M1180" t="s">
        <v>82</v>
      </c>
      <c r="N1180" t="s">
        <v>162</v>
      </c>
    </row>
    <row r="1181" spans="1:14" x14ac:dyDescent="0.3">
      <c r="A1181" t="s">
        <v>82</v>
      </c>
      <c r="B1181">
        <f>VLOOKUP(M1181,Sheet9!$I$1:$J$17,2,FALSE)</f>
        <v>10</v>
      </c>
      <c r="C1181">
        <f>VLOOKUP(N1181,Sheet9!$M$1:$N$2,2,FALSE)</f>
        <v>1</v>
      </c>
      <c r="D1181">
        <v>16</v>
      </c>
      <c r="E1181" t="s">
        <v>167</v>
      </c>
      <c r="F1181">
        <v>130</v>
      </c>
      <c r="H1181">
        <v>128</v>
      </c>
      <c r="I1181">
        <v>0.6</v>
      </c>
      <c r="J1181">
        <v>76.8</v>
      </c>
      <c r="K1181">
        <v>5.39</v>
      </c>
      <c r="L1181">
        <v>5.44</v>
      </c>
      <c r="M1181" t="s">
        <v>82</v>
      </c>
      <c r="N1181" t="s">
        <v>162</v>
      </c>
    </row>
    <row r="1182" spans="1:14" x14ac:dyDescent="0.3">
      <c r="A1182" t="s">
        <v>82</v>
      </c>
      <c r="B1182">
        <f>VLOOKUP(M1182,Sheet9!$I$1:$J$17,2,FALSE)</f>
        <v>10</v>
      </c>
      <c r="C1182">
        <f>VLOOKUP(N1182,Sheet9!$M$1:$N$2,2,FALSE)</f>
        <v>1</v>
      </c>
      <c r="D1182">
        <v>16</v>
      </c>
      <c r="E1182" t="s">
        <v>95</v>
      </c>
      <c r="F1182">
        <v>140</v>
      </c>
      <c r="H1182">
        <v>6</v>
      </c>
      <c r="I1182">
        <v>0.6</v>
      </c>
      <c r="J1182">
        <v>3.5999999999999996</v>
      </c>
      <c r="K1182">
        <v>10.39</v>
      </c>
      <c r="L1182">
        <v>10.47</v>
      </c>
      <c r="M1182" t="s">
        <v>82</v>
      </c>
      <c r="N1182" t="s">
        <v>162</v>
      </c>
    </row>
    <row r="1183" spans="1:14" x14ac:dyDescent="0.3">
      <c r="A1183" t="s">
        <v>82</v>
      </c>
      <c r="B1183">
        <f>VLOOKUP(M1183,Sheet9!$I$1:$J$17,2,FALSE)</f>
        <v>10</v>
      </c>
      <c r="C1183">
        <f>VLOOKUP(N1183,Sheet9!$M$1:$N$2,2,FALSE)</f>
        <v>1</v>
      </c>
      <c r="D1183">
        <v>16</v>
      </c>
      <c r="E1183" t="s">
        <v>95</v>
      </c>
      <c r="F1183">
        <v>140</v>
      </c>
      <c r="H1183">
        <v>1</v>
      </c>
      <c r="I1183">
        <v>5</v>
      </c>
      <c r="J1183">
        <v>5</v>
      </c>
      <c r="M1183" t="s">
        <v>82</v>
      </c>
      <c r="N1183" t="s">
        <v>162</v>
      </c>
    </row>
    <row r="1184" spans="1:14" x14ac:dyDescent="0.3">
      <c r="A1184" t="s">
        <v>82</v>
      </c>
      <c r="B1184">
        <f>VLOOKUP(M1184,Sheet9!$I$1:$J$17,2,FALSE)</f>
        <v>10</v>
      </c>
      <c r="C1184">
        <f>VLOOKUP(N1184,Sheet9!$M$1:$N$2,2,FALSE)</f>
        <v>1</v>
      </c>
      <c r="D1184">
        <v>16</v>
      </c>
      <c r="E1184" t="s">
        <v>95</v>
      </c>
      <c r="F1184">
        <v>140</v>
      </c>
      <c r="H1184">
        <v>1</v>
      </c>
      <c r="I1184">
        <v>10</v>
      </c>
      <c r="J1184">
        <v>10</v>
      </c>
      <c r="M1184" t="s">
        <v>82</v>
      </c>
      <c r="N1184" t="s">
        <v>162</v>
      </c>
    </row>
    <row r="1185" spans="1:14" x14ac:dyDescent="0.3">
      <c r="A1185" t="s">
        <v>82</v>
      </c>
      <c r="B1185">
        <f>VLOOKUP(M1185,Sheet9!$I$1:$J$17,2,FALSE)</f>
        <v>10</v>
      </c>
      <c r="C1185">
        <f>VLOOKUP(N1185,Sheet9!$M$1:$N$2,2,FALSE)</f>
        <v>1</v>
      </c>
      <c r="D1185">
        <v>16</v>
      </c>
      <c r="E1185" t="s">
        <v>95</v>
      </c>
      <c r="F1185">
        <v>140</v>
      </c>
      <c r="H1185">
        <v>3</v>
      </c>
      <c r="I1185">
        <v>3</v>
      </c>
      <c r="J1185">
        <v>9</v>
      </c>
      <c r="M1185" t="s">
        <v>82</v>
      </c>
      <c r="N1185" t="s">
        <v>162</v>
      </c>
    </row>
    <row r="1186" spans="1:14" x14ac:dyDescent="0.3">
      <c r="A1186" t="s">
        <v>82</v>
      </c>
      <c r="B1186">
        <f>VLOOKUP(M1186,Sheet9!$I$1:$J$17,2,FALSE)</f>
        <v>10</v>
      </c>
      <c r="C1186">
        <f>VLOOKUP(N1186,Sheet9!$M$1:$N$2,2,FALSE)</f>
        <v>1</v>
      </c>
      <c r="D1186">
        <v>16</v>
      </c>
      <c r="E1186" t="s">
        <v>95</v>
      </c>
      <c r="F1186">
        <v>140</v>
      </c>
      <c r="H1186">
        <v>3</v>
      </c>
      <c r="I1186">
        <v>5</v>
      </c>
      <c r="J1186">
        <v>15</v>
      </c>
      <c r="M1186" t="s">
        <v>82</v>
      </c>
      <c r="N1186" t="s">
        <v>162</v>
      </c>
    </row>
    <row r="1187" spans="1:14" x14ac:dyDescent="0.3">
      <c r="A1187" t="s">
        <v>82</v>
      </c>
      <c r="B1187">
        <f>VLOOKUP(M1187,Sheet9!$I$1:$J$17,2,FALSE)</f>
        <v>10</v>
      </c>
      <c r="C1187">
        <f>VLOOKUP(N1187,Sheet9!$M$1:$N$2,2,FALSE)</f>
        <v>1</v>
      </c>
      <c r="D1187">
        <v>16</v>
      </c>
      <c r="E1187" t="s">
        <v>167</v>
      </c>
      <c r="F1187">
        <v>140</v>
      </c>
      <c r="H1187">
        <v>32</v>
      </c>
      <c r="I1187">
        <v>0.6</v>
      </c>
      <c r="J1187">
        <v>19.2</v>
      </c>
      <c r="K1187">
        <v>8.0500000000000007</v>
      </c>
      <c r="L1187">
        <v>8.1</v>
      </c>
      <c r="M1187" t="s">
        <v>82</v>
      </c>
      <c r="N1187" t="s">
        <v>162</v>
      </c>
    </row>
    <row r="1188" spans="1:14" x14ac:dyDescent="0.3">
      <c r="A1188" t="s">
        <v>82</v>
      </c>
      <c r="B1188">
        <f>VLOOKUP(M1188,Sheet9!$I$1:$J$17,2,FALSE)</f>
        <v>10</v>
      </c>
      <c r="C1188">
        <f>VLOOKUP(N1188,Sheet9!$M$1:$N$2,2,FALSE)</f>
        <v>1</v>
      </c>
      <c r="D1188">
        <v>16</v>
      </c>
      <c r="E1188" t="s">
        <v>95</v>
      </c>
      <c r="F1188">
        <v>140</v>
      </c>
      <c r="H1188">
        <v>64</v>
      </c>
      <c r="I1188">
        <v>0.6</v>
      </c>
      <c r="J1188">
        <v>38.4</v>
      </c>
      <c r="K1188">
        <v>7.09</v>
      </c>
      <c r="L1188">
        <v>7.18</v>
      </c>
      <c r="M1188" t="s">
        <v>82</v>
      </c>
      <c r="N1188" t="s">
        <v>162</v>
      </c>
    </row>
    <row r="1189" spans="1:14" x14ac:dyDescent="0.3">
      <c r="A1189" t="s">
        <v>82</v>
      </c>
      <c r="B1189">
        <f>VLOOKUP(M1189,Sheet9!$I$1:$J$17,2,FALSE)</f>
        <v>10</v>
      </c>
      <c r="C1189">
        <f>VLOOKUP(N1189,Sheet9!$M$1:$N$2,2,FALSE)</f>
        <v>1</v>
      </c>
      <c r="D1189">
        <v>16</v>
      </c>
      <c r="E1189" t="s">
        <v>167</v>
      </c>
      <c r="F1189">
        <v>140</v>
      </c>
      <c r="H1189">
        <v>128</v>
      </c>
      <c r="I1189">
        <v>0.6</v>
      </c>
      <c r="J1189">
        <v>76.8</v>
      </c>
      <c r="K1189">
        <v>7.04</v>
      </c>
      <c r="L1189">
        <v>7.12</v>
      </c>
      <c r="M1189" t="s">
        <v>82</v>
      </c>
      <c r="N1189" t="s">
        <v>162</v>
      </c>
    </row>
    <row r="1190" spans="1:14" x14ac:dyDescent="0.3">
      <c r="A1190" t="s">
        <v>82</v>
      </c>
      <c r="B1190">
        <f>VLOOKUP(M1190,Sheet9!$I$1:$J$17,2,FALSE)</f>
        <v>10</v>
      </c>
      <c r="C1190">
        <f>VLOOKUP(N1190,Sheet9!$M$1:$N$2,2,FALSE)</f>
        <v>1</v>
      </c>
      <c r="D1190">
        <v>16</v>
      </c>
      <c r="E1190" t="s">
        <v>95</v>
      </c>
      <c r="F1190">
        <v>150</v>
      </c>
      <c r="H1190">
        <v>6</v>
      </c>
      <c r="I1190">
        <v>0.6</v>
      </c>
      <c r="J1190">
        <v>3.5999999999999996</v>
      </c>
      <c r="M1190" t="s">
        <v>82</v>
      </c>
      <c r="N1190" t="s">
        <v>162</v>
      </c>
    </row>
    <row r="1191" spans="1:14" x14ac:dyDescent="0.3">
      <c r="A1191" t="s">
        <v>82</v>
      </c>
      <c r="B1191">
        <f>VLOOKUP(M1191,Sheet9!$I$1:$J$17,2,FALSE)</f>
        <v>10</v>
      </c>
      <c r="C1191">
        <f>VLOOKUP(N1191,Sheet9!$M$1:$N$2,2,FALSE)</f>
        <v>1</v>
      </c>
      <c r="D1191">
        <v>16</v>
      </c>
      <c r="E1191" t="s">
        <v>95</v>
      </c>
      <c r="F1191">
        <v>150</v>
      </c>
      <c r="H1191">
        <v>1</v>
      </c>
      <c r="I1191">
        <v>5</v>
      </c>
      <c r="J1191">
        <v>5</v>
      </c>
      <c r="M1191" t="s">
        <v>82</v>
      </c>
      <c r="N1191" t="s">
        <v>162</v>
      </c>
    </row>
    <row r="1192" spans="1:14" x14ac:dyDescent="0.3">
      <c r="A1192" t="s">
        <v>82</v>
      </c>
      <c r="B1192">
        <f>VLOOKUP(M1192,Sheet9!$I$1:$J$17,2,FALSE)</f>
        <v>10</v>
      </c>
      <c r="C1192">
        <f>VLOOKUP(N1192,Sheet9!$M$1:$N$2,2,FALSE)</f>
        <v>1</v>
      </c>
      <c r="D1192">
        <v>16</v>
      </c>
      <c r="E1192" t="s">
        <v>95</v>
      </c>
      <c r="F1192">
        <v>150</v>
      </c>
      <c r="H1192">
        <v>1</v>
      </c>
      <c r="I1192">
        <v>10</v>
      </c>
      <c r="J1192">
        <v>10</v>
      </c>
      <c r="M1192" t="s">
        <v>82</v>
      </c>
      <c r="N1192" t="s">
        <v>162</v>
      </c>
    </row>
    <row r="1193" spans="1:14" x14ac:dyDescent="0.3">
      <c r="A1193" t="s">
        <v>82</v>
      </c>
      <c r="B1193">
        <f>VLOOKUP(M1193,Sheet9!$I$1:$J$17,2,FALSE)</f>
        <v>10</v>
      </c>
      <c r="C1193">
        <f>VLOOKUP(N1193,Sheet9!$M$1:$N$2,2,FALSE)</f>
        <v>1</v>
      </c>
      <c r="D1193">
        <v>16</v>
      </c>
      <c r="E1193" t="s">
        <v>95</v>
      </c>
      <c r="F1193">
        <v>150</v>
      </c>
      <c r="H1193">
        <v>3</v>
      </c>
      <c r="I1193">
        <v>3</v>
      </c>
      <c r="J1193">
        <v>9</v>
      </c>
      <c r="M1193" t="s">
        <v>82</v>
      </c>
      <c r="N1193" t="s">
        <v>162</v>
      </c>
    </row>
    <row r="1194" spans="1:14" x14ac:dyDescent="0.3">
      <c r="A1194" t="s">
        <v>82</v>
      </c>
      <c r="B1194">
        <f>VLOOKUP(M1194,Sheet9!$I$1:$J$17,2,FALSE)</f>
        <v>10</v>
      </c>
      <c r="C1194">
        <f>VLOOKUP(N1194,Sheet9!$M$1:$N$2,2,FALSE)</f>
        <v>1</v>
      </c>
      <c r="D1194">
        <v>16</v>
      </c>
      <c r="E1194" t="s">
        <v>95</v>
      </c>
      <c r="F1194">
        <v>150</v>
      </c>
      <c r="H1194">
        <v>3</v>
      </c>
      <c r="I1194">
        <v>5</v>
      </c>
      <c r="J1194">
        <v>15</v>
      </c>
      <c r="M1194" t="s">
        <v>82</v>
      </c>
      <c r="N1194" t="s">
        <v>162</v>
      </c>
    </row>
    <row r="1195" spans="1:14" x14ac:dyDescent="0.3">
      <c r="A1195" t="s">
        <v>82</v>
      </c>
      <c r="B1195">
        <f>VLOOKUP(M1195,Sheet9!$I$1:$J$17,2,FALSE)</f>
        <v>10</v>
      </c>
      <c r="C1195">
        <f>VLOOKUP(N1195,Sheet9!$M$1:$N$2,2,FALSE)</f>
        <v>1</v>
      </c>
      <c r="D1195">
        <v>16</v>
      </c>
      <c r="E1195" t="s">
        <v>167</v>
      </c>
      <c r="F1195">
        <v>150</v>
      </c>
      <c r="H1195">
        <v>32</v>
      </c>
      <c r="I1195">
        <v>0.6</v>
      </c>
      <c r="J1195">
        <v>19.2</v>
      </c>
      <c r="K1195">
        <v>10.19</v>
      </c>
      <c r="L1195">
        <v>10.28</v>
      </c>
      <c r="M1195" t="s">
        <v>82</v>
      </c>
      <c r="N1195" t="s">
        <v>162</v>
      </c>
    </row>
    <row r="1196" spans="1:14" x14ac:dyDescent="0.3">
      <c r="A1196" t="s">
        <v>82</v>
      </c>
      <c r="B1196">
        <f>VLOOKUP(M1196,Sheet9!$I$1:$J$17,2,FALSE)</f>
        <v>10</v>
      </c>
      <c r="C1196">
        <f>VLOOKUP(N1196,Sheet9!$M$1:$N$2,2,FALSE)</f>
        <v>1</v>
      </c>
      <c r="D1196">
        <v>16</v>
      </c>
      <c r="E1196" t="s">
        <v>95</v>
      </c>
      <c r="F1196">
        <v>150</v>
      </c>
      <c r="H1196">
        <v>64</v>
      </c>
      <c r="I1196">
        <v>0.6</v>
      </c>
      <c r="J1196">
        <v>38.4</v>
      </c>
      <c r="K1196">
        <v>8.9700000000000006</v>
      </c>
      <c r="L1196">
        <v>9.11</v>
      </c>
      <c r="M1196" t="s">
        <v>82</v>
      </c>
      <c r="N1196" t="s">
        <v>162</v>
      </c>
    </row>
    <row r="1197" spans="1:14" x14ac:dyDescent="0.3">
      <c r="A1197" t="s">
        <v>82</v>
      </c>
      <c r="B1197">
        <f>VLOOKUP(M1197,Sheet9!$I$1:$J$17,2,FALSE)</f>
        <v>10</v>
      </c>
      <c r="C1197">
        <f>VLOOKUP(N1197,Sheet9!$M$1:$N$2,2,FALSE)</f>
        <v>1</v>
      </c>
      <c r="D1197">
        <v>16</v>
      </c>
      <c r="E1197" t="s">
        <v>167</v>
      </c>
      <c r="F1197">
        <v>150</v>
      </c>
      <c r="H1197">
        <v>128</v>
      </c>
      <c r="I1197">
        <v>0.6</v>
      </c>
      <c r="J1197">
        <v>76.8</v>
      </c>
      <c r="K1197">
        <v>8.91</v>
      </c>
      <c r="L1197">
        <v>9.0399999999999991</v>
      </c>
      <c r="M1197" t="s">
        <v>82</v>
      </c>
      <c r="N1197" t="s">
        <v>162</v>
      </c>
    </row>
    <row r="1198" spans="1:14" x14ac:dyDescent="0.3">
      <c r="A1198" t="s">
        <v>82</v>
      </c>
      <c r="B1198">
        <f>VLOOKUP(M1198,Sheet9!$I$1:$J$17,2,FALSE)</f>
        <v>10</v>
      </c>
      <c r="C1198">
        <f>VLOOKUP(N1198,Sheet9!$M$1:$N$2,2,FALSE)</f>
        <v>1</v>
      </c>
      <c r="D1198">
        <v>16</v>
      </c>
      <c r="E1198" t="s">
        <v>95</v>
      </c>
      <c r="F1198">
        <v>150</v>
      </c>
      <c r="G1198" t="s">
        <v>170</v>
      </c>
      <c r="H1198">
        <v>6</v>
      </c>
      <c r="I1198">
        <v>0.6</v>
      </c>
      <c r="J1198">
        <v>3.5999999999999996</v>
      </c>
      <c r="M1198" t="s">
        <v>82</v>
      </c>
      <c r="N1198" t="s">
        <v>162</v>
      </c>
    </row>
    <row r="1199" spans="1:14" x14ac:dyDescent="0.3">
      <c r="A1199" t="s">
        <v>82</v>
      </c>
      <c r="B1199">
        <f>VLOOKUP(M1199,Sheet9!$I$1:$J$17,2,FALSE)</f>
        <v>10</v>
      </c>
      <c r="C1199">
        <f>VLOOKUP(N1199,Sheet9!$M$1:$N$2,2,FALSE)</f>
        <v>1</v>
      </c>
      <c r="D1199">
        <v>16</v>
      </c>
      <c r="E1199" t="s">
        <v>95</v>
      </c>
      <c r="F1199">
        <v>150</v>
      </c>
      <c r="H1199">
        <v>1</v>
      </c>
      <c r="I1199">
        <v>5</v>
      </c>
      <c r="J1199">
        <v>5</v>
      </c>
      <c r="M1199" t="s">
        <v>82</v>
      </c>
      <c r="N1199" t="s">
        <v>162</v>
      </c>
    </row>
    <row r="1200" spans="1:14" x14ac:dyDescent="0.3">
      <c r="A1200" t="s">
        <v>82</v>
      </c>
      <c r="B1200">
        <f>VLOOKUP(M1200,Sheet9!$I$1:$J$17,2,FALSE)</f>
        <v>10</v>
      </c>
      <c r="C1200">
        <f>VLOOKUP(N1200,Sheet9!$M$1:$N$2,2,FALSE)</f>
        <v>1</v>
      </c>
      <c r="D1200">
        <v>16</v>
      </c>
      <c r="E1200" t="s">
        <v>95</v>
      </c>
      <c r="F1200">
        <v>150</v>
      </c>
      <c r="H1200">
        <v>1</v>
      </c>
      <c r="I1200">
        <v>10</v>
      </c>
      <c r="J1200">
        <v>10</v>
      </c>
      <c r="M1200" t="s">
        <v>82</v>
      </c>
      <c r="N1200" t="s">
        <v>162</v>
      </c>
    </row>
    <row r="1201" spans="1:14" x14ac:dyDescent="0.3">
      <c r="A1201" t="s">
        <v>82</v>
      </c>
      <c r="B1201">
        <f>VLOOKUP(M1201,Sheet9!$I$1:$J$17,2,FALSE)</f>
        <v>10</v>
      </c>
      <c r="C1201">
        <f>VLOOKUP(N1201,Sheet9!$M$1:$N$2,2,FALSE)</f>
        <v>1</v>
      </c>
      <c r="D1201">
        <v>16</v>
      </c>
      <c r="E1201" t="s">
        <v>95</v>
      </c>
      <c r="F1201">
        <v>150</v>
      </c>
      <c r="H1201">
        <v>3</v>
      </c>
      <c r="I1201">
        <v>3</v>
      </c>
      <c r="J1201">
        <v>9</v>
      </c>
      <c r="M1201" t="s">
        <v>82</v>
      </c>
      <c r="N1201" t="s">
        <v>162</v>
      </c>
    </row>
    <row r="1202" spans="1:14" x14ac:dyDescent="0.3">
      <c r="A1202" t="s">
        <v>82</v>
      </c>
      <c r="B1202">
        <f>VLOOKUP(M1202,Sheet9!$I$1:$J$17,2,FALSE)</f>
        <v>10</v>
      </c>
      <c r="C1202">
        <f>VLOOKUP(N1202,Sheet9!$M$1:$N$2,2,FALSE)</f>
        <v>1</v>
      </c>
      <c r="D1202">
        <v>16</v>
      </c>
      <c r="E1202" t="s">
        <v>95</v>
      </c>
      <c r="F1202">
        <v>150</v>
      </c>
      <c r="H1202">
        <v>3</v>
      </c>
      <c r="I1202">
        <v>5</v>
      </c>
      <c r="J1202">
        <v>15</v>
      </c>
      <c r="M1202" t="s">
        <v>82</v>
      </c>
      <c r="N1202" t="s">
        <v>162</v>
      </c>
    </row>
    <row r="1203" spans="1:14" x14ac:dyDescent="0.3">
      <c r="A1203" t="s">
        <v>82</v>
      </c>
      <c r="B1203">
        <f>VLOOKUP(M1203,Sheet9!$I$1:$J$17,2,FALSE)</f>
        <v>10</v>
      </c>
      <c r="C1203">
        <f>VLOOKUP(N1203,Sheet9!$M$1:$N$2,2,FALSE)</f>
        <v>1</v>
      </c>
      <c r="D1203">
        <v>16</v>
      </c>
      <c r="E1203" t="s">
        <v>167</v>
      </c>
      <c r="F1203">
        <v>150</v>
      </c>
      <c r="H1203">
        <v>32</v>
      </c>
      <c r="I1203">
        <v>0.6</v>
      </c>
      <c r="J1203">
        <v>19.2</v>
      </c>
      <c r="K1203">
        <v>6.01</v>
      </c>
      <c r="L1203">
        <v>6.1</v>
      </c>
      <c r="M1203" t="s">
        <v>82</v>
      </c>
      <c r="N1203" t="s">
        <v>162</v>
      </c>
    </row>
    <row r="1204" spans="1:14" x14ac:dyDescent="0.3">
      <c r="A1204" t="s">
        <v>82</v>
      </c>
      <c r="B1204">
        <f>VLOOKUP(M1204,Sheet9!$I$1:$J$17,2,FALSE)</f>
        <v>10</v>
      </c>
      <c r="C1204">
        <f>VLOOKUP(N1204,Sheet9!$M$1:$N$2,2,FALSE)</f>
        <v>1</v>
      </c>
      <c r="D1204">
        <v>16</v>
      </c>
      <c r="E1204" t="s">
        <v>95</v>
      </c>
      <c r="F1204">
        <v>150</v>
      </c>
      <c r="H1204">
        <v>64</v>
      </c>
      <c r="I1204">
        <v>0.6</v>
      </c>
      <c r="J1204">
        <v>38.4</v>
      </c>
      <c r="K1204">
        <v>5.3</v>
      </c>
      <c r="L1204">
        <v>5.41</v>
      </c>
      <c r="M1204" t="s">
        <v>82</v>
      </c>
      <c r="N1204" t="s">
        <v>162</v>
      </c>
    </row>
    <row r="1205" spans="1:14" x14ac:dyDescent="0.3">
      <c r="A1205" t="s">
        <v>82</v>
      </c>
      <c r="B1205">
        <f>VLOOKUP(M1205,Sheet9!$I$1:$J$17,2,FALSE)</f>
        <v>10</v>
      </c>
      <c r="C1205">
        <f>VLOOKUP(N1205,Sheet9!$M$1:$N$2,2,FALSE)</f>
        <v>1</v>
      </c>
      <c r="D1205">
        <v>16</v>
      </c>
      <c r="E1205" t="s">
        <v>167</v>
      </c>
      <c r="F1205">
        <v>150</v>
      </c>
      <c r="H1205">
        <v>128</v>
      </c>
      <c r="I1205">
        <v>0.6</v>
      </c>
      <c r="J1205">
        <v>76.8</v>
      </c>
      <c r="K1205">
        <v>5.27</v>
      </c>
      <c r="L1205">
        <v>6.36</v>
      </c>
      <c r="M1205" t="s">
        <v>82</v>
      </c>
      <c r="N1205" t="s">
        <v>162</v>
      </c>
    </row>
    <row r="1206" spans="1:14" x14ac:dyDescent="0.3">
      <c r="A1206" t="s">
        <v>82</v>
      </c>
      <c r="B1206">
        <f>VLOOKUP(M1206,Sheet9!$I$1:$J$17,2,FALSE)</f>
        <v>10</v>
      </c>
      <c r="C1206">
        <f>VLOOKUP(N1206,Sheet9!$M$1:$N$2,2,FALSE)</f>
        <v>1</v>
      </c>
      <c r="D1206">
        <v>16</v>
      </c>
      <c r="E1206" t="s">
        <v>95</v>
      </c>
      <c r="F1206">
        <v>120</v>
      </c>
      <c r="G1206" t="s">
        <v>141</v>
      </c>
      <c r="H1206">
        <v>6</v>
      </c>
      <c r="I1206">
        <v>0.6</v>
      </c>
      <c r="J1206">
        <v>3.5999999999999996</v>
      </c>
      <c r="M1206" t="s">
        <v>82</v>
      </c>
      <c r="N1206" t="s">
        <v>162</v>
      </c>
    </row>
    <row r="1207" spans="1:14" x14ac:dyDescent="0.3">
      <c r="A1207" t="s">
        <v>82</v>
      </c>
      <c r="B1207">
        <f>VLOOKUP(M1207,Sheet9!$I$1:$J$17,2,FALSE)</f>
        <v>10</v>
      </c>
      <c r="C1207">
        <f>VLOOKUP(N1207,Sheet9!$M$1:$N$2,2,FALSE)</f>
        <v>1</v>
      </c>
      <c r="D1207">
        <v>16</v>
      </c>
      <c r="E1207" t="s">
        <v>95</v>
      </c>
      <c r="F1207">
        <v>120</v>
      </c>
      <c r="H1207">
        <v>1</v>
      </c>
      <c r="I1207">
        <v>5</v>
      </c>
      <c r="J1207">
        <v>5</v>
      </c>
      <c r="M1207" t="s">
        <v>82</v>
      </c>
      <c r="N1207" t="s">
        <v>162</v>
      </c>
    </row>
    <row r="1208" spans="1:14" x14ac:dyDescent="0.3">
      <c r="A1208" t="s">
        <v>82</v>
      </c>
      <c r="B1208">
        <f>VLOOKUP(M1208,Sheet9!$I$1:$J$17,2,FALSE)</f>
        <v>10</v>
      </c>
      <c r="C1208">
        <f>VLOOKUP(N1208,Sheet9!$M$1:$N$2,2,FALSE)</f>
        <v>1</v>
      </c>
      <c r="D1208">
        <v>16</v>
      </c>
      <c r="E1208" t="s">
        <v>95</v>
      </c>
      <c r="F1208">
        <v>120</v>
      </c>
      <c r="H1208">
        <v>1</v>
      </c>
      <c r="I1208">
        <v>10</v>
      </c>
      <c r="J1208">
        <v>10</v>
      </c>
      <c r="M1208" t="s">
        <v>82</v>
      </c>
      <c r="N1208" t="s">
        <v>162</v>
      </c>
    </row>
    <row r="1209" spans="1:14" x14ac:dyDescent="0.3">
      <c r="A1209" t="s">
        <v>82</v>
      </c>
      <c r="B1209">
        <f>VLOOKUP(M1209,Sheet9!$I$1:$J$17,2,FALSE)</f>
        <v>10</v>
      </c>
      <c r="C1209">
        <f>VLOOKUP(N1209,Sheet9!$M$1:$N$2,2,FALSE)</f>
        <v>1</v>
      </c>
      <c r="D1209">
        <v>16</v>
      </c>
      <c r="E1209" t="s">
        <v>95</v>
      </c>
      <c r="F1209">
        <v>120</v>
      </c>
      <c r="H1209">
        <v>3</v>
      </c>
      <c r="I1209">
        <v>3</v>
      </c>
      <c r="J1209">
        <v>9</v>
      </c>
      <c r="M1209" t="s">
        <v>82</v>
      </c>
      <c r="N1209" t="s">
        <v>162</v>
      </c>
    </row>
    <row r="1210" spans="1:14" x14ac:dyDescent="0.3">
      <c r="A1210" t="s">
        <v>82</v>
      </c>
      <c r="B1210">
        <f>VLOOKUP(M1210,Sheet9!$I$1:$J$17,2,FALSE)</f>
        <v>10</v>
      </c>
      <c r="C1210">
        <f>VLOOKUP(N1210,Sheet9!$M$1:$N$2,2,FALSE)</f>
        <v>1</v>
      </c>
      <c r="D1210">
        <v>16</v>
      </c>
      <c r="E1210" t="s">
        <v>95</v>
      </c>
      <c r="F1210">
        <v>120</v>
      </c>
      <c r="H1210">
        <v>3</v>
      </c>
      <c r="I1210">
        <v>5</v>
      </c>
      <c r="J1210">
        <v>15</v>
      </c>
      <c r="M1210" t="s">
        <v>82</v>
      </c>
      <c r="N1210" t="s">
        <v>162</v>
      </c>
    </row>
    <row r="1211" spans="1:14" x14ac:dyDescent="0.3">
      <c r="A1211" t="s">
        <v>82</v>
      </c>
      <c r="B1211">
        <f>VLOOKUP(M1211,Sheet9!$I$1:$J$17,2,FALSE)</f>
        <v>10</v>
      </c>
      <c r="C1211">
        <f>VLOOKUP(N1211,Sheet9!$M$1:$N$2,2,FALSE)</f>
        <v>1</v>
      </c>
      <c r="D1211">
        <v>16</v>
      </c>
      <c r="E1211" t="s">
        <v>167</v>
      </c>
      <c r="F1211">
        <v>120</v>
      </c>
      <c r="H1211">
        <v>32</v>
      </c>
      <c r="I1211">
        <v>0.6</v>
      </c>
      <c r="J1211">
        <v>19.2</v>
      </c>
      <c r="M1211" t="s">
        <v>82</v>
      </c>
      <c r="N1211" t="s">
        <v>162</v>
      </c>
    </row>
    <row r="1212" spans="1:14" x14ac:dyDescent="0.3">
      <c r="A1212" t="s">
        <v>82</v>
      </c>
      <c r="B1212">
        <f>VLOOKUP(M1212,Sheet9!$I$1:$J$17,2,FALSE)</f>
        <v>10</v>
      </c>
      <c r="C1212">
        <f>VLOOKUP(N1212,Sheet9!$M$1:$N$2,2,FALSE)</f>
        <v>1</v>
      </c>
      <c r="D1212">
        <v>16</v>
      </c>
      <c r="E1212" t="s">
        <v>95</v>
      </c>
      <c r="F1212">
        <v>120</v>
      </c>
      <c r="H1212">
        <v>64</v>
      </c>
      <c r="I1212">
        <v>0.6</v>
      </c>
      <c r="J1212">
        <v>38.4</v>
      </c>
      <c r="K1212">
        <v>4.09</v>
      </c>
      <c r="L1212">
        <v>4.1100000000000003</v>
      </c>
      <c r="M1212" t="s">
        <v>82</v>
      </c>
      <c r="N1212" t="s">
        <v>162</v>
      </c>
    </row>
    <row r="1213" spans="1:14" x14ac:dyDescent="0.3">
      <c r="A1213" t="s">
        <v>82</v>
      </c>
      <c r="B1213">
        <f>VLOOKUP(M1213,Sheet9!$I$1:$J$17,2,FALSE)</f>
        <v>10</v>
      </c>
      <c r="C1213">
        <f>VLOOKUP(N1213,Sheet9!$M$1:$N$2,2,FALSE)</f>
        <v>1</v>
      </c>
      <c r="D1213">
        <v>16</v>
      </c>
      <c r="E1213" t="s">
        <v>167</v>
      </c>
      <c r="F1213">
        <v>120</v>
      </c>
      <c r="H1213">
        <v>128</v>
      </c>
      <c r="I1213">
        <v>0.6</v>
      </c>
      <c r="J1213">
        <v>76.8</v>
      </c>
      <c r="M1213" t="s">
        <v>82</v>
      </c>
      <c r="N1213" t="s">
        <v>162</v>
      </c>
    </row>
    <row r="1214" spans="1:14" x14ac:dyDescent="0.3">
      <c r="A1214" t="s">
        <v>82</v>
      </c>
      <c r="B1214">
        <f>VLOOKUP(M1214,Sheet9!$I$1:$J$17,2,FALSE)</f>
        <v>10</v>
      </c>
      <c r="C1214">
        <f>VLOOKUP(N1214,Sheet9!$M$1:$N$2,2,FALSE)</f>
        <v>1</v>
      </c>
      <c r="D1214">
        <v>16</v>
      </c>
      <c r="E1214" t="s">
        <v>95</v>
      </c>
      <c r="F1214">
        <v>140</v>
      </c>
      <c r="G1214" t="s">
        <v>141</v>
      </c>
      <c r="H1214">
        <v>6</v>
      </c>
      <c r="I1214">
        <v>0.6</v>
      </c>
      <c r="J1214">
        <v>3.5999999999999996</v>
      </c>
      <c r="M1214" t="s">
        <v>82</v>
      </c>
      <c r="N1214" t="s">
        <v>162</v>
      </c>
    </row>
    <row r="1215" spans="1:14" x14ac:dyDescent="0.3">
      <c r="A1215" t="s">
        <v>82</v>
      </c>
      <c r="B1215">
        <f>VLOOKUP(M1215,Sheet9!$I$1:$J$17,2,FALSE)</f>
        <v>10</v>
      </c>
      <c r="C1215">
        <f>VLOOKUP(N1215,Sheet9!$M$1:$N$2,2,FALSE)</f>
        <v>1</v>
      </c>
      <c r="D1215">
        <v>16</v>
      </c>
      <c r="E1215" t="s">
        <v>95</v>
      </c>
      <c r="F1215">
        <v>140</v>
      </c>
      <c r="H1215">
        <v>1</v>
      </c>
      <c r="I1215">
        <v>5</v>
      </c>
      <c r="J1215">
        <v>5</v>
      </c>
      <c r="M1215" t="s">
        <v>82</v>
      </c>
      <c r="N1215" t="s">
        <v>162</v>
      </c>
    </row>
    <row r="1216" spans="1:14" x14ac:dyDescent="0.3">
      <c r="A1216" t="s">
        <v>82</v>
      </c>
      <c r="B1216">
        <f>VLOOKUP(M1216,Sheet9!$I$1:$J$17,2,FALSE)</f>
        <v>10</v>
      </c>
      <c r="C1216">
        <f>VLOOKUP(N1216,Sheet9!$M$1:$N$2,2,FALSE)</f>
        <v>1</v>
      </c>
      <c r="D1216">
        <v>16</v>
      </c>
      <c r="E1216" t="s">
        <v>95</v>
      </c>
      <c r="F1216">
        <v>140</v>
      </c>
      <c r="H1216">
        <v>1</v>
      </c>
      <c r="I1216">
        <v>10</v>
      </c>
      <c r="J1216">
        <v>10</v>
      </c>
      <c r="M1216" t="s">
        <v>82</v>
      </c>
      <c r="N1216" t="s">
        <v>162</v>
      </c>
    </row>
    <row r="1217" spans="1:14" x14ac:dyDescent="0.3">
      <c r="A1217" t="s">
        <v>82</v>
      </c>
      <c r="B1217">
        <f>VLOOKUP(M1217,Sheet9!$I$1:$J$17,2,FALSE)</f>
        <v>10</v>
      </c>
      <c r="C1217">
        <f>VLOOKUP(N1217,Sheet9!$M$1:$N$2,2,FALSE)</f>
        <v>1</v>
      </c>
      <c r="D1217">
        <v>16</v>
      </c>
      <c r="E1217" t="s">
        <v>95</v>
      </c>
      <c r="F1217">
        <v>140</v>
      </c>
      <c r="H1217">
        <v>3</v>
      </c>
      <c r="I1217">
        <v>3</v>
      </c>
      <c r="J1217">
        <v>9</v>
      </c>
      <c r="M1217" t="s">
        <v>82</v>
      </c>
      <c r="N1217" t="s">
        <v>162</v>
      </c>
    </row>
    <row r="1218" spans="1:14" x14ac:dyDescent="0.3">
      <c r="A1218" t="s">
        <v>82</v>
      </c>
      <c r="B1218">
        <f>VLOOKUP(M1218,Sheet9!$I$1:$J$17,2,FALSE)</f>
        <v>10</v>
      </c>
      <c r="C1218">
        <f>VLOOKUP(N1218,Sheet9!$M$1:$N$2,2,FALSE)</f>
        <v>1</v>
      </c>
      <c r="D1218">
        <v>16</v>
      </c>
      <c r="E1218" t="s">
        <v>95</v>
      </c>
      <c r="F1218">
        <v>140</v>
      </c>
      <c r="H1218">
        <v>3</v>
      </c>
      <c r="I1218">
        <v>5</v>
      </c>
      <c r="J1218">
        <v>15</v>
      </c>
      <c r="M1218" t="s">
        <v>82</v>
      </c>
      <c r="N1218" t="s">
        <v>162</v>
      </c>
    </row>
    <row r="1219" spans="1:14" x14ac:dyDescent="0.3">
      <c r="A1219" t="s">
        <v>82</v>
      </c>
      <c r="B1219">
        <f>VLOOKUP(M1219,Sheet9!$I$1:$J$17,2,FALSE)</f>
        <v>10</v>
      </c>
      <c r="C1219">
        <f>VLOOKUP(N1219,Sheet9!$M$1:$N$2,2,FALSE)</f>
        <v>1</v>
      </c>
      <c r="D1219">
        <v>16</v>
      </c>
      <c r="E1219" t="s">
        <v>167</v>
      </c>
      <c r="F1219">
        <v>140</v>
      </c>
      <c r="H1219">
        <v>32</v>
      </c>
      <c r="I1219">
        <v>0.6</v>
      </c>
      <c r="J1219">
        <v>19.2</v>
      </c>
      <c r="M1219" t="s">
        <v>82</v>
      </c>
      <c r="N1219" t="s">
        <v>162</v>
      </c>
    </row>
    <row r="1220" spans="1:14" x14ac:dyDescent="0.3">
      <c r="A1220" t="s">
        <v>82</v>
      </c>
      <c r="B1220">
        <f>VLOOKUP(M1220,Sheet9!$I$1:$J$17,2,FALSE)</f>
        <v>10</v>
      </c>
      <c r="C1220">
        <f>VLOOKUP(N1220,Sheet9!$M$1:$N$2,2,FALSE)</f>
        <v>1</v>
      </c>
      <c r="D1220">
        <v>16</v>
      </c>
      <c r="E1220" t="s">
        <v>95</v>
      </c>
      <c r="F1220">
        <v>140</v>
      </c>
      <c r="H1220">
        <v>64</v>
      </c>
      <c r="I1220">
        <v>0.6</v>
      </c>
      <c r="J1220">
        <v>38.4</v>
      </c>
      <c r="K1220">
        <v>6.73</v>
      </c>
      <c r="L1220">
        <v>6.8</v>
      </c>
      <c r="M1220" t="s">
        <v>82</v>
      </c>
      <c r="N1220" t="s">
        <v>162</v>
      </c>
    </row>
    <row r="1221" spans="1:14" x14ac:dyDescent="0.3">
      <c r="A1221" t="s">
        <v>82</v>
      </c>
      <c r="B1221">
        <f>VLOOKUP(M1221,Sheet9!$I$1:$J$17,2,FALSE)</f>
        <v>10</v>
      </c>
      <c r="C1221">
        <f>VLOOKUP(N1221,Sheet9!$M$1:$N$2,2,FALSE)</f>
        <v>1</v>
      </c>
      <c r="D1221">
        <v>16</v>
      </c>
      <c r="E1221" t="s">
        <v>167</v>
      </c>
      <c r="F1221">
        <v>140</v>
      </c>
      <c r="H1221">
        <v>128</v>
      </c>
      <c r="I1221">
        <v>0.6</v>
      </c>
      <c r="J1221">
        <v>76.8</v>
      </c>
      <c r="M1221" t="s">
        <v>82</v>
      </c>
      <c r="N1221" t="s">
        <v>162</v>
      </c>
    </row>
    <row r="1222" spans="1:14" x14ac:dyDescent="0.3">
      <c r="A1222" t="s">
        <v>82</v>
      </c>
      <c r="B1222">
        <f>VLOOKUP(M1222,Sheet9!$I$1:$J$17,2,FALSE)</f>
        <v>10</v>
      </c>
      <c r="C1222">
        <f>VLOOKUP(N1222,Sheet9!$M$1:$N$2,2,FALSE)</f>
        <v>1</v>
      </c>
      <c r="D1222">
        <v>16</v>
      </c>
      <c r="E1222" t="s">
        <v>96</v>
      </c>
      <c r="F1222">
        <v>70</v>
      </c>
      <c r="H1222">
        <v>6</v>
      </c>
      <c r="I1222">
        <v>0.6</v>
      </c>
      <c r="J1222">
        <v>3.5999999999999996</v>
      </c>
      <c r="M1222" t="s">
        <v>82</v>
      </c>
      <c r="N1222" t="s">
        <v>162</v>
      </c>
    </row>
    <row r="1223" spans="1:14" x14ac:dyDescent="0.3">
      <c r="A1223" t="s">
        <v>82</v>
      </c>
      <c r="B1223">
        <f>VLOOKUP(M1223,Sheet9!$I$1:$J$17,2,FALSE)</f>
        <v>10</v>
      </c>
      <c r="C1223">
        <f>VLOOKUP(N1223,Sheet9!$M$1:$N$2,2,FALSE)</f>
        <v>1</v>
      </c>
      <c r="D1223">
        <v>16</v>
      </c>
      <c r="E1223" t="s">
        <v>96</v>
      </c>
      <c r="F1223">
        <v>70</v>
      </c>
      <c r="H1223">
        <v>1</v>
      </c>
      <c r="I1223">
        <v>5</v>
      </c>
      <c r="J1223">
        <v>5</v>
      </c>
      <c r="K1223">
        <v>3.1</v>
      </c>
      <c r="L1223">
        <v>3.12</v>
      </c>
      <c r="M1223" t="s">
        <v>82</v>
      </c>
      <c r="N1223" t="s">
        <v>162</v>
      </c>
    </row>
    <row r="1224" spans="1:14" x14ac:dyDescent="0.3">
      <c r="A1224" t="s">
        <v>82</v>
      </c>
      <c r="B1224">
        <f>VLOOKUP(M1224,Sheet9!$I$1:$J$17,2,FALSE)</f>
        <v>10</v>
      </c>
      <c r="C1224">
        <f>VLOOKUP(N1224,Sheet9!$M$1:$N$2,2,FALSE)</f>
        <v>1</v>
      </c>
      <c r="D1224">
        <v>16</v>
      </c>
      <c r="E1224" t="s">
        <v>96</v>
      </c>
      <c r="F1224">
        <v>70</v>
      </c>
      <c r="H1224">
        <v>1</v>
      </c>
      <c r="I1224">
        <v>10</v>
      </c>
      <c r="J1224">
        <v>10</v>
      </c>
      <c r="K1224">
        <v>2.82</v>
      </c>
      <c r="L1224">
        <v>2.84</v>
      </c>
      <c r="M1224" t="s">
        <v>82</v>
      </c>
      <c r="N1224" t="s">
        <v>162</v>
      </c>
    </row>
    <row r="1225" spans="1:14" x14ac:dyDescent="0.3">
      <c r="A1225" t="s">
        <v>82</v>
      </c>
      <c r="B1225">
        <f>VLOOKUP(M1225,Sheet9!$I$1:$J$17,2,FALSE)</f>
        <v>10</v>
      </c>
      <c r="C1225">
        <f>VLOOKUP(N1225,Sheet9!$M$1:$N$2,2,FALSE)</f>
        <v>1</v>
      </c>
      <c r="D1225">
        <v>16</v>
      </c>
      <c r="E1225" t="s">
        <v>96</v>
      </c>
      <c r="F1225">
        <v>70</v>
      </c>
      <c r="H1225">
        <v>3</v>
      </c>
      <c r="I1225">
        <v>3</v>
      </c>
      <c r="J1225">
        <v>9</v>
      </c>
      <c r="K1225">
        <v>3.93</v>
      </c>
      <c r="L1225">
        <v>4</v>
      </c>
      <c r="M1225" t="s">
        <v>82</v>
      </c>
      <c r="N1225" t="s">
        <v>162</v>
      </c>
    </row>
    <row r="1226" spans="1:14" x14ac:dyDescent="0.3">
      <c r="A1226" t="s">
        <v>82</v>
      </c>
      <c r="B1226">
        <f>VLOOKUP(M1226,Sheet9!$I$1:$J$17,2,FALSE)</f>
        <v>10</v>
      </c>
      <c r="C1226">
        <f>VLOOKUP(N1226,Sheet9!$M$1:$N$2,2,FALSE)</f>
        <v>1</v>
      </c>
      <c r="D1226">
        <v>16</v>
      </c>
      <c r="E1226" t="s">
        <v>96</v>
      </c>
      <c r="F1226">
        <v>70</v>
      </c>
      <c r="H1226">
        <v>3</v>
      </c>
      <c r="I1226">
        <v>5</v>
      </c>
      <c r="J1226">
        <v>15</v>
      </c>
      <c r="K1226">
        <v>3.75</v>
      </c>
      <c r="L1226">
        <v>3.81</v>
      </c>
      <c r="M1226" t="s">
        <v>82</v>
      </c>
      <c r="N1226" t="s">
        <v>162</v>
      </c>
    </row>
    <row r="1227" spans="1:14" x14ac:dyDescent="0.3">
      <c r="A1227" t="s">
        <v>82</v>
      </c>
      <c r="B1227">
        <f>VLOOKUP(M1227,Sheet9!$I$1:$J$17,2,FALSE)</f>
        <v>10</v>
      </c>
      <c r="C1227">
        <f>VLOOKUP(N1227,Sheet9!$M$1:$N$2,2,FALSE)</f>
        <v>1</v>
      </c>
      <c r="D1227">
        <v>16</v>
      </c>
      <c r="E1227" t="s">
        <v>168</v>
      </c>
      <c r="F1227">
        <v>70</v>
      </c>
      <c r="H1227">
        <v>32</v>
      </c>
      <c r="I1227">
        <v>0.6</v>
      </c>
      <c r="J1227">
        <v>19.2</v>
      </c>
      <c r="K1227">
        <v>3.98</v>
      </c>
      <c r="L1227">
        <v>4.01</v>
      </c>
      <c r="M1227" t="s">
        <v>82</v>
      </c>
      <c r="N1227" t="s">
        <v>162</v>
      </c>
    </row>
    <row r="1228" spans="1:14" x14ac:dyDescent="0.3">
      <c r="A1228" t="s">
        <v>82</v>
      </c>
      <c r="B1228">
        <f>VLOOKUP(M1228,Sheet9!$I$1:$J$17,2,FALSE)</f>
        <v>10</v>
      </c>
      <c r="C1228">
        <f>VLOOKUP(N1228,Sheet9!$M$1:$N$2,2,FALSE)</f>
        <v>1</v>
      </c>
      <c r="D1228">
        <v>16</v>
      </c>
      <c r="E1228" t="s">
        <v>96</v>
      </c>
      <c r="F1228">
        <v>70</v>
      </c>
      <c r="H1228">
        <v>64</v>
      </c>
      <c r="I1228">
        <v>0.6</v>
      </c>
      <c r="J1228">
        <v>38.4</v>
      </c>
      <c r="K1228">
        <v>3.5</v>
      </c>
      <c r="L1228">
        <v>3.55</v>
      </c>
      <c r="M1228" t="s">
        <v>82</v>
      </c>
      <c r="N1228" t="s">
        <v>162</v>
      </c>
    </row>
    <row r="1229" spans="1:14" x14ac:dyDescent="0.3">
      <c r="A1229" t="s">
        <v>82</v>
      </c>
      <c r="B1229">
        <f>VLOOKUP(M1229,Sheet9!$I$1:$J$17,2,FALSE)</f>
        <v>10</v>
      </c>
      <c r="C1229">
        <f>VLOOKUP(N1229,Sheet9!$M$1:$N$2,2,FALSE)</f>
        <v>1</v>
      </c>
      <c r="D1229">
        <v>16</v>
      </c>
      <c r="E1229" t="s">
        <v>168</v>
      </c>
      <c r="F1229">
        <v>70</v>
      </c>
      <c r="H1229">
        <v>128</v>
      </c>
      <c r="I1229">
        <v>0.6</v>
      </c>
      <c r="J1229">
        <v>76.8</v>
      </c>
      <c r="K1229">
        <v>3.48</v>
      </c>
      <c r="L1229">
        <v>3.52</v>
      </c>
      <c r="M1229" t="s">
        <v>82</v>
      </c>
      <c r="N1229" t="s">
        <v>162</v>
      </c>
    </row>
    <row r="1230" spans="1:14" x14ac:dyDescent="0.3">
      <c r="A1230" t="s">
        <v>82</v>
      </c>
      <c r="B1230">
        <f>VLOOKUP(M1230,Sheet9!$I$1:$J$17,2,FALSE)</f>
        <v>10</v>
      </c>
      <c r="C1230">
        <f>VLOOKUP(N1230,Sheet9!$M$1:$N$2,2,FALSE)</f>
        <v>1</v>
      </c>
      <c r="D1230">
        <v>16</v>
      </c>
      <c r="E1230" t="s">
        <v>96</v>
      </c>
      <c r="F1230">
        <v>80</v>
      </c>
      <c r="H1230">
        <v>6</v>
      </c>
      <c r="I1230">
        <v>0.6</v>
      </c>
      <c r="J1230">
        <v>3.5999999999999996</v>
      </c>
      <c r="M1230" t="s">
        <v>82</v>
      </c>
      <c r="N1230" t="s">
        <v>162</v>
      </c>
    </row>
    <row r="1231" spans="1:14" x14ac:dyDescent="0.3">
      <c r="A1231" t="s">
        <v>82</v>
      </c>
      <c r="B1231">
        <f>VLOOKUP(M1231,Sheet9!$I$1:$J$17,2,FALSE)</f>
        <v>10</v>
      </c>
      <c r="C1231">
        <f>VLOOKUP(N1231,Sheet9!$M$1:$N$2,2,FALSE)</f>
        <v>1</v>
      </c>
      <c r="D1231">
        <v>16</v>
      </c>
      <c r="E1231" t="s">
        <v>96</v>
      </c>
      <c r="F1231">
        <v>80</v>
      </c>
      <c r="H1231">
        <v>1</v>
      </c>
      <c r="I1231">
        <v>5</v>
      </c>
      <c r="J1231">
        <v>5</v>
      </c>
      <c r="K1231">
        <v>4.83</v>
      </c>
      <c r="L1231">
        <v>4.8</v>
      </c>
      <c r="M1231" t="s">
        <v>82</v>
      </c>
      <c r="N1231" t="s">
        <v>162</v>
      </c>
    </row>
    <row r="1232" spans="1:14" x14ac:dyDescent="0.3">
      <c r="A1232" t="s">
        <v>82</v>
      </c>
      <c r="B1232">
        <f>VLOOKUP(M1232,Sheet9!$I$1:$J$17,2,FALSE)</f>
        <v>10</v>
      </c>
      <c r="C1232">
        <f>VLOOKUP(N1232,Sheet9!$M$1:$N$2,2,FALSE)</f>
        <v>1</v>
      </c>
      <c r="D1232">
        <v>16</v>
      </c>
      <c r="E1232" t="s">
        <v>96</v>
      </c>
      <c r="F1232">
        <v>80</v>
      </c>
      <c r="H1232">
        <v>1</v>
      </c>
      <c r="I1232">
        <v>10</v>
      </c>
      <c r="J1232">
        <v>10</v>
      </c>
      <c r="K1232">
        <v>4.38</v>
      </c>
      <c r="L1232">
        <v>4.37</v>
      </c>
      <c r="M1232" t="s">
        <v>82</v>
      </c>
      <c r="N1232" t="s">
        <v>162</v>
      </c>
    </row>
    <row r="1233" spans="1:14" x14ac:dyDescent="0.3">
      <c r="A1233" t="s">
        <v>82</v>
      </c>
      <c r="B1233">
        <f>VLOOKUP(M1233,Sheet9!$I$1:$J$17,2,FALSE)</f>
        <v>10</v>
      </c>
      <c r="C1233">
        <f>VLOOKUP(N1233,Sheet9!$M$1:$N$2,2,FALSE)</f>
        <v>1</v>
      </c>
      <c r="D1233">
        <v>16</v>
      </c>
      <c r="E1233" t="s">
        <v>96</v>
      </c>
      <c r="F1233">
        <v>80</v>
      </c>
      <c r="H1233">
        <v>3</v>
      </c>
      <c r="I1233">
        <v>3</v>
      </c>
      <c r="J1233">
        <v>9</v>
      </c>
      <c r="K1233">
        <v>6.13</v>
      </c>
      <c r="L1233">
        <v>6.15</v>
      </c>
      <c r="M1233" t="s">
        <v>82</v>
      </c>
      <c r="N1233" t="s">
        <v>162</v>
      </c>
    </row>
    <row r="1234" spans="1:14" x14ac:dyDescent="0.3">
      <c r="A1234" t="s">
        <v>82</v>
      </c>
      <c r="B1234">
        <f>VLOOKUP(M1234,Sheet9!$I$1:$J$17,2,FALSE)</f>
        <v>10</v>
      </c>
      <c r="C1234">
        <f>VLOOKUP(N1234,Sheet9!$M$1:$N$2,2,FALSE)</f>
        <v>1</v>
      </c>
      <c r="D1234">
        <v>16</v>
      </c>
      <c r="E1234" t="s">
        <v>96</v>
      </c>
      <c r="F1234">
        <v>80</v>
      </c>
      <c r="H1234">
        <v>3</v>
      </c>
      <c r="I1234">
        <v>5</v>
      </c>
      <c r="J1234">
        <v>15</v>
      </c>
      <c r="K1234">
        <v>5.85</v>
      </c>
      <c r="L1234">
        <v>5.86</v>
      </c>
      <c r="M1234" t="s">
        <v>82</v>
      </c>
      <c r="N1234" t="s">
        <v>162</v>
      </c>
    </row>
    <row r="1235" spans="1:14" x14ac:dyDescent="0.3">
      <c r="A1235" t="s">
        <v>82</v>
      </c>
      <c r="B1235">
        <f>VLOOKUP(M1235,Sheet9!$I$1:$J$17,2,FALSE)</f>
        <v>10</v>
      </c>
      <c r="C1235">
        <f>VLOOKUP(N1235,Sheet9!$M$1:$N$2,2,FALSE)</f>
        <v>1</v>
      </c>
      <c r="D1235">
        <v>16</v>
      </c>
      <c r="E1235" t="s">
        <v>168</v>
      </c>
      <c r="F1235">
        <v>80</v>
      </c>
      <c r="H1235">
        <v>32</v>
      </c>
      <c r="I1235">
        <v>0.6</v>
      </c>
      <c r="J1235">
        <v>19.2</v>
      </c>
      <c r="K1235">
        <v>6.19</v>
      </c>
      <c r="L1235">
        <v>6.16</v>
      </c>
      <c r="M1235" t="s">
        <v>82</v>
      </c>
      <c r="N1235" t="s">
        <v>162</v>
      </c>
    </row>
    <row r="1236" spans="1:14" x14ac:dyDescent="0.3">
      <c r="A1236" t="s">
        <v>82</v>
      </c>
      <c r="B1236">
        <f>VLOOKUP(M1236,Sheet9!$I$1:$J$17,2,FALSE)</f>
        <v>10</v>
      </c>
      <c r="C1236">
        <f>VLOOKUP(N1236,Sheet9!$M$1:$N$2,2,FALSE)</f>
        <v>1</v>
      </c>
      <c r="D1236">
        <v>16</v>
      </c>
      <c r="E1236" t="s">
        <v>96</v>
      </c>
      <c r="F1236">
        <v>80</v>
      </c>
      <c r="H1236">
        <v>64</v>
      </c>
      <c r="I1236">
        <v>0.6</v>
      </c>
      <c r="J1236">
        <v>38.4</v>
      </c>
      <c r="K1236">
        <v>5.45</v>
      </c>
      <c r="L1236">
        <v>5.46</v>
      </c>
      <c r="M1236" t="s">
        <v>82</v>
      </c>
      <c r="N1236" t="s">
        <v>162</v>
      </c>
    </row>
    <row r="1237" spans="1:14" x14ac:dyDescent="0.3">
      <c r="A1237" t="s">
        <v>82</v>
      </c>
      <c r="B1237">
        <f>VLOOKUP(M1237,Sheet9!$I$1:$J$17,2,FALSE)</f>
        <v>10</v>
      </c>
      <c r="C1237">
        <f>VLOOKUP(N1237,Sheet9!$M$1:$N$2,2,FALSE)</f>
        <v>1</v>
      </c>
      <c r="D1237">
        <v>16</v>
      </c>
      <c r="E1237" t="s">
        <v>168</v>
      </c>
      <c r="F1237">
        <v>80</v>
      </c>
      <c r="H1237">
        <v>128</v>
      </c>
      <c r="I1237">
        <v>0.6</v>
      </c>
      <c r="J1237">
        <v>76.8</v>
      </c>
      <c r="K1237">
        <v>5.42</v>
      </c>
      <c r="L1237">
        <v>5.41</v>
      </c>
      <c r="M1237" t="s">
        <v>82</v>
      </c>
      <c r="N1237" t="s">
        <v>162</v>
      </c>
    </row>
    <row r="1238" spans="1:14" x14ac:dyDescent="0.3">
      <c r="A1238" t="s">
        <v>82</v>
      </c>
      <c r="B1238">
        <f>VLOOKUP(M1238,Sheet9!$I$1:$J$17,2,FALSE)</f>
        <v>10</v>
      </c>
      <c r="C1238">
        <f>VLOOKUP(N1238,Sheet9!$M$1:$N$2,2,FALSE)</f>
        <v>1</v>
      </c>
      <c r="D1238">
        <v>16</v>
      </c>
      <c r="E1238" t="s">
        <v>96</v>
      </c>
      <c r="F1238">
        <v>90</v>
      </c>
      <c r="H1238">
        <v>6</v>
      </c>
      <c r="I1238">
        <v>0.6</v>
      </c>
      <c r="J1238">
        <v>3.5999999999999996</v>
      </c>
      <c r="M1238" t="s">
        <v>82</v>
      </c>
      <c r="N1238" t="s">
        <v>162</v>
      </c>
    </row>
    <row r="1239" spans="1:14" x14ac:dyDescent="0.3">
      <c r="A1239" t="s">
        <v>82</v>
      </c>
      <c r="B1239">
        <f>VLOOKUP(M1239,Sheet9!$I$1:$J$17,2,FALSE)</f>
        <v>10</v>
      </c>
      <c r="C1239">
        <f>VLOOKUP(N1239,Sheet9!$M$1:$N$2,2,FALSE)</f>
        <v>1</v>
      </c>
      <c r="D1239">
        <v>16</v>
      </c>
      <c r="E1239" t="s">
        <v>96</v>
      </c>
      <c r="F1239">
        <v>90</v>
      </c>
      <c r="H1239">
        <v>1</v>
      </c>
      <c r="I1239">
        <v>5</v>
      </c>
      <c r="J1239">
        <v>5</v>
      </c>
      <c r="K1239">
        <v>6.89</v>
      </c>
      <c r="L1239">
        <v>6.8</v>
      </c>
      <c r="M1239" t="s">
        <v>82</v>
      </c>
      <c r="N1239" t="s">
        <v>162</v>
      </c>
    </row>
    <row r="1240" spans="1:14" x14ac:dyDescent="0.3">
      <c r="A1240" t="s">
        <v>82</v>
      </c>
      <c r="B1240">
        <f>VLOOKUP(M1240,Sheet9!$I$1:$J$17,2,FALSE)</f>
        <v>10</v>
      </c>
      <c r="C1240">
        <f>VLOOKUP(N1240,Sheet9!$M$1:$N$2,2,FALSE)</f>
        <v>1</v>
      </c>
      <c r="D1240">
        <v>16</v>
      </c>
      <c r="E1240" t="s">
        <v>96</v>
      </c>
      <c r="F1240">
        <v>90</v>
      </c>
      <c r="H1240">
        <v>1</v>
      </c>
      <c r="I1240">
        <v>10</v>
      </c>
      <c r="J1240">
        <v>10</v>
      </c>
      <c r="K1240">
        <v>6.26</v>
      </c>
      <c r="L1240">
        <v>6.19</v>
      </c>
      <c r="M1240" t="s">
        <v>82</v>
      </c>
      <c r="N1240" t="s">
        <v>162</v>
      </c>
    </row>
    <row r="1241" spans="1:14" x14ac:dyDescent="0.3">
      <c r="A1241" t="s">
        <v>82</v>
      </c>
      <c r="B1241">
        <f>VLOOKUP(M1241,Sheet9!$I$1:$J$17,2,FALSE)</f>
        <v>10</v>
      </c>
      <c r="C1241">
        <f>VLOOKUP(N1241,Sheet9!$M$1:$N$2,2,FALSE)</f>
        <v>1</v>
      </c>
      <c r="D1241">
        <v>16</v>
      </c>
      <c r="E1241" t="s">
        <v>96</v>
      </c>
      <c r="F1241">
        <v>90</v>
      </c>
      <c r="H1241">
        <v>3</v>
      </c>
      <c r="I1241">
        <v>3</v>
      </c>
      <c r="J1241">
        <v>9</v>
      </c>
      <c r="K1241">
        <v>8.75</v>
      </c>
      <c r="L1241">
        <v>8.7200000000000006</v>
      </c>
      <c r="M1241" t="s">
        <v>82</v>
      </c>
      <c r="N1241" t="s">
        <v>162</v>
      </c>
    </row>
    <row r="1242" spans="1:14" x14ac:dyDescent="0.3">
      <c r="A1242" t="s">
        <v>82</v>
      </c>
      <c r="B1242">
        <f>VLOOKUP(M1242,Sheet9!$I$1:$J$17,2,FALSE)</f>
        <v>10</v>
      </c>
      <c r="C1242">
        <f>VLOOKUP(N1242,Sheet9!$M$1:$N$2,2,FALSE)</f>
        <v>1</v>
      </c>
      <c r="D1242">
        <v>16</v>
      </c>
      <c r="E1242" t="s">
        <v>96</v>
      </c>
      <c r="F1242">
        <v>90</v>
      </c>
      <c r="H1242">
        <v>3</v>
      </c>
      <c r="I1242">
        <v>5</v>
      </c>
      <c r="J1242">
        <v>15</v>
      </c>
      <c r="K1242">
        <v>8.34</v>
      </c>
      <c r="L1242">
        <v>8.3000000000000007</v>
      </c>
      <c r="M1242" t="s">
        <v>82</v>
      </c>
      <c r="N1242" t="s">
        <v>162</v>
      </c>
    </row>
    <row r="1243" spans="1:14" x14ac:dyDescent="0.3">
      <c r="A1243" t="s">
        <v>82</v>
      </c>
      <c r="B1243">
        <f>VLOOKUP(M1243,Sheet9!$I$1:$J$17,2,FALSE)</f>
        <v>10</v>
      </c>
      <c r="C1243">
        <f>VLOOKUP(N1243,Sheet9!$M$1:$N$2,2,FALSE)</f>
        <v>1</v>
      </c>
      <c r="D1243">
        <v>16</v>
      </c>
      <c r="E1243" t="s">
        <v>168</v>
      </c>
      <c r="F1243">
        <v>90</v>
      </c>
      <c r="H1243">
        <v>32</v>
      </c>
      <c r="I1243">
        <v>0.6</v>
      </c>
      <c r="J1243">
        <v>19.2</v>
      </c>
      <c r="K1243">
        <v>8.84</v>
      </c>
      <c r="L1243">
        <v>8.73</v>
      </c>
      <c r="M1243" t="s">
        <v>82</v>
      </c>
      <c r="N1243" t="s">
        <v>162</v>
      </c>
    </row>
    <row r="1244" spans="1:14" x14ac:dyDescent="0.3">
      <c r="A1244" t="s">
        <v>82</v>
      </c>
      <c r="B1244">
        <f>VLOOKUP(M1244,Sheet9!$I$1:$J$17,2,FALSE)</f>
        <v>10</v>
      </c>
      <c r="C1244">
        <f>VLOOKUP(N1244,Sheet9!$M$1:$N$2,2,FALSE)</f>
        <v>1</v>
      </c>
      <c r="D1244">
        <v>16</v>
      </c>
      <c r="E1244" t="s">
        <v>96</v>
      </c>
      <c r="F1244">
        <v>90</v>
      </c>
      <c r="H1244">
        <v>64</v>
      </c>
      <c r="I1244">
        <v>0.6</v>
      </c>
      <c r="J1244">
        <v>38.4</v>
      </c>
      <c r="K1244">
        <v>7.78</v>
      </c>
      <c r="L1244">
        <v>7.74</v>
      </c>
      <c r="M1244" t="s">
        <v>82</v>
      </c>
      <c r="N1244" t="s">
        <v>162</v>
      </c>
    </row>
    <row r="1245" spans="1:14" x14ac:dyDescent="0.3">
      <c r="A1245" t="s">
        <v>82</v>
      </c>
      <c r="B1245">
        <f>VLOOKUP(M1245,Sheet9!$I$1:$J$17,2,FALSE)</f>
        <v>10</v>
      </c>
      <c r="C1245">
        <f>VLOOKUP(N1245,Sheet9!$M$1:$N$2,2,FALSE)</f>
        <v>1</v>
      </c>
      <c r="D1245">
        <v>16</v>
      </c>
      <c r="E1245" t="s">
        <v>168</v>
      </c>
      <c r="F1245">
        <v>90</v>
      </c>
      <c r="H1245">
        <v>128</v>
      </c>
      <c r="I1245">
        <v>0.6</v>
      </c>
      <c r="J1245">
        <v>76.8</v>
      </c>
      <c r="K1245">
        <v>7.74</v>
      </c>
      <c r="L1245">
        <v>7.67</v>
      </c>
      <c r="M1245" t="s">
        <v>82</v>
      </c>
      <c r="N1245" t="s">
        <v>162</v>
      </c>
    </row>
    <row r="1246" spans="1:14" x14ac:dyDescent="0.3">
      <c r="A1246" t="s">
        <v>82</v>
      </c>
      <c r="B1246">
        <f>VLOOKUP(M1246,Sheet9!$I$1:$J$17,2,FALSE)</f>
        <v>10</v>
      </c>
      <c r="C1246">
        <f>VLOOKUP(N1246,Sheet9!$M$1:$N$2,2,FALSE)</f>
        <v>1</v>
      </c>
      <c r="D1246">
        <v>16</v>
      </c>
      <c r="E1246" t="s">
        <v>96</v>
      </c>
      <c r="F1246">
        <v>100</v>
      </c>
      <c r="H1246">
        <v>6</v>
      </c>
      <c r="I1246">
        <v>0.6</v>
      </c>
      <c r="J1246">
        <v>3.5999999999999996</v>
      </c>
      <c r="M1246" t="s">
        <v>82</v>
      </c>
      <c r="N1246" t="s">
        <v>162</v>
      </c>
    </row>
    <row r="1247" spans="1:14" x14ac:dyDescent="0.3">
      <c r="A1247" t="s">
        <v>82</v>
      </c>
      <c r="B1247">
        <f>VLOOKUP(M1247,Sheet9!$I$1:$J$17,2,FALSE)</f>
        <v>10</v>
      </c>
      <c r="C1247">
        <f>VLOOKUP(N1247,Sheet9!$M$1:$N$2,2,FALSE)</f>
        <v>1</v>
      </c>
      <c r="D1247">
        <v>16</v>
      </c>
      <c r="E1247" t="s">
        <v>96</v>
      </c>
      <c r="F1247">
        <v>100</v>
      </c>
      <c r="H1247">
        <v>1</v>
      </c>
      <c r="I1247">
        <v>5</v>
      </c>
      <c r="J1247">
        <v>5</v>
      </c>
      <c r="K1247">
        <v>9.2200000000000006</v>
      </c>
      <c r="L1247">
        <v>9.06</v>
      </c>
      <c r="M1247" t="s">
        <v>82</v>
      </c>
      <c r="N1247" t="s">
        <v>162</v>
      </c>
    </row>
    <row r="1248" spans="1:14" x14ac:dyDescent="0.3">
      <c r="A1248" t="s">
        <v>82</v>
      </c>
      <c r="B1248">
        <f>VLOOKUP(M1248,Sheet9!$I$1:$J$17,2,FALSE)</f>
        <v>10</v>
      </c>
      <c r="C1248">
        <f>VLOOKUP(N1248,Sheet9!$M$1:$N$2,2,FALSE)</f>
        <v>1</v>
      </c>
      <c r="D1248">
        <v>16</v>
      </c>
      <c r="E1248" t="s">
        <v>96</v>
      </c>
      <c r="F1248">
        <v>100</v>
      </c>
      <c r="H1248">
        <v>1</v>
      </c>
      <c r="I1248">
        <v>10</v>
      </c>
      <c r="J1248">
        <v>10</v>
      </c>
      <c r="K1248">
        <v>8.36</v>
      </c>
      <c r="L1248">
        <v>8.24</v>
      </c>
      <c r="M1248" t="s">
        <v>82</v>
      </c>
      <c r="N1248" t="s">
        <v>162</v>
      </c>
    </row>
    <row r="1249" spans="1:14" x14ac:dyDescent="0.3">
      <c r="A1249" t="s">
        <v>82</v>
      </c>
      <c r="B1249">
        <f>VLOOKUP(M1249,Sheet9!$I$1:$J$17,2,FALSE)</f>
        <v>10</v>
      </c>
      <c r="C1249">
        <f>VLOOKUP(N1249,Sheet9!$M$1:$N$2,2,FALSE)</f>
        <v>1</v>
      </c>
      <c r="D1249">
        <v>16</v>
      </c>
      <c r="E1249" t="s">
        <v>96</v>
      </c>
      <c r="F1249">
        <v>100</v>
      </c>
      <c r="H1249">
        <v>3</v>
      </c>
      <c r="I1249">
        <v>3</v>
      </c>
      <c r="J1249">
        <v>9</v>
      </c>
      <c r="K1249">
        <v>11.69</v>
      </c>
      <c r="L1249">
        <v>11.61</v>
      </c>
      <c r="M1249" t="s">
        <v>82</v>
      </c>
      <c r="N1249" t="s">
        <v>162</v>
      </c>
    </row>
    <row r="1250" spans="1:14" x14ac:dyDescent="0.3">
      <c r="A1250" t="s">
        <v>82</v>
      </c>
      <c r="B1250">
        <f>VLOOKUP(M1250,Sheet9!$I$1:$J$17,2,FALSE)</f>
        <v>10</v>
      </c>
      <c r="C1250">
        <f>VLOOKUP(N1250,Sheet9!$M$1:$N$2,2,FALSE)</f>
        <v>1</v>
      </c>
      <c r="D1250">
        <v>16</v>
      </c>
      <c r="E1250" t="s">
        <v>96</v>
      </c>
      <c r="F1250">
        <v>100</v>
      </c>
      <c r="H1250">
        <v>3</v>
      </c>
      <c r="I1250">
        <v>5</v>
      </c>
      <c r="J1250">
        <v>15</v>
      </c>
      <c r="K1250">
        <v>11.15</v>
      </c>
      <c r="L1250">
        <v>11.06</v>
      </c>
      <c r="M1250" t="s">
        <v>82</v>
      </c>
      <c r="N1250" t="s">
        <v>162</v>
      </c>
    </row>
    <row r="1251" spans="1:14" x14ac:dyDescent="0.3">
      <c r="A1251" t="s">
        <v>82</v>
      </c>
      <c r="B1251">
        <f>VLOOKUP(M1251,Sheet9!$I$1:$J$17,2,FALSE)</f>
        <v>10</v>
      </c>
      <c r="C1251">
        <f>VLOOKUP(N1251,Sheet9!$M$1:$N$2,2,FALSE)</f>
        <v>1</v>
      </c>
      <c r="D1251">
        <v>16</v>
      </c>
      <c r="E1251" t="s">
        <v>168</v>
      </c>
      <c r="F1251">
        <v>100</v>
      </c>
      <c r="H1251">
        <v>32</v>
      </c>
      <c r="I1251">
        <v>0.6</v>
      </c>
      <c r="J1251">
        <v>19.2</v>
      </c>
      <c r="K1251">
        <v>11.81</v>
      </c>
      <c r="L1251">
        <v>11.63</v>
      </c>
      <c r="M1251" t="s">
        <v>82</v>
      </c>
      <c r="N1251" t="s">
        <v>162</v>
      </c>
    </row>
    <row r="1252" spans="1:14" x14ac:dyDescent="0.3">
      <c r="A1252" t="s">
        <v>82</v>
      </c>
      <c r="B1252">
        <f>VLOOKUP(M1252,Sheet9!$I$1:$J$17,2,FALSE)</f>
        <v>10</v>
      </c>
      <c r="C1252">
        <f>VLOOKUP(N1252,Sheet9!$M$1:$N$2,2,FALSE)</f>
        <v>1</v>
      </c>
      <c r="D1252">
        <v>16</v>
      </c>
      <c r="E1252" t="s">
        <v>96</v>
      </c>
      <c r="F1252">
        <v>100</v>
      </c>
      <c r="H1252">
        <v>64</v>
      </c>
      <c r="I1252">
        <v>0.6</v>
      </c>
      <c r="J1252">
        <v>38.4</v>
      </c>
      <c r="K1252">
        <v>10.4</v>
      </c>
      <c r="L1252">
        <v>10.3</v>
      </c>
      <c r="M1252" t="s">
        <v>82</v>
      </c>
      <c r="N1252" t="s">
        <v>162</v>
      </c>
    </row>
    <row r="1253" spans="1:14" x14ac:dyDescent="0.3">
      <c r="A1253" t="s">
        <v>82</v>
      </c>
      <c r="B1253">
        <f>VLOOKUP(M1253,Sheet9!$I$1:$J$17,2,FALSE)</f>
        <v>10</v>
      </c>
      <c r="C1253">
        <f>VLOOKUP(N1253,Sheet9!$M$1:$N$2,2,FALSE)</f>
        <v>1</v>
      </c>
      <c r="D1253">
        <v>16</v>
      </c>
      <c r="E1253" t="s">
        <v>168</v>
      </c>
      <c r="F1253">
        <v>100</v>
      </c>
      <c r="H1253">
        <v>128</v>
      </c>
      <c r="I1253">
        <v>0.6</v>
      </c>
      <c r="J1253">
        <v>76.8</v>
      </c>
      <c r="K1253">
        <v>10.35</v>
      </c>
      <c r="L1253">
        <v>10.210000000000001</v>
      </c>
      <c r="M1253" t="s">
        <v>82</v>
      </c>
      <c r="N1253" t="s">
        <v>162</v>
      </c>
    </row>
    <row r="1254" spans="1:14" x14ac:dyDescent="0.3">
      <c r="A1254" t="s">
        <v>82</v>
      </c>
      <c r="B1254">
        <f>VLOOKUP(M1254,Sheet9!$I$1:$J$17,2,FALSE)</f>
        <v>10</v>
      </c>
      <c r="C1254">
        <f>VLOOKUP(N1254,Sheet9!$M$1:$N$2,2,FALSE)</f>
        <v>1</v>
      </c>
      <c r="D1254">
        <v>16</v>
      </c>
      <c r="E1254" t="s">
        <v>96</v>
      </c>
      <c r="F1254">
        <v>110</v>
      </c>
      <c r="H1254">
        <v>6</v>
      </c>
      <c r="I1254">
        <v>0.6</v>
      </c>
      <c r="J1254">
        <v>3.5999999999999996</v>
      </c>
      <c r="M1254" t="s">
        <v>82</v>
      </c>
      <c r="N1254" t="s">
        <v>162</v>
      </c>
    </row>
    <row r="1255" spans="1:14" x14ac:dyDescent="0.3">
      <c r="A1255" t="s">
        <v>82</v>
      </c>
      <c r="B1255">
        <f>VLOOKUP(M1255,Sheet9!$I$1:$J$17,2,FALSE)</f>
        <v>10</v>
      </c>
      <c r="C1255">
        <f>VLOOKUP(N1255,Sheet9!$M$1:$N$2,2,FALSE)</f>
        <v>1</v>
      </c>
      <c r="D1255">
        <v>16</v>
      </c>
      <c r="E1255" t="s">
        <v>96</v>
      </c>
      <c r="F1255">
        <v>110</v>
      </c>
      <c r="H1255">
        <v>1</v>
      </c>
      <c r="I1255">
        <v>5</v>
      </c>
      <c r="J1255">
        <v>5</v>
      </c>
      <c r="K1255">
        <v>11.77</v>
      </c>
      <c r="L1255">
        <v>11.53</v>
      </c>
      <c r="M1255" t="s">
        <v>82</v>
      </c>
      <c r="N1255" t="s">
        <v>162</v>
      </c>
    </row>
    <row r="1256" spans="1:14" x14ac:dyDescent="0.3">
      <c r="A1256" t="s">
        <v>82</v>
      </c>
      <c r="B1256">
        <f>VLOOKUP(M1256,Sheet9!$I$1:$J$17,2,FALSE)</f>
        <v>10</v>
      </c>
      <c r="C1256">
        <f>VLOOKUP(N1256,Sheet9!$M$1:$N$2,2,FALSE)</f>
        <v>1</v>
      </c>
      <c r="D1256">
        <v>16</v>
      </c>
      <c r="E1256" t="s">
        <v>96</v>
      </c>
      <c r="F1256">
        <v>110</v>
      </c>
      <c r="H1256">
        <v>1</v>
      </c>
      <c r="I1256">
        <v>10</v>
      </c>
      <c r="J1256">
        <v>10</v>
      </c>
      <c r="K1256">
        <v>10.69</v>
      </c>
      <c r="L1256">
        <v>10.5</v>
      </c>
      <c r="M1256" t="s">
        <v>82</v>
      </c>
      <c r="N1256" t="s">
        <v>162</v>
      </c>
    </row>
    <row r="1257" spans="1:14" x14ac:dyDescent="0.3">
      <c r="A1257" t="s">
        <v>82</v>
      </c>
      <c r="B1257">
        <f>VLOOKUP(M1257,Sheet9!$I$1:$J$17,2,FALSE)</f>
        <v>10</v>
      </c>
      <c r="C1257">
        <f>VLOOKUP(N1257,Sheet9!$M$1:$N$2,2,FALSE)</f>
        <v>1</v>
      </c>
      <c r="D1257">
        <v>16</v>
      </c>
      <c r="E1257" t="s">
        <v>96</v>
      </c>
      <c r="F1257">
        <v>110</v>
      </c>
      <c r="H1257">
        <v>3</v>
      </c>
      <c r="I1257">
        <v>3</v>
      </c>
      <c r="J1257">
        <v>9</v>
      </c>
      <c r="K1257">
        <v>14.94</v>
      </c>
      <c r="L1257">
        <v>14.79</v>
      </c>
      <c r="M1257" t="s">
        <v>82</v>
      </c>
      <c r="N1257" t="s">
        <v>162</v>
      </c>
    </row>
    <row r="1258" spans="1:14" x14ac:dyDescent="0.3">
      <c r="A1258" t="s">
        <v>82</v>
      </c>
      <c r="B1258">
        <f>VLOOKUP(M1258,Sheet9!$I$1:$J$17,2,FALSE)</f>
        <v>10</v>
      </c>
      <c r="C1258">
        <f>VLOOKUP(N1258,Sheet9!$M$1:$N$2,2,FALSE)</f>
        <v>1</v>
      </c>
      <c r="D1258">
        <v>16</v>
      </c>
      <c r="E1258" t="s">
        <v>96</v>
      </c>
      <c r="F1258">
        <v>110</v>
      </c>
      <c r="H1258">
        <v>3</v>
      </c>
      <c r="I1258">
        <v>5</v>
      </c>
      <c r="J1258">
        <v>15</v>
      </c>
      <c r="K1258">
        <v>14.23</v>
      </c>
      <c r="L1258">
        <v>14.09</v>
      </c>
      <c r="M1258" t="s">
        <v>82</v>
      </c>
      <c r="N1258" t="s">
        <v>162</v>
      </c>
    </row>
    <row r="1259" spans="1:14" x14ac:dyDescent="0.3">
      <c r="A1259" t="s">
        <v>82</v>
      </c>
      <c r="B1259">
        <f>VLOOKUP(M1259,Sheet9!$I$1:$J$17,2,FALSE)</f>
        <v>10</v>
      </c>
      <c r="C1259">
        <f>VLOOKUP(N1259,Sheet9!$M$1:$N$2,2,FALSE)</f>
        <v>1</v>
      </c>
      <c r="D1259">
        <v>16</v>
      </c>
      <c r="E1259" t="s">
        <v>168</v>
      </c>
      <c r="F1259">
        <v>110</v>
      </c>
      <c r="H1259">
        <v>32</v>
      </c>
      <c r="I1259">
        <v>0.6</v>
      </c>
      <c r="J1259">
        <v>19.2</v>
      </c>
      <c r="K1259">
        <v>15.1</v>
      </c>
      <c r="L1259">
        <v>14.81</v>
      </c>
      <c r="M1259" t="s">
        <v>82</v>
      </c>
      <c r="N1259" t="s">
        <v>162</v>
      </c>
    </row>
    <row r="1260" spans="1:14" x14ac:dyDescent="0.3">
      <c r="A1260" t="s">
        <v>82</v>
      </c>
      <c r="B1260">
        <f>VLOOKUP(M1260,Sheet9!$I$1:$J$17,2,FALSE)</f>
        <v>10</v>
      </c>
      <c r="C1260">
        <f>VLOOKUP(N1260,Sheet9!$M$1:$N$2,2,FALSE)</f>
        <v>1</v>
      </c>
      <c r="D1260">
        <v>16</v>
      </c>
      <c r="E1260" t="s">
        <v>96</v>
      </c>
      <c r="F1260">
        <v>110</v>
      </c>
      <c r="H1260">
        <v>64</v>
      </c>
      <c r="I1260">
        <v>0.6</v>
      </c>
      <c r="J1260">
        <v>38.4</v>
      </c>
      <c r="K1260">
        <v>13.29</v>
      </c>
      <c r="L1260">
        <v>13.13</v>
      </c>
      <c r="M1260" t="s">
        <v>82</v>
      </c>
      <c r="N1260" t="s">
        <v>162</v>
      </c>
    </row>
    <row r="1261" spans="1:14" x14ac:dyDescent="0.3">
      <c r="A1261" t="s">
        <v>82</v>
      </c>
      <c r="B1261">
        <f>VLOOKUP(M1261,Sheet9!$I$1:$J$17,2,FALSE)</f>
        <v>10</v>
      </c>
      <c r="C1261">
        <f>VLOOKUP(N1261,Sheet9!$M$1:$N$2,2,FALSE)</f>
        <v>1</v>
      </c>
      <c r="D1261">
        <v>16</v>
      </c>
      <c r="E1261" t="s">
        <v>168</v>
      </c>
      <c r="F1261">
        <v>110</v>
      </c>
      <c r="H1261">
        <v>128</v>
      </c>
      <c r="I1261">
        <v>0.6</v>
      </c>
      <c r="J1261">
        <v>76.8</v>
      </c>
      <c r="K1261">
        <v>13.23</v>
      </c>
      <c r="L1261">
        <v>13.01</v>
      </c>
      <c r="M1261" t="s">
        <v>82</v>
      </c>
      <c r="N1261" t="s">
        <v>162</v>
      </c>
    </row>
    <row r="1262" spans="1:14" x14ac:dyDescent="0.3">
      <c r="A1262" t="s">
        <v>82</v>
      </c>
      <c r="B1262">
        <f>VLOOKUP(M1262,Sheet9!$I$1:$J$17,2,FALSE)</f>
        <v>10</v>
      </c>
      <c r="C1262">
        <f>VLOOKUP(N1262,Sheet9!$M$1:$N$2,2,FALSE)</f>
        <v>1</v>
      </c>
      <c r="D1262">
        <v>16</v>
      </c>
      <c r="E1262" t="s">
        <v>96</v>
      </c>
      <c r="F1262">
        <v>120</v>
      </c>
      <c r="H1262">
        <v>6</v>
      </c>
      <c r="I1262">
        <v>0.6</v>
      </c>
      <c r="J1262">
        <v>3.5999999999999996</v>
      </c>
      <c r="M1262" t="s">
        <v>82</v>
      </c>
      <c r="N1262" t="s">
        <v>162</v>
      </c>
    </row>
    <row r="1263" spans="1:14" x14ac:dyDescent="0.3">
      <c r="A1263" t="s">
        <v>82</v>
      </c>
      <c r="B1263">
        <f>VLOOKUP(M1263,Sheet9!$I$1:$J$17,2,FALSE)</f>
        <v>10</v>
      </c>
      <c r="C1263">
        <f>VLOOKUP(N1263,Sheet9!$M$1:$N$2,2,FALSE)</f>
        <v>1</v>
      </c>
      <c r="D1263">
        <v>16</v>
      </c>
      <c r="E1263" t="s">
        <v>96</v>
      </c>
      <c r="F1263">
        <v>120</v>
      </c>
      <c r="H1263">
        <v>1</v>
      </c>
      <c r="I1263">
        <v>5</v>
      </c>
      <c r="J1263">
        <v>5</v>
      </c>
      <c r="K1263">
        <v>14.55</v>
      </c>
      <c r="L1263">
        <v>14.23</v>
      </c>
      <c r="M1263" t="s">
        <v>82</v>
      </c>
      <c r="N1263" t="s">
        <v>162</v>
      </c>
    </row>
    <row r="1264" spans="1:14" x14ac:dyDescent="0.3">
      <c r="A1264" t="s">
        <v>82</v>
      </c>
      <c r="B1264">
        <f>VLOOKUP(M1264,Sheet9!$I$1:$J$17,2,FALSE)</f>
        <v>10</v>
      </c>
      <c r="C1264">
        <f>VLOOKUP(N1264,Sheet9!$M$1:$N$2,2,FALSE)</f>
        <v>1</v>
      </c>
      <c r="D1264">
        <v>16</v>
      </c>
      <c r="E1264" t="s">
        <v>96</v>
      </c>
      <c r="F1264">
        <v>120</v>
      </c>
      <c r="H1264">
        <v>1</v>
      </c>
      <c r="I1264">
        <v>10</v>
      </c>
      <c r="J1264">
        <v>10</v>
      </c>
      <c r="K1264">
        <v>13.2</v>
      </c>
      <c r="L1264">
        <v>12.95</v>
      </c>
      <c r="M1264" t="s">
        <v>82</v>
      </c>
      <c r="N1264" t="s">
        <v>162</v>
      </c>
    </row>
    <row r="1265" spans="1:14" x14ac:dyDescent="0.3">
      <c r="A1265" t="s">
        <v>82</v>
      </c>
      <c r="B1265">
        <f>VLOOKUP(M1265,Sheet9!$I$1:$J$17,2,FALSE)</f>
        <v>10</v>
      </c>
      <c r="C1265">
        <f>VLOOKUP(N1265,Sheet9!$M$1:$N$2,2,FALSE)</f>
        <v>1</v>
      </c>
      <c r="D1265">
        <v>16</v>
      </c>
      <c r="E1265" t="s">
        <v>96</v>
      </c>
      <c r="F1265">
        <v>120</v>
      </c>
      <c r="H1265">
        <v>3</v>
      </c>
      <c r="I1265">
        <v>3</v>
      </c>
      <c r="J1265">
        <v>9</v>
      </c>
      <c r="K1265">
        <v>18.440000000000001</v>
      </c>
      <c r="L1265">
        <v>18.239999999999998</v>
      </c>
      <c r="M1265" t="s">
        <v>82</v>
      </c>
      <c r="N1265" t="s">
        <v>162</v>
      </c>
    </row>
    <row r="1266" spans="1:14" x14ac:dyDescent="0.3">
      <c r="A1266" t="s">
        <v>82</v>
      </c>
      <c r="B1266">
        <f>VLOOKUP(M1266,Sheet9!$I$1:$J$17,2,FALSE)</f>
        <v>10</v>
      </c>
      <c r="C1266">
        <f>VLOOKUP(N1266,Sheet9!$M$1:$N$2,2,FALSE)</f>
        <v>1</v>
      </c>
      <c r="D1266">
        <v>16</v>
      </c>
      <c r="E1266" t="s">
        <v>96</v>
      </c>
      <c r="F1266">
        <v>120</v>
      </c>
      <c r="H1266">
        <v>3</v>
      </c>
      <c r="I1266">
        <v>5</v>
      </c>
      <c r="J1266">
        <v>15</v>
      </c>
      <c r="K1266">
        <v>17.59</v>
      </c>
      <c r="L1266">
        <v>17.38</v>
      </c>
      <c r="M1266" t="s">
        <v>82</v>
      </c>
      <c r="N1266" t="s">
        <v>162</v>
      </c>
    </row>
    <row r="1267" spans="1:14" x14ac:dyDescent="0.3">
      <c r="A1267" t="s">
        <v>82</v>
      </c>
      <c r="B1267">
        <f>VLOOKUP(M1267,Sheet9!$I$1:$J$17,2,FALSE)</f>
        <v>10</v>
      </c>
      <c r="C1267">
        <f>VLOOKUP(N1267,Sheet9!$M$1:$N$2,2,FALSE)</f>
        <v>1</v>
      </c>
      <c r="D1267">
        <v>16</v>
      </c>
      <c r="E1267" t="s">
        <v>168</v>
      </c>
      <c r="F1267">
        <v>120</v>
      </c>
      <c r="H1267">
        <v>32</v>
      </c>
      <c r="I1267">
        <v>0.6</v>
      </c>
      <c r="J1267">
        <v>19.2</v>
      </c>
      <c r="K1267">
        <v>18.64</v>
      </c>
      <c r="L1267">
        <v>18.260000000000002</v>
      </c>
      <c r="M1267" t="s">
        <v>82</v>
      </c>
      <c r="N1267" t="s">
        <v>162</v>
      </c>
    </row>
    <row r="1268" spans="1:14" x14ac:dyDescent="0.3">
      <c r="A1268" t="s">
        <v>82</v>
      </c>
      <c r="B1268">
        <f>VLOOKUP(M1268,Sheet9!$I$1:$J$17,2,FALSE)</f>
        <v>10</v>
      </c>
      <c r="C1268">
        <f>VLOOKUP(N1268,Sheet9!$M$1:$N$2,2,FALSE)</f>
        <v>1</v>
      </c>
      <c r="D1268">
        <v>16</v>
      </c>
      <c r="E1268" t="s">
        <v>96</v>
      </c>
      <c r="F1268">
        <v>120</v>
      </c>
      <c r="H1268">
        <v>64</v>
      </c>
      <c r="I1268">
        <v>0.6</v>
      </c>
      <c r="J1268">
        <v>38.4</v>
      </c>
      <c r="K1268">
        <v>16.41</v>
      </c>
      <c r="L1268">
        <v>16.190000000000001</v>
      </c>
      <c r="M1268" t="s">
        <v>82</v>
      </c>
      <c r="N1268" t="s">
        <v>162</v>
      </c>
    </row>
    <row r="1269" spans="1:14" x14ac:dyDescent="0.3">
      <c r="A1269" t="s">
        <v>82</v>
      </c>
      <c r="B1269">
        <f>VLOOKUP(M1269,Sheet9!$I$1:$J$17,2,FALSE)</f>
        <v>10</v>
      </c>
      <c r="C1269">
        <f>VLOOKUP(N1269,Sheet9!$M$1:$N$2,2,FALSE)</f>
        <v>1</v>
      </c>
      <c r="D1269">
        <v>16</v>
      </c>
      <c r="E1269" t="s">
        <v>168</v>
      </c>
      <c r="F1269">
        <v>120</v>
      </c>
      <c r="H1269">
        <v>128</v>
      </c>
      <c r="I1269">
        <v>0.6</v>
      </c>
      <c r="J1269">
        <v>76.8</v>
      </c>
      <c r="K1269">
        <v>16.329999999999998</v>
      </c>
      <c r="L1269">
        <v>16.04</v>
      </c>
      <c r="M1269" t="s">
        <v>82</v>
      </c>
      <c r="N1269" t="s">
        <v>162</v>
      </c>
    </row>
    <row r="1270" spans="1:14" x14ac:dyDescent="0.3">
      <c r="A1270" t="s">
        <v>82</v>
      </c>
      <c r="B1270">
        <f>VLOOKUP(M1270,Sheet9!$I$1:$J$17,2,FALSE)</f>
        <v>10</v>
      </c>
      <c r="C1270">
        <f>VLOOKUP(N1270,Sheet9!$M$1:$N$2,2,FALSE)</f>
        <v>1</v>
      </c>
      <c r="D1270">
        <v>16</v>
      </c>
      <c r="E1270" t="s">
        <v>96</v>
      </c>
      <c r="F1270">
        <v>130</v>
      </c>
      <c r="H1270">
        <v>6</v>
      </c>
      <c r="I1270">
        <v>0.6</v>
      </c>
      <c r="J1270">
        <v>3.5999999999999996</v>
      </c>
      <c r="M1270" t="s">
        <v>82</v>
      </c>
      <c r="N1270" t="s">
        <v>162</v>
      </c>
    </row>
    <row r="1271" spans="1:14" x14ac:dyDescent="0.3">
      <c r="A1271" t="s">
        <v>82</v>
      </c>
      <c r="B1271">
        <f>VLOOKUP(M1271,Sheet9!$I$1:$J$17,2,FALSE)</f>
        <v>10</v>
      </c>
      <c r="C1271">
        <f>VLOOKUP(N1271,Sheet9!$M$1:$N$2,2,FALSE)</f>
        <v>1</v>
      </c>
      <c r="D1271">
        <v>16</v>
      </c>
      <c r="E1271" t="s">
        <v>96</v>
      </c>
      <c r="F1271">
        <v>130</v>
      </c>
      <c r="H1271">
        <v>1</v>
      </c>
      <c r="I1271">
        <v>5</v>
      </c>
      <c r="J1271">
        <v>5</v>
      </c>
      <c r="K1271">
        <v>17.510000000000002</v>
      </c>
      <c r="L1271">
        <v>17.11</v>
      </c>
      <c r="M1271" t="s">
        <v>82</v>
      </c>
      <c r="N1271" t="s">
        <v>162</v>
      </c>
    </row>
    <row r="1272" spans="1:14" x14ac:dyDescent="0.3">
      <c r="A1272" t="s">
        <v>82</v>
      </c>
      <c r="B1272">
        <f>VLOOKUP(M1272,Sheet9!$I$1:$J$17,2,FALSE)</f>
        <v>10</v>
      </c>
      <c r="C1272">
        <f>VLOOKUP(N1272,Sheet9!$M$1:$N$2,2,FALSE)</f>
        <v>1</v>
      </c>
      <c r="D1272">
        <v>16</v>
      </c>
      <c r="E1272" t="s">
        <v>96</v>
      </c>
      <c r="F1272">
        <v>130</v>
      </c>
      <c r="H1272">
        <v>1</v>
      </c>
      <c r="I1272">
        <v>10</v>
      </c>
      <c r="J1272">
        <v>10</v>
      </c>
      <c r="K1272">
        <v>15.87</v>
      </c>
      <c r="L1272">
        <v>15.57</v>
      </c>
      <c r="M1272" t="s">
        <v>82</v>
      </c>
      <c r="N1272" t="s">
        <v>162</v>
      </c>
    </row>
    <row r="1273" spans="1:14" x14ac:dyDescent="0.3">
      <c r="A1273" t="s">
        <v>82</v>
      </c>
      <c r="B1273">
        <f>VLOOKUP(M1273,Sheet9!$I$1:$J$17,2,FALSE)</f>
        <v>10</v>
      </c>
      <c r="C1273">
        <f>VLOOKUP(N1273,Sheet9!$M$1:$N$2,2,FALSE)</f>
        <v>1</v>
      </c>
      <c r="D1273">
        <v>16</v>
      </c>
      <c r="E1273" t="s">
        <v>96</v>
      </c>
      <c r="F1273">
        <v>130</v>
      </c>
      <c r="H1273">
        <v>3</v>
      </c>
      <c r="I1273">
        <v>3</v>
      </c>
      <c r="J1273">
        <v>9</v>
      </c>
      <c r="K1273">
        <v>22.17</v>
      </c>
      <c r="L1273">
        <v>21.93</v>
      </c>
      <c r="M1273" t="s">
        <v>82</v>
      </c>
      <c r="N1273" t="s">
        <v>162</v>
      </c>
    </row>
    <row r="1274" spans="1:14" x14ac:dyDescent="0.3">
      <c r="A1274" t="s">
        <v>82</v>
      </c>
      <c r="B1274">
        <f>VLOOKUP(M1274,Sheet9!$I$1:$J$17,2,FALSE)</f>
        <v>10</v>
      </c>
      <c r="C1274">
        <f>VLOOKUP(N1274,Sheet9!$M$1:$N$2,2,FALSE)</f>
        <v>1</v>
      </c>
      <c r="D1274">
        <v>16</v>
      </c>
      <c r="E1274" t="s">
        <v>96</v>
      </c>
      <c r="F1274">
        <v>130</v>
      </c>
      <c r="H1274">
        <v>3</v>
      </c>
      <c r="I1274">
        <v>5</v>
      </c>
      <c r="J1274">
        <v>15</v>
      </c>
      <c r="K1274">
        <v>21.17</v>
      </c>
      <c r="L1274">
        <v>20.9</v>
      </c>
      <c r="M1274" t="s">
        <v>82</v>
      </c>
      <c r="N1274" t="s">
        <v>162</v>
      </c>
    </row>
    <row r="1275" spans="1:14" x14ac:dyDescent="0.3">
      <c r="A1275" t="s">
        <v>82</v>
      </c>
      <c r="B1275">
        <f>VLOOKUP(M1275,Sheet9!$I$1:$J$17,2,FALSE)</f>
        <v>10</v>
      </c>
      <c r="C1275">
        <f>VLOOKUP(N1275,Sheet9!$M$1:$N$2,2,FALSE)</f>
        <v>1</v>
      </c>
      <c r="D1275">
        <v>16</v>
      </c>
      <c r="E1275" t="s">
        <v>168</v>
      </c>
      <c r="F1275">
        <v>130</v>
      </c>
      <c r="H1275">
        <v>32</v>
      </c>
      <c r="I1275">
        <v>0.6</v>
      </c>
      <c r="J1275">
        <v>19.2</v>
      </c>
      <c r="K1275">
        <v>22.41</v>
      </c>
      <c r="L1275">
        <v>21.96</v>
      </c>
      <c r="M1275" t="s">
        <v>82</v>
      </c>
      <c r="N1275" t="s">
        <v>162</v>
      </c>
    </row>
    <row r="1276" spans="1:14" x14ac:dyDescent="0.3">
      <c r="A1276" t="s">
        <v>82</v>
      </c>
      <c r="B1276">
        <f>VLOOKUP(M1276,Sheet9!$I$1:$J$17,2,FALSE)</f>
        <v>10</v>
      </c>
      <c r="C1276">
        <f>VLOOKUP(N1276,Sheet9!$M$1:$N$2,2,FALSE)</f>
        <v>1</v>
      </c>
      <c r="D1276">
        <v>16</v>
      </c>
      <c r="E1276" t="s">
        <v>96</v>
      </c>
      <c r="F1276">
        <v>130</v>
      </c>
      <c r="H1276">
        <v>64</v>
      </c>
      <c r="I1276">
        <v>0.6</v>
      </c>
      <c r="J1276">
        <v>38.4</v>
      </c>
      <c r="K1276">
        <v>19.73</v>
      </c>
      <c r="L1276">
        <v>19.46</v>
      </c>
      <c r="M1276" t="s">
        <v>82</v>
      </c>
      <c r="N1276" t="s">
        <v>162</v>
      </c>
    </row>
    <row r="1277" spans="1:14" x14ac:dyDescent="0.3">
      <c r="A1277" t="s">
        <v>82</v>
      </c>
      <c r="B1277">
        <f>VLOOKUP(M1277,Sheet9!$I$1:$J$17,2,FALSE)</f>
        <v>10</v>
      </c>
      <c r="C1277">
        <f>VLOOKUP(N1277,Sheet9!$M$1:$N$2,2,FALSE)</f>
        <v>1</v>
      </c>
      <c r="D1277">
        <v>16</v>
      </c>
      <c r="E1277" t="s">
        <v>168</v>
      </c>
      <c r="F1277">
        <v>130</v>
      </c>
      <c r="H1277">
        <v>128</v>
      </c>
      <c r="I1277">
        <v>0.6</v>
      </c>
      <c r="J1277">
        <v>76.8</v>
      </c>
      <c r="K1277">
        <v>19.64</v>
      </c>
      <c r="L1277">
        <v>19.29</v>
      </c>
      <c r="M1277" t="s">
        <v>82</v>
      </c>
      <c r="N1277" t="s">
        <v>162</v>
      </c>
    </row>
    <row r="1278" spans="1:14" x14ac:dyDescent="0.3">
      <c r="A1278" t="s">
        <v>82</v>
      </c>
      <c r="B1278">
        <f>VLOOKUP(M1278,Sheet9!$I$1:$J$17,2,FALSE)</f>
        <v>10</v>
      </c>
      <c r="C1278">
        <f>VLOOKUP(N1278,Sheet9!$M$1:$N$2,2,FALSE)</f>
        <v>1</v>
      </c>
      <c r="D1278">
        <v>16</v>
      </c>
      <c r="E1278" t="s">
        <v>96</v>
      </c>
      <c r="F1278">
        <v>140</v>
      </c>
      <c r="H1278">
        <v>6</v>
      </c>
      <c r="I1278">
        <v>0.6</v>
      </c>
      <c r="J1278">
        <v>3.5999999999999996</v>
      </c>
      <c r="M1278" t="s">
        <v>82</v>
      </c>
      <c r="N1278" t="s">
        <v>162</v>
      </c>
    </row>
    <row r="1279" spans="1:14" x14ac:dyDescent="0.3">
      <c r="A1279" t="s">
        <v>82</v>
      </c>
      <c r="B1279">
        <f>VLOOKUP(M1279,Sheet9!$I$1:$J$17,2,FALSE)</f>
        <v>10</v>
      </c>
      <c r="C1279">
        <f>VLOOKUP(N1279,Sheet9!$M$1:$N$2,2,FALSE)</f>
        <v>1</v>
      </c>
      <c r="D1279">
        <v>16</v>
      </c>
      <c r="E1279" t="s">
        <v>96</v>
      </c>
      <c r="F1279">
        <v>140</v>
      </c>
      <c r="H1279">
        <v>1</v>
      </c>
      <c r="I1279">
        <v>5</v>
      </c>
      <c r="J1279">
        <v>5</v>
      </c>
      <c r="K1279">
        <v>20.65</v>
      </c>
      <c r="L1279">
        <v>20.18</v>
      </c>
      <c r="M1279" t="s">
        <v>82</v>
      </c>
      <c r="N1279" t="s">
        <v>162</v>
      </c>
    </row>
    <row r="1280" spans="1:14" x14ac:dyDescent="0.3">
      <c r="A1280" t="s">
        <v>82</v>
      </c>
      <c r="B1280">
        <f>VLOOKUP(M1280,Sheet9!$I$1:$J$17,2,FALSE)</f>
        <v>10</v>
      </c>
      <c r="C1280">
        <f>VLOOKUP(N1280,Sheet9!$M$1:$N$2,2,FALSE)</f>
        <v>1</v>
      </c>
      <c r="D1280">
        <v>16</v>
      </c>
      <c r="E1280" t="s">
        <v>96</v>
      </c>
      <c r="F1280">
        <v>140</v>
      </c>
      <c r="H1280">
        <v>1</v>
      </c>
      <c r="I1280">
        <v>10</v>
      </c>
      <c r="J1280">
        <v>10</v>
      </c>
      <c r="K1280">
        <v>18.71</v>
      </c>
      <c r="L1280">
        <v>18.36</v>
      </c>
      <c r="M1280" t="s">
        <v>82</v>
      </c>
      <c r="N1280" t="s">
        <v>162</v>
      </c>
    </row>
    <row r="1281" spans="1:14" x14ac:dyDescent="0.3">
      <c r="A1281" t="s">
        <v>82</v>
      </c>
      <c r="B1281">
        <f>VLOOKUP(M1281,Sheet9!$I$1:$J$17,2,FALSE)</f>
        <v>10</v>
      </c>
      <c r="C1281">
        <f>VLOOKUP(N1281,Sheet9!$M$1:$N$2,2,FALSE)</f>
        <v>1</v>
      </c>
      <c r="D1281">
        <v>16</v>
      </c>
      <c r="E1281" t="s">
        <v>96</v>
      </c>
      <c r="F1281">
        <v>140</v>
      </c>
      <c r="H1281">
        <v>3</v>
      </c>
      <c r="I1281">
        <v>3</v>
      </c>
      <c r="J1281">
        <v>9</v>
      </c>
      <c r="K1281">
        <v>26.14</v>
      </c>
      <c r="L1281">
        <v>25.86</v>
      </c>
      <c r="M1281" t="s">
        <v>82</v>
      </c>
      <c r="N1281" t="s">
        <v>162</v>
      </c>
    </row>
    <row r="1282" spans="1:14" x14ac:dyDescent="0.3">
      <c r="A1282" t="s">
        <v>82</v>
      </c>
      <c r="B1282">
        <f>VLOOKUP(M1282,Sheet9!$I$1:$J$17,2,FALSE)</f>
        <v>10</v>
      </c>
      <c r="C1282">
        <f>VLOOKUP(N1282,Sheet9!$M$1:$N$2,2,FALSE)</f>
        <v>1</v>
      </c>
      <c r="D1282">
        <v>16</v>
      </c>
      <c r="E1282" t="s">
        <v>96</v>
      </c>
      <c r="F1282">
        <v>140</v>
      </c>
      <c r="H1282">
        <v>3</v>
      </c>
      <c r="I1282">
        <v>5</v>
      </c>
      <c r="J1282">
        <v>15</v>
      </c>
      <c r="K1282">
        <v>24.97</v>
      </c>
      <c r="L1282">
        <v>24.65</v>
      </c>
      <c r="M1282" t="s">
        <v>82</v>
      </c>
      <c r="N1282" t="s">
        <v>162</v>
      </c>
    </row>
    <row r="1283" spans="1:14" x14ac:dyDescent="0.3">
      <c r="A1283" t="s">
        <v>82</v>
      </c>
      <c r="B1283">
        <f>VLOOKUP(M1283,Sheet9!$I$1:$J$17,2,FALSE)</f>
        <v>10</v>
      </c>
      <c r="C1283">
        <f>VLOOKUP(N1283,Sheet9!$M$1:$N$2,2,FALSE)</f>
        <v>1</v>
      </c>
      <c r="D1283">
        <v>16</v>
      </c>
      <c r="E1283" t="s">
        <v>168</v>
      </c>
      <c r="F1283">
        <v>140</v>
      </c>
      <c r="H1283">
        <v>32</v>
      </c>
      <c r="I1283">
        <v>0.6</v>
      </c>
      <c r="J1283">
        <v>19.2</v>
      </c>
      <c r="K1283">
        <v>26.42</v>
      </c>
      <c r="L1283">
        <v>25.89</v>
      </c>
      <c r="M1283" t="s">
        <v>82</v>
      </c>
      <c r="N1283" t="s">
        <v>162</v>
      </c>
    </row>
    <row r="1284" spans="1:14" x14ac:dyDescent="0.3">
      <c r="A1284" t="s">
        <v>82</v>
      </c>
      <c r="B1284">
        <f>VLOOKUP(M1284,Sheet9!$I$1:$J$17,2,FALSE)</f>
        <v>10</v>
      </c>
      <c r="C1284">
        <f>VLOOKUP(N1284,Sheet9!$M$1:$N$2,2,FALSE)</f>
        <v>1</v>
      </c>
      <c r="D1284">
        <v>16</v>
      </c>
      <c r="E1284" t="s">
        <v>96</v>
      </c>
      <c r="F1284">
        <v>140</v>
      </c>
      <c r="H1284">
        <v>64</v>
      </c>
      <c r="I1284">
        <v>0.6</v>
      </c>
      <c r="J1284">
        <v>38.4</v>
      </c>
      <c r="K1284">
        <v>23.26</v>
      </c>
      <c r="L1284">
        <v>22.95</v>
      </c>
      <c r="M1284" t="s">
        <v>82</v>
      </c>
      <c r="N1284" t="s">
        <v>162</v>
      </c>
    </row>
    <row r="1285" spans="1:14" x14ac:dyDescent="0.3">
      <c r="A1285" t="s">
        <v>82</v>
      </c>
      <c r="B1285">
        <f>VLOOKUP(M1285,Sheet9!$I$1:$J$17,2,FALSE)</f>
        <v>10</v>
      </c>
      <c r="C1285">
        <f>VLOOKUP(N1285,Sheet9!$M$1:$N$2,2,FALSE)</f>
        <v>1</v>
      </c>
      <c r="D1285">
        <v>16</v>
      </c>
      <c r="E1285" t="s">
        <v>168</v>
      </c>
      <c r="F1285">
        <v>140</v>
      </c>
      <c r="H1285">
        <v>128</v>
      </c>
      <c r="I1285">
        <v>0.6</v>
      </c>
      <c r="J1285">
        <v>76.8</v>
      </c>
      <c r="K1285">
        <v>23.15</v>
      </c>
      <c r="L1285">
        <v>22.74</v>
      </c>
      <c r="M1285" t="s">
        <v>82</v>
      </c>
      <c r="N1285" t="s">
        <v>162</v>
      </c>
    </row>
    <row r="1286" spans="1:14" x14ac:dyDescent="0.3">
      <c r="A1286" t="s">
        <v>82</v>
      </c>
      <c r="B1286">
        <f>VLOOKUP(M1286,Sheet9!$I$1:$J$17,2,FALSE)</f>
        <v>10</v>
      </c>
      <c r="C1286">
        <f>VLOOKUP(N1286,Sheet9!$M$1:$N$2,2,FALSE)</f>
        <v>1</v>
      </c>
      <c r="D1286">
        <v>16</v>
      </c>
      <c r="E1286" t="s">
        <v>96</v>
      </c>
      <c r="F1286">
        <v>150</v>
      </c>
      <c r="H1286">
        <v>6</v>
      </c>
      <c r="I1286">
        <v>0.6</v>
      </c>
      <c r="J1286">
        <v>3.5999999999999996</v>
      </c>
      <c r="M1286" t="s">
        <v>82</v>
      </c>
      <c r="N1286" t="s">
        <v>162</v>
      </c>
    </row>
    <row r="1287" spans="1:14" x14ac:dyDescent="0.3">
      <c r="A1287" t="s">
        <v>82</v>
      </c>
      <c r="B1287">
        <f>VLOOKUP(M1287,Sheet9!$I$1:$J$17,2,FALSE)</f>
        <v>10</v>
      </c>
      <c r="C1287">
        <f>VLOOKUP(N1287,Sheet9!$M$1:$N$2,2,FALSE)</f>
        <v>1</v>
      </c>
      <c r="D1287">
        <v>16</v>
      </c>
      <c r="E1287" t="s">
        <v>96</v>
      </c>
      <c r="F1287">
        <v>150</v>
      </c>
      <c r="H1287">
        <v>1</v>
      </c>
      <c r="I1287">
        <v>5</v>
      </c>
      <c r="J1287">
        <v>5</v>
      </c>
      <c r="K1287">
        <v>23.98</v>
      </c>
      <c r="L1287">
        <v>23.43</v>
      </c>
      <c r="M1287" t="s">
        <v>82</v>
      </c>
      <c r="N1287" t="s">
        <v>162</v>
      </c>
    </row>
    <row r="1288" spans="1:14" x14ac:dyDescent="0.3">
      <c r="A1288" t="s">
        <v>82</v>
      </c>
      <c r="B1288">
        <f>VLOOKUP(M1288,Sheet9!$I$1:$J$17,2,FALSE)</f>
        <v>10</v>
      </c>
      <c r="C1288">
        <f>VLOOKUP(N1288,Sheet9!$M$1:$N$2,2,FALSE)</f>
        <v>1</v>
      </c>
      <c r="D1288">
        <v>16</v>
      </c>
      <c r="E1288" t="s">
        <v>96</v>
      </c>
      <c r="F1288">
        <v>150</v>
      </c>
      <c r="H1288">
        <v>1</v>
      </c>
      <c r="I1288">
        <v>10</v>
      </c>
      <c r="J1288">
        <v>10</v>
      </c>
      <c r="K1288">
        <v>21.71</v>
      </c>
      <c r="L1288">
        <v>21.31</v>
      </c>
      <c r="M1288" t="s">
        <v>82</v>
      </c>
      <c r="N1288" t="s">
        <v>162</v>
      </c>
    </row>
    <row r="1289" spans="1:14" x14ac:dyDescent="0.3">
      <c r="A1289" t="s">
        <v>82</v>
      </c>
      <c r="B1289">
        <f>VLOOKUP(M1289,Sheet9!$I$1:$J$17,2,FALSE)</f>
        <v>10</v>
      </c>
      <c r="C1289">
        <f>VLOOKUP(N1289,Sheet9!$M$1:$N$2,2,FALSE)</f>
        <v>1</v>
      </c>
      <c r="D1289">
        <v>16</v>
      </c>
      <c r="E1289" t="s">
        <v>96</v>
      </c>
      <c r="F1289">
        <v>150</v>
      </c>
      <c r="H1289">
        <v>3</v>
      </c>
      <c r="I1289">
        <v>3</v>
      </c>
      <c r="J1289">
        <v>9</v>
      </c>
      <c r="K1289">
        <v>30.33</v>
      </c>
      <c r="L1289">
        <v>30.02</v>
      </c>
      <c r="M1289" t="s">
        <v>82</v>
      </c>
      <c r="N1289" t="s">
        <v>162</v>
      </c>
    </row>
    <row r="1290" spans="1:14" x14ac:dyDescent="0.3">
      <c r="A1290" t="s">
        <v>82</v>
      </c>
      <c r="B1290">
        <f>VLOOKUP(M1290,Sheet9!$I$1:$J$17,2,FALSE)</f>
        <v>10</v>
      </c>
      <c r="C1290">
        <f>VLOOKUP(N1290,Sheet9!$M$1:$N$2,2,FALSE)</f>
        <v>1</v>
      </c>
      <c r="D1290">
        <v>16</v>
      </c>
      <c r="E1290" t="s">
        <v>96</v>
      </c>
      <c r="F1290">
        <v>150</v>
      </c>
      <c r="H1290">
        <v>3</v>
      </c>
      <c r="I1290">
        <v>5</v>
      </c>
      <c r="J1290">
        <v>15</v>
      </c>
      <c r="K1290">
        <v>28.92</v>
      </c>
      <c r="L1290">
        <v>28.6</v>
      </c>
      <c r="M1290" t="s">
        <v>82</v>
      </c>
      <c r="N1290" t="s">
        <v>162</v>
      </c>
    </row>
    <row r="1291" spans="1:14" x14ac:dyDescent="0.3">
      <c r="A1291" t="s">
        <v>82</v>
      </c>
      <c r="B1291">
        <f>VLOOKUP(M1291,Sheet9!$I$1:$J$17,2,FALSE)</f>
        <v>10</v>
      </c>
      <c r="C1291">
        <f>VLOOKUP(N1291,Sheet9!$M$1:$N$2,2,FALSE)</f>
        <v>1</v>
      </c>
      <c r="D1291">
        <v>16</v>
      </c>
      <c r="E1291" t="s">
        <v>168</v>
      </c>
      <c r="F1291">
        <v>150</v>
      </c>
      <c r="H1291">
        <v>32</v>
      </c>
      <c r="I1291">
        <v>0.6</v>
      </c>
      <c r="J1291">
        <v>19.2</v>
      </c>
      <c r="K1291">
        <v>30.66</v>
      </c>
      <c r="L1291">
        <v>30.06</v>
      </c>
      <c r="M1291" t="s">
        <v>82</v>
      </c>
      <c r="N1291" t="s">
        <v>162</v>
      </c>
    </row>
    <row r="1292" spans="1:14" x14ac:dyDescent="0.3">
      <c r="A1292" t="s">
        <v>82</v>
      </c>
      <c r="B1292">
        <f>VLOOKUP(M1292,Sheet9!$I$1:$J$17,2,FALSE)</f>
        <v>10</v>
      </c>
      <c r="C1292">
        <f>VLOOKUP(N1292,Sheet9!$M$1:$N$2,2,FALSE)</f>
        <v>1</v>
      </c>
      <c r="D1292">
        <v>16</v>
      </c>
      <c r="E1292" t="s">
        <v>96</v>
      </c>
      <c r="F1292">
        <v>150</v>
      </c>
      <c r="H1292">
        <v>64</v>
      </c>
      <c r="I1292">
        <v>0.6</v>
      </c>
      <c r="J1292">
        <v>38.4</v>
      </c>
      <c r="K1292">
        <v>26.99</v>
      </c>
      <c r="L1292">
        <v>26.64</v>
      </c>
      <c r="M1292" t="s">
        <v>82</v>
      </c>
      <c r="N1292" t="s">
        <v>162</v>
      </c>
    </row>
    <row r="1293" spans="1:14" x14ac:dyDescent="0.3">
      <c r="A1293" t="s">
        <v>82</v>
      </c>
      <c r="B1293">
        <f>VLOOKUP(M1293,Sheet9!$I$1:$J$17,2,FALSE)</f>
        <v>10</v>
      </c>
      <c r="C1293">
        <f>VLOOKUP(N1293,Sheet9!$M$1:$N$2,2,FALSE)</f>
        <v>1</v>
      </c>
      <c r="D1293">
        <v>16</v>
      </c>
      <c r="E1293" t="s">
        <v>168</v>
      </c>
      <c r="F1293">
        <v>150</v>
      </c>
      <c r="H1293">
        <v>128</v>
      </c>
      <c r="I1293">
        <v>0.6</v>
      </c>
      <c r="J1293">
        <v>76.8</v>
      </c>
      <c r="K1293">
        <v>26.86</v>
      </c>
      <c r="L1293">
        <v>26.4</v>
      </c>
      <c r="M1293" t="s">
        <v>82</v>
      </c>
      <c r="N1293" t="s">
        <v>162</v>
      </c>
    </row>
    <row r="1294" spans="1:14" x14ac:dyDescent="0.3">
      <c r="A1294" t="s">
        <v>82</v>
      </c>
      <c r="B1294">
        <f>VLOOKUP(M1294,Sheet9!$I$1:$J$17,2,FALSE)</f>
        <v>10</v>
      </c>
      <c r="C1294">
        <f>VLOOKUP(N1294,Sheet9!$M$1:$N$2,2,FALSE)</f>
        <v>1</v>
      </c>
      <c r="D1294">
        <v>16</v>
      </c>
      <c r="E1294" t="s">
        <v>96</v>
      </c>
      <c r="F1294">
        <v>100</v>
      </c>
      <c r="G1294" t="s">
        <v>169</v>
      </c>
      <c r="H1294">
        <v>6</v>
      </c>
      <c r="I1294">
        <v>0.6</v>
      </c>
      <c r="J1294">
        <v>3.5999999999999996</v>
      </c>
      <c r="K1294">
        <v>2.5299999999999998</v>
      </c>
      <c r="L1294">
        <v>2.4500000000000002</v>
      </c>
      <c r="M1294" t="s">
        <v>82</v>
      </c>
      <c r="N1294" t="s">
        <v>162</v>
      </c>
    </row>
    <row r="1295" spans="1:14" x14ac:dyDescent="0.3">
      <c r="A1295" t="s">
        <v>82</v>
      </c>
      <c r="B1295">
        <f>VLOOKUP(M1295,Sheet9!$I$1:$J$17,2,FALSE)</f>
        <v>10</v>
      </c>
      <c r="C1295">
        <f>VLOOKUP(N1295,Sheet9!$M$1:$N$2,2,FALSE)</f>
        <v>1</v>
      </c>
      <c r="D1295">
        <v>16</v>
      </c>
      <c r="E1295" t="s">
        <v>96</v>
      </c>
      <c r="F1295">
        <v>100</v>
      </c>
      <c r="H1295">
        <v>1</v>
      </c>
      <c r="I1295">
        <v>5</v>
      </c>
      <c r="J1295">
        <v>5</v>
      </c>
      <c r="M1295" t="s">
        <v>82</v>
      </c>
      <c r="N1295" t="s">
        <v>162</v>
      </c>
    </row>
    <row r="1296" spans="1:14" x14ac:dyDescent="0.3">
      <c r="A1296" t="s">
        <v>82</v>
      </c>
      <c r="B1296">
        <f>VLOOKUP(M1296,Sheet9!$I$1:$J$17,2,FALSE)</f>
        <v>10</v>
      </c>
      <c r="C1296">
        <f>VLOOKUP(N1296,Sheet9!$M$1:$N$2,2,FALSE)</f>
        <v>1</v>
      </c>
      <c r="D1296">
        <v>16</v>
      </c>
      <c r="E1296" t="s">
        <v>96</v>
      </c>
      <c r="F1296">
        <v>100</v>
      </c>
      <c r="H1296">
        <v>1</v>
      </c>
      <c r="I1296">
        <v>10</v>
      </c>
      <c r="J1296">
        <v>10</v>
      </c>
      <c r="M1296" t="s">
        <v>82</v>
      </c>
      <c r="N1296" t="s">
        <v>162</v>
      </c>
    </row>
    <row r="1297" spans="1:14" x14ac:dyDescent="0.3">
      <c r="A1297" t="s">
        <v>82</v>
      </c>
      <c r="B1297">
        <f>VLOOKUP(M1297,Sheet9!$I$1:$J$17,2,FALSE)</f>
        <v>10</v>
      </c>
      <c r="C1297">
        <f>VLOOKUP(N1297,Sheet9!$M$1:$N$2,2,FALSE)</f>
        <v>1</v>
      </c>
      <c r="D1297">
        <v>16</v>
      </c>
      <c r="E1297" t="s">
        <v>96</v>
      </c>
      <c r="F1297">
        <v>100</v>
      </c>
      <c r="H1297">
        <v>3</v>
      </c>
      <c r="I1297">
        <v>3</v>
      </c>
      <c r="J1297">
        <v>9</v>
      </c>
      <c r="K1297">
        <v>1094</v>
      </c>
      <c r="L1297">
        <v>1.89</v>
      </c>
      <c r="M1297" t="s">
        <v>82</v>
      </c>
      <c r="N1297" t="s">
        <v>162</v>
      </c>
    </row>
    <row r="1298" spans="1:14" x14ac:dyDescent="0.3">
      <c r="A1298" t="s">
        <v>82</v>
      </c>
      <c r="B1298">
        <f>VLOOKUP(M1298,Sheet9!$I$1:$J$17,2,FALSE)</f>
        <v>10</v>
      </c>
      <c r="C1298">
        <f>VLOOKUP(N1298,Sheet9!$M$1:$N$2,2,FALSE)</f>
        <v>1</v>
      </c>
      <c r="D1298">
        <v>16</v>
      </c>
      <c r="E1298" t="s">
        <v>96</v>
      </c>
      <c r="F1298">
        <v>100</v>
      </c>
      <c r="H1298">
        <v>3</v>
      </c>
      <c r="I1298">
        <v>5</v>
      </c>
      <c r="J1298">
        <v>15</v>
      </c>
      <c r="K1298">
        <v>1.84</v>
      </c>
      <c r="L1298">
        <v>1.8</v>
      </c>
      <c r="M1298" t="s">
        <v>82</v>
      </c>
      <c r="N1298" t="s">
        <v>162</v>
      </c>
    </row>
    <row r="1299" spans="1:14" x14ac:dyDescent="0.3">
      <c r="A1299" t="s">
        <v>82</v>
      </c>
      <c r="B1299">
        <f>VLOOKUP(M1299,Sheet9!$I$1:$J$17,2,FALSE)</f>
        <v>10</v>
      </c>
      <c r="C1299">
        <f>VLOOKUP(N1299,Sheet9!$M$1:$N$2,2,FALSE)</f>
        <v>1</v>
      </c>
      <c r="D1299">
        <v>16</v>
      </c>
      <c r="E1299" t="s">
        <v>168</v>
      </c>
      <c r="F1299">
        <v>100</v>
      </c>
      <c r="H1299">
        <v>32</v>
      </c>
      <c r="I1299">
        <v>0.6</v>
      </c>
      <c r="J1299">
        <v>19.2</v>
      </c>
      <c r="K1299">
        <v>1.96</v>
      </c>
      <c r="L1299">
        <v>1.9</v>
      </c>
      <c r="M1299" t="s">
        <v>82</v>
      </c>
      <c r="N1299" t="s">
        <v>162</v>
      </c>
    </row>
    <row r="1300" spans="1:14" x14ac:dyDescent="0.3">
      <c r="A1300" t="s">
        <v>82</v>
      </c>
      <c r="B1300">
        <f>VLOOKUP(M1300,Sheet9!$I$1:$J$17,2,FALSE)</f>
        <v>10</v>
      </c>
      <c r="C1300">
        <f>VLOOKUP(N1300,Sheet9!$M$1:$N$2,2,FALSE)</f>
        <v>1</v>
      </c>
      <c r="D1300">
        <v>16</v>
      </c>
      <c r="E1300" t="s">
        <v>96</v>
      </c>
      <c r="F1300">
        <v>100</v>
      </c>
      <c r="H1300">
        <v>64</v>
      </c>
      <c r="I1300">
        <v>0.6</v>
      </c>
      <c r="J1300">
        <v>38.4</v>
      </c>
      <c r="K1300">
        <v>1.72</v>
      </c>
      <c r="L1300">
        <v>1.68</v>
      </c>
      <c r="M1300" t="s">
        <v>82</v>
      </c>
      <c r="N1300" t="s">
        <v>162</v>
      </c>
    </row>
    <row r="1301" spans="1:14" x14ac:dyDescent="0.3">
      <c r="A1301" t="s">
        <v>82</v>
      </c>
      <c r="B1301">
        <f>VLOOKUP(M1301,Sheet9!$I$1:$J$17,2,FALSE)</f>
        <v>10</v>
      </c>
      <c r="C1301">
        <f>VLOOKUP(N1301,Sheet9!$M$1:$N$2,2,FALSE)</f>
        <v>1</v>
      </c>
      <c r="D1301">
        <v>16</v>
      </c>
      <c r="E1301" t="s">
        <v>168</v>
      </c>
      <c r="F1301">
        <v>100</v>
      </c>
      <c r="H1301">
        <v>128</v>
      </c>
      <c r="I1301">
        <v>0.6</v>
      </c>
      <c r="J1301">
        <v>76.8</v>
      </c>
      <c r="K1301">
        <v>1.71</v>
      </c>
      <c r="L1301">
        <v>1.66</v>
      </c>
      <c r="M1301" t="s">
        <v>82</v>
      </c>
      <c r="N1301" t="s">
        <v>162</v>
      </c>
    </row>
    <row r="1302" spans="1:14" x14ac:dyDescent="0.3">
      <c r="A1302" t="s">
        <v>82</v>
      </c>
      <c r="B1302">
        <f>VLOOKUP(M1302,Sheet9!$I$1:$J$17,2,FALSE)</f>
        <v>10</v>
      </c>
      <c r="C1302">
        <f>VLOOKUP(N1302,Sheet9!$M$1:$N$2,2,FALSE)</f>
        <v>1</v>
      </c>
      <c r="D1302">
        <v>16</v>
      </c>
      <c r="E1302" t="s">
        <v>96</v>
      </c>
      <c r="F1302">
        <v>110</v>
      </c>
      <c r="H1302">
        <v>6</v>
      </c>
      <c r="I1302">
        <v>0.6</v>
      </c>
      <c r="J1302">
        <v>3.5999999999999996</v>
      </c>
      <c r="M1302" t="s">
        <v>82</v>
      </c>
      <c r="N1302" t="s">
        <v>162</v>
      </c>
    </row>
    <row r="1303" spans="1:14" x14ac:dyDescent="0.3">
      <c r="A1303" t="s">
        <v>82</v>
      </c>
      <c r="B1303">
        <f>VLOOKUP(M1303,Sheet9!$I$1:$J$17,2,FALSE)</f>
        <v>10</v>
      </c>
      <c r="C1303">
        <f>VLOOKUP(N1303,Sheet9!$M$1:$N$2,2,FALSE)</f>
        <v>1</v>
      </c>
      <c r="D1303">
        <v>16</v>
      </c>
      <c r="E1303" t="s">
        <v>96</v>
      </c>
      <c r="F1303">
        <v>110</v>
      </c>
      <c r="H1303">
        <v>1</v>
      </c>
      <c r="I1303">
        <v>5</v>
      </c>
      <c r="J1303">
        <v>5</v>
      </c>
      <c r="M1303" t="s">
        <v>82</v>
      </c>
      <c r="N1303" t="s">
        <v>162</v>
      </c>
    </row>
    <row r="1304" spans="1:14" x14ac:dyDescent="0.3">
      <c r="A1304" t="s">
        <v>82</v>
      </c>
      <c r="B1304">
        <f>VLOOKUP(M1304,Sheet9!$I$1:$J$17,2,FALSE)</f>
        <v>10</v>
      </c>
      <c r="C1304">
        <f>VLOOKUP(N1304,Sheet9!$M$1:$N$2,2,FALSE)</f>
        <v>1</v>
      </c>
      <c r="D1304">
        <v>16</v>
      </c>
      <c r="E1304" t="s">
        <v>96</v>
      </c>
      <c r="F1304">
        <v>110</v>
      </c>
      <c r="H1304">
        <v>1</v>
      </c>
      <c r="I1304">
        <v>10</v>
      </c>
      <c r="J1304">
        <v>10</v>
      </c>
      <c r="M1304" t="s">
        <v>82</v>
      </c>
      <c r="N1304" t="s">
        <v>162</v>
      </c>
    </row>
    <row r="1305" spans="1:14" x14ac:dyDescent="0.3">
      <c r="A1305" t="s">
        <v>82</v>
      </c>
      <c r="B1305">
        <f>VLOOKUP(M1305,Sheet9!$I$1:$J$17,2,FALSE)</f>
        <v>10</v>
      </c>
      <c r="C1305">
        <f>VLOOKUP(N1305,Sheet9!$M$1:$N$2,2,FALSE)</f>
        <v>1</v>
      </c>
      <c r="D1305">
        <v>16</v>
      </c>
      <c r="E1305" t="s">
        <v>96</v>
      </c>
      <c r="F1305">
        <v>110</v>
      </c>
      <c r="H1305">
        <v>3</v>
      </c>
      <c r="I1305">
        <v>3</v>
      </c>
      <c r="J1305">
        <v>9</v>
      </c>
      <c r="K1305">
        <v>2.97</v>
      </c>
      <c r="L1305">
        <v>2.91</v>
      </c>
      <c r="M1305" t="s">
        <v>82</v>
      </c>
      <c r="N1305" t="s">
        <v>162</v>
      </c>
    </row>
    <row r="1306" spans="1:14" x14ac:dyDescent="0.3">
      <c r="A1306" t="s">
        <v>82</v>
      </c>
      <c r="B1306">
        <f>VLOOKUP(M1306,Sheet9!$I$1:$J$17,2,FALSE)</f>
        <v>10</v>
      </c>
      <c r="C1306">
        <f>VLOOKUP(N1306,Sheet9!$M$1:$N$2,2,FALSE)</f>
        <v>1</v>
      </c>
      <c r="D1306">
        <v>16</v>
      </c>
      <c r="E1306" t="s">
        <v>96</v>
      </c>
      <c r="F1306">
        <v>110</v>
      </c>
      <c r="H1306">
        <v>3</v>
      </c>
      <c r="I1306">
        <v>5</v>
      </c>
      <c r="J1306">
        <v>15</v>
      </c>
      <c r="K1306">
        <v>2.82</v>
      </c>
      <c r="L1306">
        <v>2.77</v>
      </c>
      <c r="M1306" t="s">
        <v>82</v>
      </c>
      <c r="N1306" t="s">
        <v>162</v>
      </c>
    </row>
    <row r="1307" spans="1:14" x14ac:dyDescent="0.3">
      <c r="A1307" t="s">
        <v>82</v>
      </c>
      <c r="B1307">
        <f>VLOOKUP(M1307,Sheet9!$I$1:$J$17,2,FALSE)</f>
        <v>10</v>
      </c>
      <c r="C1307">
        <f>VLOOKUP(N1307,Sheet9!$M$1:$N$2,2,FALSE)</f>
        <v>1</v>
      </c>
      <c r="D1307">
        <v>16</v>
      </c>
      <c r="E1307" t="s">
        <v>168</v>
      </c>
      <c r="F1307">
        <v>110</v>
      </c>
      <c r="H1307">
        <v>32</v>
      </c>
      <c r="I1307">
        <v>0.6</v>
      </c>
      <c r="J1307">
        <v>19.2</v>
      </c>
      <c r="K1307">
        <v>3</v>
      </c>
      <c r="L1307">
        <v>2.92</v>
      </c>
      <c r="M1307" t="s">
        <v>82</v>
      </c>
      <c r="N1307" t="s">
        <v>162</v>
      </c>
    </row>
    <row r="1308" spans="1:14" x14ac:dyDescent="0.3">
      <c r="A1308" t="s">
        <v>82</v>
      </c>
      <c r="B1308">
        <f>VLOOKUP(M1308,Sheet9!$I$1:$J$17,2,FALSE)</f>
        <v>10</v>
      </c>
      <c r="C1308">
        <f>VLOOKUP(N1308,Sheet9!$M$1:$N$2,2,FALSE)</f>
        <v>1</v>
      </c>
      <c r="D1308">
        <v>16</v>
      </c>
      <c r="E1308" t="s">
        <v>96</v>
      </c>
      <c r="F1308">
        <v>110</v>
      </c>
      <c r="H1308">
        <v>64</v>
      </c>
      <c r="I1308">
        <v>0.6</v>
      </c>
      <c r="J1308">
        <v>38.4</v>
      </c>
      <c r="K1308">
        <v>2.64</v>
      </c>
      <c r="L1308">
        <v>2.58</v>
      </c>
      <c r="M1308" t="s">
        <v>82</v>
      </c>
      <c r="N1308" t="s">
        <v>162</v>
      </c>
    </row>
    <row r="1309" spans="1:14" x14ac:dyDescent="0.3">
      <c r="A1309" t="s">
        <v>82</v>
      </c>
      <c r="B1309">
        <f>VLOOKUP(M1309,Sheet9!$I$1:$J$17,2,FALSE)</f>
        <v>10</v>
      </c>
      <c r="C1309">
        <f>VLOOKUP(N1309,Sheet9!$M$1:$N$2,2,FALSE)</f>
        <v>1</v>
      </c>
      <c r="D1309">
        <v>16</v>
      </c>
      <c r="E1309" t="s">
        <v>168</v>
      </c>
      <c r="F1309">
        <v>110</v>
      </c>
      <c r="H1309">
        <v>128</v>
      </c>
      <c r="I1309">
        <v>0.6</v>
      </c>
      <c r="J1309">
        <v>76.8</v>
      </c>
      <c r="K1309">
        <v>2.62</v>
      </c>
      <c r="L1309">
        <v>2.56</v>
      </c>
      <c r="M1309" t="s">
        <v>82</v>
      </c>
      <c r="N1309" t="s">
        <v>162</v>
      </c>
    </row>
    <row r="1310" spans="1:14" x14ac:dyDescent="0.3">
      <c r="A1310" t="s">
        <v>82</v>
      </c>
      <c r="B1310">
        <f>VLOOKUP(M1310,Sheet9!$I$1:$J$17,2,FALSE)</f>
        <v>10</v>
      </c>
      <c r="C1310">
        <f>VLOOKUP(N1310,Sheet9!$M$1:$N$2,2,FALSE)</f>
        <v>1</v>
      </c>
      <c r="D1310">
        <v>16</v>
      </c>
      <c r="E1310" t="s">
        <v>96</v>
      </c>
      <c r="F1310">
        <v>120</v>
      </c>
      <c r="H1310">
        <v>6</v>
      </c>
      <c r="I1310">
        <v>0.6</v>
      </c>
      <c r="J1310">
        <v>3.5999999999999996</v>
      </c>
      <c r="M1310" t="s">
        <v>82</v>
      </c>
      <c r="N1310" t="s">
        <v>162</v>
      </c>
    </row>
    <row r="1311" spans="1:14" x14ac:dyDescent="0.3">
      <c r="A1311" t="s">
        <v>82</v>
      </c>
      <c r="B1311">
        <f>VLOOKUP(M1311,Sheet9!$I$1:$J$17,2,FALSE)</f>
        <v>10</v>
      </c>
      <c r="C1311">
        <f>VLOOKUP(N1311,Sheet9!$M$1:$N$2,2,FALSE)</f>
        <v>1</v>
      </c>
      <c r="D1311">
        <v>16</v>
      </c>
      <c r="E1311" t="s">
        <v>96</v>
      </c>
      <c r="F1311">
        <v>120</v>
      </c>
      <c r="H1311">
        <v>1</v>
      </c>
      <c r="I1311">
        <v>5</v>
      </c>
      <c r="J1311">
        <v>5</v>
      </c>
      <c r="M1311" t="s">
        <v>82</v>
      </c>
      <c r="N1311" t="s">
        <v>162</v>
      </c>
    </row>
    <row r="1312" spans="1:14" x14ac:dyDescent="0.3">
      <c r="A1312" t="s">
        <v>82</v>
      </c>
      <c r="B1312">
        <f>VLOOKUP(M1312,Sheet9!$I$1:$J$17,2,FALSE)</f>
        <v>10</v>
      </c>
      <c r="C1312">
        <f>VLOOKUP(N1312,Sheet9!$M$1:$N$2,2,FALSE)</f>
        <v>1</v>
      </c>
      <c r="D1312">
        <v>16</v>
      </c>
      <c r="E1312" t="s">
        <v>96</v>
      </c>
      <c r="F1312">
        <v>120</v>
      </c>
      <c r="H1312">
        <v>1</v>
      </c>
      <c r="I1312">
        <v>10</v>
      </c>
      <c r="J1312">
        <v>10</v>
      </c>
      <c r="M1312" t="s">
        <v>82</v>
      </c>
      <c r="N1312" t="s">
        <v>162</v>
      </c>
    </row>
    <row r="1313" spans="1:14" x14ac:dyDescent="0.3">
      <c r="A1313" t="s">
        <v>82</v>
      </c>
      <c r="B1313">
        <f>VLOOKUP(M1313,Sheet9!$I$1:$J$17,2,FALSE)</f>
        <v>10</v>
      </c>
      <c r="C1313">
        <f>VLOOKUP(N1313,Sheet9!$M$1:$N$2,2,FALSE)</f>
        <v>1</v>
      </c>
      <c r="D1313">
        <v>16</v>
      </c>
      <c r="E1313" t="s">
        <v>96</v>
      </c>
      <c r="F1313">
        <v>120</v>
      </c>
      <c r="H1313">
        <v>3</v>
      </c>
      <c r="I1313">
        <v>3</v>
      </c>
      <c r="J1313">
        <v>9</v>
      </c>
      <c r="K1313">
        <v>4.25</v>
      </c>
      <c r="L1313">
        <v>4.17</v>
      </c>
      <c r="M1313" t="s">
        <v>82</v>
      </c>
      <c r="N1313" t="s">
        <v>162</v>
      </c>
    </row>
    <row r="1314" spans="1:14" x14ac:dyDescent="0.3">
      <c r="A1314" t="s">
        <v>82</v>
      </c>
      <c r="B1314">
        <f>VLOOKUP(M1314,Sheet9!$I$1:$J$17,2,FALSE)</f>
        <v>10</v>
      </c>
      <c r="C1314">
        <f>VLOOKUP(N1314,Sheet9!$M$1:$N$2,2,FALSE)</f>
        <v>1</v>
      </c>
      <c r="D1314">
        <v>16</v>
      </c>
      <c r="E1314" t="s">
        <v>96</v>
      </c>
      <c r="F1314">
        <v>120</v>
      </c>
      <c r="H1314">
        <v>3</v>
      </c>
      <c r="I1314">
        <v>5</v>
      </c>
      <c r="J1314">
        <v>15</v>
      </c>
      <c r="K1314">
        <v>4.04</v>
      </c>
      <c r="L1314">
        <v>3.97</v>
      </c>
      <c r="M1314" t="s">
        <v>82</v>
      </c>
      <c r="N1314" t="s">
        <v>162</v>
      </c>
    </row>
    <row r="1315" spans="1:14" x14ac:dyDescent="0.3">
      <c r="A1315" t="s">
        <v>82</v>
      </c>
      <c r="B1315">
        <f>VLOOKUP(M1315,Sheet9!$I$1:$J$17,2,FALSE)</f>
        <v>10</v>
      </c>
      <c r="C1315">
        <f>VLOOKUP(N1315,Sheet9!$M$1:$N$2,2,FALSE)</f>
        <v>1</v>
      </c>
      <c r="D1315">
        <v>16</v>
      </c>
      <c r="E1315" t="s">
        <v>168</v>
      </c>
      <c r="F1315">
        <v>120</v>
      </c>
      <c r="H1315">
        <v>32</v>
      </c>
      <c r="I1315">
        <v>0.6</v>
      </c>
      <c r="J1315">
        <v>19.2</v>
      </c>
      <c r="K1315">
        <v>4.3</v>
      </c>
      <c r="L1315">
        <v>4.1900000000000004</v>
      </c>
      <c r="M1315" t="s">
        <v>82</v>
      </c>
      <c r="N1315" t="s">
        <v>162</v>
      </c>
    </row>
    <row r="1316" spans="1:14" x14ac:dyDescent="0.3">
      <c r="A1316" t="s">
        <v>82</v>
      </c>
      <c r="B1316">
        <f>VLOOKUP(M1316,Sheet9!$I$1:$J$17,2,FALSE)</f>
        <v>10</v>
      </c>
      <c r="C1316">
        <f>VLOOKUP(N1316,Sheet9!$M$1:$N$2,2,FALSE)</f>
        <v>1</v>
      </c>
      <c r="D1316">
        <v>16</v>
      </c>
      <c r="E1316" t="s">
        <v>96</v>
      </c>
      <c r="F1316">
        <v>120</v>
      </c>
      <c r="H1316">
        <v>64</v>
      </c>
      <c r="I1316">
        <v>0.6</v>
      </c>
      <c r="J1316">
        <v>38.4</v>
      </c>
      <c r="K1316">
        <v>3.78</v>
      </c>
      <c r="L1316">
        <v>3.7</v>
      </c>
      <c r="M1316" t="s">
        <v>82</v>
      </c>
      <c r="N1316" t="s">
        <v>162</v>
      </c>
    </row>
    <row r="1317" spans="1:14" x14ac:dyDescent="0.3">
      <c r="A1317" t="s">
        <v>82</v>
      </c>
      <c r="B1317">
        <f>VLOOKUP(M1317,Sheet9!$I$1:$J$17,2,FALSE)</f>
        <v>10</v>
      </c>
      <c r="C1317">
        <f>VLOOKUP(N1317,Sheet9!$M$1:$N$2,2,FALSE)</f>
        <v>1</v>
      </c>
      <c r="D1317">
        <v>16</v>
      </c>
      <c r="E1317" t="s">
        <v>168</v>
      </c>
      <c r="F1317">
        <v>120</v>
      </c>
      <c r="H1317">
        <v>128</v>
      </c>
      <c r="I1317">
        <v>0.6</v>
      </c>
      <c r="J1317">
        <v>76.8</v>
      </c>
      <c r="K1317">
        <v>3.76</v>
      </c>
      <c r="L1317">
        <v>3.67</v>
      </c>
      <c r="M1317" t="s">
        <v>82</v>
      </c>
      <c r="N1317" t="s">
        <v>162</v>
      </c>
    </row>
    <row r="1318" spans="1:14" x14ac:dyDescent="0.3">
      <c r="A1318" t="s">
        <v>82</v>
      </c>
      <c r="B1318">
        <f>VLOOKUP(M1318,Sheet9!$I$1:$J$17,2,FALSE)</f>
        <v>10</v>
      </c>
      <c r="C1318">
        <f>VLOOKUP(N1318,Sheet9!$M$1:$N$2,2,FALSE)</f>
        <v>1</v>
      </c>
      <c r="D1318">
        <v>16</v>
      </c>
      <c r="E1318" t="s">
        <v>96</v>
      </c>
      <c r="F1318">
        <v>130</v>
      </c>
      <c r="H1318">
        <v>6</v>
      </c>
      <c r="I1318">
        <v>0.6</v>
      </c>
      <c r="J1318">
        <v>3.5999999999999996</v>
      </c>
      <c r="M1318" t="s">
        <v>82</v>
      </c>
      <c r="N1318" t="s">
        <v>162</v>
      </c>
    </row>
    <row r="1319" spans="1:14" x14ac:dyDescent="0.3">
      <c r="A1319" t="s">
        <v>82</v>
      </c>
      <c r="B1319">
        <f>VLOOKUP(M1319,Sheet9!$I$1:$J$17,2,FALSE)</f>
        <v>10</v>
      </c>
      <c r="C1319">
        <f>VLOOKUP(N1319,Sheet9!$M$1:$N$2,2,FALSE)</f>
        <v>1</v>
      </c>
      <c r="D1319">
        <v>16</v>
      </c>
      <c r="E1319" t="s">
        <v>96</v>
      </c>
      <c r="F1319">
        <v>130</v>
      </c>
      <c r="H1319">
        <v>1</v>
      </c>
      <c r="I1319">
        <v>5</v>
      </c>
      <c r="J1319">
        <v>5</v>
      </c>
      <c r="M1319" t="s">
        <v>82</v>
      </c>
      <c r="N1319" t="s">
        <v>162</v>
      </c>
    </row>
    <row r="1320" spans="1:14" x14ac:dyDescent="0.3">
      <c r="A1320" t="s">
        <v>82</v>
      </c>
      <c r="B1320">
        <f>VLOOKUP(M1320,Sheet9!$I$1:$J$17,2,FALSE)</f>
        <v>10</v>
      </c>
      <c r="C1320">
        <f>VLOOKUP(N1320,Sheet9!$M$1:$N$2,2,FALSE)</f>
        <v>1</v>
      </c>
      <c r="D1320">
        <v>16</v>
      </c>
      <c r="E1320" t="s">
        <v>96</v>
      </c>
      <c r="F1320">
        <v>130</v>
      </c>
      <c r="H1320">
        <v>1</v>
      </c>
      <c r="I1320">
        <v>10</v>
      </c>
      <c r="J1320">
        <v>10</v>
      </c>
      <c r="M1320" t="s">
        <v>82</v>
      </c>
      <c r="N1320" t="s">
        <v>162</v>
      </c>
    </row>
    <row r="1321" spans="1:14" x14ac:dyDescent="0.3">
      <c r="A1321" t="s">
        <v>82</v>
      </c>
      <c r="B1321">
        <f>VLOOKUP(M1321,Sheet9!$I$1:$J$17,2,FALSE)</f>
        <v>10</v>
      </c>
      <c r="C1321">
        <f>VLOOKUP(N1321,Sheet9!$M$1:$N$2,2,FALSE)</f>
        <v>1</v>
      </c>
      <c r="D1321">
        <v>16</v>
      </c>
      <c r="E1321" t="s">
        <v>96</v>
      </c>
      <c r="F1321">
        <v>130</v>
      </c>
      <c r="H1321">
        <v>3</v>
      </c>
      <c r="I1321">
        <v>3</v>
      </c>
      <c r="J1321">
        <v>9</v>
      </c>
      <c r="K1321">
        <v>5.77</v>
      </c>
      <c r="L1321">
        <v>5.69</v>
      </c>
      <c r="M1321" t="s">
        <v>82</v>
      </c>
      <c r="N1321" t="s">
        <v>162</v>
      </c>
    </row>
    <row r="1322" spans="1:14" x14ac:dyDescent="0.3">
      <c r="A1322" t="s">
        <v>82</v>
      </c>
      <c r="B1322">
        <f>VLOOKUP(M1322,Sheet9!$I$1:$J$17,2,FALSE)</f>
        <v>10</v>
      </c>
      <c r="C1322">
        <f>VLOOKUP(N1322,Sheet9!$M$1:$N$2,2,FALSE)</f>
        <v>1</v>
      </c>
      <c r="D1322">
        <v>16</v>
      </c>
      <c r="E1322" t="s">
        <v>96</v>
      </c>
      <c r="F1322">
        <v>130</v>
      </c>
      <c r="H1322">
        <v>3</v>
      </c>
      <c r="I1322">
        <v>5</v>
      </c>
      <c r="J1322">
        <v>15</v>
      </c>
      <c r="K1322">
        <v>5.49</v>
      </c>
      <c r="L1322">
        <v>5.42</v>
      </c>
      <c r="M1322" t="s">
        <v>82</v>
      </c>
      <c r="N1322" t="s">
        <v>162</v>
      </c>
    </row>
    <row r="1323" spans="1:14" x14ac:dyDescent="0.3">
      <c r="A1323" t="s">
        <v>82</v>
      </c>
      <c r="B1323">
        <f>VLOOKUP(M1323,Sheet9!$I$1:$J$17,2,FALSE)</f>
        <v>10</v>
      </c>
      <c r="C1323">
        <f>VLOOKUP(N1323,Sheet9!$M$1:$N$2,2,FALSE)</f>
        <v>1</v>
      </c>
      <c r="D1323">
        <v>16</v>
      </c>
      <c r="E1323" t="s">
        <v>168</v>
      </c>
      <c r="F1323">
        <v>130</v>
      </c>
      <c r="H1323">
        <v>32</v>
      </c>
      <c r="I1323">
        <v>0.6</v>
      </c>
      <c r="J1323">
        <v>19.2</v>
      </c>
      <c r="K1323">
        <v>5.84</v>
      </c>
      <c r="L1323">
        <v>5.71</v>
      </c>
      <c r="M1323" t="s">
        <v>82</v>
      </c>
      <c r="N1323" t="s">
        <v>162</v>
      </c>
    </row>
    <row r="1324" spans="1:14" x14ac:dyDescent="0.3">
      <c r="A1324" t="s">
        <v>82</v>
      </c>
      <c r="B1324">
        <f>VLOOKUP(M1324,Sheet9!$I$1:$J$17,2,FALSE)</f>
        <v>10</v>
      </c>
      <c r="C1324">
        <f>VLOOKUP(N1324,Sheet9!$M$1:$N$2,2,FALSE)</f>
        <v>1</v>
      </c>
      <c r="D1324">
        <v>16</v>
      </c>
      <c r="E1324" t="s">
        <v>96</v>
      </c>
      <c r="F1324">
        <v>130</v>
      </c>
      <c r="H1324">
        <v>64</v>
      </c>
      <c r="I1324">
        <v>0.6</v>
      </c>
      <c r="J1324">
        <v>38.4</v>
      </c>
      <c r="K1324">
        <v>4.1399999999999997</v>
      </c>
      <c r="L1324">
        <v>5.05</v>
      </c>
      <c r="M1324" t="s">
        <v>82</v>
      </c>
      <c r="N1324" t="s">
        <v>162</v>
      </c>
    </row>
    <row r="1325" spans="1:14" x14ac:dyDescent="0.3">
      <c r="A1325" t="s">
        <v>82</v>
      </c>
      <c r="B1325">
        <f>VLOOKUP(M1325,Sheet9!$I$1:$J$17,2,FALSE)</f>
        <v>10</v>
      </c>
      <c r="C1325">
        <f>VLOOKUP(N1325,Sheet9!$M$1:$N$2,2,FALSE)</f>
        <v>1</v>
      </c>
      <c r="D1325">
        <v>16</v>
      </c>
      <c r="E1325" t="s">
        <v>168</v>
      </c>
      <c r="F1325">
        <v>130</v>
      </c>
      <c r="H1325">
        <v>128</v>
      </c>
      <c r="I1325">
        <v>0.6</v>
      </c>
      <c r="J1325">
        <v>76.8</v>
      </c>
      <c r="K1325">
        <v>5.1100000000000003</v>
      </c>
      <c r="L1325">
        <v>5.01</v>
      </c>
      <c r="M1325" t="s">
        <v>82</v>
      </c>
      <c r="N1325" t="s">
        <v>162</v>
      </c>
    </row>
    <row r="1326" spans="1:14" x14ac:dyDescent="0.3">
      <c r="A1326" t="s">
        <v>82</v>
      </c>
      <c r="B1326">
        <f>VLOOKUP(M1326,Sheet9!$I$1:$J$17,2,FALSE)</f>
        <v>10</v>
      </c>
      <c r="C1326">
        <f>VLOOKUP(N1326,Sheet9!$M$1:$N$2,2,FALSE)</f>
        <v>1</v>
      </c>
      <c r="D1326">
        <v>16</v>
      </c>
      <c r="E1326" t="s">
        <v>96</v>
      </c>
      <c r="F1326">
        <v>140</v>
      </c>
      <c r="H1326">
        <v>6</v>
      </c>
      <c r="I1326">
        <v>0.6</v>
      </c>
      <c r="J1326">
        <v>3.5999999999999996</v>
      </c>
      <c r="K1326">
        <v>9.8699999999999992</v>
      </c>
      <c r="L1326">
        <v>9.68</v>
      </c>
      <c r="M1326" t="s">
        <v>82</v>
      </c>
      <c r="N1326" t="s">
        <v>162</v>
      </c>
    </row>
    <row r="1327" spans="1:14" x14ac:dyDescent="0.3">
      <c r="A1327" t="s">
        <v>82</v>
      </c>
      <c r="B1327">
        <f>VLOOKUP(M1327,Sheet9!$I$1:$J$17,2,FALSE)</f>
        <v>10</v>
      </c>
      <c r="C1327">
        <f>VLOOKUP(N1327,Sheet9!$M$1:$N$2,2,FALSE)</f>
        <v>1</v>
      </c>
      <c r="D1327">
        <v>16</v>
      </c>
      <c r="E1327" t="s">
        <v>96</v>
      </c>
      <c r="F1327">
        <v>140</v>
      </c>
      <c r="H1327">
        <v>1</v>
      </c>
      <c r="I1327">
        <v>5</v>
      </c>
      <c r="J1327">
        <v>5</v>
      </c>
      <c r="M1327" t="s">
        <v>82</v>
      </c>
      <c r="N1327" t="s">
        <v>162</v>
      </c>
    </row>
    <row r="1328" spans="1:14" x14ac:dyDescent="0.3">
      <c r="A1328" t="s">
        <v>82</v>
      </c>
      <c r="B1328">
        <f>VLOOKUP(M1328,Sheet9!$I$1:$J$17,2,FALSE)</f>
        <v>10</v>
      </c>
      <c r="C1328">
        <f>VLOOKUP(N1328,Sheet9!$M$1:$N$2,2,FALSE)</f>
        <v>1</v>
      </c>
      <c r="D1328">
        <v>16</v>
      </c>
      <c r="E1328" t="s">
        <v>96</v>
      </c>
      <c r="F1328">
        <v>140</v>
      </c>
      <c r="H1328">
        <v>1</v>
      </c>
      <c r="I1328">
        <v>10</v>
      </c>
      <c r="J1328">
        <v>10</v>
      </c>
      <c r="M1328" t="s">
        <v>82</v>
      </c>
      <c r="N1328" t="s">
        <v>162</v>
      </c>
    </row>
    <row r="1329" spans="1:14" x14ac:dyDescent="0.3">
      <c r="A1329" t="s">
        <v>82</v>
      </c>
      <c r="B1329">
        <f>VLOOKUP(M1329,Sheet9!$I$1:$J$17,2,FALSE)</f>
        <v>10</v>
      </c>
      <c r="C1329">
        <f>VLOOKUP(N1329,Sheet9!$M$1:$N$2,2,FALSE)</f>
        <v>1</v>
      </c>
      <c r="D1329">
        <v>16</v>
      </c>
      <c r="E1329" t="s">
        <v>96</v>
      </c>
      <c r="F1329">
        <v>140</v>
      </c>
      <c r="H1329">
        <v>3</v>
      </c>
      <c r="I1329">
        <v>3</v>
      </c>
      <c r="J1329">
        <v>9</v>
      </c>
      <c r="K1329">
        <v>7.55</v>
      </c>
      <c r="L1329">
        <v>7.48</v>
      </c>
      <c r="M1329" t="s">
        <v>82</v>
      </c>
      <c r="N1329" t="s">
        <v>162</v>
      </c>
    </row>
    <row r="1330" spans="1:14" x14ac:dyDescent="0.3">
      <c r="A1330" t="s">
        <v>82</v>
      </c>
      <c r="B1330">
        <f>VLOOKUP(M1330,Sheet9!$I$1:$J$17,2,FALSE)</f>
        <v>10</v>
      </c>
      <c r="C1330">
        <f>VLOOKUP(N1330,Sheet9!$M$1:$N$2,2,FALSE)</f>
        <v>1</v>
      </c>
      <c r="D1330">
        <v>16</v>
      </c>
      <c r="E1330" t="s">
        <v>96</v>
      </c>
      <c r="F1330">
        <v>140</v>
      </c>
      <c r="H1330">
        <v>3</v>
      </c>
      <c r="I1330">
        <v>5</v>
      </c>
      <c r="J1330">
        <v>15</v>
      </c>
      <c r="K1330">
        <v>7.18</v>
      </c>
      <c r="L1330">
        <v>7.12</v>
      </c>
      <c r="M1330" t="s">
        <v>82</v>
      </c>
      <c r="N1330" t="s">
        <v>162</v>
      </c>
    </row>
    <row r="1331" spans="1:14" x14ac:dyDescent="0.3">
      <c r="A1331" t="s">
        <v>82</v>
      </c>
      <c r="B1331">
        <f>VLOOKUP(M1331,Sheet9!$I$1:$J$17,2,FALSE)</f>
        <v>10</v>
      </c>
      <c r="C1331">
        <f>VLOOKUP(N1331,Sheet9!$M$1:$N$2,2,FALSE)</f>
        <v>1</v>
      </c>
      <c r="D1331">
        <v>16</v>
      </c>
      <c r="E1331" t="s">
        <v>168</v>
      </c>
      <c r="F1331">
        <v>140</v>
      </c>
      <c r="H1331">
        <v>32</v>
      </c>
      <c r="I1331">
        <v>0.6</v>
      </c>
      <c r="J1331">
        <v>19.2</v>
      </c>
      <c r="K1331">
        <v>7.64</v>
      </c>
      <c r="L1331">
        <v>7.5</v>
      </c>
      <c r="M1331" t="s">
        <v>82</v>
      </c>
      <c r="N1331" t="s">
        <v>162</v>
      </c>
    </row>
    <row r="1332" spans="1:14" x14ac:dyDescent="0.3">
      <c r="A1332" t="s">
        <v>82</v>
      </c>
      <c r="B1332">
        <f>VLOOKUP(M1332,Sheet9!$I$1:$J$17,2,FALSE)</f>
        <v>10</v>
      </c>
      <c r="C1332">
        <f>VLOOKUP(N1332,Sheet9!$M$1:$N$2,2,FALSE)</f>
        <v>1</v>
      </c>
      <c r="D1332">
        <v>16</v>
      </c>
      <c r="E1332" t="s">
        <v>96</v>
      </c>
      <c r="F1332">
        <v>140</v>
      </c>
      <c r="H1332">
        <v>64</v>
      </c>
      <c r="I1332">
        <v>0.6</v>
      </c>
      <c r="J1332">
        <v>38.4</v>
      </c>
      <c r="K1332">
        <v>6.73</v>
      </c>
      <c r="L1332">
        <v>6.63</v>
      </c>
      <c r="M1332" t="s">
        <v>82</v>
      </c>
      <c r="N1332" t="s">
        <v>162</v>
      </c>
    </row>
    <row r="1333" spans="1:14" x14ac:dyDescent="0.3">
      <c r="A1333" t="s">
        <v>82</v>
      </c>
      <c r="B1333">
        <f>VLOOKUP(M1333,Sheet9!$I$1:$J$17,2,FALSE)</f>
        <v>10</v>
      </c>
      <c r="C1333">
        <f>VLOOKUP(N1333,Sheet9!$M$1:$N$2,2,FALSE)</f>
        <v>1</v>
      </c>
      <c r="D1333">
        <v>16</v>
      </c>
      <c r="E1333" t="s">
        <v>168</v>
      </c>
      <c r="F1333">
        <v>140</v>
      </c>
      <c r="H1333">
        <v>128</v>
      </c>
      <c r="I1333">
        <v>0.6</v>
      </c>
      <c r="J1333">
        <v>76.8</v>
      </c>
      <c r="K1333">
        <v>6.68</v>
      </c>
      <c r="L1333">
        <v>6.58</v>
      </c>
      <c r="M1333" t="s">
        <v>82</v>
      </c>
      <c r="N1333" t="s">
        <v>162</v>
      </c>
    </row>
    <row r="1334" spans="1:14" x14ac:dyDescent="0.3">
      <c r="A1334" t="s">
        <v>82</v>
      </c>
      <c r="B1334">
        <f>VLOOKUP(M1334,Sheet9!$I$1:$J$17,2,FALSE)</f>
        <v>10</v>
      </c>
      <c r="C1334">
        <f>VLOOKUP(N1334,Sheet9!$M$1:$N$2,2,FALSE)</f>
        <v>1</v>
      </c>
      <c r="D1334">
        <v>16</v>
      </c>
      <c r="E1334" t="s">
        <v>96</v>
      </c>
      <c r="F1334">
        <v>150</v>
      </c>
      <c r="H1334">
        <v>6</v>
      </c>
      <c r="I1334">
        <v>0.6</v>
      </c>
      <c r="J1334">
        <v>3.5999999999999996</v>
      </c>
      <c r="M1334" t="s">
        <v>82</v>
      </c>
      <c r="N1334" t="s">
        <v>162</v>
      </c>
    </row>
    <row r="1335" spans="1:14" x14ac:dyDescent="0.3">
      <c r="A1335" t="s">
        <v>82</v>
      </c>
      <c r="B1335">
        <f>VLOOKUP(M1335,Sheet9!$I$1:$J$17,2,FALSE)</f>
        <v>10</v>
      </c>
      <c r="C1335">
        <f>VLOOKUP(N1335,Sheet9!$M$1:$N$2,2,FALSE)</f>
        <v>1</v>
      </c>
      <c r="D1335">
        <v>16</v>
      </c>
      <c r="E1335" t="s">
        <v>96</v>
      </c>
      <c r="F1335">
        <v>150</v>
      </c>
      <c r="H1335">
        <v>1</v>
      </c>
      <c r="I1335">
        <v>5</v>
      </c>
      <c r="J1335">
        <v>5</v>
      </c>
      <c r="M1335" t="s">
        <v>82</v>
      </c>
      <c r="N1335" t="s">
        <v>162</v>
      </c>
    </row>
    <row r="1336" spans="1:14" x14ac:dyDescent="0.3">
      <c r="A1336" t="s">
        <v>82</v>
      </c>
      <c r="B1336">
        <f>VLOOKUP(M1336,Sheet9!$I$1:$J$17,2,FALSE)</f>
        <v>10</v>
      </c>
      <c r="C1336">
        <f>VLOOKUP(N1336,Sheet9!$M$1:$N$2,2,FALSE)</f>
        <v>1</v>
      </c>
      <c r="D1336">
        <v>16</v>
      </c>
      <c r="E1336" t="s">
        <v>96</v>
      </c>
      <c r="F1336">
        <v>150</v>
      </c>
      <c r="H1336">
        <v>1</v>
      </c>
      <c r="I1336">
        <v>10</v>
      </c>
      <c r="J1336">
        <v>10</v>
      </c>
      <c r="M1336" t="s">
        <v>82</v>
      </c>
      <c r="N1336" t="s">
        <v>162</v>
      </c>
    </row>
    <row r="1337" spans="1:14" x14ac:dyDescent="0.3">
      <c r="A1337" t="s">
        <v>82</v>
      </c>
      <c r="B1337">
        <f>VLOOKUP(M1337,Sheet9!$I$1:$J$17,2,FALSE)</f>
        <v>10</v>
      </c>
      <c r="C1337">
        <f>VLOOKUP(N1337,Sheet9!$M$1:$N$2,2,FALSE)</f>
        <v>1</v>
      </c>
      <c r="D1337">
        <v>16</v>
      </c>
      <c r="E1337" t="s">
        <v>96</v>
      </c>
      <c r="F1337">
        <v>150</v>
      </c>
      <c r="H1337">
        <v>3</v>
      </c>
      <c r="I1337">
        <v>3</v>
      </c>
      <c r="J1337">
        <v>9</v>
      </c>
      <c r="K1337">
        <v>9.58</v>
      </c>
      <c r="L1337">
        <v>9.51</v>
      </c>
      <c r="M1337" t="s">
        <v>82</v>
      </c>
      <c r="N1337" t="s">
        <v>162</v>
      </c>
    </row>
    <row r="1338" spans="1:14" x14ac:dyDescent="0.3">
      <c r="A1338" t="s">
        <v>82</v>
      </c>
      <c r="B1338">
        <f>VLOOKUP(M1338,Sheet9!$I$1:$J$17,2,FALSE)</f>
        <v>10</v>
      </c>
      <c r="C1338">
        <f>VLOOKUP(N1338,Sheet9!$M$1:$N$2,2,FALSE)</f>
        <v>1</v>
      </c>
      <c r="D1338">
        <v>16</v>
      </c>
      <c r="E1338" t="s">
        <v>96</v>
      </c>
      <c r="F1338">
        <v>150</v>
      </c>
      <c r="H1338">
        <v>3</v>
      </c>
      <c r="I1338">
        <v>5</v>
      </c>
      <c r="J1338">
        <v>15</v>
      </c>
      <c r="K1338">
        <v>9.11</v>
      </c>
      <c r="L1338">
        <v>9.0500000000000007</v>
      </c>
      <c r="M1338" t="s">
        <v>82</v>
      </c>
      <c r="N1338" t="s">
        <v>162</v>
      </c>
    </row>
    <row r="1339" spans="1:14" x14ac:dyDescent="0.3">
      <c r="A1339" t="s">
        <v>82</v>
      </c>
      <c r="B1339">
        <f>VLOOKUP(M1339,Sheet9!$I$1:$J$17,2,FALSE)</f>
        <v>10</v>
      </c>
      <c r="C1339">
        <f>VLOOKUP(N1339,Sheet9!$M$1:$N$2,2,FALSE)</f>
        <v>1</v>
      </c>
      <c r="D1339">
        <v>16</v>
      </c>
      <c r="E1339" t="s">
        <v>168</v>
      </c>
      <c r="F1339">
        <v>150</v>
      </c>
      <c r="H1339">
        <v>32</v>
      </c>
      <c r="I1339">
        <v>0.6</v>
      </c>
      <c r="J1339">
        <v>19.2</v>
      </c>
      <c r="K1339">
        <v>9.69</v>
      </c>
      <c r="L1339">
        <v>9.5500000000000007</v>
      </c>
      <c r="M1339" t="s">
        <v>82</v>
      </c>
      <c r="N1339" t="s">
        <v>162</v>
      </c>
    </row>
    <row r="1340" spans="1:14" x14ac:dyDescent="0.3">
      <c r="A1340" t="s">
        <v>82</v>
      </c>
      <c r="B1340">
        <f>VLOOKUP(M1340,Sheet9!$I$1:$J$17,2,FALSE)</f>
        <v>10</v>
      </c>
      <c r="C1340">
        <f>VLOOKUP(N1340,Sheet9!$M$1:$N$2,2,FALSE)</f>
        <v>1</v>
      </c>
      <c r="D1340">
        <v>16</v>
      </c>
      <c r="E1340" t="s">
        <v>96</v>
      </c>
      <c r="F1340">
        <v>150</v>
      </c>
      <c r="H1340">
        <v>64</v>
      </c>
      <c r="I1340">
        <v>0.6</v>
      </c>
      <c r="J1340">
        <v>38.4</v>
      </c>
      <c r="K1340">
        <v>8.5299999999999994</v>
      </c>
      <c r="L1340">
        <v>8.43</v>
      </c>
      <c r="M1340" t="s">
        <v>82</v>
      </c>
      <c r="N1340" t="s">
        <v>162</v>
      </c>
    </row>
    <row r="1341" spans="1:14" x14ac:dyDescent="0.3">
      <c r="A1341" t="s">
        <v>82</v>
      </c>
      <c r="B1341">
        <f>VLOOKUP(M1341,Sheet9!$I$1:$J$17,2,FALSE)</f>
        <v>10</v>
      </c>
      <c r="C1341">
        <f>VLOOKUP(N1341,Sheet9!$M$1:$N$2,2,FALSE)</f>
        <v>1</v>
      </c>
      <c r="D1341">
        <v>16</v>
      </c>
      <c r="E1341" t="s">
        <v>168</v>
      </c>
      <c r="F1341">
        <v>150</v>
      </c>
      <c r="H1341">
        <v>128</v>
      </c>
      <c r="I1341">
        <v>0.6</v>
      </c>
      <c r="J1341">
        <v>76.8</v>
      </c>
      <c r="K1341">
        <v>8.4700000000000006</v>
      </c>
      <c r="L1341">
        <v>8.3699999999999992</v>
      </c>
      <c r="M1341" t="s">
        <v>82</v>
      </c>
      <c r="N1341" t="s">
        <v>162</v>
      </c>
    </row>
    <row r="1342" spans="1:14" x14ac:dyDescent="0.3">
      <c r="A1342" t="s">
        <v>82</v>
      </c>
      <c r="B1342">
        <f>VLOOKUP(M1342,Sheet9!$I$1:$J$17,2,FALSE)</f>
        <v>10</v>
      </c>
      <c r="C1342">
        <f>VLOOKUP(N1342,Sheet9!$M$1:$N$2,2,FALSE)</f>
        <v>1</v>
      </c>
      <c r="D1342">
        <v>16</v>
      </c>
      <c r="E1342" t="s">
        <v>96</v>
      </c>
      <c r="F1342">
        <v>150</v>
      </c>
      <c r="G1342" t="s">
        <v>170</v>
      </c>
      <c r="H1342">
        <v>6</v>
      </c>
      <c r="I1342">
        <v>0.6</v>
      </c>
      <c r="J1342">
        <v>3.5999999999999996</v>
      </c>
      <c r="M1342" t="s">
        <v>82</v>
      </c>
      <c r="N1342" t="s">
        <v>162</v>
      </c>
    </row>
    <row r="1343" spans="1:14" x14ac:dyDescent="0.3">
      <c r="A1343" t="s">
        <v>82</v>
      </c>
      <c r="B1343">
        <f>VLOOKUP(M1343,Sheet9!$I$1:$J$17,2,FALSE)</f>
        <v>10</v>
      </c>
      <c r="C1343">
        <f>VLOOKUP(N1343,Sheet9!$M$1:$N$2,2,FALSE)</f>
        <v>1</v>
      </c>
      <c r="D1343">
        <v>16</v>
      </c>
      <c r="E1343" t="s">
        <v>96</v>
      </c>
      <c r="F1343">
        <v>150</v>
      </c>
      <c r="H1343">
        <v>1</v>
      </c>
      <c r="I1343">
        <v>5</v>
      </c>
      <c r="J1343">
        <v>5</v>
      </c>
      <c r="M1343" t="s">
        <v>82</v>
      </c>
      <c r="N1343" t="s">
        <v>162</v>
      </c>
    </row>
    <row r="1344" spans="1:14" x14ac:dyDescent="0.3">
      <c r="A1344" t="s">
        <v>82</v>
      </c>
      <c r="B1344">
        <f>VLOOKUP(M1344,Sheet9!$I$1:$J$17,2,FALSE)</f>
        <v>10</v>
      </c>
      <c r="C1344">
        <f>VLOOKUP(N1344,Sheet9!$M$1:$N$2,2,FALSE)</f>
        <v>1</v>
      </c>
      <c r="D1344">
        <v>16</v>
      </c>
      <c r="E1344" t="s">
        <v>96</v>
      </c>
      <c r="F1344">
        <v>150</v>
      </c>
      <c r="H1344">
        <v>1</v>
      </c>
      <c r="I1344">
        <v>10</v>
      </c>
      <c r="J1344">
        <v>10</v>
      </c>
      <c r="M1344" t="s">
        <v>82</v>
      </c>
      <c r="N1344" t="s">
        <v>162</v>
      </c>
    </row>
    <row r="1345" spans="1:14" x14ac:dyDescent="0.3">
      <c r="A1345" t="s">
        <v>82</v>
      </c>
      <c r="B1345">
        <f>VLOOKUP(M1345,Sheet9!$I$1:$J$17,2,FALSE)</f>
        <v>10</v>
      </c>
      <c r="C1345">
        <f>VLOOKUP(N1345,Sheet9!$M$1:$N$2,2,FALSE)</f>
        <v>1</v>
      </c>
      <c r="D1345">
        <v>16</v>
      </c>
      <c r="E1345" t="s">
        <v>96</v>
      </c>
      <c r="F1345">
        <v>150</v>
      </c>
      <c r="H1345">
        <v>3</v>
      </c>
      <c r="I1345">
        <v>3</v>
      </c>
      <c r="J1345">
        <v>9</v>
      </c>
      <c r="M1345" t="s">
        <v>82</v>
      </c>
      <c r="N1345" t="s">
        <v>162</v>
      </c>
    </row>
    <row r="1346" spans="1:14" x14ac:dyDescent="0.3">
      <c r="A1346" t="s">
        <v>82</v>
      </c>
      <c r="B1346">
        <f>VLOOKUP(M1346,Sheet9!$I$1:$J$17,2,FALSE)</f>
        <v>10</v>
      </c>
      <c r="C1346">
        <f>VLOOKUP(N1346,Sheet9!$M$1:$N$2,2,FALSE)</f>
        <v>1</v>
      </c>
      <c r="D1346">
        <v>16</v>
      </c>
      <c r="E1346" t="s">
        <v>96</v>
      </c>
      <c r="F1346">
        <v>150</v>
      </c>
      <c r="H1346">
        <v>3</v>
      </c>
      <c r="I1346">
        <v>5</v>
      </c>
      <c r="J1346">
        <v>15</v>
      </c>
      <c r="M1346" t="s">
        <v>82</v>
      </c>
      <c r="N1346" t="s">
        <v>162</v>
      </c>
    </row>
    <row r="1347" spans="1:14" x14ac:dyDescent="0.3">
      <c r="A1347" t="s">
        <v>82</v>
      </c>
      <c r="B1347">
        <f>VLOOKUP(M1347,Sheet9!$I$1:$J$17,2,FALSE)</f>
        <v>10</v>
      </c>
      <c r="C1347">
        <f>VLOOKUP(N1347,Sheet9!$M$1:$N$2,2,FALSE)</f>
        <v>1</v>
      </c>
      <c r="D1347">
        <v>16</v>
      </c>
      <c r="E1347" t="s">
        <v>168</v>
      </c>
      <c r="F1347">
        <v>150</v>
      </c>
      <c r="H1347">
        <v>32</v>
      </c>
      <c r="I1347">
        <v>0.6</v>
      </c>
      <c r="J1347">
        <v>19.2</v>
      </c>
      <c r="K1347">
        <v>5.73</v>
      </c>
      <c r="L1347">
        <v>5.67</v>
      </c>
      <c r="M1347" t="s">
        <v>82</v>
      </c>
      <c r="N1347" t="s">
        <v>162</v>
      </c>
    </row>
    <row r="1348" spans="1:14" x14ac:dyDescent="0.3">
      <c r="A1348" t="s">
        <v>82</v>
      </c>
      <c r="B1348">
        <f>VLOOKUP(M1348,Sheet9!$I$1:$J$17,2,FALSE)</f>
        <v>10</v>
      </c>
      <c r="C1348">
        <f>VLOOKUP(N1348,Sheet9!$M$1:$N$2,2,FALSE)</f>
        <v>1</v>
      </c>
      <c r="D1348">
        <v>16</v>
      </c>
      <c r="E1348" t="s">
        <v>96</v>
      </c>
      <c r="F1348">
        <v>150</v>
      </c>
      <c r="H1348">
        <v>64</v>
      </c>
      <c r="I1348">
        <v>0.6</v>
      </c>
      <c r="J1348">
        <v>38.4</v>
      </c>
      <c r="K1348">
        <v>5.0599999999999996</v>
      </c>
      <c r="L1348">
        <v>5.0199999999999996</v>
      </c>
      <c r="M1348" t="s">
        <v>82</v>
      </c>
      <c r="N1348" t="s">
        <v>162</v>
      </c>
    </row>
    <row r="1349" spans="1:14" x14ac:dyDescent="0.3">
      <c r="A1349" t="s">
        <v>82</v>
      </c>
      <c r="B1349">
        <f>VLOOKUP(M1349,Sheet9!$I$1:$J$17,2,FALSE)</f>
        <v>10</v>
      </c>
      <c r="C1349">
        <f>VLOOKUP(N1349,Sheet9!$M$1:$N$2,2,FALSE)</f>
        <v>1</v>
      </c>
      <c r="D1349">
        <v>16</v>
      </c>
      <c r="E1349" t="s">
        <v>168</v>
      </c>
      <c r="F1349">
        <v>150</v>
      </c>
      <c r="H1349">
        <v>128</v>
      </c>
      <c r="I1349">
        <v>0.6</v>
      </c>
      <c r="J1349">
        <v>76.8</v>
      </c>
      <c r="K1349">
        <v>5.0199999999999996</v>
      </c>
      <c r="L1349">
        <v>4.9800000000000004</v>
      </c>
      <c r="M1349" t="s">
        <v>82</v>
      </c>
      <c r="N1349" t="s">
        <v>162</v>
      </c>
    </row>
    <row r="1350" spans="1:14" x14ac:dyDescent="0.3">
      <c r="A1350" t="s">
        <v>82</v>
      </c>
      <c r="B1350">
        <f>VLOOKUP(M1350,Sheet9!$I$1:$J$17,2,FALSE)</f>
        <v>10</v>
      </c>
      <c r="C1350">
        <f>VLOOKUP(N1350,Sheet9!$M$1:$N$2,2,FALSE)</f>
        <v>1</v>
      </c>
      <c r="D1350">
        <v>16</v>
      </c>
      <c r="E1350" t="s">
        <v>96</v>
      </c>
      <c r="F1350">
        <v>120</v>
      </c>
      <c r="G1350" t="s">
        <v>141</v>
      </c>
      <c r="H1350">
        <v>6</v>
      </c>
      <c r="I1350">
        <v>0.6</v>
      </c>
      <c r="J1350">
        <v>3.5999999999999996</v>
      </c>
      <c r="M1350" t="s">
        <v>82</v>
      </c>
      <c r="N1350" t="s">
        <v>162</v>
      </c>
    </row>
    <row r="1351" spans="1:14" x14ac:dyDescent="0.3">
      <c r="A1351" t="s">
        <v>82</v>
      </c>
      <c r="B1351">
        <f>VLOOKUP(M1351,Sheet9!$I$1:$J$17,2,FALSE)</f>
        <v>10</v>
      </c>
      <c r="C1351">
        <f>VLOOKUP(N1351,Sheet9!$M$1:$N$2,2,FALSE)</f>
        <v>1</v>
      </c>
      <c r="D1351">
        <v>16</v>
      </c>
      <c r="E1351" t="s">
        <v>96</v>
      </c>
      <c r="F1351">
        <v>120</v>
      </c>
      <c r="H1351">
        <v>1</v>
      </c>
      <c r="I1351">
        <v>5</v>
      </c>
      <c r="J1351">
        <v>5</v>
      </c>
      <c r="M1351" t="s">
        <v>82</v>
      </c>
      <c r="N1351" t="s">
        <v>162</v>
      </c>
    </row>
    <row r="1352" spans="1:14" x14ac:dyDescent="0.3">
      <c r="A1352" t="s">
        <v>82</v>
      </c>
      <c r="B1352">
        <f>VLOOKUP(M1352,Sheet9!$I$1:$J$17,2,FALSE)</f>
        <v>10</v>
      </c>
      <c r="C1352">
        <f>VLOOKUP(N1352,Sheet9!$M$1:$N$2,2,FALSE)</f>
        <v>1</v>
      </c>
      <c r="D1352">
        <v>16</v>
      </c>
      <c r="E1352" t="s">
        <v>96</v>
      </c>
      <c r="F1352">
        <v>120</v>
      </c>
      <c r="H1352">
        <v>1</v>
      </c>
      <c r="I1352">
        <v>10</v>
      </c>
      <c r="J1352">
        <v>10</v>
      </c>
      <c r="M1352" t="s">
        <v>82</v>
      </c>
      <c r="N1352" t="s">
        <v>162</v>
      </c>
    </row>
    <row r="1353" spans="1:14" x14ac:dyDescent="0.3">
      <c r="A1353" t="s">
        <v>82</v>
      </c>
      <c r="B1353">
        <f>VLOOKUP(M1353,Sheet9!$I$1:$J$17,2,FALSE)</f>
        <v>10</v>
      </c>
      <c r="C1353">
        <f>VLOOKUP(N1353,Sheet9!$M$1:$N$2,2,FALSE)</f>
        <v>1</v>
      </c>
      <c r="D1353">
        <v>16</v>
      </c>
      <c r="E1353" t="s">
        <v>96</v>
      </c>
      <c r="F1353">
        <v>120</v>
      </c>
      <c r="H1353">
        <v>3</v>
      </c>
      <c r="I1353">
        <v>3</v>
      </c>
      <c r="J1353">
        <v>9</v>
      </c>
      <c r="M1353" t="s">
        <v>82</v>
      </c>
      <c r="N1353" t="s">
        <v>162</v>
      </c>
    </row>
    <row r="1354" spans="1:14" x14ac:dyDescent="0.3">
      <c r="A1354" t="s">
        <v>82</v>
      </c>
      <c r="B1354">
        <f>VLOOKUP(M1354,Sheet9!$I$1:$J$17,2,FALSE)</f>
        <v>10</v>
      </c>
      <c r="C1354">
        <f>VLOOKUP(N1354,Sheet9!$M$1:$N$2,2,FALSE)</f>
        <v>1</v>
      </c>
      <c r="D1354">
        <v>16</v>
      </c>
      <c r="E1354" t="s">
        <v>96</v>
      </c>
      <c r="F1354">
        <v>120</v>
      </c>
      <c r="H1354">
        <v>3</v>
      </c>
      <c r="I1354">
        <v>5</v>
      </c>
      <c r="J1354">
        <v>15</v>
      </c>
      <c r="M1354" t="s">
        <v>82</v>
      </c>
      <c r="N1354" t="s">
        <v>162</v>
      </c>
    </row>
    <row r="1355" spans="1:14" x14ac:dyDescent="0.3">
      <c r="A1355" t="s">
        <v>82</v>
      </c>
      <c r="B1355">
        <f>VLOOKUP(M1355,Sheet9!$I$1:$J$17,2,FALSE)</f>
        <v>10</v>
      </c>
      <c r="C1355">
        <f>VLOOKUP(N1355,Sheet9!$M$1:$N$2,2,FALSE)</f>
        <v>1</v>
      </c>
      <c r="D1355">
        <v>16</v>
      </c>
      <c r="E1355" t="s">
        <v>168</v>
      </c>
      <c r="F1355">
        <v>120</v>
      </c>
      <c r="H1355">
        <v>32</v>
      </c>
      <c r="I1355">
        <v>0.6</v>
      </c>
      <c r="J1355">
        <v>19.2</v>
      </c>
      <c r="M1355" t="s">
        <v>82</v>
      </c>
      <c r="N1355" t="s">
        <v>162</v>
      </c>
    </row>
    <row r="1356" spans="1:14" x14ac:dyDescent="0.3">
      <c r="A1356" t="s">
        <v>82</v>
      </c>
      <c r="B1356">
        <f>VLOOKUP(M1356,Sheet9!$I$1:$J$17,2,FALSE)</f>
        <v>10</v>
      </c>
      <c r="C1356">
        <f>VLOOKUP(N1356,Sheet9!$M$1:$N$2,2,FALSE)</f>
        <v>1</v>
      </c>
      <c r="D1356">
        <v>16</v>
      </c>
      <c r="E1356" t="s">
        <v>96</v>
      </c>
      <c r="F1356">
        <v>120</v>
      </c>
      <c r="H1356">
        <v>64</v>
      </c>
      <c r="I1356">
        <v>0.6</v>
      </c>
      <c r="J1356">
        <v>38.4</v>
      </c>
      <c r="M1356" t="s">
        <v>82</v>
      </c>
      <c r="N1356" t="s">
        <v>162</v>
      </c>
    </row>
    <row r="1357" spans="1:14" x14ac:dyDescent="0.3">
      <c r="A1357" t="s">
        <v>82</v>
      </c>
      <c r="B1357">
        <f>VLOOKUP(M1357,Sheet9!$I$1:$J$17,2,FALSE)</f>
        <v>10</v>
      </c>
      <c r="C1357">
        <f>VLOOKUP(N1357,Sheet9!$M$1:$N$2,2,FALSE)</f>
        <v>1</v>
      </c>
      <c r="D1357">
        <v>16</v>
      </c>
      <c r="E1357" t="s">
        <v>168</v>
      </c>
      <c r="F1357">
        <v>120</v>
      </c>
      <c r="H1357">
        <v>128</v>
      </c>
      <c r="I1357">
        <v>0.6</v>
      </c>
      <c r="J1357">
        <v>76.8</v>
      </c>
      <c r="M1357" t="s">
        <v>82</v>
      </c>
      <c r="N1357" t="s">
        <v>162</v>
      </c>
    </row>
    <row r="1358" spans="1:14" x14ac:dyDescent="0.3">
      <c r="A1358" t="s">
        <v>82</v>
      </c>
      <c r="B1358">
        <f>VLOOKUP(M1358,Sheet9!$I$1:$J$17,2,FALSE)</f>
        <v>10</v>
      </c>
      <c r="C1358">
        <f>VLOOKUP(N1358,Sheet9!$M$1:$N$2,2,FALSE)</f>
        <v>1</v>
      </c>
      <c r="D1358">
        <v>16</v>
      </c>
      <c r="E1358" t="s">
        <v>96</v>
      </c>
      <c r="F1358">
        <v>140</v>
      </c>
      <c r="G1358" t="s">
        <v>141</v>
      </c>
      <c r="H1358">
        <v>6</v>
      </c>
      <c r="I1358">
        <v>0.6</v>
      </c>
      <c r="J1358">
        <v>3.5999999999999996</v>
      </c>
      <c r="M1358" t="s">
        <v>82</v>
      </c>
      <c r="N1358" t="s">
        <v>162</v>
      </c>
    </row>
    <row r="1359" spans="1:14" x14ac:dyDescent="0.3">
      <c r="A1359" t="s">
        <v>82</v>
      </c>
      <c r="B1359">
        <f>VLOOKUP(M1359,Sheet9!$I$1:$J$17,2,FALSE)</f>
        <v>10</v>
      </c>
      <c r="C1359">
        <f>VLOOKUP(N1359,Sheet9!$M$1:$N$2,2,FALSE)</f>
        <v>1</v>
      </c>
      <c r="D1359">
        <v>16</v>
      </c>
      <c r="E1359" t="s">
        <v>96</v>
      </c>
      <c r="F1359">
        <v>140</v>
      </c>
      <c r="H1359">
        <v>1</v>
      </c>
      <c r="I1359">
        <v>5</v>
      </c>
      <c r="J1359">
        <v>5</v>
      </c>
      <c r="M1359" t="s">
        <v>82</v>
      </c>
      <c r="N1359" t="s">
        <v>162</v>
      </c>
    </row>
    <row r="1360" spans="1:14" x14ac:dyDescent="0.3">
      <c r="A1360" t="s">
        <v>82</v>
      </c>
      <c r="B1360">
        <f>VLOOKUP(M1360,Sheet9!$I$1:$J$17,2,FALSE)</f>
        <v>10</v>
      </c>
      <c r="C1360">
        <f>VLOOKUP(N1360,Sheet9!$M$1:$N$2,2,FALSE)</f>
        <v>1</v>
      </c>
      <c r="D1360">
        <v>16</v>
      </c>
      <c r="E1360" t="s">
        <v>96</v>
      </c>
      <c r="F1360">
        <v>140</v>
      </c>
      <c r="H1360">
        <v>1</v>
      </c>
      <c r="I1360">
        <v>10</v>
      </c>
      <c r="J1360">
        <v>10</v>
      </c>
      <c r="M1360" t="s">
        <v>82</v>
      </c>
      <c r="N1360" t="s">
        <v>162</v>
      </c>
    </row>
    <row r="1361" spans="1:14" x14ac:dyDescent="0.3">
      <c r="A1361" t="s">
        <v>82</v>
      </c>
      <c r="B1361">
        <f>VLOOKUP(M1361,Sheet9!$I$1:$J$17,2,FALSE)</f>
        <v>10</v>
      </c>
      <c r="C1361">
        <f>VLOOKUP(N1361,Sheet9!$M$1:$N$2,2,FALSE)</f>
        <v>1</v>
      </c>
      <c r="D1361">
        <v>16</v>
      </c>
      <c r="E1361" t="s">
        <v>96</v>
      </c>
      <c r="F1361">
        <v>140</v>
      </c>
      <c r="H1361">
        <v>3</v>
      </c>
      <c r="I1361">
        <v>3</v>
      </c>
      <c r="J1361">
        <v>9</v>
      </c>
      <c r="M1361" t="s">
        <v>82</v>
      </c>
      <c r="N1361" t="s">
        <v>162</v>
      </c>
    </row>
    <row r="1362" spans="1:14" x14ac:dyDescent="0.3">
      <c r="A1362" t="s">
        <v>82</v>
      </c>
      <c r="B1362">
        <f>VLOOKUP(M1362,Sheet9!$I$1:$J$17,2,FALSE)</f>
        <v>10</v>
      </c>
      <c r="C1362">
        <f>VLOOKUP(N1362,Sheet9!$M$1:$N$2,2,FALSE)</f>
        <v>1</v>
      </c>
      <c r="D1362">
        <v>16</v>
      </c>
      <c r="E1362" t="s">
        <v>96</v>
      </c>
      <c r="F1362">
        <v>140</v>
      </c>
      <c r="H1362">
        <v>3</v>
      </c>
      <c r="I1362">
        <v>5</v>
      </c>
      <c r="J1362">
        <v>15</v>
      </c>
      <c r="M1362" t="s">
        <v>82</v>
      </c>
      <c r="N1362" t="s">
        <v>162</v>
      </c>
    </row>
    <row r="1363" spans="1:14" x14ac:dyDescent="0.3">
      <c r="A1363" t="s">
        <v>82</v>
      </c>
      <c r="B1363">
        <f>VLOOKUP(M1363,Sheet9!$I$1:$J$17,2,FALSE)</f>
        <v>10</v>
      </c>
      <c r="C1363">
        <f>VLOOKUP(N1363,Sheet9!$M$1:$N$2,2,FALSE)</f>
        <v>1</v>
      </c>
      <c r="D1363">
        <v>16</v>
      </c>
      <c r="E1363" t="s">
        <v>168</v>
      </c>
      <c r="F1363">
        <v>140</v>
      </c>
      <c r="H1363">
        <v>32</v>
      </c>
      <c r="I1363">
        <v>0.6</v>
      </c>
      <c r="J1363">
        <v>19.2</v>
      </c>
      <c r="M1363" t="s">
        <v>82</v>
      </c>
      <c r="N1363" t="s">
        <v>162</v>
      </c>
    </row>
    <row r="1364" spans="1:14" x14ac:dyDescent="0.3">
      <c r="A1364" t="s">
        <v>82</v>
      </c>
      <c r="B1364">
        <f>VLOOKUP(M1364,Sheet9!$I$1:$J$17,2,FALSE)</f>
        <v>10</v>
      </c>
      <c r="C1364">
        <f>VLOOKUP(N1364,Sheet9!$M$1:$N$2,2,FALSE)</f>
        <v>1</v>
      </c>
      <c r="D1364">
        <v>16</v>
      </c>
      <c r="E1364" t="s">
        <v>96</v>
      </c>
      <c r="F1364">
        <v>140</v>
      </c>
      <c r="H1364">
        <v>64</v>
      </c>
      <c r="I1364">
        <v>0.6</v>
      </c>
      <c r="J1364">
        <v>38.4</v>
      </c>
      <c r="M1364" t="s">
        <v>82</v>
      </c>
      <c r="N1364" t="s">
        <v>162</v>
      </c>
    </row>
    <row r="1365" spans="1:14" x14ac:dyDescent="0.3">
      <c r="A1365" t="s">
        <v>82</v>
      </c>
      <c r="B1365">
        <f>VLOOKUP(M1365,Sheet9!$I$1:$J$17,2,FALSE)</f>
        <v>10</v>
      </c>
      <c r="C1365">
        <f>VLOOKUP(N1365,Sheet9!$M$1:$N$2,2,FALSE)</f>
        <v>1</v>
      </c>
      <c r="D1365">
        <v>16</v>
      </c>
      <c r="E1365" t="s">
        <v>168</v>
      </c>
      <c r="F1365">
        <v>140</v>
      </c>
      <c r="H1365">
        <v>128</v>
      </c>
      <c r="I1365">
        <v>0.6</v>
      </c>
      <c r="J1365">
        <v>76.8</v>
      </c>
      <c r="M1365" t="s">
        <v>82</v>
      </c>
      <c r="N1365" t="s">
        <v>162</v>
      </c>
    </row>
    <row r="1366" spans="1:14" x14ac:dyDescent="0.3">
      <c r="A1366" t="s">
        <v>82</v>
      </c>
      <c r="B1366">
        <f>VLOOKUP(M1366,Sheet9!$I$1:$J$17,2,FALSE)</f>
        <v>10</v>
      </c>
      <c r="C1366">
        <f>VLOOKUP(N1366,Sheet9!$M$1:$N$2,2,FALSE)</f>
        <v>1</v>
      </c>
      <c r="D1366">
        <v>32</v>
      </c>
      <c r="E1366" t="s">
        <v>95</v>
      </c>
      <c r="F1366">
        <v>70</v>
      </c>
      <c r="H1366">
        <v>6</v>
      </c>
      <c r="I1366">
        <v>0.6</v>
      </c>
      <c r="J1366">
        <f>H1366*I1366</f>
        <v>3.5999999999999996</v>
      </c>
      <c r="M1366" t="s">
        <v>82</v>
      </c>
      <c r="N1366" t="s">
        <v>162</v>
      </c>
    </row>
    <row r="1367" spans="1:14" x14ac:dyDescent="0.3">
      <c r="A1367" t="s">
        <v>82</v>
      </c>
      <c r="B1367">
        <f>VLOOKUP(M1367,Sheet9!$I$1:$J$17,2,FALSE)</f>
        <v>10</v>
      </c>
      <c r="C1367">
        <f>VLOOKUP(N1367,Sheet9!$M$1:$N$2,2,FALSE)</f>
        <v>1</v>
      </c>
      <c r="D1367">
        <v>32</v>
      </c>
      <c r="E1367" t="s">
        <v>95</v>
      </c>
      <c r="F1367">
        <v>70</v>
      </c>
      <c r="H1367">
        <v>1</v>
      </c>
      <c r="I1367">
        <v>5</v>
      </c>
      <c r="J1367">
        <f t="shared" ref="J1367:J1373" si="2">H1367*I1367</f>
        <v>5</v>
      </c>
      <c r="M1367" t="s">
        <v>82</v>
      </c>
      <c r="N1367" t="s">
        <v>162</v>
      </c>
    </row>
    <row r="1368" spans="1:14" x14ac:dyDescent="0.3">
      <c r="A1368" t="s">
        <v>82</v>
      </c>
      <c r="B1368">
        <f>VLOOKUP(M1368,Sheet9!$I$1:$J$17,2,FALSE)</f>
        <v>10</v>
      </c>
      <c r="C1368">
        <f>VLOOKUP(N1368,Sheet9!$M$1:$N$2,2,FALSE)</f>
        <v>1</v>
      </c>
      <c r="D1368">
        <v>32</v>
      </c>
      <c r="E1368" t="s">
        <v>95</v>
      </c>
      <c r="F1368">
        <v>70</v>
      </c>
      <c r="H1368">
        <v>1</v>
      </c>
      <c r="I1368">
        <v>10</v>
      </c>
      <c r="J1368">
        <f t="shared" si="2"/>
        <v>10</v>
      </c>
      <c r="K1368">
        <v>0.69</v>
      </c>
      <c r="L1368">
        <v>1.37</v>
      </c>
      <c r="M1368" t="s">
        <v>82</v>
      </c>
      <c r="N1368" t="s">
        <v>162</v>
      </c>
    </row>
    <row r="1369" spans="1:14" x14ac:dyDescent="0.3">
      <c r="A1369" t="s">
        <v>82</v>
      </c>
      <c r="B1369">
        <f>VLOOKUP(M1369,Sheet9!$I$1:$J$17,2,FALSE)</f>
        <v>10</v>
      </c>
      <c r="C1369">
        <f>VLOOKUP(N1369,Sheet9!$M$1:$N$2,2,FALSE)</f>
        <v>1</v>
      </c>
      <c r="D1369">
        <v>32</v>
      </c>
      <c r="E1369" t="s">
        <v>95</v>
      </c>
      <c r="F1369">
        <v>70</v>
      </c>
      <c r="H1369">
        <v>3</v>
      </c>
      <c r="I1369">
        <v>3</v>
      </c>
      <c r="J1369">
        <f t="shared" si="2"/>
        <v>9</v>
      </c>
      <c r="M1369" t="s">
        <v>82</v>
      </c>
      <c r="N1369" t="s">
        <v>162</v>
      </c>
    </row>
    <row r="1370" spans="1:14" x14ac:dyDescent="0.3">
      <c r="A1370" t="s">
        <v>82</v>
      </c>
      <c r="B1370">
        <f>VLOOKUP(M1370,Sheet9!$I$1:$J$17,2,FALSE)</f>
        <v>10</v>
      </c>
      <c r="C1370">
        <f>VLOOKUP(N1370,Sheet9!$M$1:$N$2,2,FALSE)</f>
        <v>1</v>
      </c>
      <c r="D1370">
        <v>32</v>
      </c>
      <c r="E1370" t="s">
        <v>95</v>
      </c>
      <c r="F1370">
        <v>70</v>
      </c>
      <c r="H1370">
        <v>3</v>
      </c>
      <c r="I1370">
        <v>5</v>
      </c>
      <c r="J1370">
        <f t="shared" si="2"/>
        <v>15</v>
      </c>
      <c r="M1370" t="s">
        <v>82</v>
      </c>
      <c r="N1370" t="s">
        <v>162</v>
      </c>
    </row>
    <row r="1371" spans="1:14" x14ac:dyDescent="0.3">
      <c r="A1371" t="s">
        <v>82</v>
      </c>
      <c r="B1371">
        <f>VLOOKUP(M1371,Sheet9!$I$1:$J$17,2,FALSE)</f>
        <v>10</v>
      </c>
      <c r="C1371">
        <f>VLOOKUP(N1371,Sheet9!$M$1:$N$2,2,FALSE)</f>
        <v>1</v>
      </c>
      <c r="D1371">
        <v>32</v>
      </c>
      <c r="E1371" t="s">
        <v>167</v>
      </c>
      <c r="F1371">
        <v>70</v>
      </c>
      <c r="H1371">
        <v>32</v>
      </c>
      <c r="I1371">
        <v>0.6</v>
      </c>
      <c r="J1371">
        <f t="shared" si="2"/>
        <v>19.2</v>
      </c>
      <c r="K1371">
        <v>0.97</v>
      </c>
      <c r="L1371">
        <v>1.94</v>
      </c>
      <c r="M1371" t="s">
        <v>82</v>
      </c>
      <c r="N1371" t="s">
        <v>162</v>
      </c>
    </row>
    <row r="1372" spans="1:14" x14ac:dyDescent="0.3">
      <c r="A1372" t="s">
        <v>82</v>
      </c>
      <c r="B1372">
        <f>VLOOKUP(M1372,Sheet9!$I$1:$J$17,2,FALSE)</f>
        <v>10</v>
      </c>
      <c r="C1372">
        <f>VLOOKUP(N1372,Sheet9!$M$1:$N$2,2,FALSE)</f>
        <v>1</v>
      </c>
      <c r="D1372">
        <v>32</v>
      </c>
      <c r="E1372" t="s">
        <v>95</v>
      </c>
      <c r="F1372">
        <v>70</v>
      </c>
      <c r="H1372">
        <v>64</v>
      </c>
      <c r="I1372">
        <v>0.6</v>
      </c>
      <c r="J1372">
        <f t="shared" si="2"/>
        <v>38.4</v>
      </c>
      <c r="K1372">
        <v>0.86</v>
      </c>
      <c r="L1372">
        <v>1.72</v>
      </c>
      <c r="M1372" t="s">
        <v>82</v>
      </c>
      <c r="N1372" t="s">
        <v>162</v>
      </c>
    </row>
    <row r="1373" spans="1:14" x14ac:dyDescent="0.3">
      <c r="A1373" t="s">
        <v>82</v>
      </c>
      <c r="B1373">
        <f>VLOOKUP(M1373,Sheet9!$I$1:$J$17,2,FALSE)</f>
        <v>10</v>
      </c>
      <c r="C1373">
        <f>VLOOKUP(N1373,Sheet9!$M$1:$N$2,2,FALSE)</f>
        <v>1</v>
      </c>
      <c r="D1373">
        <v>32</v>
      </c>
      <c r="E1373" t="s">
        <v>167</v>
      </c>
      <c r="F1373">
        <v>70</v>
      </c>
      <c r="H1373">
        <v>128</v>
      </c>
      <c r="I1373">
        <v>0.6</v>
      </c>
      <c r="J1373">
        <f t="shared" si="2"/>
        <v>76.8</v>
      </c>
      <c r="K1373">
        <v>0.85</v>
      </c>
      <c r="L1373">
        <v>1.7</v>
      </c>
      <c r="M1373" t="s">
        <v>82</v>
      </c>
      <c r="N1373" t="s">
        <v>162</v>
      </c>
    </row>
    <row r="1374" spans="1:14" x14ac:dyDescent="0.3">
      <c r="A1374" t="s">
        <v>82</v>
      </c>
      <c r="B1374">
        <f>VLOOKUP(M1374,Sheet9!$I$1:$J$17,2,FALSE)</f>
        <v>10</v>
      </c>
      <c r="C1374">
        <f>VLOOKUP(N1374,Sheet9!$M$1:$N$2,2,FALSE)</f>
        <v>1</v>
      </c>
      <c r="D1374">
        <v>32</v>
      </c>
      <c r="E1374" t="s">
        <v>95</v>
      </c>
      <c r="F1374">
        <v>80</v>
      </c>
      <c r="H1374">
        <v>6</v>
      </c>
      <c r="I1374">
        <v>0.6</v>
      </c>
      <c r="J1374">
        <v>3.5999999999999996</v>
      </c>
      <c r="M1374" t="s">
        <v>82</v>
      </c>
      <c r="N1374" t="s">
        <v>162</v>
      </c>
    </row>
    <row r="1375" spans="1:14" x14ac:dyDescent="0.3">
      <c r="A1375" t="s">
        <v>82</v>
      </c>
      <c r="B1375">
        <f>VLOOKUP(M1375,Sheet9!$I$1:$J$17,2,FALSE)</f>
        <v>10</v>
      </c>
      <c r="C1375">
        <f>VLOOKUP(N1375,Sheet9!$M$1:$N$2,2,FALSE)</f>
        <v>1</v>
      </c>
      <c r="D1375">
        <v>32</v>
      </c>
      <c r="E1375" t="s">
        <v>95</v>
      </c>
      <c r="F1375">
        <v>80</v>
      </c>
      <c r="H1375">
        <v>1</v>
      </c>
      <c r="I1375">
        <v>5</v>
      </c>
      <c r="J1375">
        <v>5</v>
      </c>
      <c r="M1375" t="s">
        <v>82</v>
      </c>
      <c r="N1375" t="s">
        <v>162</v>
      </c>
    </row>
    <row r="1376" spans="1:14" x14ac:dyDescent="0.3">
      <c r="A1376" t="s">
        <v>82</v>
      </c>
      <c r="B1376">
        <f>VLOOKUP(M1376,Sheet9!$I$1:$J$17,2,FALSE)</f>
        <v>10</v>
      </c>
      <c r="C1376">
        <f>VLOOKUP(N1376,Sheet9!$M$1:$N$2,2,FALSE)</f>
        <v>1</v>
      </c>
      <c r="D1376">
        <v>32</v>
      </c>
      <c r="E1376" t="s">
        <v>95</v>
      </c>
      <c r="F1376">
        <v>80</v>
      </c>
      <c r="H1376">
        <v>1</v>
      </c>
      <c r="I1376">
        <v>10</v>
      </c>
      <c r="J1376">
        <v>10</v>
      </c>
      <c r="K1376">
        <v>1.18</v>
      </c>
      <c r="L1376">
        <v>2.16</v>
      </c>
      <c r="M1376" t="s">
        <v>82</v>
      </c>
      <c r="N1376" t="s">
        <v>162</v>
      </c>
    </row>
    <row r="1377" spans="1:14" x14ac:dyDescent="0.3">
      <c r="A1377" t="s">
        <v>82</v>
      </c>
      <c r="B1377">
        <f>VLOOKUP(M1377,Sheet9!$I$1:$J$17,2,FALSE)</f>
        <v>10</v>
      </c>
      <c r="C1377">
        <f>VLOOKUP(N1377,Sheet9!$M$1:$N$2,2,FALSE)</f>
        <v>1</v>
      </c>
      <c r="D1377">
        <v>32</v>
      </c>
      <c r="E1377" t="s">
        <v>95</v>
      </c>
      <c r="F1377">
        <v>80</v>
      </c>
      <c r="H1377">
        <v>3</v>
      </c>
      <c r="I1377">
        <v>3</v>
      </c>
      <c r="J1377">
        <v>9</v>
      </c>
      <c r="M1377" t="s">
        <v>82</v>
      </c>
      <c r="N1377" t="s">
        <v>162</v>
      </c>
    </row>
    <row r="1378" spans="1:14" x14ac:dyDescent="0.3">
      <c r="A1378" t="s">
        <v>82</v>
      </c>
      <c r="B1378">
        <f>VLOOKUP(M1378,Sheet9!$I$1:$J$17,2,FALSE)</f>
        <v>10</v>
      </c>
      <c r="C1378">
        <f>VLOOKUP(N1378,Sheet9!$M$1:$N$2,2,FALSE)</f>
        <v>1</v>
      </c>
      <c r="D1378">
        <v>32</v>
      </c>
      <c r="E1378" t="s">
        <v>95</v>
      </c>
      <c r="F1378">
        <v>80</v>
      </c>
      <c r="H1378">
        <v>3</v>
      </c>
      <c r="I1378">
        <v>5</v>
      </c>
      <c r="J1378">
        <v>15</v>
      </c>
      <c r="M1378" t="s">
        <v>82</v>
      </c>
      <c r="N1378" t="s">
        <v>162</v>
      </c>
    </row>
    <row r="1379" spans="1:14" x14ac:dyDescent="0.3">
      <c r="A1379" t="s">
        <v>82</v>
      </c>
      <c r="B1379">
        <f>VLOOKUP(M1379,Sheet9!$I$1:$J$17,2,FALSE)</f>
        <v>10</v>
      </c>
      <c r="C1379">
        <f>VLOOKUP(N1379,Sheet9!$M$1:$N$2,2,FALSE)</f>
        <v>1</v>
      </c>
      <c r="D1379">
        <v>32</v>
      </c>
      <c r="E1379" t="s">
        <v>167</v>
      </c>
      <c r="F1379">
        <v>80</v>
      </c>
      <c r="H1379">
        <v>32</v>
      </c>
      <c r="I1379">
        <v>0.6</v>
      </c>
      <c r="J1379">
        <v>19.2</v>
      </c>
      <c r="K1379">
        <v>1.66</v>
      </c>
      <c r="L1379">
        <v>3.05</v>
      </c>
      <c r="M1379" t="s">
        <v>82</v>
      </c>
      <c r="N1379" t="s">
        <v>162</v>
      </c>
    </row>
    <row r="1380" spans="1:14" x14ac:dyDescent="0.3">
      <c r="A1380" t="s">
        <v>82</v>
      </c>
      <c r="B1380">
        <f>VLOOKUP(M1380,Sheet9!$I$1:$J$17,2,FALSE)</f>
        <v>10</v>
      </c>
      <c r="C1380">
        <f>VLOOKUP(N1380,Sheet9!$M$1:$N$2,2,FALSE)</f>
        <v>1</v>
      </c>
      <c r="D1380">
        <v>32</v>
      </c>
      <c r="E1380" t="s">
        <v>95</v>
      </c>
      <c r="F1380">
        <v>80</v>
      </c>
      <c r="H1380">
        <v>64</v>
      </c>
      <c r="I1380">
        <v>0.6</v>
      </c>
      <c r="J1380">
        <v>38.4</v>
      </c>
      <c r="K1380">
        <v>1.46</v>
      </c>
      <c r="L1380">
        <v>2.7</v>
      </c>
      <c r="M1380" t="s">
        <v>82</v>
      </c>
      <c r="N1380" t="s">
        <v>162</v>
      </c>
    </row>
    <row r="1381" spans="1:14" x14ac:dyDescent="0.3">
      <c r="A1381" t="s">
        <v>82</v>
      </c>
      <c r="B1381">
        <f>VLOOKUP(M1381,Sheet9!$I$1:$J$17,2,FALSE)</f>
        <v>10</v>
      </c>
      <c r="C1381">
        <f>VLOOKUP(N1381,Sheet9!$M$1:$N$2,2,FALSE)</f>
        <v>1</v>
      </c>
      <c r="D1381">
        <v>32</v>
      </c>
      <c r="E1381" t="s">
        <v>167</v>
      </c>
      <c r="F1381">
        <v>80</v>
      </c>
      <c r="H1381">
        <v>128</v>
      </c>
      <c r="I1381">
        <v>0.6</v>
      </c>
      <c r="J1381">
        <v>76.8</v>
      </c>
      <c r="K1381">
        <v>1.45</v>
      </c>
      <c r="L1381">
        <v>2.68</v>
      </c>
      <c r="M1381" t="s">
        <v>82</v>
      </c>
      <c r="N1381" t="s">
        <v>162</v>
      </c>
    </row>
    <row r="1382" spans="1:14" x14ac:dyDescent="0.3">
      <c r="A1382" t="s">
        <v>82</v>
      </c>
      <c r="B1382">
        <f>VLOOKUP(M1382,Sheet9!$I$1:$J$17,2,FALSE)</f>
        <v>10</v>
      </c>
      <c r="C1382">
        <f>VLOOKUP(N1382,Sheet9!$M$1:$N$2,2,FALSE)</f>
        <v>1</v>
      </c>
      <c r="D1382">
        <v>32</v>
      </c>
      <c r="E1382" t="s">
        <v>95</v>
      </c>
      <c r="F1382">
        <v>90</v>
      </c>
      <c r="H1382">
        <v>6</v>
      </c>
      <c r="I1382">
        <v>0.6</v>
      </c>
      <c r="J1382">
        <v>3.5999999999999996</v>
      </c>
      <c r="M1382" t="s">
        <v>82</v>
      </c>
      <c r="N1382" t="s">
        <v>162</v>
      </c>
    </row>
    <row r="1383" spans="1:14" x14ac:dyDescent="0.3">
      <c r="A1383" t="s">
        <v>82</v>
      </c>
      <c r="B1383">
        <f>VLOOKUP(M1383,Sheet9!$I$1:$J$17,2,FALSE)</f>
        <v>10</v>
      </c>
      <c r="C1383">
        <f>VLOOKUP(N1383,Sheet9!$M$1:$N$2,2,FALSE)</f>
        <v>1</v>
      </c>
      <c r="D1383">
        <v>32</v>
      </c>
      <c r="E1383" t="s">
        <v>95</v>
      </c>
      <c r="F1383">
        <v>90</v>
      </c>
      <c r="H1383">
        <v>1</v>
      </c>
      <c r="I1383">
        <v>5</v>
      </c>
      <c r="J1383">
        <v>5</v>
      </c>
      <c r="M1383" t="s">
        <v>82</v>
      </c>
      <c r="N1383" t="s">
        <v>162</v>
      </c>
    </row>
    <row r="1384" spans="1:14" x14ac:dyDescent="0.3">
      <c r="A1384" t="s">
        <v>82</v>
      </c>
      <c r="B1384">
        <f>VLOOKUP(M1384,Sheet9!$I$1:$J$17,2,FALSE)</f>
        <v>10</v>
      </c>
      <c r="C1384">
        <f>VLOOKUP(N1384,Sheet9!$M$1:$N$2,2,FALSE)</f>
        <v>1</v>
      </c>
      <c r="D1384">
        <v>32</v>
      </c>
      <c r="E1384" t="s">
        <v>95</v>
      </c>
      <c r="F1384">
        <v>90</v>
      </c>
      <c r="H1384">
        <v>1</v>
      </c>
      <c r="I1384">
        <v>10</v>
      </c>
      <c r="J1384">
        <v>10</v>
      </c>
      <c r="K1384">
        <v>1.79</v>
      </c>
      <c r="L1384">
        <v>3.11</v>
      </c>
      <c r="M1384" t="s">
        <v>82</v>
      </c>
      <c r="N1384" t="s">
        <v>162</v>
      </c>
    </row>
    <row r="1385" spans="1:14" x14ac:dyDescent="0.3">
      <c r="A1385" t="s">
        <v>82</v>
      </c>
      <c r="B1385">
        <f>VLOOKUP(M1385,Sheet9!$I$1:$J$17,2,FALSE)</f>
        <v>10</v>
      </c>
      <c r="C1385">
        <f>VLOOKUP(N1385,Sheet9!$M$1:$N$2,2,FALSE)</f>
        <v>1</v>
      </c>
      <c r="D1385">
        <v>32</v>
      </c>
      <c r="E1385" t="s">
        <v>95</v>
      </c>
      <c r="F1385">
        <v>90</v>
      </c>
      <c r="H1385">
        <v>3</v>
      </c>
      <c r="I1385">
        <v>3</v>
      </c>
      <c r="J1385">
        <v>9</v>
      </c>
      <c r="M1385" t="s">
        <v>82</v>
      </c>
      <c r="N1385" t="s">
        <v>162</v>
      </c>
    </row>
    <row r="1386" spans="1:14" x14ac:dyDescent="0.3">
      <c r="A1386" t="s">
        <v>82</v>
      </c>
      <c r="B1386">
        <f>VLOOKUP(M1386,Sheet9!$I$1:$J$17,2,FALSE)</f>
        <v>10</v>
      </c>
      <c r="C1386">
        <f>VLOOKUP(N1386,Sheet9!$M$1:$N$2,2,FALSE)</f>
        <v>1</v>
      </c>
      <c r="D1386">
        <v>32</v>
      </c>
      <c r="E1386" t="s">
        <v>95</v>
      </c>
      <c r="F1386">
        <v>90</v>
      </c>
      <c r="H1386">
        <v>3</v>
      </c>
      <c r="I1386">
        <v>5</v>
      </c>
      <c r="J1386">
        <v>15</v>
      </c>
      <c r="M1386" t="s">
        <v>82</v>
      </c>
      <c r="N1386" t="s">
        <v>162</v>
      </c>
    </row>
    <row r="1387" spans="1:14" x14ac:dyDescent="0.3">
      <c r="A1387" t="s">
        <v>82</v>
      </c>
      <c r="B1387">
        <f>VLOOKUP(M1387,Sheet9!$I$1:$J$17,2,FALSE)</f>
        <v>10</v>
      </c>
      <c r="C1387">
        <f>VLOOKUP(N1387,Sheet9!$M$1:$N$2,2,FALSE)</f>
        <v>1</v>
      </c>
      <c r="D1387">
        <v>32</v>
      </c>
      <c r="E1387" t="s">
        <v>167</v>
      </c>
      <c r="F1387">
        <v>90</v>
      </c>
      <c r="H1387">
        <v>32</v>
      </c>
      <c r="I1387">
        <v>0.6</v>
      </c>
      <c r="J1387">
        <v>19.2</v>
      </c>
      <c r="K1387">
        <v>2.52</v>
      </c>
      <c r="L1387">
        <v>4.3899999999999997</v>
      </c>
      <c r="M1387" t="s">
        <v>82</v>
      </c>
      <c r="N1387" t="s">
        <v>162</v>
      </c>
    </row>
    <row r="1388" spans="1:14" x14ac:dyDescent="0.3">
      <c r="A1388" t="s">
        <v>82</v>
      </c>
      <c r="B1388">
        <f>VLOOKUP(M1388,Sheet9!$I$1:$J$17,2,FALSE)</f>
        <v>10</v>
      </c>
      <c r="C1388">
        <f>VLOOKUP(N1388,Sheet9!$M$1:$N$2,2,FALSE)</f>
        <v>1</v>
      </c>
      <c r="D1388">
        <v>32</v>
      </c>
      <c r="E1388" t="s">
        <v>95</v>
      </c>
      <c r="F1388">
        <v>90</v>
      </c>
      <c r="H1388">
        <v>64</v>
      </c>
      <c r="I1388">
        <v>0.6</v>
      </c>
      <c r="J1388">
        <v>38.4</v>
      </c>
      <c r="K1388">
        <v>2.21</v>
      </c>
      <c r="L1388">
        <v>3.89</v>
      </c>
      <c r="M1388" t="s">
        <v>82</v>
      </c>
      <c r="N1388" t="s">
        <v>162</v>
      </c>
    </row>
    <row r="1389" spans="1:14" x14ac:dyDescent="0.3">
      <c r="A1389" t="s">
        <v>82</v>
      </c>
      <c r="B1389">
        <f>VLOOKUP(M1389,Sheet9!$I$1:$J$17,2,FALSE)</f>
        <v>10</v>
      </c>
      <c r="C1389">
        <f>VLOOKUP(N1389,Sheet9!$M$1:$N$2,2,FALSE)</f>
        <v>1</v>
      </c>
      <c r="D1389">
        <v>32</v>
      </c>
      <c r="E1389" t="s">
        <v>167</v>
      </c>
      <c r="F1389">
        <v>90</v>
      </c>
      <c r="H1389">
        <v>128</v>
      </c>
      <c r="I1389">
        <v>0.6</v>
      </c>
      <c r="J1389">
        <v>76.8</v>
      </c>
      <c r="K1389">
        <v>2.2000000000000002</v>
      </c>
      <c r="L1389">
        <v>3.86</v>
      </c>
      <c r="M1389" t="s">
        <v>82</v>
      </c>
      <c r="N1389" t="s">
        <v>162</v>
      </c>
    </row>
    <row r="1390" spans="1:14" x14ac:dyDescent="0.3">
      <c r="A1390" t="s">
        <v>82</v>
      </c>
      <c r="B1390">
        <f>VLOOKUP(M1390,Sheet9!$I$1:$J$17,2,FALSE)</f>
        <v>10</v>
      </c>
      <c r="C1390">
        <f>VLOOKUP(N1390,Sheet9!$M$1:$N$2,2,FALSE)</f>
        <v>1</v>
      </c>
      <c r="D1390">
        <v>32</v>
      </c>
      <c r="E1390" t="s">
        <v>95</v>
      </c>
      <c r="F1390">
        <v>100</v>
      </c>
      <c r="H1390">
        <v>6</v>
      </c>
      <c r="I1390">
        <v>0.6</v>
      </c>
      <c r="J1390">
        <v>3.5999999999999996</v>
      </c>
      <c r="M1390" t="s">
        <v>82</v>
      </c>
      <c r="N1390" t="s">
        <v>162</v>
      </c>
    </row>
    <row r="1391" spans="1:14" x14ac:dyDescent="0.3">
      <c r="A1391" t="s">
        <v>82</v>
      </c>
      <c r="B1391">
        <f>VLOOKUP(M1391,Sheet9!$I$1:$J$17,2,FALSE)</f>
        <v>10</v>
      </c>
      <c r="C1391">
        <f>VLOOKUP(N1391,Sheet9!$M$1:$N$2,2,FALSE)</f>
        <v>1</v>
      </c>
      <c r="D1391">
        <v>32</v>
      </c>
      <c r="E1391" t="s">
        <v>95</v>
      </c>
      <c r="F1391">
        <v>100</v>
      </c>
      <c r="H1391">
        <v>1</v>
      </c>
      <c r="I1391">
        <v>5</v>
      </c>
      <c r="J1391">
        <v>5</v>
      </c>
      <c r="M1391" t="s">
        <v>82</v>
      </c>
      <c r="N1391" t="s">
        <v>162</v>
      </c>
    </row>
    <row r="1392" spans="1:14" x14ac:dyDescent="0.3">
      <c r="A1392" t="s">
        <v>82</v>
      </c>
      <c r="B1392">
        <f>VLOOKUP(M1392,Sheet9!$I$1:$J$17,2,FALSE)</f>
        <v>10</v>
      </c>
      <c r="C1392">
        <f>VLOOKUP(N1392,Sheet9!$M$1:$N$2,2,FALSE)</f>
        <v>1</v>
      </c>
      <c r="D1392">
        <v>32</v>
      </c>
      <c r="E1392" t="s">
        <v>95</v>
      </c>
      <c r="F1392">
        <v>100</v>
      </c>
      <c r="H1392">
        <v>1</v>
      </c>
      <c r="I1392">
        <v>10</v>
      </c>
      <c r="J1392">
        <v>10</v>
      </c>
      <c r="K1392">
        <v>2.5099999999999998</v>
      </c>
      <c r="L1392">
        <v>4.21</v>
      </c>
      <c r="M1392" t="s">
        <v>82</v>
      </c>
      <c r="N1392" t="s">
        <v>162</v>
      </c>
    </row>
    <row r="1393" spans="1:14" x14ac:dyDescent="0.3">
      <c r="A1393" t="s">
        <v>82</v>
      </c>
      <c r="B1393">
        <f>VLOOKUP(M1393,Sheet9!$I$1:$J$17,2,FALSE)</f>
        <v>10</v>
      </c>
      <c r="C1393">
        <f>VLOOKUP(N1393,Sheet9!$M$1:$N$2,2,FALSE)</f>
        <v>1</v>
      </c>
      <c r="D1393">
        <v>32</v>
      </c>
      <c r="E1393" t="s">
        <v>95</v>
      </c>
      <c r="F1393">
        <v>100</v>
      </c>
      <c r="H1393">
        <v>3</v>
      </c>
      <c r="I1393">
        <v>3</v>
      </c>
      <c r="J1393">
        <v>9</v>
      </c>
      <c r="M1393" t="s">
        <v>82</v>
      </c>
      <c r="N1393" t="s">
        <v>162</v>
      </c>
    </row>
    <row r="1394" spans="1:14" x14ac:dyDescent="0.3">
      <c r="A1394" t="s">
        <v>82</v>
      </c>
      <c r="B1394">
        <f>VLOOKUP(M1394,Sheet9!$I$1:$J$17,2,FALSE)</f>
        <v>10</v>
      </c>
      <c r="C1394">
        <f>VLOOKUP(N1394,Sheet9!$M$1:$N$2,2,FALSE)</f>
        <v>1</v>
      </c>
      <c r="D1394">
        <v>32</v>
      </c>
      <c r="E1394" t="s">
        <v>95</v>
      </c>
      <c r="F1394">
        <v>100</v>
      </c>
      <c r="H1394">
        <v>3</v>
      </c>
      <c r="I1394">
        <v>5</v>
      </c>
      <c r="J1394">
        <v>15</v>
      </c>
      <c r="M1394" t="s">
        <v>82</v>
      </c>
      <c r="N1394" t="s">
        <v>162</v>
      </c>
    </row>
    <row r="1395" spans="1:14" x14ac:dyDescent="0.3">
      <c r="A1395" t="s">
        <v>82</v>
      </c>
      <c r="B1395">
        <f>VLOOKUP(M1395,Sheet9!$I$1:$J$17,2,FALSE)</f>
        <v>10</v>
      </c>
      <c r="C1395">
        <f>VLOOKUP(N1395,Sheet9!$M$1:$N$2,2,FALSE)</f>
        <v>1</v>
      </c>
      <c r="D1395">
        <v>32</v>
      </c>
      <c r="E1395" t="s">
        <v>167</v>
      </c>
      <c r="F1395">
        <v>100</v>
      </c>
      <c r="H1395">
        <v>32</v>
      </c>
      <c r="I1395">
        <v>0.6</v>
      </c>
      <c r="J1395">
        <v>19.2</v>
      </c>
      <c r="K1395">
        <v>3.54</v>
      </c>
      <c r="L1395">
        <v>5.95</v>
      </c>
      <c r="M1395" t="s">
        <v>82</v>
      </c>
      <c r="N1395" t="s">
        <v>162</v>
      </c>
    </row>
    <row r="1396" spans="1:14" x14ac:dyDescent="0.3">
      <c r="A1396" t="s">
        <v>82</v>
      </c>
      <c r="B1396">
        <f>VLOOKUP(M1396,Sheet9!$I$1:$J$17,2,FALSE)</f>
        <v>10</v>
      </c>
      <c r="C1396">
        <f>VLOOKUP(N1396,Sheet9!$M$1:$N$2,2,FALSE)</f>
        <v>1</v>
      </c>
      <c r="D1396">
        <v>32</v>
      </c>
      <c r="E1396" t="s">
        <v>95</v>
      </c>
      <c r="F1396">
        <v>100</v>
      </c>
      <c r="H1396">
        <v>64</v>
      </c>
      <c r="I1396">
        <v>0.6</v>
      </c>
      <c r="J1396">
        <v>38.4</v>
      </c>
      <c r="K1396">
        <v>3.1</v>
      </c>
      <c r="L1396">
        <v>5.27</v>
      </c>
      <c r="M1396" t="s">
        <v>82</v>
      </c>
      <c r="N1396" t="s">
        <v>162</v>
      </c>
    </row>
    <row r="1397" spans="1:14" x14ac:dyDescent="0.3">
      <c r="A1397" t="s">
        <v>82</v>
      </c>
      <c r="B1397">
        <f>VLOOKUP(M1397,Sheet9!$I$1:$J$17,2,FALSE)</f>
        <v>10</v>
      </c>
      <c r="C1397">
        <f>VLOOKUP(N1397,Sheet9!$M$1:$N$2,2,FALSE)</f>
        <v>1</v>
      </c>
      <c r="D1397">
        <v>32</v>
      </c>
      <c r="E1397" t="s">
        <v>167</v>
      </c>
      <c r="F1397">
        <v>100</v>
      </c>
      <c r="H1397">
        <v>128</v>
      </c>
      <c r="I1397">
        <v>0.6</v>
      </c>
      <c r="J1397">
        <v>76.8</v>
      </c>
      <c r="K1397">
        <v>3.09</v>
      </c>
      <c r="L1397">
        <v>5.23</v>
      </c>
      <c r="M1397" t="s">
        <v>82</v>
      </c>
      <c r="N1397" t="s">
        <v>162</v>
      </c>
    </row>
    <row r="1398" spans="1:14" x14ac:dyDescent="0.3">
      <c r="A1398" t="s">
        <v>82</v>
      </c>
      <c r="B1398">
        <f>VLOOKUP(M1398,Sheet9!$I$1:$J$17,2,FALSE)</f>
        <v>10</v>
      </c>
      <c r="C1398">
        <f>VLOOKUP(N1398,Sheet9!$M$1:$N$2,2,FALSE)</f>
        <v>1</v>
      </c>
      <c r="D1398">
        <v>32</v>
      </c>
      <c r="E1398" t="s">
        <v>95</v>
      </c>
      <c r="F1398">
        <v>110</v>
      </c>
      <c r="H1398">
        <v>6</v>
      </c>
      <c r="I1398">
        <v>0.6</v>
      </c>
      <c r="J1398">
        <v>3.5999999999999996</v>
      </c>
      <c r="M1398" t="s">
        <v>82</v>
      </c>
      <c r="N1398" t="s">
        <v>162</v>
      </c>
    </row>
    <row r="1399" spans="1:14" x14ac:dyDescent="0.3">
      <c r="A1399" t="s">
        <v>82</v>
      </c>
      <c r="B1399">
        <f>VLOOKUP(M1399,Sheet9!$I$1:$J$17,2,FALSE)</f>
        <v>10</v>
      </c>
      <c r="C1399">
        <f>VLOOKUP(N1399,Sheet9!$M$1:$N$2,2,FALSE)</f>
        <v>1</v>
      </c>
      <c r="D1399">
        <v>32</v>
      </c>
      <c r="E1399" t="s">
        <v>95</v>
      </c>
      <c r="F1399">
        <v>110</v>
      </c>
      <c r="H1399">
        <v>1</v>
      </c>
      <c r="I1399">
        <v>5</v>
      </c>
      <c r="J1399">
        <v>5</v>
      </c>
      <c r="M1399" t="s">
        <v>82</v>
      </c>
      <c r="N1399" t="s">
        <v>162</v>
      </c>
    </row>
    <row r="1400" spans="1:14" x14ac:dyDescent="0.3">
      <c r="A1400" t="s">
        <v>82</v>
      </c>
      <c r="B1400">
        <f>VLOOKUP(M1400,Sheet9!$I$1:$J$17,2,FALSE)</f>
        <v>10</v>
      </c>
      <c r="C1400">
        <f>VLOOKUP(N1400,Sheet9!$M$1:$N$2,2,FALSE)</f>
        <v>1</v>
      </c>
      <c r="D1400">
        <v>32</v>
      </c>
      <c r="E1400" t="s">
        <v>95</v>
      </c>
      <c r="F1400">
        <v>110</v>
      </c>
      <c r="H1400">
        <v>1</v>
      </c>
      <c r="I1400">
        <v>10</v>
      </c>
      <c r="J1400">
        <v>10</v>
      </c>
      <c r="K1400">
        <v>3.33</v>
      </c>
      <c r="L1400">
        <v>5.44</v>
      </c>
      <c r="M1400" t="s">
        <v>82</v>
      </c>
      <c r="N1400" t="s">
        <v>162</v>
      </c>
    </row>
    <row r="1401" spans="1:14" x14ac:dyDescent="0.3">
      <c r="A1401" t="s">
        <v>82</v>
      </c>
      <c r="B1401">
        <f>VLOOKUP(M1401,Sheet9!$I$1:$J$17,2,FALSE)</f>
        <v>10</v>
      </c>
      <c r="C1401">
        <f>VLOOKUP(N1401,Sheet9!$M$1:$N$2,2,FALSE)</f>
        <v>1</v>
      </c>
      <c r="D1401">
        <v>32</v>
      </c>
      <c r="E1401" t="s">
        <v>95</v>
      </c>
      <c r="F1401">
        <v>110</v>
      </c>
      <c r="H1401">
        <v>3</v>
      </c>
      <c r="I1401">
        <v>3</v>
      </c>
      <c r="J1401">
        <v>9</v>
      </c>
      <c r="M1401" t="s">
        <v>82</v>
      </c>
      <c r="N1401" t="s">
        <v>162</v>
      </c>
    </row>
    <row r="1402" spans="1:14" x14ac:dyDescent="0.3">
      <c r="A1402" t="s">
        <v>82</v>
      </c>
      <c r="B1402">
        <f>VLOOKUP(M1402,Sheet9!$I$1:$J$17,2,FALSE)</f>
        <v>10</v>
      </c>
      <c r="C1402">
        <f>VLOOKUP(N1402,Sheet9!$M$1:$N$2,2,FALSE)</f>
        <v>1</v>
      </c>
      <c r="D1402">
        <v>32</v>
      </c>
      <c r="E1402" t="s">
        <v>95</v>
      </c>
      <c r="F1402">
        <v>110</v>
      </c>
      <c r="H1402">
        <v>3</v>
      </c>
      <c r="I1402">
        <v>5</v>
      </c>
      <c r="J1402">
        <v>15</v>
      </c>
      <c r="M1402" t="s">
        <v>82</v>
      </c>
      <c r="N1402" t="s">
        <v>162</v>
      </c>
    </row>
    <row r="1403" spans="1:14" x14ac:dyDescent="0.3">
      <c r="A1403" t="s">
        <v>82</v>
      </c>
      <c r="B1403">
        <f>VLOOKUP(M1403,Sheet9!$I$1:$J$17,2,FALSE)</f>
        <v>10</v>
      </c>
      <c r="C1403">
        <f>VLOOKUP(N1403,Sheet9!$M$1:$N$2,2,FALSE)</f>
        <v>1</v>
      </c>
      <c r="D1403">
        <v>32</v>
      </c>
      <c r="E1403" t="s">
        <v>167</v>
      </c>
      <c r="F1403">
        <v>110</v>
      </c>
      <c r="H1403">
        <v>32</v>
      </c>
      <c r="I1403">
        <v>0.6</v>
      </c>
      <c r="J1403">
        <v>19.2</v>
      </c>
      <c r="K1403">
        <v>4.68</v>
      </c>
      <c r="L1403">
        <v>7.69</v>
      </c>
      <c r="M1403" t="s">
        <v>82</v>
      </c>
      <c r="N1403" t="s">
        <v>162</v>
      </c>
    </row>
    <row r="1404" spans="1:14" x14ac:dyDescent="0.3">
      <c r="A1404" t="s">
        <v>82</v>
      </c>
      <c r="B1404">
        <f>VLOOKUP(M1404,Sheet9!$I$1:$J$17,2,FALSE)</f>
        <v>10</v>
      </c>
      <c r="C1404">
        <f>VLOOKUP(N1404,Sheet9!$M$1:$N$2,2,FALSE)</f>
        <v>1</v>
      </c>
      <c r="D1404">
        <v>32</v>
      </c>
      <c r="E1404" t="s">
        <v>95</v>
      </c>
      <c r="F1404">
        <v>110</v>
      </c>
      <c r="H1404">
        <v>64</v>
      </c>
      <c r="I1404">
        <v>0.6</v>
      </c>
      <c r="J1404">
        <v>38.4</v>
      </c>
      <c r="K1404">
        <v>4.12</v>
      </c>
      <c r="L1404">
        <v>6.8</v>
      </c>
      <c r="M1404" t="s">
        <v>82</v>
      </c>
      <c r="N1404" t="s">
        <v>162</v>
      </c>
    </row>
    <row r="1405" spans="1:14" x14ac:dyDescent="0.3">
      <c r="A1405" t="s">
        <v>82</v>
      </c>
      <c r="B1405">
        <f>VLOOKUP(M1405,Sheet9!$I$1:$J$17,2,FALSE)</f>
        <v>10</v>
      </c>
      <c r="C1405">
        <f>VLOOKUP(N1405,Sheet9!$M$1:$N$2,2,FALSE)</f>
        <v>1</v>
      </c>
      <c r="D1405">
        <v>32</v>
      </c>
      <c r="E1405" t="s">
        <v>167</v>
      </c>
      <c r="F1405">
        <v>110</v>
      </c>
      <c r="H1405">
        <v>128</v>
      </c>
      <c r="I1405">
        <v>0.6</v>
      </c>
      <c r="J1405">
        <v>76.8</v>
      </c>
      <c r="K1405">
        <v>4.09</v>
      </c>
      <c r="L1405">
        <v>6.75</v>
      </c>
      <c r="M1405" t="s">
        <v>82</v>
      </c>
      <c r="N1405" t="s">
        <v>162</v>
      </c>
    </row>
    <row r="1406" spans="1:14" x14ac:dyDescent="0.3">
      <c r="A1406" t="s">
        <v>82</v>
      </c>
      <c r="B1406">
        <f>VLOOKUP(M1406,Sheet9!$I$1:$J$17,2,FALSE)</f>
        <v>10</v>
      </c>
      <c r="C1406">
        <f>VLOOKUP(N1406,Sheet9!$M$1:$N$2,2,FALSE)</f>
        <v>1</v>
      </c>
      <c r="D1406">
        <v>32</v>
      </c>
      <c r="E1406" t="s">
        <v>95</v>
      </c>
      <c r="F1406">
        <v>120</v>
      </c>
      <c r="H1406">
        <v>6</v>
      </c>
      <c r="I1406">
        <v>0.6</v>
      </c>
      <c r="J1406">
        <v>3.5999999999999996</v>
      </c>
      <c r="M1406" t="s">
        <v>82</v>
      </c>
      <c r="N1406" t="s">
        <v>162</v>
      </c>
    </row>
    <row r="1407" spans="1:14" x14ac:dyDescent="0.3">
      <c r="A1407" t="s">
        <v>82</v>
      </c>
      <c r="B1407">
        <f>VLOOKUP(M1407,Sheet9!$I$1:$J$17,2,FALSE)</f>
        <v>10</v>
      </c>
      <c r="C1407">
        <f>VLOOKUP(N1407,Sheet9!$M$1:$N$2,2,FALSE)</f>
        <v>1</v>
      </c>
      <c r="D1407">
        <v>32</v>
      </c>
      <c r="E1407" t="s">
        <v>95</v>
      </c>
      <c r="F1407">
        <v>120</v>
      </c>
      <c r="H1407">
        <v>1</v>
      </c>
      <c r="I1407">
        <v>5</v>
      </c>
      <c r="J1407">
        <v>5</v>
      </c>
      <c r="M1407" t="s">
        <v>82</v>
      </c>
      <c r="N1407" t="s">
        <v>162</v>
      </c>
    </row>
    <row r="1408" spans="1:14" x14ac:dyDescent="0.3">
      <c r="A1408" t="s">
        <v>82</v>
      </c>
      <c r="B1408">
        <f>VLOOKUP(M1408,Sheet9!$I$1:$J$17,2,FALSE)</f>
        <v>10</v>
      </c>
      <c r="C1408">
        <f>VLOOKUP(N1408,Sheet9!$M$1:$N$2,2,FALSE)</f>
        <v>1</v>
      </c>
      <c r="D1408">
        <v>32</v>
      </c>
      <c r="E1408" t="s">
        <v>95</v>
      </c>
      <c r="F1408">
        <v>120</v>
      </c>
      <c r="H1408">
        <v>1</v>
      </c>
      <c r="I1408">
        <v>10</v>
      </c>
      <c r="J1408">
        <v>10</v>
      </c>
      <c r="K1408">
        <v>4.2300000000000004</v>
      </c>
      <c r="L1408">
        <v>6.8</v>
      </c>
      <c r="M1408" t="s">
        <v>82</v>
      </c>
      <c r="N1408" t="s">
        <v>162</v>
      </c>
    </row>
    <row r="1409" spans="1:14" x14ac:dyDescent="0.3">
      <c r="A1409" t="s">
        <v>82</v>
      </c>
      <c r="B1409">
        <f>VLOOKUP(M1409,Sheet9!$I$1:$J$17,2,FALSE)</f>
        <v>10</v>
      </c>
      <c r="C1409">
        <f>VLOOKUP(N1409,Sheet9!$M$1:$N$2,2,FALSE)</f>
        <v>1</v>
      </c>
      <c r="D1409">
        <v>32</v>
      </c>
      <c r="E1409" t="s">
        <v>95</v>
      </c>
      <c r="F1409">
        <v>120</v>
      </c>
      <c r="H1409">
        <v>3</v>
      </c>
      <c r="I1409">
        <v>3</v>
      </c>
      <c r="J1409">
        <v>9</v>
      </c>
      <c r="M1409" t="s">
        <v>82</v>
      </c>
      <c r="N1409" t="s">
        <v>162</v>
      </c>
    </row>
    <row r="1410" spans="1:14" x14ac:dyDescent="0.3">
      <c r="A1410" t="s">
        <v>82</v>
      </c>
      <c r="B1410">
        <f>VLOOKUP(M1410,Sheet9!$I$1:$J$17,2,FALSE)</f>
        <v>10</v>
      </c>
      <c r="C1410">
        <f>VLOOKUP(N1410,Sheet9!$M$1:$N$2,2,FALSE)</f>
        <v>1</v>
      </c>
      <c r="D1410">
        <v>32</v>
      </c>
      <c r="E1410" t="s">
        <v>95</v>
      </c>
      <c r="F1410">
        <v>120</v>
      </c>
      <c r="H1410">
        <v>3</v>
      </c>
      <c r="I1410">
        <v>5</v>
      </c>
      <c r="J1410">
        <v>15</v>
      </c>
      <c r="M1410" t="s">
        <v>82</v>
      </c>
      <c r="N1410" t="s">
        <v>162</v>
      </c>
    </row>
    <row r="1411" spans="1:14" x14ac:dyDescent="0.3">
      <c r="A1411" t="s">
        <v>82</v>
      </c>
      <c r="B1411">
        <f>VLOOKUP(M1411,Sheet9!$I$1:$J$17,2,FALSE)</f>
        <v>10</v>
      </c>
      <c r="C1411">
        <f>VLOOKUP(N1411,Sheet9!$M$1:$N$2,2,FALSE)</f>
        <v>1</v>
      </c>
      <c r="D1411">
        <v>32</v>
      </c>
      <c r="E1411" t="s">
        <v>167</v>
      </c>
      <c r="F1411">
        <v>120</v>
      </c>
      <c r="H1411">
        <v>32</v>
      </c>
      <c r="I1411">
        <v>0.6</v>
      </c>
      <c r="J1411">
        <v>19.2</v>
      </c>
      <c r="K1411">
        <v>5.97</v>
      </c>
      <c r="L1411">
        <v>9.61</v>
      </c>
      <c r="M1411" t="s">
        <v>82</v>
      </c>
      <c r="N1411" t="s">
        <v>162</v>
      </c>
    </row>
    <row r="1412" spans="1:14" x14ac:dyDescent="0.3">
      <c r="A1412" t="s">
        <v>82</v>
      </c>
      <c r="B1412">
        <f>VLOOKUP(M1412,Sheet9!$I$1:$J$17,2,FALSE)</f>
        <v>10</v>
      </c>
      <c r="C1412">
        <f>VLOOKUP(N1412,Sheet9!$M$1:$N$2,2,FALSE)</f>
        <v>1</v>
      </c>
      <c r="D1412">
        <v>32</v>
      </c>
      <c r="E1412" t="s">
        <v>95</v>
      </c>
      <c r="F1412">
        <v>120</v>
      </c>
      <c r="H1412">
        <v>64</v>
      </c>
      <c r="I1412">
        <v>0.6</v>
      </c>
      <c r="J1412">
        <v>38.4</v>
      </c>
      <c r="K1412">
        <v>5.24</v>
      </c>
      <c r="L1412">
        <v>8.49</v>
      </c>
      <c r="M1412" t="s">
        <v>82</v>
      </c>
      <c r="N1412" t="s">
        <v>162</v>
      </c>
    </row>
    <row r="1413" spans="1:14" x14ac:dyDescent="0.3">
      <c r="A1413" t="s">
        <v>82</v>
      </c>
      <c r="B1413">
        <f>VLOOKUP(M1413,Sheet9!$I$1:$J$17,2,FALSE)</f>
        <v>10</v>
      </c>
      <c r="C1413">
        <f>VLOOKUP(N1413,Sheet9!$M$1:$N$2,2,FALSE)</f>
        <v>1</v>
      </c>
      <c r="D1413">
        <v>32</v>
      </c>
      <c r="E1413" t="s">
        <v>167</v>
      </c>
      <c r="F1413">
        <v>120</v>
      </c>
      <c r="H1413">
        <v>128</v>
      </c>
      <c r="I1413">
        <v>0.6</v>
      </c>
      <c r="J1413">
        <v>76.8</v>
      </c>
      <c r="K1413">
        <v>5.2</v>
      </c>
      <c r="L1413">
        <v>8.42</v>
      </c>
      <c r="M1413" t="s">
        <v>82</v>
      </c>
      <c r="N1413" t="s">
        <v>162</v>
      </c>
    </row>
    <row r="1414" spans="1:14" x14ac:dyDescent="0.3">
      <c r="A1414" t="s">
        <v>82</v>
      </c>
      <c r="B1414">
        <f>VLOOKUP(M1414,Sheet9!$I$1:$J$17,2,FALSE)</f>
        <v>10</v>
      </c>
      <c r="C1414">
        <f>VLOOKUP(N1414,Sheet9!$M$1:$N$2,2,FALSE)</f>
        <v>1</v>
      </c>
      <c r="D1414">
        <v>32</v>
      </c>
      <c r="E1414" t="s">
        <v>95</v>
      </c>
      <c r="F1414">
        <v>130</v>
      </c>
      <c r="H1414">
        <v>6</v>
      </c>
      <c r="I1414">
        <v>0.6</v>
      </c>
      <c r="J1414">
        <v>3.5999999999999996</v>
      </c>
      <c r="M1414" t="s">
        <v>82</v>
      </c>
      <c r="N1414" t="s">
        <v>162</v>
      </c>
    </row>
    <row r="1415" spans="1:14" x14ac:dyDescent="0.3">
      <c r="A1415" t="s">
        <v>82</v>
      </c>
      <c r="B1415">
        <f>VLOOKUP(M1415,Sheet9!$I$1:$J$17,2,FALSE)</f>
        <v>10</v>
      </c>
      <c r="C1415">
        <f>VLOOKUP(N1415,Sheet9!$M$1:$N$2,2,FALSE)</f>
        <v>1</v>
      </c>
      <c r="D1415">
        <v>32</v>
      </c>
      <c r="E1415" t="s">
        <v>95</v>
      </c>
      <c r="F1415">
        <v>130</v>
      </c>
      <c r="H1415">
        <v>1</v>
      </c>
      <c r="I1415">
        <v>5</v>
      </c>
      <c r="J1415">
        <v>5</v>
      </c>
      <c r="M1415" t="s">
        <v>82</v>
      </c>
      <c r="N1415" t="s">
        <v>162</v>
      </c>
    </row>
    <row r="1416" spans="1:14" x14ac:dyDescent="0.3">
      <c r="A1416" t="s">
        <v>82</v>
      </c>
      <c r="B1416">
        <f>VLOOKUP(M1416,Sheet9!$I$1:$J$17,2,FALSE)</f>
        <v>10</v>
      </c>
      <c r="C1416">
        <f>VLOOKUP(N1416,Sheet9!$M$1:$N$2,2,FALSE)</f>
        <v>1</v>
      </c>
      <c r="D1416">
        <v>32</v>
      </c>
      <c r="E1416" t="s">
        <v>95</v>
      </c>
      <c r="F1416">
        <v>130</v>
      </c>
      <c r="H1416">
        <v>1</v>
      </c>
      <c r="I1416">
        <v>10</v>
      </c>
      <c r="J1416">
        <v>10</v>
      </c>
      <c r="K1416">
        <v>5.22</v>
      </c>
      <c r="L1416">
        <v>8.26</v>
      </c>
      <c r="M1416" t="s">
        <v>82</v>
      </c>
      <c r="N1416" t="s">
        <v>162</v>
      </c>
    </row>
    <row r="1417" spans="1:14" x14ac:dyDescent="0.3">
      <c r="A1417" t="s">
        <v>82</v>
      </c>
      <c r="B1417">
        <f>VLOOKUP(M1417,Sheet9!$I$1:$J$17,2,FALSE)</f>
        <v>10</v>
      </c>
      <c r="C1417">
        <f>VLOOKUP(N1417,Sheet9!$M$1:$N$2,2,FALSE)</f>
        <v>1</v>
      </c>
      <c r="D1417">
        <v>32</v>
      </c>
      <c r="E1417" t="s">
        <v>95</v>
      </c>
      <c r="F1417">
        <v>130</v>
      </c>
      <c r="H1417">
        <v>3</v>
      </c>
      <c r="I1417">
        <v>3</v>
      </c>
      <c r="J1417">
        <v>9</v>
      </c>
      <c r="M1417" t="s">
        <v>82</v>
      </c>
      <c r="N1417" t="s">
        <v>162</v>
      </c>
    </row>
    <row r="1418" spans="1:14" x14ac:dyDescent="0.3">
      <c r="A1418" t="s">
        <v>82</v>
      </c>
      <c r="B1418">
        <f>VLOOKUP(M1418,Sheet9!$I$1:$J$17,2,FALSE)</f>
        <v>10</v>
      </c>
      <c r="C1418">
        <f>VLOOKUP(N1418,Sheet9!$M$1:$N$2,2,FALSE)</f>
        <v>1</v>
      </c>
      <c r="D1418">
        <v>32</v>
      </c>
      <c r="E1418" t="s">
        <v>95</v>
      </c>
      <c r="F1418">
        <v>130</v>
      </c>
      <c r="H1418">
        <v>3</v>
      </c>
      <c r="I1418">
        <v>5</v>
      </c>
      <c r="J1418">
        <v>15</v>
      </c>
      <c r="M1418" t="s">
        <v>82</v>
      </c>
      <c r="N1418" t="s">
        <v>162</v>
      </c>
    </row>
    <row r="1419" spans="1:14" x14ac:dyDescent="0.3">
      <c r="A1419" t="s">
        <v>82</v>
      </c>
      <c r="B1419">
        <f>VLOOKUP(M1419,Sheet9!$I$1:$J$17,2,FALSE)</f>
        <v>10</v>
      </c>
      <c r="C1419">
        <f>VLOOKUP(N1419,Sheet9!$M$1:$N$2,2,FALSE)</f>
        <v>1</v>
      </c>
      <c r="D1419">
        <v>32</v>
      </c>
      <c r="E1419" t="s">
        <v>167</v>
      </c>
      <c r="F1419">
        <v>130</v>
      </c>
      <c r="H1419">
        <v>32</v>
      </c>
      <c r="I1419">
        <v>0.6</v>
      </c>
      <c r="J1419">
        <v>19.2</v>
      </c>
      <c r="K1419">
        <v>7.37</v>
      </c>
      <c r="L1419">
        <v>11.66</v>
      </c>
      <c r="M1419" t="s">
        <v>82</v>
      </c>
      <c r="N1419" t="s">
        <v>162</v>
      </c>
    </row>
    <row r="1420" spans="1:14" x14ac:dyDescent="0.3">
      <c r="A1420" t="s">
        <v>82</v>
      </c>
      <c r="B1420">
        <f>VLOOKUP(M1420,Sheet9!$I$1:$J$17,2,FALSE)</f>
        <v>10</v>
      </c>
      <c r="C1420">
        <f>VLOOKUP(N1420,Sheet9!$M$1:$N$2,2,FALSE)</f>
        <v>1</v>
      </c>
      <c r="D1420">
        <v>32</v>
      </c>
      <c r="E1420" t="s">
        <v>95</v>
      </c>
      <c r="F1420">
        <v>130</v>
      </c>
      <c r="H1420">
        <v>64</v>
      </c>
      <c r="I1420">
        <v>0.6</v>
      </c>
      <c r="J1420">
        <v>38.4</v>
      </c>
      <c r="K1420">
        <v>6.46</v>
      </c>
      <c r="L1420">
        <v>10.31</v>
      </c>
      <c r="M1420" t="s">
        <v>82</v>
      </c>
      <c r="N1420" t="s">
        <v>162</v>
      </c>
    </row>
    <row r="1421" spans="1:14" x14ac:dyDescent="0.3">
      <c r="A1421" t="s">
        <v>82</v>
      </c>
      <c r="B1421">
        <f>VLOOKUP(M1421,Sheet9!$I$1:$J$17,2,FALSE)</f>
        <v>10</v>
      </c>
      <c r="C1421">
        <f>VLOOKUP(N1421,Sheet9!$M$1:$N$2,2,FALSE)</f>
        <v>1</v>
      </c>
      <c r="D1421">
        <v>32</v>
      </c>
      <c r="E1421" t="s">
        <v>167</v>
      </c>
      <c r="F1421">
        <v>130</v>
      </c>
      <c r="H1421">
        <v>128</v>
      </c>
      <c r="I1421">
        <v>0.6</v>
      </c>
      <c r="J1421">
        <v>76.8</v>
      </c>
      <c r="K1421">
        <v>6.42</v>
      </c>
      <c r="L1421">
        <v>10.23</v>
      </c>
      <c r="M1421" t="s">
        <v>82</v>
      </c>
      <c r="N1421" t="s">
        <v>162</v>
      </c>
    </row>
    <row r="1422" spans="1:14" x14ac:dyDescent="0.3">
      <c r="A1422" t="s">
        <v>82</v>
      </c>
      <c r="B1422">
        <f>VLOOKUP(M1422,Sheet9!$I$1:$J$17,2,FALSE)</f>
        <v>10</v>
      </c>
      <c r="C1422">
        <f>VLOOKUP(N1422,Sheet9!$M$1:$N$2,2,FALSE)</f>
        <v>1</v>
      </c>
      <c r="D1422">
        <v>32</v>
      </c>
      <c r="E1422" t="s">
        <v>95</v>
      </c>
      <c r="F1422">
        <v>140</v>
      </c>
      <c r="H1422">
        <v>6</v>
      </c>
      <c r="I1422">
        <v>0.6</v>
      </c>
      <c r="J1422">
        <v>3.5999999999999996</v>
      </c>
      <c r="M1422" t="s">
        <v>82</v>
      </c>
      <c r="N1422" t="s">
        <v>162</v>
      </c>
    </row>
    <row r="1423" spans="1:14" x14ac:dyDescent="0.3">
      <c r="A1423" t="s">
        <v>82</v>
      </c>
      <c r="B1423">
        <f>VLOOKUP(M1423,Sheet9!$I$1:$J$17,2,FALSE)</f>
        <v>10</v>
      </c>
      <c r="C1423">
        <f>VLOOKUP(N1423,Sheet9!$M$1:$N$2,2,FALSE)</f>
        <v>1</v>
      </c>
      <c r="D1423">
        <v>32</v>
      </c>
      <c r="E1423" t="s">
        <v>95</v>
      </c>
      <c r="F1423">
        <v>140</v>
      </c>
      <c r="H1423">
        <v>1</v>
      </c>
      <c r="I1423">
        <v>5</v>
      </c>
      <c r="J1423">
        <v>5</v>
      </c>
      <c r="M1423" t="s">
        <v>82</v>
      </c>
      <c r="N1423" t="s">
        <v>162</v>
      </c>
    </row>
    <row r="1424" spans="1:14" x14ac:dyDescent="0.3">
      <c r="A1424" t="s">
        <v>82</v>
      </c>
      <c r="B1424">
        <f>VLOOKUP(M1424,Sheet9!$I$1:$J$17,2,FALSE)</f>
        <v>10</v>
      </c>
      <c r="C1424">
        <f>VLOOKUP(N1424,Sheet9!$M$1:$N$2,2,FALSE)</f>
        <v>1</v>
      </c>
      <c r="D1424">
        <v>32</v>
      </c>
      <c r="E1424" t="s">
        <v>95</v>
      </c>
      <c r="F1424">
        <v>140</v>
      </c>
      <c r="H1424">
        <v>1</v>
      </c>
      <c r="I1424">
        <v>10</v>
      </c>
      <c r="J1424">
        <v>10</v>
      </c>
      <c r="K1424">
        <v>6.29</v>
      </c>
      <c r="L1424">
        <v>9.82</v>
      </c>
      <c r="M1424" t="s">
        <v>82</v>
      </c>
      <c r="N1424" t="s">
        <v>162</v>
      </c>
    </row>
    <row r="1425" spans="1:14" x14ac:dyDescent="0.3">
      <c r="A1425" t="s">
        <v>82</v>
      </c>
      <c r="B1425">
        <f>VLOOKUP(M1425,Sheet9!$I$1:$J$17,2,FALSE)</f>
        <v>10</v>
      </c>
      <c r="C1425">
        <f>VLOOKUP(N1425,Sheet9!$M$1:$N$2,2,FALSE)</f>
        <v>1</v>
      </c>
      <c r="D1425">
        <v>32</v>
      </c>
      <c r="E1425" t="s">
        <v>95</v>
      </c>
      <c r="F1425">
        <v>140</v>
      </c>
      <c r="H1425">
        <v>3</v>
      </c>
      <c r="I1425">
        <v>3</v>
      </c>
      <c r="J1425">
        <v>9</v>
      </c>
      <c r="M1425" t="s">
        <v>82</v>
      </c>
      <c r="N1425" t="s">
        <v>162</v>
      </c>
    </row>
    <row r="1426" spans="1:14" x14ac:dyDescent="0.3">
      <c r="A1426" t="s">
        <v>82</v>
      </c>
      <c r="B1426">
        <f>VLOOKUP(M1426,Sheet9!$I$1:$J$17,2,FALSE)</f>
        <v>10</v>
      </c>
      <c r="C1426">
        <f>VLOOKUP(N1426,Sheet9!$M$1:$N$2,2,FALSE)</f>
        <v>1</v>
      </c>
      <c r="D1426">
        <v>32</v>
      </c>
      <c r="E1426" t="s">
        <v>95</v>
      </c>
      <c r="F1426">
        <v>140</v>
      </c>
      <c r="H1426">
        <v>3</v>
      </c>
      <c r="I1426">
        <v>5</v>
      </c>
      <c r="J1426">
        <v>15</v>
      </c>
      <c r="M1426" t="s">
        <v>82</v>
      </c>
      <c r="N1426" t="s">
        <v>162</v>
      </c>
    </row>
    <row r="1427" spans="1:14" x14ac:dyDescent="0.3">
      <c r="A1427" t="s">
        <v>82</v>
      </c>
      <c r="B1427">
        <f>VLOOKUP(M1427,Sheet9!$I$1:$J$17,2,FALSE)</f>
        <v>10</v>
      </c>
      <c r="C1427">
        <f>VLOOKUP(N1427,Sheet9!$M$1:$N$2,2,FALSE)</f>
        <v>1</v>
      </c>
      <c r="D1427">
        <v>32</v>
      </c>
      <c r="E1427" t="s">
        <v>167</v>
      </c>
      <c r="F1427">
        <v>140</v>
      </c>
      <c r="H1427">
        <v>32</v>
      </c>
      <c r="I1427">
        <v>0.6</v>
      </c>
      <c r="J1427">
        <v>19.2</v>
      </c>
      <c r="K1427">
        <v>8.8699999999999992</v>
      </c>
      <c r="L1427">
        <v>13.88</v>
      </c>
      <c r="M1427" t="s">
        <v>82</v>
      </c>
      <c r="N1427" t="s">
        <v>162</v>
      </c>
    </row>
    <row r="1428" spans="1:14" x14ac:dyDescent="0.3">
      <c r="A1428" t="s">
        <v>82</v>
      </c>
      <c r="B1428">
        <f>VLOOKUP(M1428,Sheet9!$I$1:$J$17,2,FALSE)</f>
        <v>10</v>
      </c>
      <c r="C1428">
        <f>VLOOKUP(N1428,Sheet9!$M$1:$N$2,2,FALSE)</f>
        <v>1</v>
      </c>
      <c r="D1428">
        <v>32</v>
      </c>
      <c r="E1428" t="s">
        <v>95</v>
      </c>
      <c r="F1428">
        <v>140</v>
      </c>
      <c r="H1428">
        <v>64</v>
      </c>
      <c r="I1428">
        <v>0.6</v>
      </c>
      <c r="J1428">
        <v>38.4</v>
      </c>
      <c r="K1428">
        <v>7.8</v>
      </c>
      <c r="L1428">
        <v>12.27</v>
      </c>
      <c r="M1428" t="s">
        <v>82</v>
      </c>
      <c r="N1428" t="s">
        <v>162</v>
      </c>
    </row>
    <row r="1429" spans="1:14" x14ac:dyDescent="0.3">
      <c r="A1429" t="s">
        <v>82</v>
      </c>
      <c r="B1429">
        <f>VLOOKUP(M1429,Sheet9!$I$1:$J$17,2,FALSE)</f>
        <v>10</v>
      </c>
      <c r="C1429">
        <f>VLOOKUP(N1429,Sheet9!$M$1:$N$2,2,FALSE)</f>
        <v>1</v>
      </c>
      <c r="D1429">
        <v>32</v>
      </c>
      <c r="E1429" t="s">
        <v>167</v>
      </c>
      <c r="F1429">
        <v>140</v>
      </c>
      <c r="H1429">
        <v>128</v>
      </c>
      <c r="I1429">
        <v>0.6</v>
      </c>
      <c r="J1429">
        <v>76.8</v>
      </c>
      <c r="K1429">
        <v>7.73</v>
      </c>
      <c r="L1429">
        <v>12.15</v>
      </c>
      <c r="M1429" t="s">
        <v>82</v>
      </c>
      <c r="N1429" t="s">
        <v>162</v>
      </c>
    </row>
    <row r="1430" spans="1:14" x14ac:dyDescent="0.3">
      <c r="A1430" t="s">
        <v>82</v>
      </c>
      <c r="B1430">
        <f>VLOOKUP(M1430,Sheet9!$I$1:$J$17,2,FALSE)</f>
        <v>10</v>
      </c>
      <c r="C1430">
        <f>VLOOKUP(N1430,Sheet9!$M$1:$N$2,2,FALSE)</f>
        <v>1</v>
      </c>
      <c r="D1430">
        <v>32</v>
      </c>
      <c r="E1430" t="s">
        <v>95</v>
      </c>
      <c r="F1430">
        <v>150</v>
      </c>
      <c r="H1430">
        <v>6</v>
      </c>
      <c r="I1430">
        <v>0.6</v>
      </c>
      <c r="J1430">
        <v>3.5999999999999996</v>
      </c>
      <c r="M1430" t="s">
        <v>82</v>
      </c>
      <c r="N1430" t="s">
        <v>162</v>
      </c>
    </row>
    <row r="1431" spans="1:14" x14ac:dyDescent="0.3">
      <c r="A1431" t="s">
        <v>82</v>
      </c>
      <c r="B1431">
        <f>VLOOKUP(M1431,Sheet9!$I$1:$J$17,2,FALSE)</f>
        <v>10</v>
      </c>
      <c r="C1431">
        <f>VLOOKUP(N1431,Sheet9!$M$1:$N$2,2,FALSE)</f>
        <v>1</v>
      </c>
      <c r="D1431">
        <v>32</v>
      </c>
      <c r="E1431" t="s">
        <v>95</v>
      </c>
      <c r="F1431">
        <v>150</v>
      </c>
      <c r="H1431">
        <v>1</v>
      </c>
      <c r="I1431">
        <v>5</v>
      </c>
      <c r="J1431">
        <v>5</v>
      </c>
      <c r="M1431" t="s">
        <v>82</v>
      </c>
      <c r="N1431" t="s">
        <v>162</v>
      </c>
    </row>
    <row r="1432" spans="1:14" x14ac:dyDescent="0.3">
      <c r="A1432" t="s">
        <v>82</v>
      </c>
      <c r="B1432">
        <f>VLOOKUP(M1432,Sheet9!$I$1:$J$17,2,FALSE)</f>
        <v>10</v>
      </c>
      <c r="C1432">
        <f>VLOOKUP(N1432,Sheet9!$M$1:$N$2,2,FALSE)</f>
        <v>1</v>
      </c>
      <c r="D1432">
        <v>32</v>
      </c>
      <c r="E1432" t="s">
        <v>95</v>
      </c>
      <c r="F1432">
        <v>150</v>
      </c>
      <c r="H1432">
        <v>1</v>
      </c>
      <c r="I1432">
        <v>10</v>
      </c>
      <c r="J1432">
        <v>10</v>
      </c>
      <c r="K1432">
        <v>7.43</v>
      </c>
      <c r="L1432">
        <v>11.51</v>
      </c>
      <c r="M1432" t="s">
        <v>82</v>
      </c>
      <c r="N1432" t="s">
        <v>162</v>
      </c>
    </row>
    <row r="1433" spans="1:14" x14ac:dyDescent="0.3">
      <c r="A1433" t="s">
        <v>82</v>
      </c>
      <c r="B1433">
        <f>VLOOKUP(M1433,Sheet9!$I$1:$J$17,2,FALSE)</f>
        <v>10</v>
      </c>
      <c r="C1433">
        <f>VLOOKUP(N1433,Sheet9!$M$1:$N$2,2,FALSE)</f>
        <v>1</v>
      </c>
      <c r="D1433">
        <v>32</v>
      </c>
      <c r="E1433" t="s">
        <v>95</v>
      </c>
      <c r="F1433">
        <v>150</v>
      </c>
      <c r="H1433">
        <v>3</v>
      </c>
      <c r="I1433">
        <v>3</v>
      </c>
      <c r="J1433">
        <v>9</v>
      </c>
      <c r="M1433" t="s">
        <v>82</v>
      </c>
      <c r="N1433" t="s">
        <v>162</v>
      </c>
    </row>
    <row r="1434" spans="1:14" x14ac:dyDescent="0.3">
      <c r="A1434" t="s">
        <v>82</v>
      </c>
      <c r="B1434">
        <f>VLOOKUP(M1434,Sheet9!$I$1:$J$17,2,FALSE)</f>
        <v>10</v>
      </c>
      <c r="C1434">
        <f>VLOOKUP(N1434,Sheet9!$M$1:$N$2,2,FALSE)</f>
        <v>1</v>
      </c>
      <c r="D1434">
        <v>32</v>
      </c>
      <c r="E1434" t="s">
        <v>95</v>
      </c>
      <c r="F1434">
        <v>150</v>
      </c>
      <c r="H1434">
        <v>3</v>
      </c>
      <c r="I1434">
        <v>5</v>
      </c>
      <c r="J1434">
        <v>15</v>
      </c>
      <c r="M1434" t="s">
        <v>82</v>
      </c>
      <c r="N1434" t="s">
        <v>162</v>
      </c>
    </row>
    <row r="1435" spans="1:14" x14ac:dyDescent="0.3">
      <c r="A1435" t="s">
        <v>82</v>
      </c>
      <c r="B1435">
        <f>VLOOKUP(M1435,Sheet9!$I$1:$J$17,2,FALSE)</f>
        <v>10</v>
      </c>
      <c r="C1435">
        <f>VLOOKUP(N1435,Sheet9!$M$1:$N$2,2,FALSE)</f>
        <v>1</v>
      </c>
      <c r="D1435">
        <v>32</v>
      </c>
      <c r="E1435" t="s">
        <v>167</v>
      </c>
      <c r="F1435">
        <v>150</v>
      </c>
      <c r="H1435">
        <v>32</v>
      </c>
      <c r="I1435">
        <v>0.6</v>
      </c>
      <c r="J1435">
        <v>19.2</v>
      </c>
      <c r="K1435">
        <v>10.49</v>
      </c>
      <c r="L1435">
        <v>16.23</v>
      </c>
      <c r="M1435" t="s">
        <v>82</v>
      </c>
      <c r="N1435" t="s">
        <v>162</v>
      </c>
    </row>
    <row r="1436" spans="1:14" x14ac:dyDescent="0.3">
      <c r="A1436" t="s">
        <v>82</v>
      </c>
      <c r="B1436">
        <f>VLOOKUP(M1436,Sheet9!$I$1:$J$17,2,FALSE)</f>
        <v>10</v>
      </c>
      <c r="C1436">
        <f>VLOOKUP(N1436,Sheet9!$M$1:$N$2,2,FALSE)</f>
        <v>1</v>
      </c>
      <c r="D1436">
        <v>32</v>
      </c>
      <c r="E1436" t="s">
        <v>95</v>
      </c>
      <c r="F1436">
        <v>150</v>
      </c>
      <c r="H1436">
        <v>64</v>
      </c>
      <c r="I1436">
        <v>0.6</v>
      </c>
      <c r="J1436">
        <v>38.4</v>
      </c>
      <c r="K1436">
        <v>9.23</v>
      </c>
      <c r="L1436">
        <v>14.37</v>
      </c>
      <c r="M1436" t="s">
        <v>82</v>
      </c>
      <c r="N1436" t="s">
        <v>162</v>
      </c>
    </row>
    <row r="1437" spans="1:14" x14ac:dyDescent="0.3">
      <c r="A1437" t="s">
        <v>82</v>
      </c>
      <c r="B1437">
        <f>VLOOKUP(M1437,Sheet9!$I$1:$J$17,2,FALSE)</f>
        <v>10</v>
      </c>
      <c r="C1437">
        <f>VLOOKUP(N1437,Sheet9!$M$1:$N$2,2,FALSE)</f>
        <v>1</v>
      </c>
      <c r="D1437">
        <v>32</v>
      </c>
      <c r="E1437" t="s">
        <v>167</v>
      </c>
      <c r="F1437">
        <v>150</v>
      </c>
      <c r="H1437">
        <v>128</v>
      </c>
      <c r="I1437">
        <v>0.6</v>
      </c>
      <c r="J1437">
        <v>76.8</v>
      </c>
      <c r="K1437">
        <v>9.15</v>
      </c>
      <c r="L1437">
        <v>14.23</v>
      </c>
      <c r="M1437" t="s">
        <v>82</v>
      </c>
      <c r="N1437" t="s">
        <v>162</v>
      </c>
    </row>
    <row r="1438" spans="1:14" x14ac:dyDescent="0.3">
      <c r="A1438" t="s">
        <v>82</v>
      </c>
      <c r="B1438">
        <f>VLOOKUP(M1438,Sheet9!$I$1:$J$17,2,FALSE)</f>
        <v>10</v>
      </c>
      <c r="C1438">
        <f>VLOOKUP(N1438,Sheet9!$M$1:$N$2,2,FALSE)</f>
        <v>1</v>
      </c>
      <c r="D1438">
        <v>32</v>
      </c>
      <c r="E1438" t="s">
        <v>95</v>
      </c>
      <c r="F1438">
        <v>100</v>
      </c>
      <c r="G1438" t="s">
        <v>169</v>
      </c>
      <c r="H1438">
        <v>6</v>
      </c>
      <c r="I1438">
        <v>0.6</v>
      </c>
      <c r="J1438">
        <v>3.5999999999999996</v>
      </c>
      <c r="K1438">
        <v>0.92</v>
      </c>
      <c r="L1438">
        <v>1.35</v>
      </c>
      <c r="M1438" t="s">
        <v>82</v>
      </c>
      <c r="N1438" t="s">
        <v>162</v>
      </c>
    </row>
    <row r="1439" spans="1:14" x14ac:dyDescent="0.3">
      <c r="A1439" t="s">
        <v>82</v>
      </c>
      <c r="B1439">
        <f>VLOOKUP(M1439,Sheet9!$I$1:$J$17,2,FALSE)</f>
        <v>10</v>
      </c>
      <c r="C1439">
        <f>VLOOKUP(N1439,Sheet9!$M$1:$N$2,2,FALSE)</f>
        <v>1</v>
      </c>
      <c r="D1439">
        <v>32</v>
      </c>
      <c r="E1439" t="s">
        <v>95</v>
      </c>
      <c r="F1439">
        <v>100</v>
      </c>
      <c r="H1439">
        <v>1</v>
      </c>
      <c r="I1439">
        <v>5</v>
      </c>
      <c r="J1439">
        <v>5</v>
      </c>
      <c r="M1439" t="s">
        <v>82</v>
      </c>
      <c r="N1439" t="s">
        <v>162</v>
      </c>
    </row>
    <row r="1440" spans="1:14" x14ac:dyDescent="0.3">
      <c r="A1440" t="s">
        <v>82</v>
      </c>
      <c r="B1440">
        <f>VLOOKUP(M1440,Sheet9!$I$1:$J$17,2,FALSE)</f>
        <v>10</v>
      </c>
      <c r="C1440">
        <f>VLOOKUP(N1440,Sheet9!$M$1:$N$2,2,FALSE)</f>
        <v>1</v>
      </c>
      <c r="D1440">
        <v>32</v>
      </c>
      <c r="E1440" t="s">
        <v>95</v>
      </c>
      <c r="F1440">
        <v>100</v>
      </c>
      <c r="H1440">
        <v>1</v>
      </c>
      <c r="I1440">
        <v>10</v>
      </c>
      <c r="J1440">
        <v>10</v>
      </c>
      <c r="M1440" t="s">
        <v>82</v>
      </c>
      <c r="N1440" t="s">
        <v>162</v>
      </c>
    </row>
    <row r="1441" spans="1:14" x14ac:dyDescent="0.3">
      <c r="A1441" t="s">
        <v>82</v>
      </c>
      <c r="B1441">
        <f>VLOOKUP(M1441,Sheet9!$I$1:$J$17,2,FALSE)</f>
        <v>10</v>
      </c>
      <c r="C1441">
        <f>VLOOKUP(N1441,Sheet9!$M$1:$N$2,2,FALSE)</f>
        <v>1</v>
      </c>
      <c r="D1441">
        <v>32</v>
      </c>
      <c r="E1441" t="s">
        <v>95</v>
      </c>
      <c r="F1441">
        <v>100</v>
      </c>
      <c r="H1441">
        <v>3</v>
      </c>
      <c r="I1441">
        <v>3</v>
      </c>
      <c r="J1441">
        <v>9</v>
      </c>
      <c r="M1441" t="s">
        <v>82</v>
      </c>
      <c r="N1441" t="s">
        <v>162</v>
      </c>
    </row>
    <row r="1442" spans="1:14" x14ac:dyDescent="0.3">
      <c r="A1442" t="s">
        <v>82</v>
      </c>
      <c r="B1442">
        <f>VLOOKUP(M1442,Sheet9!$I$1:$J$17,2,FALSE)</f>
        <v>10</v>
      </c>
      <c r="C1442">
        <f>VLOOKUP(N1442,Sheet9!$M$1:$N$2,2,FALSE)</f>
        <v>1</v>
      </c>
      <c r="D1442">
        <v>32</v>
      </c>
      <c r="E1442" t="s">
        <v>95</v>
      </c>
      <c r="F1442">
        <v>100</v>
      </c>
      <c r="H1442">
        <v>3</v>
      </c>
      <c r="I1442">
        <v>5</v>
      </c>
      <c r="J1442">
        <v>15</v>
      </c>
      <c r="M1442" t="s">
        <v>82</v>
      </c>
      <c r="N1442" t="s">
        <v>162</v>
      </c>
    </row>
    <row r="1443" spans="1:14" x14ac:dyDescent="0.3">
      <c r="A1443" t="s">
        <v>82</v>
      </c>
      <c r="B1443">
        <f>VLOOKUP(M1443,Sheet9!$I$1:$J$17,2,FALSE)</f>
        <v>10</v>
      </c>
      <c r="C1443">
        <f>VLOOKUP(N1443,Sheet9!$M$1:$N$2,2,FALSE)</f>
        <v>1</v>
      </c>
      <c r="D1443">
        <v>32</v>
      </c>
      <c r="E1443" t="s">
        <v>167</v>
      </c>
      <c r="F1443">
        <v>100</v>
      </c>
      <c r="H1443">
        <v>32</v>
      </c>
      <c r="I1443">
        <v>0.6</v>
      </c>
      <c r="J1443">
        <v>19.2</v>
      </c>
      <c r="K1443">
        <v>0.71</v>
      </c>
      <c r="L1443">
        <v>1.05</v>
      </c>
      <c r="M1443" t="s">
        <v>82</v>
      </c>
      <c r="N1443" t="s">
        <v>162</v>
      </c>
    </row>
    <row r="1444" spans="1:14" x14ac:dyDescent="0.3">
      <c r="A1444" t="s">
        <v>82</v>
      </c>
      <c r="B1444">
        <f>VLOOKUP(M1444,Sheet9!$I$1:$J$17,2,FALSE)</f>
        <v>10</v>
      </c>
      <c r="C1444">
        <f>VLOOKUP(N1444,Sheet9!$M$1:$N$2,2,FALSE)</f>
        <v>1</v>
      </c>
      <c r="D1444">
        <v>32</v>
      </c>
      <c r="E1444" t="s">
        <v>95</v>
      </c>
      <c r="F1444">
        <v>100</v>
      </c>
      <c r="H1444">
        <v>64</v>
      </c>
      <c r="I1444">
        <v>0.6</v>
      </c>
      <c r="J1444">
        <v>38.4</v>
      </c>
      <c r="K1444">
        <v>0.63</v>
      </c>
      <c r="L1444">
        <v>0.93</v>
      </c>
      <c r="M1444" t="s">
        <v>82</v>
      </c>
      <c r="N1444" t="s">
        <v>162</v>
      </c>
    </row>
    <row r="1445" spans="1:14" x14ac:dyDescent="0.3">
      <c r="A1445" t="s">
        <v>82</v>
      </c>
      <c r="B1445">
        <f>VLOOKUP(M1445,Sheet9!$I$1:$J$17,2,FALSE)</f>
        <v>10</v>
      </c>
      <c r="C1445">
        <f>VLOOKUP(N1445,Sheet9!$M$1:$N$2,2,FALSE)</f>
        <v>1</v>
      </c>
      <c r="D1445">
        <v>32</v>
      </c>
      <c r="E1445" t="s">
        <v>167</v>
      </c>
      <c r="F1445">
        <v>100</v>
      </c>
      <c r="H1445">
        <v>128</v>
      </c>
      <c r="I1445">
        <v>0.6</v>
      </c>
      <c r="J1445">
        <v>76.8</v>
      </c>
      <c r="K1445">
        <v>0.62</v>
      </c>
      <c r="L1445">
        <v>0.92</v>
      </c>
      <c r="M1445" t="s">
        <v>82</v>
      </c>
      <c r="N1445" t="s">
        <v>162</v>
      </c>
    </row>
    <row r="1446" spans="1:14" x14ac:dyDescent="0.3">
      <c r="A1446" t="s">
        <v>82</v>
      </c>
      <c r="B1446">
        <f>VLOOKUP(M1446,Sheet9!$I$1:$J$17,2,FALSE)</f>
        <v>10</v>
      </c>
      <c r="C1446">
        <f>VLOOKUP(N1446,Sheet9!$M$1:$N$2,2,FALSE)</f>
        <v>1</v>
      </c>
      <c r="D1446">
        <v>32</v>
      </c>
      <c r="E1446" t="s">
        <v>95</v>
      </c>
      <c r="F1446">
        <v>110</v>
      </c>
      <c r="H1446">
        <v>6</v>
      </c>
      <c r="I1446">
        <v>0.6</v>
      </c>
      <c r="J1446">
        <v>3.5999999999999996</v>
      </c>
      <c r="M1446" t="s">
        <v>82</v>
      </c>
      <c r="N1446" t="s">
        <v>162</v>
      </c>
    </row>
    <row r="1447" spans="1:14" x14ac:dyDescent="0.3">
      <c r="A1447" t="s">
        <v>82</v>
      </c>
      <c r="B1447">
        <f>VLOOKUP(M1447,Sheet9!$I$1:$J$17,2,FALSE)</f>
        <v>10</v>
      </c>
      <c r="C1447">
        <f>VLOOKUP(N1447,Sheet9!$M$1:$N$2,2,FALSE)</f>
        <v>1</v>
      </c>
      <c r="D1447">
        <v>32</v>
      </c>
      <c r="E1447" t="s">
        <v>95</v>
      </c>
      <c r="F1447">
        <v>110</v>
      </c>
      <c r="H1447">
        <v>1</v>
      </c>
      <c r="I1447">
        <v>5</v>
      </c>
      <c r="J1447">
        <v>5</v>
      </c>
      <c r="M1447" t="s">
        <v>82</v>
      </c>
      <c r="N1447" t="s">
        <v>162</v>
      </c>
    </row>
    <row r="1448" spans="1:14" x14ac:dyDescent="0.3">
      <c r="A1448" t="s">
        <v>82</v>
      </c>
      <c r="B1448">
        <f>VLOOKUP(M1448,Sheet9!$I$1:$J$17,2,FALSE)</f>
        <v>10</v>
      </c>
      <c r="C1448">
        <f>VLOOKUP(N1448,Sheet9!$M$1:$N$2,2,FALSE)</f>
        <v>1</v>
      </c>
      <c r="D1448">
        <v>32</v>
      </c>
      <c r="E1448" t="s">
        <v>95</v>
      </c>
      <c r="F1448">
        <v>110</v>
      </c>
      <c r="H1448">
        <v>1</v>
      </c>
      <c r="I1448">
        <v>10</v>
      </c>
      <c r="J1448">
        <v>10</v>
      </c>
      <c r="M1448" t="s">
        <v>82</v>
      </c>
      <c r="N1448" t="s">
        <v>162</v>
      </c>
    </row>
    <row r="1449" spans="1:14" x14ac:dyDescent="0.3">
      <c r="A1449" t="s">
        <v>82</v>
      </c>
      <c r="B1449">
        <f>VLOOKUP(M1449,Sheet9!$I$1:$J$17,2,FALSE)</f>
        <v>10</v>
      </c>
      <c r="C1449">
        <f>VLOOKUP(N1449,Sheet9!$M$1:$N$2,2,FALSE)</f>
        <v>1</v>
      </c>
      <c r="D1449">
        <v>32</v>
      </c>
      <c r="E1449" t="s">
        <v>95</v>
      </c>
      <c r="F1449">
        <v>110</v>
      </c>
      <c r="H1449">
        <v>3</v>
      </c>
      <c r="I1449">
        <v>3</v>
      </c>
      <c r="J1449">
        <v>9</v>
      </c>
      <c r="M1449" t="s">
        <v>82</v>
      </c>
      <c r="N1449" t="s">
        <v>162</v>
      </c>
    </row>
    <row r="1450" spans="1:14" x14ac:dyDescent="0.3">
      <c r="A1450" t="s">
        <v>82</v>
      </c>
      <c r="B1450">
        <f>VLOOKUP(M1450,Sheet9!$I$1:$J$17,2,FALSE)</f>
        <v>10</v>
      </c>
      <c r="C1450">
        <f>VLOOKUP(N1450,Sheet9!$M$1:$N$2,2,FALSE)</f>
        <v>1</v>
      </c>
      <c r="D1450">
        <v>32</v>
      </c>
      <c r="E1450" t="s">
        <v>95</v>
      </c>
      <c r="F1450">
        <v>110</v>
      </c>
      <c r="H1450">
        <v>3</v>
      </c>
      <c r="I1450">
        <v>5</v>
      </c>
      <c r="J1450">
        <v>15</v>
      </c>
      <c r="M1450" t="s">
        <v>82</v>
      </c>
      <c r="N1450" t="s">
        <v>162</v>
      </c>
    </row>
    <row r="1451" spans="1:14" x14ac:dyDescent="0.3">
      <c r="A1451" t="s">
        <v>82</v>
      </c>
      <c r="B1451">
        <f>VLOOKUP(M1451,Sheet9!$I$1:$J$17,2,FALSE)</f>
        <v>10</v>
      </c>
      <c r="C1451">
        <f>VLOOKUP(N1451,Sheet9!$M$1:$N$2,2,FALSE)</f>
        <v>1</v>
      </c>
      <c r="D1451">
        <v>32</v>
      </c>
      <c r="E1451" t="s">
        <v>167</v>
      </c>
      <c r="F1451">
        <v>110</v>
      </c>
      <c r="H1451">
        <v>32</v>
      </c>
      <c r="I1451">
        <v>0.6</v>
      </c>
      <c r="J1451">
        <v>19.2</v>
      </c>
      <c r="K1451">
        <v>1.1200000000000001</v>
      </c>
      <c r="L1451">
        <v>1.63</v>
      </c>
      <c r="M1451" t="s">
        <v>82</v>
      </c>
      <c r="N1451" t="s">
        <v>162</v>
      </c>
    </row>
    <row r="1452" spans="1:14" x14ac:dyDescent="0.3">
      <c r="A1452" t="s">
        <v>82</v>
      </c>
      <c r="B1452">
        <f>VLOOKUP(M1452,Sheet9!$I$1:$J$17,2,FALSE)</f>
        <v>10</v>
      </c>
      <c r="C1452">
        <f>VLOOKUP(N1452,Sheet9!$M$1:$N$2,2,FALSE)</f>
        <v>1</v>
      </c>
      <c r="D1452">
        <v>32</v>
      </c>
      <c r="E1452" t="s">
        <v>95</v>
      </c>
      <c r="F1452">
        <v>110</v>
      </c>
      <c r="H1452">
        <v>64</v>
      </c>
      <c r="I1452">
        <v>0.6</v>
      </c>
      <c r="J1452">
        <v>38.4</v>
      </c>
      <c r="K1452">
        <v>0.99</v>
      </c>
      <c r="L1452">
        <v>1.44</v>
      </c>
      <c r="M1452" t="s">
        <v>82</v>
      </c>
      <c r="N1452" t="s">
        <v>162</v>
      </c>
    </row>
    <row r="1453" spans="1:14" x14ac:dyDescent="0.3">
      <c r="A1453" t="s">
        <v>82</v>
      </c>
      <c r="B1453">
        <f>VLOOKUP(M1453,Sheet9!$I$1:$J$17,2,FALSE)</f>
        <v>10</v>
      </c>
      <c r="C1453">
        <f>VLOOKUP(N1453,Sheet9!$M$1:$N$2,2,FALSE)</f>
        <v>1</v>
      </c>
      <c r="D1453">
        <v>32</v>
      </c>
      <c r="E1453" t="s">
        <v>167</v>
      </c>
      <c r="F1453">
        <v>110</v>
      </c>
      <c r="H1453">
        <v>128</v>
      </c>
      <c r="I1453">
        <v>0.6</v>
      </c>
      <c r="J1453">
        <v>76.8</v>
      </c>
      <c r="K1453">
        <v>0.98</v>
      </c>
      <c r="L1453">
        <v>1.43</v>
      </c>
      <c r="M1453" t="s">
        <v>82</v>
      </c>
      <c r="N1453" t="s">
        <v>162</v>
      </c>
    </row>
    <row r="1454" spans="1:14" x14ac:dyDescent="0.3">
      <c r="A1454" t="s">
        <v>82</v>
      </c>
      <c r="B1454">
        <f>VLOOKUP(M1454,Sheet9!$I$1:$J$17,2,FALSE)</f>
        <v>10</v>
      </c>
      <c r="C1454">
        <f>VLOOKUP(N1454,Sheet9!$M$1:$N$2,2,FALSE)</f>
        <v>1</v>
      </c>
      <c r="D1454">
        <v>32</v>
      </c>
      <c r="E1454" t="s">
        <v>95</v>
      </c>
      <c r="F1454">
        <v>120</v>
      </c>
      <c r="H1454">
        <v>6</v>
      </c>
      <c r="I1454">
        <v>0.6</v>
      </c>
      <c r="J1454">
        <v>3.5999999999999996</v>
      </c>
      <c r="M1454" t="s">
        <v>82</v>
      </c>
      <c r="N1454" t="s">
        <v>162</v>
      </c>
    </row>
    <row r="1455" spans="1:14" x14ac:dyDescent="0.3">
      <c r="A1455" t="s">
        <v>82</v>
      </c>
      <c r="B1455">
        <f>VLOOKUP(M1455,Sheet9!$I$1:$J$17,2,FALSE)</f>
        <v>10</v>
      </c>
      <c r="C1455">
        <f>VLOOKUP(N1455,Sheet9!$M$1:$N$2,2,FALSE)</f>
        <v>1</v>
      </c>
      <c r="D1455">
        <v>32</v>
      </c>
      <c r="E1455" t="s">
        <v>95</v>
      </c>
      <c r="F1455">
        <v>120</v>
      </c>
      <c r="H1455">
        <v>1</v>
      </c>
      <c r="I1455">
        <v>5</v>
      </c>
      <c r="J1455">
        <v>5</v>
      </c>
      <c r="M1455" t="s">
        <v>82</v>
      </c>
      <c r="N1455" t="s">
        <v>162</v>
      </c>
    </row>
    <row r="1456" spans="1:14" x14ac:dyDescent="0.3">
      <c r="A1456" t="s">
        <v>82</v>
      </c>
      <c r="B1456">
        <f>VLOOKUP(M1456,Sheet9!$I$1:$J$17,2,FALSE)</f>
        <v>10</v>
      </c>
      <c r="C1456">
        <f>VLOOKUP(N1456,Sheet9!$M$1:$N$2,2,FALSE)</f>
        <v>1</v>
      </c>
      <c r="D1456">
        <v>32</v>
      </c>
      <c r="E1456" t="s">
        <v>95</v>
      </c>
      <c r="F1456">
        <v>120</v>
      </c>
      <c r="H1456">
        <v>1</v>
      </c>
      <c r="I1456">
        <v>10</v>
      </c>
      <c r="J1456">
        <v>10</v>
      </c>
      <c r="M1456" t="s">
        <v>82</v>
      </c>
      <c r="N1456" t="s">
        <v>162</v>
      </c>
    </row>
    <row r="1457" spans="1:14" x14ac:dyDescent="0.3">
      <c r="A1457" t="s">
        <v>82</v>
      </c>
      <c r="B1457">
        <f>VLOOKUP(M1457,Sheet9!$I$1:$J$17,2,FALSE)</f>
        <v>10</v>
      </c>
      <c r="C1457">
        <f>VLOOKUP(N1457,Sheet9!$M$1:$N$2,2,FALSE)</f>
        <v>1</v>
      </c>
      <c r="D1457">
        <v>32</v>
      </c>
      <c r="E1457" t="s">
        <v>95</v>
      </c>
      <c r="F1457">
        <v>120</v>
      </c>
      <c r="H1457">
        <v>3</v>
      </c>
      <c r="I1457">
        <v>3</v>
      </c>
      <c r="J1457">
        <v>9</v>
      </c>
      <c r="M1457" t="s">
        <v>82</v>
      </c>
      <c r="N1457" t="s">
        <v>162</v>
      </c>
    </row>
    <row r="1458" spans="1:14" x14ac:dyDescent="0.3">
      <c r="A1458" t="s">
        <v>82</v>
      </c>
      <c r="B1458">
        <f>VLOOKUP(M1458,Sheet9!$I$1:$J$17,2,FALSE)</f>
        <v>10</v>
      </c>
      <c r="C1458">
        <f>VLOOKUP(N1458,Sheet9!$M$1:$N$2,2,FALSE)</f>
        <v>1</v>
      </c>
      <c r="D1458">
        <v>32</v>
      </c>
      <c r="E1458" t="s">
        <v>95</v>
      </c>
      <c r="F1458">
        <v>120</v>
      </c>
      <c r="H1458">
        <v>3</v>
      </c>
      <c r="I1458">
        <v>5</v>
      </c>
      <c r="J1458">
        <v>15</v>
      </c>
      <c r="M1458" t="s">
        <v>82</v>
      </c>
      <c r="N1458" t="s">
        <v>162</v>
      </c>
    </row>
    <row r="1459" spans="1:14" x14ac:dyDescent="0.3">
      <c r="A1459" t="s">
        <v>82</v>
      </c>
      <c r="B1459">
        <f>VLOOKUP(M1459,Sheet9!$I$1:$J$17,2,FALSE)</f>
        <v>10</v>
      </c>
      <c r="C1459">
        <f>VLOOKUP(N1459,Sheet9!$M$1:$N$2,2,FALSE)</f>
        <v>1</v>
      </c>
      <c r="D1459">
        <v>32</v>
      </c>
      <c r="E1459" t="s">
        <v>167</v>
      </c>
      <c r="F1459">
        <v>120</v>
      </c>
      <c r="H1459">
        <v>32</v>
      </c>
      <c r="I1459">
        <v>0.6</v>
      </c>
      <c r="J1459">
        <v>19.2</v>
      </c>
      <c r="K1459">
        <v>1.63</v>
      </c>
      <c r="L1459">
        <v>2.36</v>
      </c>
      <c r="M1459" t="s">
        <v>82</v>
      </c>
      <c r="N1459" t="s">
        <v>162</v>
      </c>
    </row>
    <row r="1460" spans="1:14" x14ac:dyDescent="0.3">
      <c r="A1460" t="s">
        <v>82</v>
      </c>
      <c r="B1460">
        <f>VLOOKUP(M1460,Sheet9!$I$1:$J$17,2,FALSE)</f>
        <v>10</v>
      </c>
      <c r="C1460">
        <f>VLOOKUP(N1460,Sheet9!$M$1:$N$2,2,FALSE)</f>
        <v>1</v>
      </c>
      <c r="D1460">
        <v>32</v>
      </c>
      <c r="E1460" t="s">
        <v>95</v>
      </c>
      <c r="F1460">
        <v>120</v>
      </c>
      <c r="H1460">
        <v>64</v>
      </c>
      <c r="I1460">
        <v>0.6</v>
      </c>
      <c r="J1460">
        <v>38.4</v>
      </c>
      <c r="K1460">
        <v>1.44</v>
      </c>
      <c r="L1460">
        <v>2.09</v>
      </c>
      <c r="M1460" t="s">
        <v>82</v>
      </c>
      <c r="N1460" t="s">
        <v>162</v>
      </c>
    </row>
    <row r="1461" spans="1:14" x14ac:dyDescent="0.3">
      <c r="A1461" t="s">
        <v>82</v>
      </c>
      <c r="B1461">
        <f>VLOOKUP(M1461,Sheet9!$I$1:$J$17,2,FALSE)</f>
        <v>10</v>
      </c>
      <c r="C1461">
        <f>VLOOKUP(N1461,Sheet9!$M$1:$N$2,2,FALSE)</f>
        <v>1</v>
      </c>
      <c r="D1461">
        <v>32</v>
      </c>
      <c r="E1461" t="s">
        <v>167</v>
      </c>
      <c r="F1461">
        <v>120</v>
      </c>
      <c r="H1461">
        <v>128</v>
      </c>
      <c r="I1461">
        <v>0.6</v>
      </c>
      <c r="J1461">
        <v>76.8</v>
      </c>
      <c r="K1461">
        <v>1.43</v>
      </c>
      <c r="L1461">
        <v>2.0699999999999998</v>
      </c>
      <c r="M1461" t="s">
        <v>82</v>
      </c>
      <c r="N1461" t="s">
        <v>162</v>
      </c>
    </row>
    <row r="1462" spans="1:14" x14ac:dyDescent="0.3">
      <c r="A1462" t="s">
        <v>82</v>
      </c>
      <c r="B1462">
        <f>VLOOKUP(M1462,Sheet9!$I$1:$J$17,2,FALSE)</f>
        <v>10</v>
      </c>
      <c r="C1462">
        <f>VLOOKUP(N1462,Sheet9!$M$1:$N$2,2,FALSE)</f>
        <v>1</v>
      </c>
      <c r="D1462">
        <v>32</v>
      </c>
      <c r="E1462" t="s">
        <v>95</v>
      </c>
      <c r="F1462">
        <v>130</v>
      </c>
      <c r="H1462">
        <v>6</v>
      </c>
      <c r="I1462">
        <v>0.6</v>
      </c>
      <c r="J1462">
        <v>3.5999999999999996</v>
      </c>
      <c r="M1462" t="s">
        <v>82</v>
      </c>
      <c r="N1462" t="s">
        <v>162</v>
      </c>
    </row>
    <row r="1463" spans="1:14" x14ac:dyDescent="0.3">
      <c r="A1463" t="s">
        <v>82</v>
      </c>
      <c r="B1463">
        <f>VLOOKUP(M1463,Sheet9!$I$1:$J$17,2,FALSE)</f>
        <v>10</v>
      </c>
      <c r="C1463">
        <f>VLOOKUP(N1463,Sheet9!$M$1:$N$2,2,FALSE)</f>
        <v>1</v>
      </c>
      <c r="D1463">
        <v>32</v>
      </c>
      <c r="E1463" t="s">
        <v>95</v>
      </c>
      <c r="F1463">
        <v>130</v>
      </c>
      <c r="H1463">
        <v>1</v>
      </c>
      <c r="I1463">
        <v>5</v>
      </c>
      <c r="J1463">
        <v>5</v>
      </c>
      <c r="M1463" t="s">
        <v>82</v>
      </c>
      <c r="N1463" t="s">
        <v>162</v>
      </c>
    </row>
    <row r="1464" spans="1:14" x14ac:dyDescent="0.3">
      <c r="A1464" t="s">
        <v>82</v>
      </c>
      <c r="B1464">
        <f>VLOOKUP(M1464,Sheet9!$I$1:$J$17,2,FALSE)</f>
        <v>10</v>
      </c>
      <c r="C1464">
        <f>VLOOKUP(N1464,Sheet9!$M$1:$N$2,2,FALSE)</f>
        <v>1</v>
      </c>
      <c r="D1464">
        <v>32</v>
      </c>
      <c r="E1464" t="s">
        <v>95</v>
      </c>
      <c r="F1464">
        <v>130</v>
      </c>
      <c r="H1464">
        <v>1</v>
      </c>
      <c r="I1464">
        <v>10</v>
      </c>
      <c r="J1464">
        <v>10</v>
      </c>
      <c r="M1464" t="s">
        <v>82</v>
      </c>
      <c r="N1464" t="s">
        <v>162</v>
      </c>
    </row>
    <row r="1465" spans="1:14" x14ac:dyDescent="0.3">
      <c r="A1465" t="s">
        <v>82</v>
      </c>
      <c r="B1465">
        <f>VLOOKUP(M1465,Sheet9!$I$1:$J$17,2,FALSE)</f>
        <v>10</v>
      </c>
      <c r="C1465">
        <f>VLOOKUP(N1465,Sheet9!$M$1:$N$2,2,FALSE)</f>
        <v>1</v>
      </c>
      <c r="D1465">
        <v>32</v>
      </c>
      <c r="E1465" t="s">
        <v>95</v>
      </c>
      <c r="F1465">
        <v>130</v>
      </c>
      <c r="H1465">
        <v>3</v>
      </c>
      <c r="I1465">
        <v>3</v>
      </c>
      <c r="J1465">
        <v>9</v>
      </c>
      <c r="M1465" t="s">
        <v>82</v>
      </c>
      <c r="N1465" t="s">
        <v>162</v>
      </c>
    </row>
    <row r="1466" spans="1:14" x14ac:dyDescent="0.3">
      <c r="A1466" t="s">
        <v>82</v>
      </c>
      <c r="B1466">
        <f>VLOOKUP(M1466,Sheet9!$I$1:$J$17,2,FALSE)</f>
        <v>10</v>
      </c>
      <c r="C1466">
        <f>VLOOKUP(N1466,Sheet9!$M$1:$N$2,2,FALSE)</f>
        <v>1</v>
      </c>
      <c r="D1466">
        <v>32</v>
      </c>
      <c r="E1466" t="s">
        <v>95</v>
      </c>
      <c r="F1466">
        <v>130</v>
      </c>
      <c r="H1466">
        <v>3</v>
      </c>
      <c r="I1466">
        <v>5</v>
      </c>
      <c r="J1466">
        <v>15</v>
      </c>
      <c r="M1466" t="s">
        <v>82</v>
      </c>
      <c r="N1466" t="s">
        <v>162</v>
      </c>
    </row>
    <row r="1467" spans="1:14" x14ac:dyDescent="0.3">
      <c r="A1467" t="s">
        <v>82</v>
      </c>
      <c r="B1467">
        <f>VLOOKUP(M1467,Sheet9!$I$1:$J$17,2,FALSE)</f>
        <v>10</v>
      </c>
      <c r="C1467">
        <f>VLOOKUP(N1467,Sheet9!$M$1:$N$2,2,FALSE)</f>
        <v>1</v>
      </c>
      <c r="D1467">
        <v>32</v>
      </c>
      <c r="E1467" t="s">
        <v>167</v>
      </c>
      <c r="F1467">
        <v>130</v>
      </c>
      <c r="H1467">
        <v>32</v>
      </c>
      <c r="I1467">
        <v>0.6</v>
      </c>
      <c r="J1467">
        <v>19.2</v>
      </c>
      <c r="K1467">
        <v>2.2599999999999998</v>
      </c>
      <c r="L1467">
        <v>3.25</v>
      </c>
      <c r="M1467" t="s">
        <v>82</v>
      </c>
      <c r="N1467" t="s">
        <v>162</v>
      </c>
    </row>
    <row r="1468" spans="1:14" x14ac:dyDescent="0.3">
      <c r="A1468" t="s">
        <v>82</v>
      </c>
      <c r="B1468">
        <f>VLOOKUP(M1468,Sheet9!$I$1:$J$17,2,FALSE)</f>
        <v>10</v>
      </c>
      <c r="C1468">
        <f>VLOOKUP(N1468,Sheet9!$M$1:$N$2,2,FALSE)</f>
        <v>1</v>
      </c>
      <c r="D1468">
        <v>32</v>
      </c>
      <c r="E1468" t="s">
        <v>95</v>
      </c>
      <c r="F1468">
        <v>130</v>
      </c>
      <c r="H1468">
        <v>64</v>
      </c>
      <c r="I1468">
        <v>0.6</v>
      </c>
      <c r="J1468">
        <v>38.4</v>
      </c>
      <c r="K1468">
        <v>1.99</v>
      </c>
      <c r="L1468">
        <v>2.88</v>
      </c>
      <c r="M1468" t="s">
        <v>82</v>
      </c>
      <c r="N1468" t="s">
        <v>162</v>
      </c>
    </row>
    <row r="1469" spans="1:14" x14ac:dyDescent="0.3">
      <c r="A1469" t="s">
        <v>82</v>
      </c>
      <c r="B1469">
        <f>VLOOKUP(M1469,Sheet9!$I$1:$J$17,2,FALSE)</f>
        <v>10</v>
      </c>
      <c r="C1469">
        <f>VLOOKUP(N1469,Sheet9!$M$1:$N$2,2,FALSE)</f>
        <v>1</v>
      </c>
      <c r="D1469">
        <v>32</v>
      </c>
      <c r="E1469" t="s">
        <v>167</v>
      </c>
      <c r="F1469">
        <v>130</v>
      </c>
      <c r="H1469">
        <v>128</v>
      </c>
      <c r="I1469">
        <v>0.6</v>
      </c>
      <c r="J1469">
        <v>76.8</v>
      </c>
      <c r="K1469">
        <v>1.98</v>
      </c>
      <c r="L1469">
        <v>2.85</v>
      </c>
      <c r="M1469" t="s">
        <v>82</v>
      </c>
      <c r="N1469" t="s">
        <v>162</v>
      </c>
    </row>
    <row r="1470" spans="1:14" x14ac:dyDescent="0.3">
      <c r="A1470" t="s">
        <v>82</v>
      </c>
      <c r="B1470">
        <f>VLOOKUP(M1470,Sheet9!$I$1:$J$17,2,FALSE)</f>
        <v>10</v>
      </c>
      <c r="C1470">
        <f>VLOOKUP(N1470,Sheet9!$M$1:$N$2,2,FALSE)</f>
        <v>1</v>
      </c>
      <c r="D1470">
        <v>32</v>
      </c>
      <c r="E1470" t="s">
        <v>95</v>
      </c>
      <c r="F1470">
        <v>140</v>
      </c>
      <c r="H1470">
        <v>6</v>
      </c>
      <c r="I1470">
        <v>0.6</v>
      </c>
      <c r="J1470">
        <v>3.5999999999999996</v>
      </c>
      <c r="K1470">
        <v>3.86</v>
      </c>
      <c r="L1470">
        <v>5.54</v>
      </c>
      <c r="M1470" t="s">
        <v>82</v>
      </c>
      <c r="N1470" t="s">
        <v>162</v>
      </c>
    </row>
    <row r="1471" spans="1:14" x14ac:dyDescent="0.3">
      <c r="A1471" t="s">
        <v>82</v>
      </c>
      <c r="B1471">
        <f>VLOOKUP(M1471,Sheet9!$I$1:$J$17,2,FALSE)</f>
        <v>10</v>
      </c>
      <c r="C1471">
        <f>VLOOKUP(N1471,Sheet9!$M$1:$N$2,2,FALSE)</f>
        <v>1</v>
      </c>
      <c r="D1471">
        <v>32</v>
      </c>
      <c r="E1471" t="s">
        <v>95</v>
      </c>
      <c r="F1471">
        <v>140</v>
      </c>
      <c r="H1471">
        <v>1</v>
      </c>
      <c r="I1471">
        <v>5</v>
      </c>
      <c r="J1471">
        <v>5</v>
      </c>
      <c r="M1471" t="s">
        <v>82</v>
      </c>
      <c r="N1471" t="s">
        <v>162</v>
      </c>
    </row>
    <row r="1472" spans="1:14" x14ac:dyDescent="0.3">
      <c r="A1472" t="s">
        <v>82</v>
      </c>
      <c r="B1472">
        <f>VLOOKUP(M1472,Sheet9!$I$1:$J$17,2,FALSE)</f>
        <v>10</v>
      </c>
      <c r="C1472">
        <f>VLOOKUP(N1472,Sheet9!$M$1:$N$2,2,FALSE)</f>
        <v>1</v>
      </c>
      <c r="D1472">
        <v>32</v>
      </c>
      <c r="E1472" t="s">
        <v>95</v>
      </c>
      <c r="F1472">
        <v>140</v>
      </c>
      <c r="H1472">
        <v>1</v>
      </c>
      <c r="I1472">
        <v>10</v>
      </c>
      <c r="J1472">
        <v>10</v>
      </c>
      <c r="M1472" t="s">
        <v>82</v>
      </c>
      <c r="N1472" t="s">
        <v>162</v>
      </c>
    </row>
    <row r="1473" spans="1:14" x14ac:dyDescent="0.3">
      <c r="A1473" t="s">
        <v>82</v>
      </c>
      <c r="B1473">
        <f>VLOOKUP(M1473,Sheet9!$I$1:$J$17,2,FALSE)</f>
        <v>10</v>
      </c>
      <c r="C1473">
        <f>VLOOKUP(N1473,Sheet9!$M$1:$N$2,2,FALSE)</f>
        <v>1</v>
      </c>
      <c r="D1473">
        <v>32</v>
      </c>
      <c r="E1473" t="s">
        <v>95</v>
      </c>
      <c r="F1473">
        <v>140</v>
      </c>
      <c r="H1473">
        <v>3</v>
      </c>
      <c r="I1473">
        <v>3</v>
      </c>
      <c r="J1473">
        <v>9</v>
      </c>
      <c r="M1473" t="s">
        <v>82</v>
      </c>
      <c r="N1473" t="s">
        <v>162</v>
      </c>
    </row>
    <row r="1474" spans="1:14" x14ac:dyDescent="0.3">
      <c r="A1474" t="s">
        <v>82</v>
      </c>
      <c r="B1474">
        <f>VLOOKUP(M1474,Sheet9!$I$1:$J$17,2,FALSE)</f>
        <v>10</v>
      </c>
      <c r="C1474">
        <f>VLOOKUP(N1474,Sheet9!$M$1:$N$2,2,FALSE)</f>
        <v>1</v>
      </c>
      <c r="D1474">
        <v>32</v>
      </c>
      <c r="E1474" t="s">
        <v>95</v>
      </c>
      <c r="F1474">
        <v>140</v>
      </c>
      <c r="H1474">
        <v>3</v>
      </c>
      <c r="I1474">
        <v>5</v>
      </c>
      <c r="J1474">
        <v>15</v>
      </c>
      <c r="M1474" t="s">
        <v>82</v>
      </c>
      <c r="N1474" t="s">
        <v>162</v>
      </c>
    </row>
    <row r="1475" spans="1:14" x14ac:dyDescent="0.3">
      <c r="A1475" t="s">
        <v>82</v>
      </c>
      <c r="B1475">
        <f>VLOOKUP(M1475,Sheet9!$I$1:$J$17,2,FALSE)</f>
        <v>10</v>
      </c>
      <c r="C1475">
        <f>VLOOKUP(N1475,Sheet9!$M$1:$N$2,2,FALSE)</f>
        <v>1</v>
      </c>
      <c r="D1475">
        <v>32</v>
      </c>
      <c r="E1475" t="s">
        <v>167</v>
      </c>
      <c r="F1475">
        <v>140</v>
      </c>
      <c r="H1475">
        <v>32</v>
      </c>
      <c r="I1475">
        <v>0.6</v>
      </c>
      <c r="J1475">
        <v>19.2</v>
      </c>
      <c r="K1475">
        <v>3</v>
      </c>
      <c r="L1475">
        <v>4.3</v>
      </c>
      <c r="M1475" t="s">
        <v>82</v>
      </c>
      <c r="N1475" t="s">
        <v>162</v>
      </c>
    </row>
    <row r="1476" spans="1:14" x14ac:dyDescent="0.3">
      <c r="A1476" t="s">
        <v>82</v>
      </c>
      <c r="B1476">
        <f>VLOOKUP(M1476,Sheet9!$I$1:$J$17,2,FALSE)</f>
        <v>10</v>
      </c>
      <c r="C1476">
        <f>VLOOKUP(N1476,Sheet9!$M$1:$N$2,2,FALSE)</f>
        <v>1</v>
      </c>
      <c r="D1476">
        <v>32</v>
      </c>
      <c r="E1476" t="s">
        <v>95</v>
      </c>
      <c r="F1476">
        <v>140</v>
      </c>
      <c r="H1476">
        <v>64</v>
      </c>
      <c r="I1476">
        <v>0.6</v>
      </c>
      <c r="J1476">
        <v>38.4</v>
      </c>
      <c r="K1476">
        <v>2.63</v>
      </c>
      <c r="L1476">
        <v>3.81</v>
      </c>
      <c r="M1476" t="s">
        <v>82</v>
      </c>
      <c r="N1476" t="s">
        <v>162</v>
      </c>
    </row>
    <row r="1477" spans="1:14" x14ac:dyDescent="0.3">
      <c r="A1477" t="s">
        <v>82</v>
      </c>
      <c r="B1477">
        <f>VLOOKUP(M1477,Sheet9!$I$1:$J$17,2,FALSE)</f>
        <v>10</v>
      </c>
      <c r="C1477">
        <f>VLOOKUP(N1477,Sheet9!$M$1:$N$2,2,FALSE)</f>
        <v>1</v>
      </c>
      <c r="D1477">
        <v>32</v>
      </c>
      <c r="E1477" t="s">
        <v>167</v>
      </c>
      <c r="F1477">
        <v>140</v>
      </c>
      <c r="H1477">
        <v>128</v>
      </c>
      <c r="I1477">
        <v>0.6</v>
      </c>
      <c r="J1477">
        <v>76.8</v>
      </c>
      <c r="K1477">
        <v>2.62</v>
      </c>
      <c r="L1477">
        <v>3.77</v>
      </c>
      <c r="M1477" t="s">
        <v>82</v>
      </c>
      <c r="N1477" t="s">
        <v>162</v>
      </c>
    </row>
    <row r="1478" spans="1:14" x14ac:dyDescent="0.3">
      <c r="A1478" t="s">
        <v>82</v>
      </c>
      <c r="B1478">
        <f>VLOOKUP(M1478,Sheet9!$I$1:$J$17,2,FALSE)</f>
        <v>10</v>
      </c>
      <c r="C1478">
        <f>VLOOKUP(N1478,Sheet9!$M$1:$N$2,2,FALSE)</f>
        <v>1</v>
      </c>
      <c r="D1478">
        <v>32</v>
      </c>
      <c r="E1478" t="s">
        <v>95</v>
      </c>
      <c r="F1478">
        <v>150</v>
      </c>
      <c r="H1478">
        <v>6</v>
      </c>
      <c r="I1478">
        <v>0.6</v>
      </c>
      <c r="J1478">
        <v>3.5999999999999996</v>
      </c>
      <c r="M1478" t="s">
        <v>82</v>
      </c>
      <c r="N1478" t="s">
        <v>162</v>
      </c>
    </row>
    <row r="1479" spans="1:14" x14ac:dyDescent="0.3">
      <c r="A1479" t="s">
        <v>82</v>
      </c>
      <c r="B1479">
        <f>VLOOKUP(M1479,Sheet9!$I$1:$J$17,2,FALSE)</f>
        <v>10</v>
      </c>
      <c r="C1479">
        <f>VLOOKUP(N1479,Sheet9!$M$1:$N$2,2,FALSE)</f>
        <v>1</v>
      </c>
      <c r="D1479">
        <v>32</v>
      </c>
      <c r="E1479" t="s">
        <v>95</v>
      </c>
      <c r="F1479">
        <v>150</v>
      </c>
      <c r="H1479">
        <v>1</v>
      </c>
      <c r="I1479">
        <v>5</v>
      </c>
      <c r="J1479">
        <v>5</v>
      </c>
      <c r="M1479" t="s">
        <v>82</v>
      </c>
      <c r="N1479" t="s">
        <v>162</v>
      </c>
    </row>
    <row r="1480" spans="1:14" x14ac:dyDescent="0.3">
      <c r="A1480" t="s">
        <v>82</v>
      </c>
      <c r="B1480">
        <f>VLOOKUP(M1480,Sheet9!$I$1:$J$17,2,FALSE)</f>
        <v>10</v>
      </c>
      <c r="C1480">
        <f>VLOOKUP(N1480,Sheet9!$M$1:$N$2,2,FALSE)</f>
        <v>1</v>
      </c>
      <c r="D1480">
        <v>32</v>
      </c>
      <c r="E1480" t="s">
        <v>95</v>
      </c>
      <c r="F1480">
        <v>150</v>
      </c>
      <c r="H1480">
        <v>1</v>
      </c>
      <c r="I1480">
        <v>10</v>
      </c>
      <c r="J1480">
        <v>10</v>
      </c>
      <c r="M1480" t="s">
        <v>82</v>
      </c>
      <c r="N1480" t="s">
        <v>162</v>
      </c>
    </row>
    <row r="1481" spans="1:14" x14ac:dyDescent="0.3">
      <c r="A1481" t="s">
        <v>82</v>
      </c>
      <c r="B1481">
        <f>VLOOKUP(M1481,Sheet9!$I$1:$J$17,2,FALSE)</f>
        <v>10</v>
      </c>
      <c r="C1481">
        <f>VLOOKUP(N1481,Sheet9!$M$1:$N$2,2,FALSE)</f>
        <v>1</v>
      </c>
      <c r="D1481">
        <v>32</v>
      </c>
      <c r="E1481" t="s">
        <v>95</v>
      </c>
      <c r="F1481">
        <v>150</v>
      </c>
      <c r="H1481">
        <v>3</v>
      </c>
      <c r="I1481">
        <v>3</v>
      </c>
      <c r="J1481">
        <v>9</v>
      </c>
      <c r="M1481" t="s">
        <v>82</v>
      </c>
      <c r="N1481" t="s">
        <v>162</v>
      </c>
    </row>
    <row r="1482" spans="1:14" x14ac:dyDescent="0.3">
      <c r="A1482" t="s">
        <v>82</v>
      </c>
      <c r="B1482">
        <f>VLOOKUP(M1482,Sheet9!$I$1:$J$17,2,FALSE)</f>
        <v>10</v>
      </c>
      <c r="C1482">
        <f>VLOOKUP(N1482,Sheet9!$M$1:$N$2,2,FALSE)</f>
        <v>1</v>
      </c>
      <c r="D1482">
        <v>32</v>
      </c>
      <c r="E1482" t="s">
        <v>95</v>
      </c>
      <c r="F1482">
        <v>150</v>
      </c>
      <c r="H1482">
        <v>3</v>
      </c>
      <c r="I1482">
        <v>5</v>
      </c>
      <c r="J1482">
        <v>15</v>
      </c>
      <c r="M1482" t="s">
        <v>82</v>
      </c>
      <c r="N1482" t="s">
        <v>162</v>
      </c>
    </row>
    <row r="1483" spans="1:14" x14ac:dyDescent="0.3">
      <c r="A1483" t="s">
        <v>82</v>
      </c>
      <c r="B1483">
        <f>VLOOKUP(M1483,Sheet9!$I$1:$J$17,2,FALSE)</f>
        <v>10</v>
      </c>
      <c r="C1483">
        <f>VLOOKUP(N1483,Sheet9!$M$1:$N$2,2,FALSE)</f>
        <v>1</v>
      </c>
      <c r="D1483">
        <v>32</v>
      </c>
      <c r="E1483" t="s">
        <v>167</v>
      </c>
      <c r="F1483">
        <v>150</v>
      </c>
      <c r="H1483">
        <v>32</v>
      </c>
      <c r="I1483">
        <v>0.6</v>
      </c>
      <c r="J1483">
        <v>19.2</v>
      </c>
      <c r="K1483">
        <v>3.84</v>
      </c>
      <c r="L1483">
        <v>5.5</v>
      </c>
      <c r="M1483" t="s">
        <v>82</v>
      </c>
      <c r="N1483" t="s">
        <v>162</v>
      </c>
    </row>
    <row r="1484" spans="1:14" x14ac:dyDescent="0.3">
      <c r="A1484" t="s">
        <v>82</v>
      </c>
      <c r="B1484">
        <f>VLOOKUP(M1484,Sheet9!$I$1:$J$17,2,FALSE)</f>
        <v>10</v>
      </c>
      <c r="C1484">
        <f>VLOOKUP(N1484,Sheet9!$M$1:$N$2,2,FALSE)</f>
        <v>1</v>
      </c>
      <c r="D1484">
        <v>32</v>
      </c>
      <c r="E1484" t="s">
        <v>95</v>
      </c>
      <c r="F1484">
        <v>150</v>
      </c>
      <c r="H1484">
        <v>64</v>
      </c>
      <c r="I1484">
        <v>0.6</v>
      </c>
      <c r="J1484">
        <v>38.4</v>
      </c>
      <c r="K1484">
        <v>3.38</v>
      </c>
      <c r="L1484">
        <v>4.87</v>
      </c>
      <c r="M1484" t="s">
        <v>82</v>
      </c>
      <c r="N1484" t="s">
        <v>162</v>
      </c>
    </row>
    <row r="1485" spans="1:14" x14ac:dyDescent="0.3">
      <c r="A1485" t="s">
        <v>82</v>
      </c>
      <c r="B1485">
        <f>VLOOKUP(M1485,Sheet9!$I$1:$J$17,2,FALSE)</f>
        <v>10</v>
      </c>
      <c r="C1485">
        <f>VLOOKUP(N1485,Sheet9!$M$1:$N$2,2,FALSE)</f>
        <v>1</v>
      </c>
      <c r="D1485">
        <v>32</v>
      </c>
      <c r="E1485" t="s">
        <v>167</v>
      </c>
      <c r="F1485">
        <v>150</v>
      </c>
      <c r="H1485">
        <v>128</v>
      </c>
      <c r="I1485">
        <v>0.6</v>
      </c>
      <c r="J1485">
        <v>76.8</v>
      </c>
      <c r="K1485">
        <v>3.36</v>
      </c>
      <c r="L1485">
        <v>4.83</v>
      </c>
      <c r="M1485" t="s">
        <v>82</v>
      </c>
      <c r="N1485" t="s">
        <v>162</v>
      </c>
    </row>
    <row r="1486" spans="1:14" x14ac:dyDescent="0.3">
      <c r="A1486" t="s">
        <v>82</v>
      </c>
      <c r="B1486">
        <f>VLOOKUP(M1486,Sheet9!$I$1:$J$17,2,FALSE)</f>
        <v>10</v>
      </c>
      <c r="C1486">
        <f>VLOOKUP(N1486,Sheet9!$M$1:$N$2,2,FALSE)</f>
        <v>1</v>
      </c>
      <c r="D1486">
        <v>32</v>
      </c>
      <c r="E1486" t="s">
        <v>95</v>
      </c>
      <c r="F1486">
        <v>150</v>
      </c>
      <c r="G1486" t="s">
        <v>170</v>
      </c>
      <c r="H1486">
        <v>6</v>
      </c>
      <c r="I1486">
        <v>0.6</v>
      </c>
      <c r="J1486">
        <v>3.5999999999999996</v>
      </c>
      <c r="M1486" t="s">
        <v>82</v>
      </c>
      <c r="N1486" t="s">
        <v>162</v>
      </c>
    </row>
    <row r="1487" spans="1:14" x14ac:dyDescent="0.3">
      <c r="A1487" t="s">
        <v>82</v>
      </c>
      <c r="B1487">
        <f>VLOOKUP(M1487,Sheet9!$I$1:$J$17,2,FALSE)</f>
        <v>10</v>
      </c>
      <c r="C1487">
        <f>VLOOKUP(N1487,Sheet9!$M$1:$N$2,2,FALSE)</f>
        <v>1</v>
      </c>
      <c r="D1487">
        <v>32</v>
      </c>
      <c r="E1487" t="s">
        <v>95</v>
      </c>
      <c r="F1487">
        <v>150</v>
      </c>
      <c r="H1487">
        <v>1</v>
      </c>
      <c r="I1487">
        <v>5</v>
      </c>
      <c r="J1487">
        <v>5</v>
      </c>
      <c r="M1487" t="s">
        <v>82</v>
      </c>
      <c r="N1487" t="s">
        <v>162</v>
      </c>
    </row>
    <row r="1488" spans="1:14" x14ac:dyDescent="0.3">
      <c r="A1488" t="s">
        <v>82</v>
      </c>
      <c r="B1488">
        <f>VLOOKUP(M1488,Sheet9!$I$1:$J$17,2,FALSE)</f>
        <v>10</v>
      </c>
      <c r="C1488">
        <f>VLOOKUP(N1488,Sheet9!$M$1:$N$2,2,FALSE)</f>
        <v>1</v>
      </c>
      <c r="D1488">
        <v>32</v>
      </c>
      <c r="E1488" t="s">
        <v>95</v>
      </c>
      <c r="F1488">
        <v>150</v>
      </c>
      <c r="H1488">
        <v>1</v>
      </c>
      <c r="I1488">
        <v>10</v>
      </c>
      <c r="J1488">
        <v>10</v>
      </c>
      <c r="M1488" t="s">
        <v>82</v>
      </c>
      <c r="N1488" t="s">
        <v>162</v>
      </c>
    </row>
    <row r="1489" spans="1:14" x14ac:dyDescent="0.3">
      <c r="A1489" t="s">
        <v>82</v>
      </c>
      <c r="B1489">
        <f>VLOOKUP(M1489,Sheet9!$I$1:$J$17,2,FALSE)</f>
        <v>10</v>
      </c>
      <c r="C1489">
        <f>VLOOKUP(N1489,Sheet9!$M$1:$N$2,2,FALSE)</f>
        <v>1</v>
      </c>
      <c r="D1489">
        <v>32</v>
      </c>
      <c r="E1489" t="s">
        <v>95</v>
      </c>
      <c r="F1489">
        <v>150</v>
      </c>
      <c r="H1489">
        <v>3</v>
      </c>
      <c r="I1489">
        <v>3</v>
      </c>
      <c r="J1489">
        <v>9</v>
      </c>
      <c r="M1489" t="s">
        <v>82</v>
      </c>
      <c r="N1489" t="s">
        <v>162</v>
      </c>
    </row>
    <row r="1490" spans="1:14" x14ac:dyDescent="0.3">
      <c r="A1490" t="s">
        <v>82</v>
      </c>
      <c r="B1490">
        <f>VLOOKUP(M1490,Sheet9!$I$1:$J$17,2,FALSE)</f>
        <v>10</v>
      </c>
      <c r="C1490">
        <f>VLOOKUP(N1490,Sheet9!$M$1:$N$2,2,FALSE)</f>
        <v>1</v>
      </c>
      <c r="D1490">
        <v>32</v>
      </c>
      <c r="E1490" t="s">
        <v>95</v>
      </c>
      <c r="F1490">
        <v>150</v>
      </c>
      <c r="H1490">
        <v>3</v>
      </c>
      <c r="I1490">
        <v>5</v>
      </c>
      <c r="J1490">
        <v>15</v>
      </c>
      <c r="M1490" t="s">
        <v>82</v>
      </c>
      <c r="N1490" t="s">
        <v>162</v>
      </c>
    </row>
    <row r="1491" spans="1:14" x14ac:dyDescent="0.3">
      <c r="A1491" t="s">
        <v>82</v>
      </c>
      <c r="B1491">
        <f>VLOOKUP(M1491,Sheet9!$I$1:$J$17,2,FALSE)</f>
        <v>10</v>
      </c>
      <c r="C1491">
        <f>VLOOKUP(N1491,Sheet9!$M$1:$N$2,2,FALSE)</f>
        <v>1</v>
      </c>
      <c r="D1491">
        <v>32</v>
      </c>
      <c r="E1491" t="s">
        <v>167</v>
      </c>
      <c r="F1491">
        <v>150</v>
      </c>
      <c r="H1491">
        <v>32</v>
      </c>
      <c r="I1491">
        <v>0.6</v>
      </c>
      <c r="J1491">
        <v>19.2</v>
      </c>
      <c r="K1491">
        <v>2.34</v>
      </c>
      <c r="L1491">
        <v>3.32</v>
      </c>
      <c r="M1491" t="s">
        <v>82</v>
      </c>
      <c r="N1491" t="s">
        <v>162</v>
      </c>
    </row>
    <row r="1492" spans="1:14" x14ac:dyDescent="0.3">
      <c r="A1492" t="s">
        <v>82</v>
      </c>
      <c r="B1492">
        <f>VLOOKUP(M1492,Sheet9!$I$1:$J$17,2,FALSE)</f>
        <v>10</v>
      </c>
      <c r="C1492">
        <f>VLOOKUP(N1492,Sheet9!$M$1:$N$2,2,FALSE)</f>
        <v>1</v>
      </c>
      <c r="D1492">
        <v>32</v>
      </c>
      <c r="E1492" t="s">
        <v>95</v>
      </c>
      <c r="F1492">
        <v>150</v>
      </c>
      <c r="H1492">
        <v>64</v>
      </c>
      <c r="I1492">
        <v>0.6</v>
      </c>
      <c r="J1492">
        <v>38.4</v>
      </c>
      <c r="K1492">
        <v>2.06</v>
      </c>
      <c r="L1492">
        <v>2.95</v>
      </c>
      <c r="M1492" t="s">
        <v>82</v>
      </c>
      <c r="N1492" t="s">
        <v>162</v>
      </c>
    </row>
    <row r="1493" spans="1:14" x14ac:dyDescent="0.3">
      <c r="A1493" t="s">
        <v>82</v>
      </c>
      <c r="B1493">
        <f>VLOOKUP(M1493,Sheet9!$I$1:$J$17,2,FALSE)</f>
        <v>10</v>
      </c>
      <c r="C1493">
        <f>VLOOKUP(N1493,Sheet9!$M$1:$N$2,2,FALSE)</f>
        <v>1</v>
      </c>
      <c r="D1493">
        <v>32</v>
      </c>
      <c r="E1493" t="s">
        <v>167</v>
      </c>
      <c r="F1493">
        <v>150</v>
      </c>
      <c r="H1493">
        <v>128</v>
      </c>
      <c r="I1493">
        <v>0.6</v>
      </c>
      <c r="J1493">
        <v>76.8</v>
      </c>
      <c r="K1493">
        <v>2.06</v>
      </c>
      <c r="L1493">
        <v>2.93</v>
      </c>
      <c r="M1493" t="s">
        <v>82</v>
      </c>
      <c r="N1493" t="s">
        <v>162</v>
      </c>
    </row>
    <row r="1494" spans="1:14" x14ac:dyDescent="0.3">
      <c r="A1494" t="s">
        <v>82</v>
      </c>
      <c r="B1494">
        <f>VLOOKUP(M1494,Sheet9!$I$1:$J$17,2,FALSE)</f>
        <v>10</v>
      </c>
      <c r="C1494">
        <f>VLOOKUP(N1494,Sheet9!$M$1:$N$2,2,FALSE)</f>
        <v>1</v>
      </c>
      <c r="D1494">
        <v>32</v>
      </c>
      <c r="E1494" t="s">
        <v>95</v>
      </c>
      <c r="F1494">
        <v>120</v>
      </c>
      <c r="G1494" t="s">
        <v>141</v>
      </c>
      <c r="H1494">
        <v>6</v>
      </c>
      <c r="I1494">
        <v>0.6</v>
      </c>
      <c r="J1494">
        <v>3.5999999999999996</v>
      </c>
      <c r="M1494" t="s">
        <v>82</v>
      </c>
      <c r="N1494" t="s">
        <v>162</v>
      </c>
    </row>
    <row r="1495" spans="1:14" x14ac:dyDescent="0.3">
      <c r="A1495" t="s">
        <v>82</v>
      </c>
      <c r="B1495">
        <f>VLOOKUP(M1495,Sheet9!$I$1:$J$17,2,FALSE)</f>
        <v>10</v>
      </c>
      <c r="C1495">
        <f>VLOOKUP(N1495,Sheet9!$M$1:$N$2,2,FALSE)</f>
        <v>1</v>
      </c>
      <c r="D1495">
        <v>32</v>
      </c>
      <c r="E1495" t="s">
        <v>95</v>
      </c>
      <c r="F1495">
        <v>120</v>
      </c>
      <c r="H1495">
        <v>1</v>
      </c>
      <c r="I1495">
        <v>5</v>
      </c>
      <c r="J1495">
        <v>5</v>
      </c>
      <c r="M1495" t="s">
        <v>82</v>
      </c>
      <c r="N1495" t="s">
        <v>162</v>
      </c>
    </row>
    <row r="1496" spans="1:14" x14ac:dyDescent="0.3">
      <c r="A1496" t="s">
        <v>82</v>
      </c>
      <c r="B1496">
        <f>VLOOKUP(M1496,Sheet9!$I$1:$J$17,2,FALSE)</f>
        <v>10</v>
      </c>
      <c r="C1496">
        <f>VLOOKUP(N1496,Sheet9!$M$1:$N$2,2,FALSE)</f>
        <v>1</v>
      </c>
      <c r="D1496">
        <v>32</v>
      </c>
      <c r="E1496" t="s">
        <v>95</v>
      </c>
      <c r="F1496">
        <v>120</v>
      </c>
      <c r="H1496">
        <v>1</v>
      </c>
      <c r="I1496">
        <v>10</v>
      </c>
      <c r="J1496">
        <v>10</v>
      </c>
      <c r="M1496" t="s">
        <v>82</v>
      </c>
      <c r="N1496" t="s">
        <v>162</v>
      </c>
    </row>
    <row r="1497" spans="1:14" x14ac:dyDescent="0.3">
      <c r="A1497" t="s">
        <v>82</v>
      </c>
      <c r="B1497">
        <f>VLOOKUP(M1497,Sheet9!$I$1:$J$17,2,FALSE)</f>
        <v>10</v>
      </c>
      <c r="C1497">
        <f>VLOOKUP(N1497,Sheet9!$M$1:$N$2,2,FALSE)</f>
        <v>1</v>
      </c>
      <c r="D1497">
        <v>32</v>
      </c>
      <c r="E1497" t="s">
        <v>95</v>
      </c>
      <c r="F1497">
        <v>120</v>
      </c>
      <c r="H1497">
        <v>3</v>
      </c>
      <c r="I1497">
        <v>3</v>
      </c>
      <c r="J1497">
        <v>9</v>
      </c>
      <c r="M1497" t="s">
        <v>82</v>
      </c>
      <c r="N1497" t="s">
        <v>162</v>
      </c>
    </row>
    <row r="1498" spans="1:14" x14ac:dyDescent="0.3">
      <c r="A1498" t="s">
        <v>82</v>
      </c>
      <c r="B1498">
        <f>VLOOKUP(M1498,Sheet9!$I$1:$J$17,2,FALSE)</f>
        <v>10</v>
      </c>
      <c r="C1498">
        <f>VLOOKUP(N1498,Sheet9!$M$1:$N$2,2,FALSE)</f>
        <v>1</v>
      </c>
      <c r="D1498">
        <v>32</v>
      </c>
      <c r="E1498" t="s">
        <v>95</v>
      </c>
      <c r="F1498">
        <v>120</v>
      </c>
      <c r="H1498">
        <v>3</v>
      </c>
      <c r="I1498">
        <v>5</v>
      </c>
      <c r="J1498">
        <v>15</v>
      </c>
      <c r="M1498" t="s">
        <v>82</v>
      </c>
      <c r="N1498" t="s">
        <v>162</v>
      </c>
    </row>
    <row r="1499" spans="1:14" x14ac:dyDescent="0.3">
      <c r="A1499" t="s">
        <v>82</v>
      </c>
      <c r="B1499">
        <f>VLOOKUP(M1499,Sheet9!$I$1:$J$17,2,FALSE)</f>
        <v>10</v>
      </c>
      <c r="C1499">
        <f>VLOOKUP(N1499,Sheet9!$M$1:$N$2,2,FALSE)</f>
        <v>1</v>
      </c>
      <c r="D1499">
        <v>32</v>
      </c>
      <c r="E1499" t="s">
        <v>167</v>
      </c>
      <c r="F1499">
        <v>120</v>
      </c>
      <c r="H1499">
        <v>32</v>
      </c>
      <c r="I1499">
        <v>0.6</v>
      </c>
      <c r="J1499">
        <v>19.2</v>
      </c>
      <c r="M1499" t="s">
        <v>82</v>
      </c>
      <c r="N1499" t="s">
        <v>162</v>
      </c>
    </row>
    <row r="1500" spans="1:14" x14ac:dyDescent="0.3">
      <c r="A1500" t="s">
        <v>82</v>
      </c>
      <c r="B1500">
        <f>VLOOKUP(M1500,Sheet9!$I$1:$J$17,2,FALSE)</f>
        <v>10</v>
      </c>
      <c r="C1500">
        <f>VLOOKUP(N1500,Sheet9!$M$1:$N$2,2,FALSE)</f>
        <v>1</v>
      </c>
      <c r="D1500">
        <v>32</v>
      </c>
      <c r="E1500" t="s">
        <v>95</v>
      </c>
      <c r="F1500">
        <v>120</v>
      </c>
      <c r="H1500">
        <v>64</v>
      </c>
      <c r="I1500">
        <v>0.6</v>
      </c>
      <c r="J1500">
        <v>38.4</v>
      </c>
      <c r="K1500">
        <v>1.38</v>
      </c>
      <c r="L1500">
        <v>2.06</v>
      </c>
      <c r="M1500" t="s">
        <v>82</v>
      </c>
      <c r="N1500" t="s">
        <v>162</v>
      </c>
    </row>
    <row r="1501" spans="1:14" x14ac:dyDescent="0.3">
      <c r="A1501" t="s">
        <v>82</v>
      </c>
      <c r="B1501">
        <f>VLOOKUP(M1501,Sheet9!$I$1:$J$17,2,FALSE)</f>
        <v>10</v>
      </c>
      <c r="C1501">
        <f>VLOOKUP(N1501,Sheet9!$M$1:$N$2,2,FALSE)</f>
        <v>1</v>
      </c>
      <c r="D1501">
        <v>32</v>
      </c>
      <c r="E1501" t="s">
        <v>167</v>
      </c>
      <c r="F1501">
        <v>120</v>
      </c>
      <c r="H1501">
        <v>128</v>
      </c>
      <c r="I1501">
        <v>0.6</v>
      </c>
      <c r="J1501">
        <v>76.8</v>
      </c>
      <c r="M1501" t="s">
        <v>82</v>
      </c>
      <c r="N1501" t="s">
        <v>162</v>
      </c>
    </row>
    <row r="1502" spans="1:14" x14ac:dyDescent="0.3">
      <c r="A1502" t="s">
        <v>82</v>
      </c>
      <c r="B1502">
        <f>VLOOKUP(M1502,Sheet9!$I$1:$J$17,2,FALSE)</f>
        <v>10</v>
      </c>
      <c r="C1502">
        <f>VLOOKUP(N1502,Sheet9!$M$1:$N$2,2,FALSE)</f>
        <v>1</v>
      </c>
      <c r="D1502">
        <v>32</v>
      </c>
      <c r="E1502" t="s">
        <v>95</v>
      </c>
      <c r="F1502">
        <v>140</v>
      </c>
      <c r="G1502" t="s">
        <v>141</v>
      </c>
      <c r="H1502">
        <v>6</v>
      </c>
      <c r="I1502">
        <v>0.6</v>
      </c>
      <c r="J1502">
        <v>3.5999999999999996</v>
      </c>
      <c r="M1502" t="s">
        <v>82</v>
      </c>
      <c r="N1502" t="s">
        <v>162</v>
      </c>
    </row>
    <row r="1503" spans="1:14" x14ac:dyDescent="0.3">
      <c r="A1503" t="s">
        <v>82</v>
      </c>
      <c r="B1503">
        <f>VLOOKUP(M1503,Sheet9!$I$1:$J$17,2,FALSE)</f>
        <v>10</v>
      </c>
      <c r="C1503">
        <f>VLOOKUP(N1503,Sheet9!$M$1:$N$2,2,FALSE)</f>
        <v>1</v>
      </c>
      <c r="D1503">
        <v>32</v>
      </c>
      <c r="E1503" t="s">
        <v>95</v>
      </c>
      <c r="F1503">
        <v>140</v>
      </c>
      <c r="H1503">
        <v>1</v>
      </c>
      <c r="I1503">
        <v>5</v>
      </c>
      <c r="J1503">
        <v>5</v>
      </c>
      <c r="M1503" t="s">
        <v>82</v>
      </c>
      <c r="N1503" t="s">
        <v>162</v>
      </c>
    </row>
    <row r="1504" spans="1:14" x14ac:dyDescent="0.3">
      <c r="A1504" t="s">
        <v>82</v>
      </c>
      <c r="B1504">
        <f>VLOOKUP(M1504,Sheet9!$I$1:$J$17,2,FALSE)</f>
        <v>10</v>
      </c>
      <c r="C1504">
        <f>VLOOKUP(N1504,Sheet9!$M$1:$N$2,2,FALSE)</f>
        <v>1</v>
      </c>
      <c r="D1504">
        <v>32</v>
      </c>
      <c r="E1504" t="s">
        <v>95</v>
      </c>
      <c r="F1504">
        <v>140</v>
      </c>
      <c r="H1504">
        <v>1</v>
      </c>
      <c r="I1504">
        <v>10</v>
      </c>
      <c r="J1504">
        <v>10</v>
      </c>
      <c r="M1504" t="s">
        <v>82</v>
      </c>
      <c r="N1504" t="s">
        <v>162</v>
      </c>
    </row>
    <row r="1505" spans="1:14" x14ac:dyDescent="0.3">
      <c r="A1505" t="s">
        <v>82</v>
      </c>
      <c r="B1505">
        <f>VLOOKUP(M1505,Sheet9!$I$1:$J$17,2,FALSE)</f>
        <v>10</v>
      </c>
      <c r="C1505">
        <f>VLOOKUP(N1505,Sheet9!$M$1:$N$2,2,FALSE)</f>
        <v>1</v>
      </c>
      <c r="D1505">
        <v>32</v>
      </c>
      <c r="E1505" t="s">
        <v>95</v>
      </c>
      <c r="F1505">
        <v>140</v>
      </c>
      <c r="H1505">
        <v>3</v>
      </c>
      <c r="I1505">
        <v>3</v>
      </c>
      <c r="J1505">
        <v>9</v>
      </c>
      <c r="M1505" t="s">
        <v>82</v>
      </c>
      <c r="N1505" t="s">
        <v>162</v>
      </c>
    </row>
    <row r="1506" spans="1:14" x14ac:dyDescent="0.3">
      <c r="A1506" t="s">
        <v>82</v>
      </c>
      <c r="B1506">
        <f>VLOOKUP(M1506,Sheet9!$I$1:$J$17,2,FALSE)</f>
        <v>10</v>
      </c>
      <c r="C1506">
        <f>VLOOKUP(N1506,Sheet9!$M$1:$N$2,2,FALSE)</f>
        <v>1</v>
      </c>
      <c r="D1506">
        <v>32</v>
      </c>
      <c r="E1506" t="s">
        <v>95</v>
      </c>
      <c r="F1506">
        <v>140</v>
      </c>
      <c r="H1506">
        <v>3</v>
      </c>
      <c r="I1506">
        <v>5</v>
      </c>
      <c r="J1506">
        <v>15</v>
      </c>
      <c r="M1506" t="s">
        <v>82</v>
      </c>
      <c r="N1506" t="s">
        <v>162</v>
      </c>
    </row>
    <row r="1507" spans="1:14" x14ac:dyDescent="0.3">
      <c r="A1507" t="s">
        <v>82</v>
      </c>
      <c r="B1507">
        <f>VLOOKUP(M1507,Sheet9!$I$1:$J$17,2,FALSE)</f>
        <v>10</v>
      </c>
      <c r="C1507">
        <f>VLOOKUP(N1507,Sheet9!$M$1:$N$2,2,FALSE)</f>
        <v>1</v>
      </c>
      <c r="D1507">
        <v>32</v>
      </c>
      <c r="E1507" t="s">
        <v>167</v>
      </c>
      <c r="F1507">
        <v>140</v>
      </c>
      <c r="H1507">
        <v>32</v>
      </c>
      <c r="I1507">
        <v>0.6</v>
      </c>
      <c r="J1507">
        <v>19.2</v>
      </c>
      <c r="M1507" t="s">
        <v>82</v>
      </c>
      <c r="N1507" t="s">
        <v>162</v>
      </c>
    </row>
    <row r="1508" spans="1:14" x14ac:dyDescent="0.3">
      <c r="A1508" t="s">
        <v>82</v>
      </c>
      <c r="B1508">
        <f>VLOOKUP(M1508,Sheet9!$I$1:$J$17,2,FALSE)</f>
        <v>10</v>
      </c>
      <c r="C1508">
        <f>VLOOKUP(N1508,Sheet9!$M$1:$N$2,2,FALSE)</f>
        <v>1</v>
      </c>
      <c r="D1508">
        <v>32</v>
      </c>
      <c r="E1508" t="s">
        <v>95</v>
      </c>
      <c r="F1508">
        <v>140</v>
      </c>
      <c r="H1508">
        <v>64</v>
      </c>
      <c r="I1508">
        <v>0.6</v>
      </c>
      <c r="J1508">
        <v>38.4</v>
      </c>
      <c r="K1508">
        <v>2.38</v>
      </c>
      <c r="L1508">
        <v>3.5</v>
      </c>
      <c r="M1508" t="s">
        <v>82</v>
      </c>
      <c r="N1508" t="s">
        <v>162</v>
      </c>
    </row>
    <row r="1509" spans="1:14" x14ac:dyDescent="0.3">
      <c r="A1509" t="s">
        <v>82</v>
      </c>
      <c r="B1509">
        <f>VLOOKUP(M1509,Sheet9!$I$1:$J$17,2,FALSE)</f>
        <v>10</v>
      </c>
      <c r="C1509">
        <f>VLOOKUP(N1509,Sheet9!$M$1:$N$2,2,FALSE)</f>
        <v>1</v>
      </c>
      <c r="D1509">
        <v>32</v>
      </c>
      <c r="E1509" t="s">
        <v>167</v>
      </c>
      <c r="F1509">
        <v>140</v>
      </c>
      <c r="H1509">
        <v>128</v>
      </c>
      <c r="I1509">
        <v>0.6</v>
      </c>
      <c r="J1509">
        <v>76.8</v>
      </c>
      <c r="M1509" t="s">
        <v>82</v>
      </c>
      <c r="N1509" t="s">
        <v>162</v>
      </c>
    </row>
    <row r="1510" spans="1:14" x14ac:dyDescent="0.3">
      <c r="A1510" t="s">
        <v>82</v>
      </c>
      <c r="B1510">
        <f>VLOOKUP(M1510,Sheet9!$I$1:$J$17,2,FALSE)</f>
        <v>10</v>
      </c>
      <c r="C1510">
        <f>VLOOKUP(N1510,Sheet9!$M$1:$N$2,2,FALSE)</f>
        <v>1</v>
      </c>
      <c r="D1510">
        <v>32</v>
      </c>
      <c r="E1510" t="s">
        <v>96</v>
      </c>
      <c r="F1510">
        <v>70</v>
      </c>
      <c r="H1510">
        <v>6</v>
      </c>
      <c r="I1510">
        <v>0.6</v>
      </c>
      <c r="J1510">
        <v>3.5999999999999996</v>
      </c>
      <c r="M1510" t="s">
        <v>82</v>
      </c>
      <c r="N1510" t="s">
        <v>162</v>
      </c>
    </row>
    <row r="1511" spans="1:14" x14ac:dyDescent="0.3">
      <c r="A1511" t="s">
        <v>82</v>
      </c>
      <c r="B1511">
        <f>VLOOKUP(M1511,Sheet9!$I$1:$J$17,2,FALSE)</f>
        <v>10</v>
      </c>
      <c r="C1511">
        <f>VLOOKUP(N1511,Sheet9!$M$1:$N$2,2,FALSE)</f>
        <v>1</v>
      </c>
      <c r="D1511">
        <v>32</v>
      </c>
      <c r="E1511" t="s">
        <v>96</v>
      </c>
      <c r="F1511">
        <v>70</v>
      </c>
      <c r="H1511">
        <v>1</v>
      </c>
      <c r="I1511">
        <v>5</v>
      </c>
      <c r="J1511">
        <v>5</v>
      </c>
      <c r="K1511">
        <v>0.65</v>
      </c>
      <c r="L1511">
        <v>1.1499999999999999</v>
      </c>
      <c r="M1511" t="s">
        <v>82</v>
      </c>
      <c r="N1511" t="s">
        <v>162</v>
      </c>
    </row>
    <row r="1512" spans="1:14" x14ac:dyDescent="0.3">
      <c r="A1512" t="s">
        <v>82</v>
      </c>
      <c r="B1512">
        <f>VLOOKUP(M1512,Sheet9!$I$1:$J$17,2,FALSE)</f>
        <v>10</v>
      </c>
      <c r="C1512">
        <f>VLOOKUP(N1512,Sheet9!$M$1:$N$2,2,FALSE)</f>
        <v>1</v>
      </c>
      <c r="D1512">
        <v>32</v>
      </c>
      <c r="E1512" t="s">
        <v>96</v>
      </c>
      <c r="F1512">
        <v>70</v>
      </c>
      <c r="H1512">
        <v>1</v>
      </c>
      <c r="I1512">
        <v>10</v>
      </c>
      <c r="J1512">
        <v>10</v>
      </c>
      <c r="K1512">
        <v>0.6</v>
      </c>
      <c r="L1512">
        <v>1.05</v>
      </c>
      <c r="M1512" t="s">
        <v>82</v>
      </c>
      <c r="N1512" t="s">
        <v>162</v>
      </c>
    </row>
    <row r="1513" spans="1:14" x14ac:dyDescent="0.3">
      <c r="A1513" t="s">
        <v>82</v>
      </c>
      <c r="B1513">
        <f>VLOOKUP(M1513,Sheet9!$I$1:$J$17,2,FALSE)</f>
        <v>10</v>
      </c>
      <c r="C1513">
        <f>VLOOKUP(N1513,Sheet9!$M$1:$N$2,2,FALSE)</f>
        <v>1</v>
      </c>
      <c r="D1513">
        <v>32</v>
      </c>
      <c r="E1513" t="s">
        <v>96</v>
      </c>
      <c r="F1513">
        <v>70</v>
      </c>
      <c r="H1513">
        <v>3</v>
      </c>
      <c r="I1513">
        <v>3</v>
      </c>
      <c r="J1513">
        <v>9</v>
      </c>
      <c r="K1513">
        <v>0.83</v>
      </c>
      <c r="L1513">
        <v>1.45</v>
      </c>
      <c r="M1513" t="s">
        <v>82</v>
      </c>
      <c r="N1513" t="s">
        <v>162</v>
      </c>
    </row>
    <row r="1514" spans="1:14" x14ac:dyDescent="0.3">
      <c r="A1514" t="s">
        <v>82</v>
      </c>
      <c r="B1514">
        <f>VLOOKUP(M1514,Sheet9!$I$1:$J$17,2,FALSE)</f>
        <v>10</v>
      </c>
      <c r="C1514">
        <f>VLOOKUP(N1514,Sheet9!$M$1:$N$2,2,FALSE)</f>
        <v>1</v>
      </c>
      <c r="D1514">
        <v>32</v>
      </c>
      <c r="E1514" t="s">
        <v>96</v>
      </c>
      <c r="F1514">
        <v>70</v>
      </c>
      <c r="H1514">
        <v>3</v>
      </c>
      <c r="I1514">
        <v>5</v>
      </c>
      <c r="J1514">
        <v>15</v>
      </c>
      <c r="K1514">
        <v>0.79</v>
      </c>
      <c r="L1514">
        <v>1.4</v>
      </c>
      <c r="M1514" t="s">
        <v>82</v>
      </c>
      <c r="N1514" t="s">
        <v>162</v>
      </c>
    </row>
    <row r="1515" spans="1:14" x14ac:dyDescent="0.3">
      <c r="A1515" t="s">
        <v>82</v>
      </c>
      <c r="B1515">
        <f>VLOOKUP(M1515,Sheet9!$I$1:$J$17,2,FALSE)</f>
        <v>10</v>
      </c>
      <c r="C1515">
        <f>VLOOKUP(N1515,Sheet9!$M$1:$N$2,2,FALSE)</f>
        <v>1</v>
      </c>
      <c r="D1515">
        <v>32</v>
      </c>
      <c r="E1515" t="s">
        <v>168</v>
      </c>
      <c r="F1515">
        <v>70</v>
      </c>
      <c r="H1515">
        <v>32</v>
      </c>
      <c r="I1515">
        <v>0.6</v>
      </c>
      <c r="J1515">
        <v>19.2</v>
      </c>
      <c r="K1515">
        <v>0.84</v>
      </c>
      <c r="L1515">
        <v>1.48</v>
      </c>
      <c r="M1515" t="s">
        <v>82</v>
      </c>
      <c r="N1515" t="s">
        <v>162</v>
      </c>
    </row>
    <row r="1516" spans="1:14" x14ac:dyDescent="0.3">
      <c r="A1516" t="s">
        <v>82</v>
      </c>
      <c r="B1516">
        <f>VLOOKUP(M1516,Sheet9!$I$1:$J$17,2,FALSE)</f>
        <v>10</v>
      </c>
      <c r="C1516">
        <f>VLOOKUP(N1516,Sheet9!$M$1:$N$2,2,FALSE)</f>
        <v>1</v>
      </c>
      <c r="D1516">
        <v>32</v>
      </c>
      <c r="E1516" t="s">
        <v>96</v>
      </c>
      <c r="F1516">
        <v>70</v>
      </c>
      <c r="H1516">
        <v>64</v>
      </c>
      <c r="I1516">
        <v>0.6</v>
      </c>
      <c r="J1516">
        <v>38.4</v>
      </c>
      <c r="K1516">
        <v>0.74</v>
      </c>
      <c r="L1516">
        <v>1.31</v>
      </c>
      <c r="M1516" t="s">
        <v>82</v>
      </c>
      <c r="N1516" t="s">
        <v>162</v>
      </c>
    </row>
    <row r="1517" spans="1:14" x14ac:dyDescent="0.3">
      <c r="A1517" t="s">
        <v>82</v>
      </c>
      <c r="B1517">
        <f>VLOOKUP(M1517,Sheet9!$I$1:$J$17,2,FALSE)</f>
        <v>10</v>
      </c>
      <c r="C1517">
        <f>VLOOKUP(N1517,Sheet9!$M$1:$N$2,2,FALSE)</f>
        <v>1</v>
      </c>
      <c r="D1517">
        <v>32</v>
      </c>
      <c r="E1517" t="s">
        <v>168</v>
      </c>
      <c r="F1517">
        <v>70</v>
      </c>
      <c r="H1517">
        <v>128</v>
      </c>
      <c r="I1517">
        <v>0.6</v>
      </c>
      <c r="J1517">
        <v>76.8</v>
      </c>
      <c r="K1517">
        <v>0.73</v>
      </c>
      <c r="L1517">
        <v>1.3</v>
      </c>
      <c r="M1517" t="s">
        <v>82</v>
      </c>
      <c r="N1517" t="s">
        <v>162</v>
      </c>
    </row>
    <row r="1518" spans="1:14" x14ac:dyDescent="0.3">
      <c r="A1518" t="s">
        <v>82</v>
      </c>
      <c r="B1518">
        <f>VLOOKUP(M1518,Sheet9!$I$1:$J$17,2,FALSE)</f>
        <v>10</v>
      </c>
      <c r="C1518">
        <f>VLOOKUP(N1518,Sheet9!$M$1:$N$2,2,FALSE)</f>
        <v>1</v>
      </c>
      <c r="D1518">
        <v>32</v>
      </c>
      <c r="E1518" t="s">
        <v>96</v>
      </c>
      <c r="F1518">
        <v>80</v>
      </c>
      <c r="H1518">
        <v>6</v>
      </c>
      <c r="I1518">
        <v>0.6</v>
      </c>
      <c r="J1518">
        <v>3.5999999999999996</v>
      </c>
      <c r="M1518" t="s">
        <v>82</v>
      </c>
      <c r="N1518" t="s">
        <v>162</v>
      </c>
    </row>
    <row r="1519" spans="1:14" x14ac:dyDescent="0.3">
      <c r="A1519" t="s">
        <v>82</v>
      </c>
      <c r="B1519">
        <f>VLOOKUP(M1519,Sheet9!$I$1:$J$17,2,FALSE)</f>
        <v>10</v>
      </c>
      <c r="C1519">
        <f>VLOOKUP(N1519,Sheet9!$M$1:$N$2,2,FALSE)</f>
        <v>1</v>
      </c>
      <c r="D1519">
        <v>32</v>
      </c>
      <c r="E1519" t="s">
        <v>96</v>
      </c>
      <c r="F1519">
        <v>80</v>
      </c>
      <c r="H1519">
        <v>1</v>
      </c>
      <c r="I1519">
        <v>5</v>
      </c>
      <c r="J1519">
        <v>5</v>
      </c>
      <c r="K1519">
        <v>1.1200000000000001</v>
      </c>
      <c r="L1519">
        <v>1.83</v>
      </c>
      <c r="M1519" t="s">
        <v>82</v>
      </c>
      <c r="N1519" t="s">
        <v>162</v>
      </c>
    </row>
    <row r="1520" spans="1:14" x14ac:dyDescent="0.3">
      <c r="A1520" t="s">
        <v>82</v>
      </c>
      <c r="B1520">
        <f>VLOOKUP(M1520,Sheet9!$I$1:$J$17,2,FALSE)</f>
        <v>10</v>
      </c>
      <c r="C1520">
        <f>VLOOKUP(N1520,Sheet9!$M$1:$N$2,2,FALSE)</f>
        <v>1</v>
      </c>
      <c r="D1520">
        <v>32</v>
      </c>
      <c r="E1520" t="s">
        <v>96</v>
      </c>
      <c r="F1520">
        <v>80</v>
      </c>
      <c r="H1520">
        <v>1</v>
      </c>
      <c r="I1520">
        <v>10</v>
      </c>
      <c r="J1520">
        <v>10</v>
      </c>
      <c r="K1520">
        <v>1.03</v>
      </c>
      <c r="L1520">
        <v>1.67</v>
      </c>
      <c r="M1520" t="s">
        <v>82</v>
      </c>
      <c r="N1520" t="s">
        <v>162</v>
      </c>
    </row>
    <row r="1521" spans="1:14" x14ac:dyDescent="0.3">
      <c r="A1521" t="s">
        <v>82</v>
      </c>
      <c r="B1521">
        <f>VLOOKUP(M1521,Sheet9!$I$1:$J$17,2,FALSE)</f>
        <v>10</v>
      </c>
      <c r="C1521">
        <f>VLOOKUP(N1521,Sheet9!$M$1:$N$2,2,FALSE)</f>
        <v>1</v>
      </c>
      <c r="D1521">
        <v>32</v>
      </c>
      <c r="E1521" t="s">
        <v>96</v>
      </c>
      <c r="F1521">
        <v>80</v>
      </c>
      <c r="H1521">
        <v>3</v>
      </c>
      <c r="I1521">
        <v>3</v>
      </c>
      <c r="J1521">
        <v>9</v>
      </c>
      <c r="K1521">
        <v>1.42</v>
      </c>
      <c r="L1521">
        <v>2.31</v>
      </c>
      <c r="M1521" t="s">
        <v>82</v>
      </c>
      <c r="N1521" t="s">
        <v>162</v>
      </c>
    </row>
    <row r="1522" spans="1:14" x14ac:dyDescent="0.3">
      <c r="A1522" t="s">
        <v>82</v>
      </c>
      <c r="B1522">
        <f>VLOOKUP(M1522,Sheet9!$I$1:$J$17,2,FALSE)</f>
        <v>10</v>
      </c>
      <c r="C1522">
        <f>VLOOKUP(N1522,Sheet9!$M$1:$N$2,2,FALSE)</f>
        <v>1</v>
      </c>
      <c r="D1522">
        <v>32</v>
      </c>
      <c r="E1522" t="s">
        <v>96</v>
      </c>
      <c r="F1522">
        <v>80</v>
      </c>
      <c r="H1522">
        <v>3</v>
      </c>
      <c r="I1522">
        <v>5</v>
      </c>
      <c r="J1522">
        <v>15</v>
      </c>
      <c r="K1522">
        <v>1.36</v>
      </c>
      <c r="L1522">
        <v>2.2200000000000002</v>
      </c>
      <c r="M1522" t="s">
        <v>82</v>
      </c>
      <c r="N1522" t="s">
        <v>162</v>
      </c>
    </row>
    <row r="1523" spans="1:14" x14ac:dyDescent="0.3">
      <c r="A1523" t="s">
        <v>82</v>
      </c>
      <c r="B1523">
        <f>VLOOKUP(M1523,Sheet9!$I$1:$J$17,2,FALSE)</f>
        <v>10</v>
      </c>
      <c r="C1523">
        <f>VLOOKUP(N1523,Sheet9!$M$1:$N$2,2,FALSE)</f>
        <v>1</v>
      </c>
      <c r="D1523">
        <v>32</v>
      </c>
      <c r="E1523" t="s">
        <v>168</v>
      </c>
      <c r="F1523">
        <v>80</v>
      </c>
      <c r="H1523">
        <v>32</v>
      </c>
      <c r="I1523">
        <v>0.6</v>
      </c>
      <c r="J1523">
        <v>19.2</v>
      </c>
      <c r="K1523">
        <v>1.44</v>
      </c>
      <c r="L1523">
        <v>2.35</v>
      </c>
      <c r="M1523" t="s">
        <v>82</v>
      </c>
      <c r="N1523" t="s">
        <v>162</v>
      </c>
    </row>
    <row r="1524" spans="1:14" x14ac:dyDescent="0.3">
      <c r="A1524" t="s">
        <v>82</v>
      </c>
      <c r="B1524">
        <f>VLOOKUP(M1524,Sheet9!$I$1:$J$17,2,FALSE)</f>
        <v>10</v>
      </c>
      <c r="C1524">
        <f>VLOOKUP(N1524,Sheet9!$M$1:$N$2,2,FALSE)</f>
        <v>1</v>
      </c>
      <c r="D1524">
        <v>32</v>
      </c>
      <c r="E1524" t="s">
        <v>96</v>
      </c>
      <c r="F1524">
        <v>80</v>
      </c>
      <c r="H1524">
        <v>64</v>
      </c>
      <c r="I1524">
        <v>0.6</v>
      </c>
      <c r="J1524">
        <v>38.4</v>
      </c>
      <c r="K1524">
        <v>1.27</v>
      </c>
      <c r="L1524">
        <v>2.09</v>
      </c>
      <c r="M1524" t="s">
        <v>82</v>
      </c>
      <c r="N1524" t="s">
        <v>162</v>
      </c>
    </row>
    <row r="1525" spans="1:14" x14ac:dyDescent="0.3">
      <c r="A1525" t="s">
        <v>82</v>
      </c>
      <c r="B1525">
        <f>VLOOKUP(M1525,Sheet9!$I$1:$J$17,2,FALSE)</f>
        <v>10</v>
      </c>
      <c r="C1525">
        <f>VLOOKUP(N1525,Sheet9!$M$1:$N$2,2,FALSE)</f>
        <v>1</v>
      </c>
      <c r="D1525">
        <v>32</v>
      </c>
      <c r="E1525" t="s">
        <v>168</v>
      </c>
      <c r="F1525">
        <v>80</v>
      </c>
      <c r="H1525">
        <v>128</v>
      </c>
      <c r="I1525">
        <v>0.6</v>
      </c>
      <c r="J1525">
        <v>76.8</v>
      </c>
      <c r="K1525">
        <v>1.26</v>
      </c>
      <c r="L1525">
        <v>2.0699999999999998</v>
      </c>
      <c r="M1525" t="s">
        <v>82</v>
      </c>
      <c r="N1525" t="s">
        <v>162</v>
      </c>
    </row>
    <row r="1526" spans="1:14" x14ac:dyDescent="0.3">
      <c r="A1526" t="s">
        <v>82</v>
      </c>
      <c r="B1526">
        <f>VLOOKUP(M1526,Sheet9!$I$1:$J$17,2,FALSE)</f>
        <v>10</v>
      </c>
      <c r="C1526">
        <f>VLOOKUP(N1526,Sheet9!$M$1:$N$2,2,FALSE)</f>
        <v>1</v>
      </c>
      <c r="D1526">
        <v>32</v>
      </c>
      <c r="E1526" t="s">
        <v>96</v>
      </c>
      <c r="F1526">
        <v>90</v>
      </c>
      <c r="H1526">
        <v>6</v>
      </c>
      <c r="I1526">
        <v>0.6</v>
      </c>
      <c r="J1526">
        <v>3.5999999999999996</v>
      </c>
      <c r="M1526" t="s">
        <v>82</v>
      </c>
      <c r="N1526" t="s">
        <v>162</v>
      </c>
    </row>
    <row r="1527" spans="1:14" x14ac:dyDescent="0.3">
      <c r="A1527" t="s">
        <v>82</v>
      </c>
      <c r="B1527">
        <f>VLOOKUP(M1527,Sheet9!$I$1:$J$17,2,FALSE)</f>
        <v>10</v>
      </c>
      <c r="C1527">
        <f>VLOOKUP(N1527,Sheet9!$M$1:$N$2,2,FALSE)</f>
        <v>1</v>
      </c>
      <c r="D1527">
        <v>32</v>
      </c>
      <c r="E1527" t="s">
        <v>96</v>
      </c>
      <c r="F1527">
        <v>90</v>
      </c>
      <c r="H1527">
        <v>1</v>
      </c>
      <c r="I1527">
        <v>5</v>
      </c>
      <c r="J1527">
        <v>5</v>
      </c>
      <c r="K1527">
        <v>1.72</v>
      </c>
      <c r="L1527">
        <v>2.66</v>
      </c>
      <c r="M1527" t="s">
        <v>82</v>
      </c>
      <c r="N1527" t="s">
        <v>162</v>
      </c>
    </row>
    <row r="1528" spans="1:14" x14ac:dyDescent="0.3">
      <c r="A1528" t="s">
        <v>82</v>
      </c>
      <c r="B1528">
        <f>VLOOKUP(M1528,Sheet9!$I$1:$J$17,2,FALSE)</f>
        <v>10</v>
      </c>
      <c r="C1528">
        <f>VLOOKUP(N1528,Sheet9!$M$1:$N$2,2,FALSE)</f>
        <v>1</v>
      </c>
      <c r="D1528">
        <v>32</v>
      </c>
      <c r="E1528" t="s">
        <v>96</v>
      </c>
      <c r="F1528">
        <v>90</v>
      </c>
      <c r="H1528">
        <v>1</v>
      </c>
      <c r="I1528">
        <v>10</v>
      </c>
      <c r="J1528">
        <v>10</v>
      </c>
      <c r="K1528">
        <v>1.57</v>
      </c>
      <c r="L1528">
        <v>2.44</v>
      </c>
      <c r="M1528" t="s">
        <v>82</v>
      </c>
      <c r="N1528" t="s">
        <v>162</v>
      </c>
    </row>
    <row r="1529" spans="1:14" x14ac:dyDescent="0.3">
      <c r="A1529" t="s">
        <v>82</v>
      </c>
      <c r="B1529">
        <f>VLOOKUP(M1529,Sheet9!$I$1:$J$17,2,FALSE)</f>
        <v>10</v>
      </c>
      <c r="C1529">
        <f>VLOOKUP(N1529,Sheet9!$M$1:$N$2,2,FALSE)</f>
        <v>1</v>
      </c>
      <c r="D1529">
        <v>32</v>
      </c>
      <c r="E1529" t="s">
        <v>96</v>
      </c>
      <c r="F1529">
        <v>90</v>
      </c>
      <c r="H1529">
        <v>3</v>
      </c>
      <c r="I1529">
        <v>3</v>
      </c>
      <c r="J1529">
        <v>9</v>
      </c>
      <c r="K1529">
        <v>2.1800000000000002</v>
      </c>
      <c r="L1529">
        <v>3.37</v>
      </c>
      <c r="M1529" t="s">
        <v>82</v>
      </c>
      <c r="N1529" t="s">
        <v>162</v>
      </c>
    </row>
    <row r="1530" spans="1:14" x14ac:dyDescent="0.3">
      <c r="A1530" t="s">
        <v>82</v>
      </c>
      <c r="B1530">
        <f>VLOOKUP(M1530,Sheet9!$I$1:$J$17,2,FALSE)</f>
        <v>10</v>
      </c>
      <c r="C1530">
        <f>VLOOKUP(N1530,Sheet9!$M$1:$N$2,2,FALSE)</f>
        <v>1</v>
      </c>
      <c r="D1530">
        <v>32</v>
      </c>
      <c r="E1530" t="s">
        <v>96</v>
      </c>
      <c r="F1530">
        <v>90</v>
      </c>
      <c r="H1530">
        <v>3</v>
      </c>
      <c r="I1530">
        <v>5</v>
      </c>
      <c r="J1530">
        <v>15</v>
      </c>
      <c r="K1530">
        <v>2.08</v>
      </c>
      <c r="L1530">
        <v>3.24</v>
      </c>
      <c r="M1530" t="s">
        <v>82</v>
      </c>
      <c r="N1530" t="s">
        <v>162</v>
      </c>
    </row>
    <row r="1531" spans="1:14" x14ac:dyDescent="0.3">
      <c r="A1531" t="s">
        <v>82</v>
      </c>
      <c r="B1531">
        <f>VLOOKUP(M1531,Sheet9!$I$1:$J$17,2,FALSE)</f>
        <v>10</v>
      </c>
      <c r="C1531">
        <f>VLOOKUP(N1531,Sheet9!$M$1:$N$2,2,FALSE)</f>
        <v>1</v>
      </c>
      <c r="D1531">
        <v>32</v>
      </c>
      <c r="E1531" t="s">
        <v>168</v>
      </c>
      <c r="F1531">
        <v>90</v>
      </c>
      <c r="H1531">
        <v>32</v>
      </c>
      <c r="I1531">
        <v>0.6</v>
      </c>
      <c r="J1531">
        <v>19.2</v>
      </c>
      <c r="K1531">
        <v>2.21</v>
      </c>
      <c r="L1531">
        <v>3.43</v>
      </c>
      <c r="M1531" t="s">
        <v>82</v>
      </c>
      <c r="N1531" t="s">
        <v>162</v>
      </c>
    </row>
    <row r="1532" spans="1:14" x14ac:dyDescent="0.3">
      <c r="A1532" t="s">
        <v>82</v>
      </c>
      <c r="B1532">
        <f>VLOOKUP(M1532,Sheet9!$I$1:$J$17,2,FALSE)</f>
        <v>10</v>
      </c>
      <c r="C1532">
        <f>VLOOKUP(N1532,Sheet9!$M$1:$N$2,2,FALSE)</f>
        <v>1</v>
      </c>
      <c r="D1532">
        <v>32</v>
      </c>
      <c r="E1532" t="s">
        <v>96</v>
      </c>
      <c r="F1532">
        <v>90</v>
      </c>
      <c r="H1532">
        <v>64</v>
      </c>
      <c r="I1532">
        <v>0.6</v>
      </c>
      <c r="J1532">
        <v>38.4</v>
      </c>
      <c r="K1532">
        <v>1.94</v>
      </c>
      <c r="L1532">
        <v>3.04</v>
      </c>
      <c r="M1532" t="s">
        <v>82</v>
      </c>
      <c r="N1532" t="s">
        <v>162</v>
      </c>
    </row>
    <row r="1533" spans="1:14" x14ac:dyDescent="0.3">
      <c r="A1533" t="s">
        <v>82</v>
      </c>
      <c r="B1533">
        <f>VLOOKUP(M1533,Sheet9!$I$1:$J$17,2,FALSE)</f>
        <v>10</v>
      </c>
      <c r="C1533">
        <f>VLOOKUP(N1533,Sheet9!$M$1:$N$2,2,FALSE)</f>
        <v>1</v>
      </c>
      <c r="D1533">
        <v>32</v>
      </c>
      <c r="E1533" t="s">
        <v>168</v>
      </c>
      <c r="F1533">
        <v>90</v>
      </c>
      <c r="H1533">
        <v>128</v>
      </c>
      <c r="I1533">
        <v>0.6</v>
      </c>
      <c r="J1533">
        <v>76.8</v>
      </c>
      <c r="K1533">
        <v>1.92</v>
      </c>
      <c r="L1533">
        <v>3.01</v>
      </c>
      <c r="M1533" t="s">
        <v>82</v>
      </c>
      <c r="N1533" t="s">
        <v>162</v>
      </c>
    </row>
    <row r="1534" spans="1:14" x14ac:dyDescent="0.3">
      <c r="A1534" t="s">
        <v>82</v>
      </c>
      <c r="B1534">
        <f>VLOOKUP(M1534,Sheet9!$I$1:$J$17,2,FALSE)</f>
        <v>10</v>
      </c>
      <c r="C1534">
        <f>VLOOKUP(N1534,Sheet9!$M$1:$N$2,2,FALSE)</f>
        <v>1</v>
      </c>
      <c r="D1534">
        <v>32</v>
      </c>
      <c r="E1534" t="s">
        <v>96</v>
      </c>
      <c r="F1534">
        <v>100</v>
      </c>
      <c r="H1534">
        <v>6</v>
      </c>
      <c r="I1534">
        <v>0.6</v>
      </c>
      <c r="J1534">
        <v>3.5999999999999996</v>
      </c>
      <c r="M1534" t="s">
        <v>82</v>
      </c>
      <c r="N1534" t="s">
        <v>162</v>
      </c>
    </row>
    <row r="1535" spans="1:14" x14ac:dyDescent="0.3">
      <c r="A1535" t="s">
        <v>82</v>
      </c>
      <c r="B1535">
        <f>VLOOKUP(M1535,Sheet9!$I$1:$J$17,2,FALSE)</f>
        <v>10</v>
      </c>
      <c r="C1535">
        <f>VLOOKUP(N1535,Sheet9!$M$1:$N$2,2,FALSE)</f>
        <v>1</v>
      </c>
      <c r="D1535">
        <v>32</v>
      </c>
      <c r="E1535" t="s">
        <v>96</v>
      </c>
      <c r="F1535">
        <v>100</v>
      </c>
      <c r="H1535">
        <v>1</v>
      </c>
      <c r="I1535">
        <v>5</v>
      </c>
      <c r="J1535">
        <v>5</v>
      </c>
      <c r="K1535">
        <v>2.42</v>
      </c>
      <c r="L1535">
        <v>3.63</v>
      </c>
      <c r="M1535" t="s">
        <v>82</v>
      </c>
      <c r="N1535" t="s">
        <v>162</v>
      </c>
    </row>
    <row r="1536" spans="1:14" x14ac:dyDescent="0.3">
      <c r="A1536" t="s">
        <v>82</v>
      </c>
      <c r="B1536">
        <f>VLOOKUP(M1536,Sheet9!$I$1:$J$17,2,FALSE)</f>
        <v>10</v>
      </c>
      <c r="C1536">
        <f>VLOOKUP(N1536,Sheet9!$M$1:$N$2,2,FALSE)</f>
        <v>1</v>
      </c>
      <c r="D1536">
        <v>32</v>
      </c>
      <c r="E1536" t="s">
        <v>96</v>
      </c>
      <c r="F1536">
        <v>100</v>
      </c>
      <c r="H1536">
        <v>1</v>
      </c>
      <c r="I1536">
        <v>10</v>
      </c>
      <c r="J1536">
        <v>10</v>
      </c>
      <c r="K1536">
        <v>2.21</v>
      </c>
      <c r="L1536">
        <v>3.32</v>
      </c>
      <c r="M1536" t="s">
        <v>82</v>
      </c>
      <c r="N1536" t="s">
        <v>162</v>
      </c>
    </row>
    <row r="1537" spans="1:14" x14ac:dyDescent="0.3">
      <c r="A1537" t="s">
        <v>82</v>
      </c>
      <c r="B1537">
        <f>VLOOKUP(M1537,Sheet9!$I$1:$J$17,2,FALSE)</f>
        <v>10</v>
      </c>
      <c r="C1537">
        <f>VLOOKUP(N1537,Sheet9!$M$1:$N$2,2,FALSE)</f>
        <v>1</v>
      </c>
      <c r="D1537">
        <v>32</v>
      </c>
      <c r="E1537" t="s">
        <v>96</v>
      </c>
      <c r="F1537">
        <v>100</v>
      </c>
      <c r="H1537">
        <v>3</v>
      </c>
      <c r="I1537">
        <v>3</v>
      </c>
      <c r="J1537">
        <v>9</v>
      </c>
      <c r="K1537">
        <v>3.08</v>
      </c>
      <c r="L1537">
        <v>4.59</v>
      </c>
      <c r="M1537" t="s">
        <v>82</v>
      </c>
      <c r="N1537" t="s">
        <v>162</v>
      </c>
    </row>
    <row r="1538" spans="1:14" x14ac:dyDescent="0.3">
      <c r="A1538" t="s">
        <v>82</v>
      </c>
      <c r="B1538">
        <f>VLOOKUP(M1538,Sheet9!$I$1:$J$17,2,FALSE)</f>
        <v>10</v>
      </c>
      <c r="C1538">
        <f>VLOOKUP(N1538,Sheet9!$M$1:$N$2,2,FALSE)</f>
        <v>1</v>
      </c>
      <c r="D1538">
        <v>32</v>
      </c>
      <c r="E1538" t="s">
        <v>96</v>
      </c>
      <c r="F1538">
        <v>100</v>
      </c>
      <c r="H1538">
        <v>3</v>
      </c>
      <c r="I1538">
        <v>5</v>
      </c>
      <c r="J1538">
        <v>15</v>
      </c>
      <c r="K1538">
        <v>2.93</v>
      </c>
      <c r="L1538">
        <v>4.42</v>
      </c>
      <c r="M1538" t="s">
        <v>82</v>
      </c>
      <c r="N1538" t="s">
        <v>162</v>
      </c>
    </row>
    <row r="1539" spans="1:14" x14ac:dyDescent="0.3">
      <c r="A1539" t="s">
        <v>82</v>
      </c>
      <c r="B1539">
        <f>VLOOKUP(M1539,Sheet9!$I$1:$J$17,2,FALSE)</f>
        <v>10</v>
      </c>
      <c r="C1539">
        <f>VLOOKUP(N1539,Sheet9!$M$1:$N$2,2,FALSE)</f>
        <v>1</v>
      </c>
      <c r="D1539">
        <v>32</v>
      </c>
      <c r="E1539" t="s">
        <v>168</v>
      </c>
      <c r="F1539">
        <v>100</v>
      </c>
      <c r="H1539">
        <v>32</v>
      </c>
      <c r="I1539">
        <v>0.6</v>
      </c>
      <c r="J1539">
        <v>19.2</v>
      </c>
      <c r="K1539">
        <v>3.12</v>
      </c>
      <c r="L1539">
        <v>4.68</v>
      </c>
      <c r="M1539" t="s">
        <v>82</v>
      </c>
      <c r="N1539" t="s">
        <v>162</v>
      </c>
    </row>
    <row r="1540" spans="1:14" x14ac:dyDescent="0.3">
      <c r="A1540" t="s">
        <v>82</v>
      </c>
      <c r="B1540">
        <f>VLOOKUP(M1540,Sheet9!$I$1:$J$17,2,FALSE)</f>
        <v>10</v>
      </c>
      <c r="C1540">
        <f>VLOOKUP(N1540,Sheet9!$M$1:$N$2,2,FALSE)</f>
        <v>1</v>
      </c>
      <c r="D1540">
        <v>32</v>
      </c>
      <c r="E1540" t="s">
        <v>96</v>
      </c>
      <c r="F1540">
        <v>100</v>
      </c>
      <c r="H1540">
        <v>64</v>
      </c>
      <c r="I1540">
        <v>0.6</v>
      </c>
      <c r="J1540">
        <v>38.4</v>
      </c>
      <c r="K1540">
        <v>2.74</v>
      </c>
      <c r="L1540">
        <v>4.1500000000000004</v>
      </c>
      <c r="M1540" t="s">
        <v>82</v>
      </c>
      <c r="N1540" t="s">
        <v>162</v>
      </c>
    </row>
    <row r="1541" spans="1:14" x14ac:dyDescent="0.3">
      <c r="A1541" t="s">
        <v>82</v>
      </c>
      <c r="B1541">
        <f>VLOOKUP(M1541,Sheet9!$I$1:$J$17,2,FALSE)</f>
        <v>10</v>
      </c>
      <c r="C1541">
        <f>VLOOKUP(N1541,Sheet9!$M$1:$N$2,2,FALSE)</f>
        <v>1</v>
      </c>
      <c r="D1541">
        <v>32</v>
      </c>
      <c r="E1541" t="s">
        <v>168</v>
      </c>
      <c r="F1541">
        <v>100</v>
      </c>
      <c r="H1541">
        <v>128</v>
      </c>
      <c r="I1541">
        <v>0.6</v>
      </c>
      <c r="J1541">
        <v>76.8</v>
      </c>
      <c r="K1541">
        <v>2.71</v>
      </c>
      <c r="L1541">
        <v>4.0999999999999996</v>
      </c>
      <c r="M1541" t="s">
        <v>82</v>
      </c>
      <c r="N1541" t="s">
        <v>162</v>
      </c>
    </row>
    <row r="1542" spans="1:14" x14ac:dyDescent="0.3">
      <c r="A1542" t="s">
        <v>82</v>
      </c>
      <c r="B1542">
        <f>VLOOKUP(M1542,Sheet9!$I$1:$J$17,2,FALSE)</f>
        <v>10</v>
      </c>
      <c r="C1542">
        <f>VLOOKUP(N1542,Sheet9!$M$1:$N$2,2,FALSE)</f>
        <v>1</v>
      </c>
      <c r="D1542">
        <v>32</v>
      </c>
      <c r="E1542" t="s">
        <v>96</v>
      </c>
      <c r="F1542">
        <v>110</v>
      </c>
      <c r="H1542">
        <v>6</v>
      </c>
      <c r="I1542">
        <v>0.6</v>
      </c>
      <c r="J1542">
        <v>3.5999999999999996</v>
      </c>
      <c r="M1542" t="s">
        <v>82</v>
      </c>
      <c r="N1542" t="s">
        <v>162</v>
      </c>
    </row>
    <row r="1543" spans="1:14" x14ac:dyDescent="0.3">
      <c r="A1543" t="s">
        <v>82</v>
      </c>
      <c r="B1543">
        <f>VLOOKUP(M1543,Sheet9!$I$1:$J$17,2,FALSE)</f>
        <v>10</v>
      </c>
      <c r="C1543">
        <f>VLOOKUP(N1543,Sheet9!$M$1:$N$2,2,FALSE)</f>
        <v>1</v>
      </c>
      <c r="D1543">
        <v>32</v>
      </c>
      <c r="E1543" t="s">
        <v>96</v>
      </c>
      <c r="F1543">
        <v>110</v>
      </c>
      <c r="H1543">
        <v>1</v>
      </c>
      <c r="I1543">
        <v>5</v>
      </c>
      <c r="J1543">
        <v>5</v>
      </c>
      <c r="K1543">
        <v>3.21</v>
      </c>
      <c r="L1543">
        <v>4.71</v>
      </c>
      <c r="M1543" t="s">
        <v>82</v>
      </c>
      <c r="N1543" t="s">
        <v>162</v>
      </c>
    </row>
    <row r="1544" spans="1:14" x14ac:dyDescent="0.3">
      <c r="A1544" t="s">
        <v>82</v>
      </c>
      <c r="B1544">
        <f>VLOOKUP(M1544,Sheet9!$I$1:$J$17,2,FALSE)</f>
        <v>10</v>
      </c>
      <c r="C1544">
        <f>VLOOKUP(N1544,Sheet9!$M$1:$N$2,2,FALSE)</f>
        <v>1</v>
      </c>
      <c r="D1544">
        <v>32</v>
      </c>
      <c r="E1544" t="s">
        <v>96</v>
      </c>
      <c r="F1544">
        <v>110</v>
      </c>
      <c r="H1544">
        <v>1</v>
      </c>
      <c r="I1544">
        <v>10</v>
      </c>
      <c r="J1544">
        <v>10</v>
      </c>
      <c r="K1544">
        <v>2.94</v>
      </c>
      <c r="L1544">
        <v>4.3099999999999996</v>
      </c>
      <c r="M1544" t="s">
        <v>82</v>
      </c>
      <c r="N1544" t="s">
        <v>162</v>
      </c>
    </row>
    <row r="1545" spans="1:14" x14ac:dyDescent="0.3">
      <c r="A1545" t="s">
        <v>82</v>
      </c>
      <c r="B1545">
        <f>VLOOKUP(M1545,Sheet9!$I$1:$J$17,2,FALSE)</f>
        <v>10</v>
      </c>
      <c r="C1545">
        <f>VLOOKUP(N1545,Sheet9!$M$1:$N$2,2,FALSE)</f>
        <v>1</v>
      </c>
      <c r="D1545">
        <v>32</v>
      </c>
      <c r="E1545" t="s">
        <v>96</v>
      </c>
      <c r="F1545">
        <v>110</v>
      </c>
      <c r="H1545">
        <v>3</v>
      </c>
      <c r="I1545">
        <v>3</v>
      </c>
      <c r="J1545">
        <v>9</v>
      </c>
      <c r="K1545">
        <v>4.09</v>
      </c>
      <c r="L1545">
        <v>5.96</v>
      </c>
      <c r="M1545" t="s">
        <v>82</v>
      </c>
      <c r="N1545" t="s">
        <v>162</v>
      </c>
    </row>
    <row r="1546" spans="1:14" x14ac:dyDescent="0.3">
      <c r="A1546" t="s">
        <v>82</v>
      </c>
      <c r="B1546">
        <f>VLOOKUP(M1546,Sheet9!$I$1:$J$17,2,FALSE)</f>
        <v>10</v>
      </c>
      <c r="C1546">
        <f>VLOOKUP(N1546,Sheet9!$M$1:$N$2,2,FALSE)</f>
        <v>1</v>
      </c>
      <c r="D1546">
        <v>32</v>
      </c>
      <c r="E1546" t="s">
        <v>96</v>
      </c>
      <c r="F1546">
        <v>110</v>
      </c>
      <c r="H1546">
        <v>3</v>
      </c>
      <c r="I1546">
        <v>5</v>
      </c>
      <c r="J1546">
        <v>15</v>
      </c>
      <c r="K1546">
        <v>3.89</v>
      </c>
      <c r="L1546">
        <v>5.74</v>
      </c>
      <c r="M1546" t="s">
        <v>82</v>
      </c>
      <c r="N1546" t="s">
        <v>162</v>
      </c>
    </row>
    <row r="1547" spans="1:14" x14ac:dyDescent="0.3">
      <c r="A1547" t="s">
        <v>82</v>
      </c>
      <c r="B1547">
        <f>VLOOKUP(M1547,Sheet9!$I$1:$J$17,2,FALSE)</f>
        <v>10</v>
      </c>
      <c r="C1547">
        <f>VLOOKUP(N1547,Sheet9!$M$1:$N$2,2,FALSE)</f>
        <v>1</v>
      </c>
      <c r="D1547">
        <v>32</v>
      </c>
      <c r="E1547" t="s">
        <v>168</v>
      </c>
      <c r="F1547">
        <v>110</v>
      </c>
      <c r="H1547">
        <v>32</v>
      </c>
      <c r="I1547">
        <v>0.6</v>
      </c>
      <c r="J1547">
        <v>19.2</v>
      </c>
      <c r="K1547">
        <v>4.1399999999999997</v>
      </c>
      <c r="L1547">
        <v>6.08</v>
      </c>
      <c r="M1547" t="s">
        <v>82</v>
      </c>
      <c r="N1547" t="s">
        <v>162</v>
      </c>
    </row>
    <row r="1548" spans="1:14" x14ac:dyDescent="0.3">
      <c r="A1548" t="s">
        <v>82</v>
      </c>
      <c r="B1548">
        <f>VLOOKUP(M1548,Sheet9!$I$1:$J$17,2,FALSE)</f>
        <v>10</v>
      </c>
      <c r="C1548">
        <f>VLOOKUP(N1548,Sheet9!$M$1:$N$2,2,FALSE)</f>
        <v>1</v>
      </c>
      <c r="D1548">
        <v>32</v>
      </c>
      <c r="E1548" t="s">
        <v>96</v>
      </c>
      <c r="F1548">
        <v>110</v>
      </c>
      <c r="H1548">
        <v>64</v>
      </c>
      <c r="I1548">
        <v>0.6</v>
      </c>
      <c r="J1548">
        <v>38.4</v>
      </c>
      <c r="K1548">
        <v>3.65</v>
      </c>
      <c r="L1548">
        <v>5.39</v>
      </c>
      <c r="M1548" t="s">
        <v>82</v>
      </c>
      <c r="N1548" t="s">
        <v>162</v>
      </c>
    </row>
    <row r="1549" spans="1:14" x14ac:dyDescent="0.3">
      <c r="A1549" t="s">
        <v>82</v>
      </c>
      <c r="B1549">
        <f>VLOOKUP(M1549,Sheet9!$I$1:$J$17,2,FALSE)</f>
        <v>10</v>
      </c>
      <c r="C1549">
        <f>VLOOKUP(N1549,Sheet9!$M$1:$N$2,2,FALSE)</f>
        <v>1</v>
      </c>
      <c r="D1549">
        <v>32</v>
      </c>
      <c r="E1549" t="s">
        <v>168</v>
      </c>
      <c r="F1549">
        <v>110</v>
      </c>
      <c r="H1549">
        <v>128</v>
      </c>
      <c r="I1549">
        <v>0.6</v>
      </c>
      <c r="J1549">
        <v>76.8</v>
      </c>
      <c r="K1549">
        <v>3.61</v>
      </c>
      <c r="L1549">
        <v>5.33</v>
      </c>
      <c r="M1549" t="s">
        <v>82</v>
      </c>
      <c r="N1549" t="s">
        <v>162</v>
      </c>
    </row>
    <row r="1550" spans="1:14" x14ac:dyDescent="0.3">
      <c r="A1550" t="s">
        <v>82</v>
      </c>
      <c r="B1550">
        <f>VLOOKUP(M1550,Sheet9!$I$1:$J$17,2,FALSE)</f>
        <v>10</v>
      </c>
      <c r="C1550">
        <f>VLOOKUP(N1550,Sheet9!$M$1:$N$2,2,FALSE)</f>
        <v>1</v>
      </c>
      <c r="D1550">
        <v>32</v>
      </c>
      <c r="E1550" t="s">
        <v>96</v>
      </c>
      <c r="F1550">
        <v>120</v>
      </c>
      <c r="H1550">
        <v>6</v>
      </c>
      <c r="I1550">
        <v>0.6</v>
      </c>
      <c r="J1550">
        <v>3.5999999999999996</v>
      </c>
      <c r="M1550" t="s">
        <v>82</v>
      </c>
      <c r="N1550" t="s">
        <v>162</v>
      </c>
    </row>
    <row r="1551" spans="1:14" x14ac:dyDescent="0.3">
      <c r="A1551" t="s">
        <v>82</v>
      </c>
      <c r="B1551">
        <f>VLOOKUP(M1551,Sheet9!$I$1:$J$17,2,FALSE)</f>
        <v>10</v>
      </c>
      <c r="C1551">
        <f>VLOOKUP(N1551,Sheet9!$M$1:$N$2,2,FALSE)</f>
        <v>1</v>
      </c>
      <c r="D1551">
        <v>32</v>
      </c>
      <c r="E1551" t="s">
        <v>96</v>
      </c>
      <c r="F1551">
        <v>120</v>
      </c>
      <c r="H1551">
        <v>1</v>
      </c>
      <c r="I1551">
        <v>5</v>
      </c>
      <c r="J1551">
        <v>5</v>
      </c>
      <c r="K1551">
        <v>4.1100000000000003</v>
      </c>
      <c r="L1551">
        <v>5.92</v>
      </c>
      <c r="M1551" t="s">
        <v>82</v>
      </c>
      <c r="N1551" t="s">
        <v>162</v>
      </c>
    </row>
    <row r="1552" spans="1:14" x14ac:dyDescent="0.3">
      <c r="A1552" t="s">
        <v>82</v>
      </c>
      <c r="B1552">
        <f>VLOOKUP(M1552,Sheet9!$I$1:$J$17,2,FALSE)</f>
        <v>10</v>
      </c>
      <c r="C1552">
        <f>VLOOKUP(N1552,Sheet9!$M$1:$N$2,2,FALSE)</f>
        <v>1</v>
      </c>
      <c r="D1552">
        <v>32</v>
      </c>
      <c r="E1552" t="s">
        <v>96</v>
      </c>
      <c r="F1552">
        <v>120</v>
      </c>
      <c r="H1552">
        <v>1</v>
      </c>
      <c r="I1552">
        <v>10</v>
      </c>
      <c r="J1552">
        <v>10</v>
      </c>
      <c r="K1552">
        <v>3.76</v>
      </c>
      <c r="L1552">
        <v>5.41</v>
      </c>
      <c r="M1552" t="s">
        <v>82</v>
      </c>
      <c r="N1552" t="s">
        <v>162</v>
      </c>
    </row>
    <row r="1553" spans="1:14" x14ac:dyDescent="0.3">
      <c r="A1553" t="s">
        <v>82</v>
      </c>
      <c r="B1553">
        <f>VLOOKUP(M1553,Sheet9!$I$1:$J$17,2,FALSE)</f>
        <v>10</v>
      </c>
      <c r="C1553">
        <f>VLOOKUP(N1553,Sheet9!$M$1:$N$2,2,FALSE)</f>
        <v>1</v>
      </c>
      <c r="D1553">
        <v>32</v>
      </c>
      <c r="E1553" t="s">
        <v>96</v>
      </c>
      <c r="F1553">
        <v>120</v>
      </c>
      <c r="H1553">
        <v>3</v>
      </c>
      <c r="I1553">
        <v>3</v>
      </c>
      <c r="J1553">
        <v>9</v>
      </c>
      <c r="K1553">
        <v>5.22</v>
      </c>
      <c r="L1553">
        <v>7.49</v>
      </c>
      <c r="M1553" t="s">
        <v>82</v>
      </c>
      <c r="N1553" t="s">
        <v>162</v>
      </c>
    </row>
    <row r="1554" spans="1:14" x14ac:dyDescent="0.3">
      <c r="A1554" t="s">
        <v>82</v>
      </c>
      <c r="B1554">
        <f>VLOOKUP(M1554,Sheet9!$I$1:$J$17,2,FALSE)</f>
        <v>10</v>
      </c>
      <c r="C1554">
        <f>VLOOKUP(N1554,Sheet9!$M$1:$N$2,2,FALSE)</f>
        <v>1</v>
      </c>
      <c r="D1554">
        <v>32</v>
      </c>
      <c r="E1554" t="s">
        <v>96</v>
      </c>
      <c r="F1554">
        <v>120</v>
      </c>
      <c r="H1554">
        <v>3</v>
      </c>
      <c r="I1554">
        <v>5</v>
      </c>
      <c r="J1554">
        <v>15</v>
      </c>
      <c r="K1554">
        <v>4.97</v>
      </c>
      <c r="L1554">
        <v>7.2</v>
      </c>
      <c r="M1554" t="s">
        <v>82</v>
      </c>
      <c r="N1554" t="s">
        <v>162</v>
      </c>
    </row>
    <row r="1555" spans="1:14" x14ac:dyDescent="0.3">
      <c r="A1555" t="s">
        <v>82</v>
      </c>
      <c r="B1555">
        <f>VLOOKUP(M1555,Sheet9!$I$1:$J$17,2,FALSE)</f>
        <v>10</v>
      </c>
      <c r="C1555">
        <f>VLOOKUP(N1555,Sheet9!$M$1:$N$2,2,FALSE)</f>
        <v>1</v>
      </c>
      <c r="D1555">
        <v>32</v>
      </c>
      <c r="E1555" t="s">
        <v>168</v>
      </c>
      <c r="F1555">
        <v>120</v>
      </c>
      <c r="H1555">
        <v>32</v>
      </c>
      <c r="I1555">
        <v>0.6</v>
      </c>
      <c r="J1555">
        <v>19.2</v>
      </c>
      <c r="K1555">
        <v>5.29</v>
      </c>
      <c r="L1555">
        <v>7.63</v>
      </c>
      <c r="M1555" t="s">
        <v>82</v>
      </c>
      <c r="N1555" t="s">
        <v>162</v>
      </c>
    </row>
    <row r="1556" spans="1:14" x14ac:dyDescent="0.3">
      <c r="A1556" t="s">
        <v>82</v>
      </c>
      <c r="B1556">
        <f>VLOOKUP(M1556,Sheet9!$I$1:$J$17,2,FALSE)</f>
        <v>10</v>
      </c>
      <c r="C1556">
        <f>VLOOKUP(N1556,Sheet9!$M$1:$N$2,2,FALSE)</f>
        <v>1</v>
      </c>
      <c r="D1556">
        <v>32</v>
      </c>
      <c r="E1556" t="s">
        <v>96</v>
      </c>
      <c r="F1556">
        <v>120</v>
      </c>
      <c r="H1556">
        <v>64</v>
      </c>
      <c r="I1556">
        <v>0.6</v>
      </c>
      <c r="J1556">
        <v>38.4</v>
      </c>
      <c r="K1556">
        <v>4.6500000000000004</v>
      </c>
      <c r="L1556">
        <v>6.76</v>
      </c>
      <c r="M1556" t="s">
        <v>82</v>
      </c>
      <c r="N1556" t="s">
        <v>162</v>
      </c>
    </row>
    <row r="1557" spans="1:14" x14ac:dyDescent="0.3">
      <c r="A1557" t="s">
        <v>82</v>
      </c>
      <c r="B1557">
        <f>VLOOKUP(M1557,Sheet9!$I$1:$J$17,2,FALSE)</f>
        <v>10</v>
      </c>
      <c r="C1557">
        <f>VLOOKUP(N1557,Sheet9!$M$1:$N$2,2,FALSE)</f>
        <v>1</v>
      </c>
      <c r="D1557">
        <v>32</v>
      </c>
      <c r="E1557" t="s">
        <v>168</v>
      </c>
      <c r="F1557">
        <v>120</v>
      </c>
      <c r="H1557">
        <v>128</v>
      </c>
      <c r="I1557">
        <v>0.6</v>
      </c>
      <c r="J1557">
        <v>76.8</v>
      </c>
      <c r="K1557">
        <v>4.6100000000000003</v>
      </c>
      <c r="L1557">
        <v>6.69</v>
      </c>
      <c r="M1557" t="s">
        <v>82</v>
      </c>
      <c r="N1557" t="s">
        <v>162</v>
      </c>
    </row>
    <row r="1558" spans="1:14" x14ac:dyDescent="0.3">
      <c r="A1558" t="s">
        <v>82</v>
      </c>
      <c r="B1558">
        <f>VLOOKUP(M1558,Sheet9!$I$1:$J$17,2,FALSE)</f>
        <v>10</v>
      </c>
      <c r="C1558">
        <f>VLOOKUP(N1558,Sheet9!$M$1:$N$2,2,FALSE)</f>
        <v>1</v>
      </c>
      <c r="D1558">
        <v>32</v>
      </c>
      <c r="E1558" t="s">
        <v>96</v>
      </c>
      <c r="F1558">
        <v>130</v>
      </c>
      <c r="H1558">
        <v>6</v>
      </c>
      <c r="I1558">
        <v>0.6</v>
      </c>
      <c r="J1558">
        <v>3.5999999999999996</v>
      </c>
      <c r="M1558" t="s">
        <v>82</v>
      </c>
      <c r="N1558" t="s">
        <v>162</v>
      </c>
    </row>
    <row r="1559" spans="1:14" x14ac:dyDescent="0.3">
      <c r="A1559" t="s">
        <v>82</v>
      </c>
      <c r="B1559">
        <f>VLOOKUP(M1559,Sheet9!$I$1:$J$17,2,FALSE)</f>
        <v>10</v>
      </c>
      <c r="C1559">
        <f>VLOOKUP(N1559,Sheet9!$M$1:$N$2,2,FALSE)</f>
        <v>1</v>
      </c>
      <c r="D1559">
        <v>32</v>
      </c>
      <c r="E1559" t="s">
        <v>96</v>
      </c>
      <c r="F1559">
        <v>130</v>
      </c>
      <c r="H1559">
        <v>1</v>
      </c>
      <c r="I1559">
        <v>5</v>
      </c>
      <c r="J1559">
        <v>5</v>
      </c>
      <c r="K1559">
        <v>5.08</v>
      </c>
      <c r="L1559">
        <v>7.22</v>
      </c>
      <c r="M1559" t="s">
        <v>82</v>
      </c>
      <c r="N1559" t="s">
        <v>162</v>
      </c>
    </row>
    <row r="1560" spans="1:14" x14ac:dyDescent="0.3">
      <c r="A1560" t="s">
        <v>82</v>
      </c>
      <c r="B1560">
        <f>VLOOKUP(M1560,Sheet9!$I$1:$J$17,2,FALSE)</f>
        <v>10</v>
      </c>
      <c r="C1560">
        <f>VLOOKUP(N1560,Sheet9!$M$1:$N$2,2,FALSE)</f>
        <v>1</v>
      </c>
      <c r="D1560">
        <v>32</v>
      </c>
      <c r="E1560" t="s">
        <v>96</v>
      </c>
      <c r="F1560">
        <v>130</v>
      </c>
      <c r="H1560">
        <v>1</v>
      </c>
      <c r="I1560">
        <v>10</v>
      </c>
      <c r="J1560">
        <v>10</v>
      </c>
      <c r="K1560">
        <v>4.6500000000000004</v>
      </c>
      <c r="L1560">
        <v>6.61</v>
      </c>
      <c r="M1560" t="s">
        <v>82</v>
      </c>
      <c r="N1560" t="s">
        <v>162</v>
      </c>
    </row>
    <row r="1561" spans="1:14" x14ac:dyDescent="0.3">
      <c r="A1561" t="s">
        <v>82</v>
      </c>
      <c r="B1561">
        <f>VLOOKUP(M1561,Sheet9!$I$1:$J$17,2,FALSE)</f>
        <v>10</v>
      </c>
      <c r="C1561">
        <f>VLOOKUP(N1561,Sheet9!$M$1:$N$2,2,FALSE)</f>
        <v>1</v>
      </c>
      <c r="D1561">
        <v>32</v>
      </c>
      <c r="E1561" t="s">
        <v>96</v>
      </c>
      <c r="F1561">
        <v>130</v>
      </c>
      <c r="H1561">
        <v>3</v>
      </c>
      <c r="I1561">
        <v>3</v>
      </c>
      <c r="J1561">
        <v>9</v>
      </c>
      <c r="K1561">
        <v>6.47</v>
      </c>
      <c r="L1561">
        <v>9.16</v>
      </c>
      <c r="M1561" t="s">
        <v>82</v>
      </c>
      <c r="N1561" t="s">
        <v>162</v>
      </c>
    </row>
    <row r="1562" spans="1:14" x14ac:dyDescent="0.3">
      <c r="A1562" t="s">
        <v>82</v>
      </c>
      <c r="B1562">
        <f>VLOOKUP(M1562,Sheet9!$I$1:$J$17,2,FALSE)</f>
        <v>10</v>
      </c>
      <c r="C1562">
        <f>VLOOKUP(N1562,Sheet9!$M$1:$N$2,2,FALSE)</f>
        <v>1</v>
      </c>
      <c r="D1562">
        <v>32</v>
      </c>
      <c r="E1562" t="s">
        <v>96</v>
      </c>
      <c r="F1562">
        <v>130</v>
      </c>
      <c r="H1562">
        <v>3</v>
      </c>
      <c r="I1562">
        <v>5</v>
      </c>
      <c r="J1562">
        <v>15</v>
      </c>
      <c r="K1562">
        <v>6.14</v>
      </c>
      <c r="L1562">
        <v>8.7799999999999994</v>
      </c>
      <c r="M1562" t="s">
        <v>82</v>
      </c>
      <c r="N1562" t="s">
        <v>162</v>
      </c>
    </row>
    <row r="1563" spans="1:14" x14ac:dyDescent="0.3">
      <c r="A1563" t="s">
        <v>82</v>
      </c>
      <c r="B1563">
        <f>VLOOKUP(M1563,Sheet9!$I$1:$J$17,2,FALSE)</f>
        <v>10</v>
      </c>
      <c r="C1563">
        <f>VLOOKUP(N1563,Sheet9!$M$1:$N$2,2,FALSE)</f>
        <v>1</v>
      </c>
      <c r="D1563">
        <v>32</v>
      </c>
      <c r="E1563" t="s">
        <v>168</v>
      </c>
      <c r="F1563">
        <v>130</v>
      </c>
      <c r="H1563">
        <v>32</v>
      </c>
      <c r="I1563">
        <v>0.6</v>
      </c>
      <c r="J1563">
        <v>19.2</v>
      </c>
      <c r="K1563">
        <v>6.55</v>
      </c>
      <c r="L1563">
        <v>9.31</v>
      </c>
      <c r="M1563" t="s">
        <v>82</v>
      </c>
      <c r="N1563" t="s">
        <v>162</v>
      </c>
    </row>
    <row r="1564" spans="1:14" x14ac:dyDescent="0.3">
      <c r="A1564" t="s">
        <v>82</v>
      </c>
      <c r="B1564">
        <f>VLOOKUP(M1564,Sheet9!$I$1:$J$17,2,FALSE)</f>
        <v>10</v>
      </c>
      <c r="C1564">
        <f>VLOOKUP(N1564,Sheet9!$M$1:$N$2,2,FALSE)</f>
        <v>1</v>
      </c>
      <c r="D1564">
        <v>32</v>
      </c>
      <c r="E1564" t="s">
        <v>96</v>
      </c>
      <c r="F1564">
        <v>130</v>
      </c>
      <c r="H1564">
        <v>64</v>
      </c>
      <c r="I1564">
        <v>0.6</v>
      </c>
      <c r="J1564">
        <v>38.4</v>
      </c>
      <c r="K1564">
        <v>5.76</v>
      </c>
      <c r="L1564">
        <v>8.25</v>
      </c>
      <c r="M1564" t="s">
        <v>82</v>
      </c>
      <c r="N1564" t="s">
        <v>162</v>
      </c>
    </row>
    <row r="1565" spans="1:14" x14ac:dyDescent="0.3">
      <c r="A1565" t="s">
        <v>82</v>
      </c>
      <c r="B1565">
        <f>VLOOKUP(M1565,Sheet9!$I$1:$J$17,2,FALSE)</f>
        <v>10</v>
      </c>
      <c r="C1565">
        <f>VLOOKUP(N1565,Sheet9!$M$1:$N$2,2,FALSE)</f>
        <v>1</v>
      </c>
      <c r="D1565">
        <v>32</v>
      </c>
      <c r="E1565" t="s">
        <v>168</v>
      </c>
      <c r="F1565">
        <v>130</v>
      </c>
      <c r="H1565">
        <v>128</v>
      </c>
      <c r="I1565">
        <v>0.6</v>
      </c>
      <c r="J1565">
        <v>76.8</v>
      </c>
      <c r="K1565">
        <v>5.71</v>
      </c>
      <c r="L1565">
        <v>8.17</v>
      </c>
      <c r="M1565" t="s">
        <v>82</v>
      </c>
      <c r="N1565" t="s">
        <v>162</v>
      </c>
    </row>
    <row r="1566" spans="1:14" x14ac:dyDescent="0.3">
      <c r="A1566" t="s">
        <v>82</v>
      </c>
      <c r="B1566">
        <f>VLOOKUP(M1566,Sheet9!$I$1:$J$17,2,FALSE)</f>
        <v>10</v>
      </c>
      <c r="C1566">
        <f>VLOOKUP(N1566,Sheet9!$M$1:$N$2,2,FALSE)</f>
        <v>1</v>
      </c>
      <c r="D1566">
        <v>32</v>
      </c>
      <c r="E1566" t="s">
        <v>96</v>
      </c>
      <c r="F1566">
        <v>140</v>
      </c>
      <c r="H1566">
        <v>6</v>
      </c>
      <c r="I1566">
        <v>0.6</v>
      </c>
      <c r="J1566">
        <v>3.5999999999999996</v>
      </c>
      <c r="M1566" t="s">
        <v>82</v>
      </c>
      <c r="N1566" t="s">
        <v>162</v>
      </c>
    </row>
    <row r="1567" spans="1:14" x14ac:dyDescent="0.3">
      <c r="A1567" t="s">
        <v>82</v>
      </c>
      <c r="B1567">
        <f>VLOOKUP(M1567,Sheet9!$I$1:$J$17,2,FALSE)</f>
        <v>10</v>
      </c>
      <c r="C1567">
        <f>VLOOKUP(N1567,Sheet9!$M$1:$N$2,2,FALSE)</f>
        <v>1</v>
      </c>
      <c r="D1567">
        <v>32</v>
      </c>
      <c r="E1567" t="s">
        <v>96</v>
      </c>
      <c r="F1567">
        <v>140</v>
      </c>
      <c r="H1567">
        <v>1</v>
      </c>
      <c r="I1567">
        <v>5</v>
      </c>
      <c r="J1567">
        <v>5</v>
      </c>
      <c r="K1567">
        <v>6.14</v>
      </c>
      <c r="L1567">
        <v>8.6300000000000008</v>
      </c>
      <c r="M1567" t="s">
        <v>82</v>
      </c>
      <c r="N1567" t="s">
        <v>162</v>
      </c>
    </row>
    <row r="1568" spans="1:14" x14ac:dyDescent="0.3">
      <c r="A1568" t="s">
        <v>82</v>
      </c>
      <c r="B1568">
        <f>VLOOKUP(M1568,Sheet9!$I$1:$J$17,2,FALSE)</f>
        <v>10</v>
      </c>
      <c r="C1568">
        <f>VLOOKUP(N1568,Sheet9!$M$1:$N$2,2,FALSE)</f>
        <v>1</v>
      </c>
      <c r="D1568">
        <v>32</v>
      </c>
      <c r="E1568" t="s">
        <v>96</v>
      </c>
      <c r="F1568">
        <v>140</v>
      </c>
      <c r="H1568">
        <v>1</v>
      </c>
      <c r="I1568">
        <v>10</v>
      </c>
      <c r="J1568">
        <v>10</v>
      </c>
      <c r="K1568">
        <v>5.62</v>
      </c>
      <c r="L1568">
        <v>7.91</v>
      </c>
      <c r="M1568" t="s">
        <v>82</v>
      </c>
      <c r="N1568" t="s">
        <v>162</v>
      </c>
    </row>
    <row r="1569" spans="1:14" x14ac:dyDescent="0.3">
      <c r="A1569" t="s">
        <v>82</v>
      </c>
      <c r="B1569">
        <f>VLOOKUP(M1569,Sheet9!$I$1:$J$17,2,FALSE)</f>
        <v>10</v>
      </c>
      <c r="C1569">
        <f>VLOOKUP(N1569,Sheet9!$M$1:$N$2,2,FALSE)</f>
        <v>1</v>
      </c>
      <c r="D1569">
        <v>32</v>
      </c>
      <c r="E1569" t="s">
        <v>96</v>
      </c>
      <c r="F1569">
        <v>140</v>
      </c>
      <c r="H1569">
        <v>3</v>
      </c>
      <c r="I1569">
        <v>3</v>
      </c>
      <c r="J1569">
        <v>9</v>
      </c>
      <c r="K1569">
        <v>7.81</v>
      </c>
      <c r="L1569">
        <v>10.94</v>
      </c>
      <c r="M1569" t="s">
        <v>82</v>
      </c>
      <c r="N1569" t="s">
        <v>162</v>
      </c>
    </row>
    <row r="1570" spans="1:14" x14ac:dyDescent="0.3">
      <c r="A1570" t="s">
        <v>82</v>
      </c>
      <c r="B1570">
        <f>VLOOKUP(M1570,Sheet9!$I$1:$J$17,2,FALSE)</f>
        <v>10</v>
      </c>
      <c r="C1570">
        <f>VLOOKUP(N1570,Sheet9!$M$1:$N$2,2,FALSE)</f>
        <v>1</v>
      </c>
      <c r="D1570">
        <v>32</v>
      </c>
      <c r="E1570" t="s">
        <v>96</v>
      </c>
      <c r="F1570">
        <v>140</v>
      </c>
      <c r="H1570">
        <v>3</v>
      </c>
      <c r="I1570">
        <v>5</v>
      </c>
      <c r="J1570">
        <v>15</v>
      </c>
      <c r="K1570">
        <v>7.43</v>
      </c>
      <c r="L1570">
        <v>10.5</v>
      </c>
      <c r="M1570" t="s">
        <v>82</v>
      </c>
      <c r="N1570" t="s">
        <v>162</v>
      </c>
    </row>
    <row r="1571" spans="1:14" x14ac:dyDescent="0.3">
      <c r="A1571" t="s">
        <v>82</v>
      </c>
      <c r="B1571">
        <f>VLOOKUP(M1571,Sheet9!$I$1:$J$17,2,FALSE)</f>
        <v>10</v>
      </c>
      <c r="C1571">
        <f>VLOOKUP(N1571,Sheet9!$M$1:$N$2,2,FALSE)</f>
        <v>1</v>
      </c>
      <c r="D1571">
        <v>32</v>
      </c>
      <c r="E1571" t="s">
        <v>168</v>
      </c>
      <c r="F1571">
        <v>140</v>
      </c>
      <c r="H1571">
        <v>32</v>
      </c>
      <c r="I1571">
        <v>0.6</v>
      </c>
      <c r="J1571">
        <v>19.2</v>
      </c>
      <c r="K1571">
        <v>7.92</v>
      </c>
      <c r="L1571">
        <v>11.13</v>
      </c>
      <c r="M1571" t="s">
        <v>82</v>
      </c>
      <c r="N1571" t="s">
        <v>162</v>
      </c>
    </row>
    <row r="1572" spans="1:14" x14ac:dyDescent="0.3">
      <c r="A1572" t="s">
        <v>82</v>
      </c>
      <c r="B1572">
        <f>VLOOKUP(M1572,Sheet9!$I$1:$J$17,2,FALSE)</f>
        <v>10</v>
      </c>
      <c r="C1572">
        <f>VLOOKUP(N1572,Sheet9!$M$1:$N$2,2,FALSE)</f>
        <v>1</v>
      </c>
      <c r="D1572">
        <v>32</v>
      </c>
      <c r="E1572" t="s">
        <v>96</v>
      </c>
      <c r="F1572">
        <v>140</v>
      </c>
      <c r="H1572">
        <v>64</v>
      </c>
      <c r="I1572">
        <v>0.6</v>
      </c>
      <c r="J1572">
        <v>38.4</v>
      </c>
      <c r="K1572">
        <v>6.96</v>
      </c>
      <c r="L1572">
        <v>9.86</v>
      </c>
      <c r="M1572" t="s">
        <v>82</v>
      </c>
      <c r="N1572" t="s">
        <v>162</v>
      </c>
    </row>
    <row r="1573" spans="1:14" x14ac:dyDescent="0.3">
      <c r="A1573" t="s">
        <v>82</v>
      </c>
      <c r="B1573">
        <f>VLOOKUP(M1573,Sheet9!$I$1:$J$17,2,FALSE)</f>
        <v>10</v>
      </c>
      <c r="C1573">
        <f>VLOOKUP(N1573,Sheet9!$M$1:$N$2,2,FALSE)</f>
        <v>1</v>
      </c>
      <c r="D1573">
        <v>32</v>
      </c>
      <c r="E1573" t="s">
        <v>168</v>
      </c>
      <c r="F1573">
        <v>140</v>
      </c>
      <c r="H1573">
        <v>128</v>
      </c>
      <c r="I1573">
        <v>0.6</v>
      </c>
      <c r="J1573">
        <v>76.8</v>
      </c>
      <c r="K1573">
        <v>6.9</v>
      </c>
      <c r="L1573">
        <v>9.76</v>
      </c>
      <c r="M1573" t="s">
        <v>82</v>
      </c>
      <c r="N1573" t="s">
        <v>162</v>
      </c>
    </row>
    <row r="1574" spans="1:14" x14ac:dyDescent="0.3">
      <c r="A1574" t="s">
        <v>82</v>
      </c>
      <c r="B1574">
        <f>VLOOKUP(M1574,Sheet9!$I$1:$J$17,2,FALSE)</f>
        <v>10</v>
      </c>
      <c r="C1574">
        <f>VLOOKUP(N1574,Sheet9!$M$1:$N$2,2,FALSE)</f>
        <v>1</v>
      </c>
      <c r="D1574">
        <v>32</v>
      </c>
      <c r="E1574" t="s">
        <v>96</v>
      </c>
      <c r="F1574">
        <v>150</v>
      </c>
      <c r="H1574">
        <v>6</v>
      </c>
      <c r="I1574">
        <v>0.6</v>
      </c>
      <c r="J1574">
        <v>3.5999999999999996</v>
      </c>
      <c r="M1574" t="s">
        <v>82</v>
      </c>
      <c r="N1574" t="s">
        <v>162</v>
      </c>
    </row>
    <row r="1575" spans="1:14" x14ac:dyDescent="0.3">
      <c r="A1575" t="s">
        <v>82</v>
      </c>
      <c r="B1575">
        <f>VLOOKUP(M1575,Sheet9!$I$1:$J$17,2,FALSE)</f>
        <v>10</v>
      </c>
      <c r="C1575">
        <f>VLOOKUP(N1575,Sheet9!$M$1:$N$2,2,FALSE)</f>
        <v>1</v>
      </c>
      <c r="D1575">
        <v>32</v>
      </c>
      <c r="E1575" t="s">
        <v>96</v>
      </c>
      <c r="F1575">
        <v>150</v>
      </c>
      <c r="H1575">
        <v>1</v>
      </c>
      <c r="I1575">
        <v>5</v>
      </c>
      <c r="J1575">
        <v>5</v>
      </c>
      <c r="K1575">
        <v>7.29</v>
      </c>
      <c r="L1575">
        <v>10.15</v>
      </c>
      <c r="M1575" t="s">
        <v>82</v>
      </c>
      <c r="N1575" t="s">
        <v>162</v>
      </c>
    </row>
    <row r="1576" spans="1:14" x14ac:dyDescent="0.3">
      <c r="A1576" t="s">
        <v>82</v>
      </c>
      <c r="B1576">
        <f>VLOOKUP(M1576,Sheet9!$I$1:$J$17,2,FALSE)</f>
        <v>10</v>
      </c>
      <c r="C1576">
        <f>VLOOKUP(N1576,Sheet9!$M$1:$N$2,2,FALSE)</f>
        <v>1</v>
      </c>
      <c r="D1576">
        <v>32</v>
      </c>
      <c r="E1576" t="s">
        <v>96</v>
      </c>
      <c r="F1576">
        <v>150</v>
      </c>
      <c r="H1576">
        <v>1</v>
      </c>
      <c r="I1576">
        <v>10</v>
      </c>
      <c r="J1576">
        <v>10</v>
      </c>
      <c r="K1576">
        <v>6.66</v>
      </c>
      <c r="L1576">
        <v>9.2899999999999991</v>
      </c>
      <c r="M1576" t="s">
        <v>82</v>
      </c>
      <c r="N1576" t="s">
        <v>162</v>
      </c>
    </row>
    <row r="1577" spans="1:14" x14ac:dyDescent="0.3">
      <c r="A1577" t="s">
        <v>82</v>
      </c>
      <c r="B1577">
        <f>VLOOKUP(M1577,Sheet9!$I$1:$J$17,2,FALSE)</f>
        <v>10</v>
      </c>
      <c r="C1577">
        <f>VLOOKUP(N1577,Sheet9!$M$1:$N$2,2,FALSE)</f>
        <v>1</v>
      </c>
      <c r="D1577">
        <v>32</v>
      </c>
      <c r="E1577" t="s">
        <v>96</v>
      </c>
      <c r="F1577">
        <v>150</v>
      </c>
      <c r="H1577">
        <v>3</v>
      </c>
      <c r="I1577">
        <v>3</v>
      </c>
      <c r="J1577">
        <v>9</v>
      </c>
      <c r="K1577">
        <v>9.26</v>
      </c>
      <c r="L1577">
        <v>12.85</v>
      </c>
      <c r="M1577" t="s">
        <v>82</v>
      </c>
      <c r="N1577" t="s">
        <v>162</v>
      </c>
    </row>
    <row r="1578" spans="1:14" x14ac:dyDescent="0.3">
      <c r="A1578" t="s">
        <v>82</v>
      </c>
      <c r="B1578">
        <f>VLOOKUP(M1578,Sheet9!$I$1:$J$17,2,FALSE)</f>
        <v>10</v>
      </c>
      <c r="C1578">
        <f>VLOOKUP(N1578,Sheet9!$M$1:$N$2,2,FALSE)</f>
        <v>1</v>
      </c>
      <c r="D1578">
        <v>32</v>
      </c>
      <c r="E1578" t="s">
        <v>96</v>
      </c>
      <c r="F1578">
        <v>150</v>
      </c>
      <c r="H1578">
        <v>3</v>
      </c>
      <c r="I1578">
        <v>5</v>
      </c>
      <c r="J1578">
        <v>15</v>
      </c>
      <c r="K1578">
        <v>8.8000000000000007</v>
      </c>
      <c r="L1578">
        <v>12.32</v>
      </c>
      <c r="M1578" t="s">
        <v>82</v>
      </c>
      <c r="N1578" t="s">
        <v>162</v>
      </c>
    </row>
    <row r="1579" spans="1:14" x14ac:dyDescent="0.3">
      <c r="A1579" t="s">
        <v>82</v>
      </c>
      <c r="B1579">
        <f>VLOOKUP(M1579,Sheet9!$I$1:$J$17,2,FALSE)</f>
        <v>10</v>
      </c>
      <c r="C1579">
        <f>VLOOKUP(N1579,Sheet9!$M$1:$N$2,2,FALSE)</f>
        <v>1</v>
      </c>
      <c r="D1579">
        <v>32</v>
      </c>
      <c r="E1579" t="s">
        <v>168</v>
      </c>
      <c r="F1579">
        <v>150</v>
      </c>
      <c r="H1579">
        <v>32</v>
      </c>
      <c r="I1579">
        <v>0.6</v>
      </c>
      <c r="J1579">
        <v>19.2</v>
      </c>
      <c r="K1579">
        <v>9.3800000000000008</v>
      </c>
      <c r="L1579">
        <v>13.08</v>
      </c>
      <c r="M1579" t="s">
        <v>82</v>
      </c>
      <c r="N1579" t="s">
        <v>162</v>
      </c>
    </row>
    <row r="1580" spans="1:14" x14ac:dyDescent="0.3">
      <c r="A1580" t="s">
        <v>82</v>
      </c>
      <c r="B1580">
        <f>VLOOKUP(M1580,Sheet9!$I$1:$J$17,2,FALSE)</f>
        <v>10</v>
      </c>
      <c r="C1580">
        <f>VLOOKUP(N1580,Sheet9!$M$1:$N$2,2,FALSE)</f>
        <v>1</v>
      </c>
      <c r="D1580">
        <v>32</v>
      </c>
      <c r="E1580" t="s">
        <v>96</v>
      </c>
      <c r="F1580">
        <v>150</v>
      </c>
      <c r="H1580">
        <v>64</v>
      </c>
      <c r="I1580">
        <v>0.6</v>
      </c>
      <c r="J1580">
        <v>38.4</v>
      </c>
      <c r="K1580">
        <v>8.26</v>
      </c>
      <c r="L1580">
        <v>11.6</v>
      </c>
      <c r="M1580" t="s">
        <v>82</v>
      </c>
      <c r="N1580" t="s">
        <v>162</v>
      </c>
    </row>
    <row r="1581" spans="1:14" x14ac:dyDescent="0.3">
      <c r="A1581" t="s">
        <v>82</v>
      </c>
      <c r="B1581">
        <f>VLOOKUP(M1581,Sheet9!$I$1:$J$17,2,FALSE)</f>
        <v>10</v>
      </c>
      <c r="C1581">
        <f>VLOOKUP(N1581,Sheet9!$M$1:$N$2,2,FALSE)</f>
        <v>1</v>
      </c>
      <c r="D1581">
        <v>32</v>
      </c>
      <c r="E1581" t="s">
        <v>168</v>
      </c>
      <c r="F1581">
        <v>150</v>
      </c>
      <c r="H1581">
        <v>128</v>
      </c>
      <c r="I1581">
        <v>0.6</v>
      </c>
      <c r="J1581">
        <v>76.8</v>
      </c>
      <c r="K1581">
        <v>8.18</v>
      </c>
      <c r="L1581">
        <v>11.47</v>
      </c>
      <c r="M1581" t="s">
        <v>82</v>
      </c>
      <c r="N1581" t="s">
        <v>162</v>
      </c>
    </row>
    <row r="1582" spans="1:14" x14ac:dyDescent="0.3">
      <c r="A1582" t="s">
        <v>82</v>
      </c>
      <c r="B1582">
        <f>VLOOKUP(M1582,Sheet9!$I$1:$J$17,2,FALSE)</f>
        <v>10</v>
      </c>
      <c r="C1582">
        <f>VLOOKUP(N1582,Sheet9!$M$1:$N$2,2,FALSE)</f>
        <v>1</v>
      </c>
      <c r="D1582">
        <v>32</v>
      </c>
      <c r="E1582" t="s">
        <v>96</v>
      </c>
      <c r="F1582">
        <v>100</v>
      </c>
      <c r="G1582" t="s">
        <v>169</v>
      </c>
      <c r="H1582">
        <v>6</v>
      </c>
      <c r="I1582">
        <v>0.6</v>
      </c>
      <c r="J1582">
        <v>3.5999999999999996</v>
      </c>
      <c r="K1582">
        <v>0.83</v>
      </c>
      <c r="L1582">
        <v>1.1000000000000001</v>
      </c>
      <c r="M1582" t="s">
        <v>82</v>
      </c>
      <c r="N1582" t="s">
        <v>162</v>
      </c>
    </row>
    <row r="1583" spans="1:14" x14ac:dyDescent="0.3">
      <c r="A1583" t="s">
        <v>82</v>
      </c>
      <c r="B1583">
        <f>VLOOKUP(M1583,Sheet9!$I$1:$J$17,2,FALSE)</f>
        <v>10</v>
      </c>
      <c r="C1583">
        <f>VLOOKUP(N1583,Sheet9!$M$1:$N$2,2,FALSE)</f>
        <v>1</v>
      </c>
      <c r="D1583">
        <v>32</v>
      </c>
      <c r="E1583" t="s">
        <v>96</v>
      </c>
      <c r="F1583">
        <v>100</v>
      </c>
      <c r="H1583">
        <v>1</v>
      </c>
      <c r="I1583">
        <v>5</v>
      </c>
      <c r="J1583">
        <v>5</v>
      </c>
      <c r="M1583" t="s">
        <v>82</v>
      </c>
      <c r="N1583" t="s">
        <v>162</v>
      </c>
    </row>
    <row r="1584" spans="1:14" x14ac:dyDescent="0.3">
      <c r="A1584" t="s">
        <v>82</v>
      </c>
      <c r="B1584">
        <f>VLOOKUP(M1584,Sheet9!$I$1:$J$17,2,FALSE)</f>
        <v>10</v>
      </c>
      <c r="C1584">
        <f>VLOOKUP(N1584,Sheet9!$M$1:$N$2,2,FALSE)</f>
        <v>1</v>
      </c>
      <c r="D1584">
        <v>32</v>
      </c>
      <c r="E1584" t="s">
        <v>96</v>
      </c>
      <c r="F1584">
        <v>100</v>
      </c>
      <c r="H1584">
        <v>1</v>
      </c>
      <c r="I1584">
        <v>10</v>
      </c>
      <c r="J1584">
        <v>10</v>
      </c>
      <c r="M1584" t="s">
        <v>82</v>
      </c>
      <c r="N1584" t="s">
        <v>162</v>
      </c>
    </row>
    <row r="1585" spans="1:14" x14ac:dyDescent="0.3">
      <c r="A1585" t="s">
        <v>82</v>
      </c>
      <c r="B1585">
        <f>VLOOKUP(M1585,Sheet9!$I$1:$J$17,2,FALSE)</f>
        <v>10</v>
      </c>
      <c r="C1585">
        <f>VLOOKUP(N1585,Sheet9!$M$1:$N$2,2,FALSE)</f>
        <v>1</v>
      </c>
      <c r="D1585">
        <v>32</v>
      </c>
      <c r="E1585" t="s">
        <v>96</v>
      </c>
      <c r="F1585">
        <v>100</v>
      </c>
      <c r="H1585">
        <v>3</v>
      </c>
      <c r="I1585">
        <v>3</v>
      </c>
      <c r="J1585">
        <v>9</v>
      </c>
      <c r="K1585">
        <v>0.63</v>
      </c>
      <c r="L1585">
        <v>0.84</v>
      </c>
      <c r="M1585" t="s">
        <v>82</v>
      </c>
      <c r="N1585" t="s">
        <v>162</v>
      </c>
    </row>
    <row r="1586" spans="1:14" x14ac:dyDescent="0.3">
      <c r="A1586" t="s">
        <v>82</v>
      </c>
      <c r="B1586">
        <f>VLOOKUP(M1586,Sheet9!$I$1:$J$17,2,FALSE)</f>
        <v>10</v>
      </c>
      <c r="C1586">
        <f>VLOOKUP(N1586,Sheet9!$M$1:$N$2,2,FALSE)</f>
        <v>1</v>
      </c>
      <c r="D1586">
        <v>32</v>
      </c>
      <c r="E1586" t="s">
        <v>96</v>
      </c>
      <c r="F1586">
        <v>100</v>
      </c>
      <c r="H1586">
        <v>3</v>
      </c>
      <c r="I1586">
        <v>5</v>
      </c>
      <c r="J1586">
        <v>15</v>
      </c>
      <c r="K1586">
        <v>0.6</v>
      </c>
      <c r="L1586">
        <v>0.81</v>
      </c>
      <c r="M1586" t="s">
        <v>82</v>
      </c>
      <c r="N1586" t="s">
        <v>162</v>
      </c>
    </row>
    <row r="1587" spans="1:14" x14ac:dyDescent="0.3">
      <c r="A1587" t="s">
        <v>82</v>
      </c>
      <c r="B1587">
        <f>VLOOKUP(M1587,Sheet9!$I$1:$J$17,2,FALSE)</f>
        <v>10</v>
      </c>
      <c r="C1587">
        <f>VLOOKUP(N1587,Sheet9!$M$1:$N$2,2,FALSE)</f>
        <v>1</v>
      </c>
      <c r="D1587">
        <v>32</v>
      </c>
      <c r="E1587" t="s">
        <v>168</v>
      </c>
      <c r="F1587">
        <v>100</v>
      </c>
      <c r="H1587">
        <v>32</v>
      </c>
      <c r="I1587">
        <v>0.6</v>
      </c>
      <c r="J1587">
        <v>19.2</v>
      </c>
      <c r="K1587">
        <v>0.64</v>
      </c>
      <c r="L1587">
        <v>0.85</v>
      </c>
      <c r="M1587" t="s">
        <v>82</v>
      </c>
      <c r="N1587" t="s">
        <v>162</v>
      </c>
    </row>
    <row r="1588" spans="1:14" x14ac:dyDescent="0.3">
      <c r="A1588" t="s">
        <v>82</v>
      </c>
      <c r="B1588">
        <f>VLOOKUP(M1588,Sheet9!$I$1:$J$17,2,FALSE)</f>
        <v>10</v>
      </c>
      <c r="C1588">
        <f>VLOOKUP(N1588,Sheet9!$M$1:$N$2,2,FALSE)</f>
        <v>1</v>
      </c>
      <c r="D1588">
        <v>32</v>
      </c>
      <c r="E1588" t="s">
        <v>96</v>
      </c>
      <c r="F1588">
        <v>100</v>
      </c>
      <c r="H1588">
        <v>64</v>
      </c>
      <c r="I1588">
        <v>0.6</v>
      </c>
      <c r="J1588">
        <v>38.4</v>
      </c>
      <c r="K1588">
        <v>0.56000000000000005</v>
      </c>
      <c r="L1588">
        <v>0.76</v>
      </c>
      <c r="M1588" t="s">
        <v>82</v>
      </c>
      <c r="N1588" t="s">
        <v>162</v>
      </c>
    </row>
    <row r="1589" spans="1:14" x14ac:dyDescent="0.3">
      <c r="A1589" t="s">
        <v>82</v>
      </c>
      <c r="B1589">
        <f>VLOOKUP(M1589,Sheet9!$I$1:$J$17,2,FALSE)</f>
        <v>10</v>
      </c>
      <c r="C1589">
        <f>VLOOKUP(N1589,Sheet9!$M$1:$N$2,2,FALSE)</f>
        <v>1</v>
      </c>
      <c r="D1589">
        <v>32</v>
      </c>
      <c r="E1589" t="s">
        <v>168</v>
      </c>
      <c r="F1589">
        <v>100</v>
      </c>
      <c r="H1589">
        <v>128</v>
      </c>
      <c r="I1589">
        <v>0.6</v>
      </c>
      <c r="J1589">
        <v>76.8</v>
      </c>
      <c r="K1589">
        <v>0.56000000000000005</v>
      </c>
      <c r="L1589">
        <v>0.75</v>
      </c>
      <c r="M1589" t="s">
        <v>82</v>
      </c>
      <c r="N1589" t="s">
        <v>162</v>
      </c>
    </row>
    <row r="1590" spans="1:14" x14ac:dyDescent="0.3">
      <c r="A1590" t="s">
        <v>82</v>
      </c>
      <c r="B1590">
        <f>VLOOKUP(M1590,Sheet9!$I$1:$J$17,2,FALSE)</f>
        <v>10</v>
      </c>
      <c r="C1590">
        <f>VLOOKUP(N1590,Sheet9!$M$1:$N$2,2,FALSE)</f>
        <v>1</v>
      </c>
      <c r="D1590">
        <v>32</v>
      </c>
      <c r="E1590" t="s">
        <v>96</v>
      </c>
      <c r="F1590">
        <v>110</v>
      </c>
      <c r="H1590">
        <v>6</v>
      </c>
      <c r="I1590">
        <v>0.6</v>
      </c>
      <c r="J1590">
        <v>3.5999999999999996</v>
      </c>
      <c r="M1590" t="s">
        <v>82</v>
      </c>
      <c r="N1590" t="s">
        <v>162</v>
      </c>
    </row>
    <row r="1591" spans="1:14" x14ac:dyDescent="0.3">
      <c r="A1591" t="s">
        <v>82</v>
      </c>
      <c r="B1591">
        <f>VLOOKUP(M1591,Sheet9!$I$1:$J$17,2,FALSE)</f>
        <v>10</v>
      </c>
      <c r="C1591">
        <f>VLOOKUP(N1591,Sheet9!$M$1:$N$2,2,FALSE)</f>
        <v>1</v>
      </c>
      <c r="D1591">
        <v>32</v>
      </c>
      <c r="E1591" t="s">
        <v>96</v>
      </c>
      <c r="F1591">
        <v>110</v>
      </c>
      <c r="H1591">
        <v>1</v>
      </c>
      <c r="I1591">
        <v>5</v>
      </c>
      <c r="J1591">
        <v>5</v>
      </c>
      <c r="M1591" t="s">
        <v>82</v>
      </c>
      <c r="N1591" t="s">
        <v>162</v>
      </c>
    </row>
    <row r="1592" spans="1:14" x14ac:dyDescent="0.3">
      <c r="A1592" t="s">
        <v>82</v>
      </c>
      <c r="B1592">
        <f>VLOOKUP(M1592,Sheet9!$I$1:$J$17,2,FALSE)</f>
        <v>10</v>
      </c>
      <c r="C1592">
        <f>VLOOKUP(N1592,Sheet9!$M$1:$N$2,2,FALSE)</f>
        <v>1</v>
      </c>
      <c r="D1592">
        <v>32</v>
      </c>
      <c r="E1592" t="s">
        <v>96</v>
      </c>
      <c r="F1592">
        <v>110</v>
      </c>
      <c r="H1592">
        <v>1</v>
      </c>
      <c r="I1592">
        <v>10</v>
      </c>
      <c r="J1592">
        <v>10</v>
      </c>
      <c r="M1592" t="s">
        <v>82</v>
      </c>
      <c r="N1592" t="s">
        <v>162</v>
      </c>
    </row>
    <row r="1593" spans="1:14" x14ac:dyDescent="0.3">
      <c r="A1593" t="s">
        <v>82</v>
      </c>
      <c r="B1593">
        <f>VLOOKUP(M1593,Sheet9!$I$1:$J$17,2,FALSE)</f>
        <v>10</v>
      </c>
      <c r="C1593">
        <f>VLOOKUP(N1593,Sheet9!$M$1:$N$2,2,FALSE)</f>
        <v>1</v>
      </c>
      <c r="D1593">
        <v>32</v>
      </c>
      <c r="E1593" t="s">
        <v>96</v>
      </c>
      <c r="F1593">
        <v>110</v>
      </c>
      <c r="H1593">
        <v>3</v>
      </c>
      <c r="I1593">
        <v>3</v>
      </c>
      <c r="J1593">
        <v>9</v>
      </c>
      <c r="K1593">
        <v>1</v>
      </c>
      <c r="L1593">
        <v>1.31</v>
      </c>
      <c r="M1593" t="s">
        <v>82</v>
      </c>
      <c r="N1593" t="s">
        <v>162</v>
      </c>
    </row>
    <row r="1594" spans="1:14" x14ac:dyDescent="0.3">
      <c r="A1594" t="s">
        <v>82</v>
      </c>
      <c r="B1594">
        <f>VLOOKUP(M1594,Sheet9!$I$1:$J$17,2,FALSE)</f>
        <v>10</v>
      </c>
      <c r="C1594">
        <f>VLOOKUP(N1594,Sheet9!$M$1:$N$2,2,FALSE)</f>
        <v>1</v>
      </c>
      <c r="D1594">
        <v>32</v>
      </c>
      <c r="E1594" t="s">
        <v>96</v>
      </c>
      <c r="F1594">
        <v>110</v>
      </c>
      <c r="H1594">
        <v>3</v>
      </c>
      <c r="I1594">
        <v>5</v>
      </c>
      <c r="J1594">
        <v>15</v>
      </c>
      <c r="K1594">
        <v>0.95</v>
      </c>
      <c r="L1594">
        <v>1.26</v>
      </c>
      <c r="M1594" t="s">
        <v>82</v>
      </c>
      <c r="N1594" t="s">
        <v>162</v>
      </c>
    </row>
    <row r="1595" spans="1:14" x14ac:dyDescent="0.3">
      <c r="A1595" t="s">
        <v>82</v>
      </c>
      <c r="B1595">
        <f>VLOOKUP(M1595,Sheet9!$I$1:$J$17,2,FALSE)</f>
        <v>10</v>
      </c>
      <c r="C1595">
        <f>VLOOKUP(N1595,Sheet9!$M$1:$N$2,2,FALSE)</f>
        <v>1</v>
      </c>
      <c r="D1595">
        <v>32</v>
      </c>
      <c r="E1595" t="s">
        <v>168</v>
      </c>
      <c r="F1595">
        <v>110</v>
      </c>
      <c r="H1595">
        <v>32</v>
      </c>
      <c r="I1595">
        <v>0.6</v>
      </c>
      <c r="J1595">
        <v>19.2</v>
      </c>
      <c r="K1595">
        <v>1.01</v>
      </c>
      <c r="L1595">
        <v>1.33</v>
      </c>
      <c r="M1595" t="s">
        <v>82</v>
      </c>
      <c r="N1595" t="s">
        <v>162</v>
      </c>
    </row>
    <row r="1596" spans="1:14" x14ac:dyDescent="0.3">
      <c r="A1596" t="s">
        <v>82</v>
      </c>
      <c r="B1596">
        <f>VLOOKUP(M1596,Sheet9!$I$1:$J$17,2,FALSE)</f>
        <v>10</v>
      </c>
      <c r="C1596">
        <f>VLOOKUP(N1596,Sheet9!$M$1:$N$2,2,FALSE)</f>
        <v>1</v>
      </c>
      <c r="D1596">
        <v>32</v>
      </c>
      <c r="E1596" t="s">
        <v>96</v>
      </c>
      <c r="F1596">
        <v>110</v>
      </c>
      <c r="H1596">
        <v>64</v>
      </c>
      <c r="I1596">
        <v>0.6</v>
      </c>
      <c r="J1596">
        <v>38.4</v>
      </c>
      <c r="K1596">
        <v>0.89</v>
      </c>
      <c r="L1596">
        <v>1.18</v>
      </c>
      <c r="M1596" t="s">
        <v>82</v>
      </c>
      <c r="N1596" t="s">
        <v>162</v>
      </c>
    </row>
    <row r="1597" spans="1:14" x14ac:dyDescent="0.3">
      <c r="A1597" t="s">
        <v>82</v>
      </c>
      <c r="B1597">
        <f>VLOOKUP(M1597,Sheet9!$I$1:$J$17,2,FALSE)</f>
        <v>10</v>
      </c>
      <c r="C1597">
        <f>VLOOKUP(N1597,Sheet9!$M$1:$N$2,2,FALSE)</f>
        <v>1</v>
      </c>
      <c r="D1597">
        <v>32</v>
      </c>
      <c r="E1597" t="s">
        <v>168</v>
      </c>
      <c r="F1597">
        <v>110</v>
      </c>
      <c r="H1597">
        <v>128</v>
      </c>
      <c r="I1597">
        <v>0.6</v>
      </c>
      <c r="J1597">
        <v>76.8</v>
      </c>
      <c r="K1597">
        <v>0.88</v>
      </c>
      <c r="L1597">
        <v>1.17</v>
      </c>
      <c r="M1597" t="s">
        <v>82</v>
      </c>
      <c r="N1597" t="s">
        <v>162</v>
      </c>
    </row>
    <row r="1598" spans="1:14" x14ac:dyDescent="0.3">
      <c r="A1598" t="s">
        <v>82</v>
      </c>
      <c r="B1598">
        <f>VLOOKUP(M1598,Sheet9!$I$1:$J$17,2,FALSE)</f>
        <v>10</v>
      </c>
      <c r="C1598">
        <f>VLOOKUP(N1598,Sheet9!$M$1:$N$2,2,FALSE)</f>
        <v>1</v>
      </c>
      <c r="D1598">
        <v>32</v>
      </c>
      <c r="E1598" t="s">
        <v>96</v>
      </c>
      <c r="F1598">
        <v>120</v>
      </c>
      <c r="H1598">
        <v>6</v>
      </c>
      <c r="I1598">
        <v>0.6</v>
      </c>
      <c r="J1598">
        <v>3.5999999999999996</v>
      </c>
      <c r="M1598" t="s">
        <v>82</v>
      </c>
      <c r="N1598" t="s">
        <v>162</v>
      </c>
    </row>
    <row r="1599" spans="1:14" x14ac:dyDescent="0.3">
      <c r="A1599" t="s">
        <v>82</v>
      </c>
      <c r="B1599">
        <f>VLOOKUP(M1599,Sheet9!$I$1:$J$17,2,FALSE)</f>
        <v>10</v>
      </c>
      <c r="C1599">
        <f>VLOOKUP(N1599,Sheet9!$M$1:$N$2,2,FALSE)</f>
        <v>1</v>
      </c>
      <c r="D1599">
        <v>32</v>
      </c>
      <c r="E1599" t="s">
        <v>96</v>
      </c>
      <c r="F1599">
        <v>120</v>
      </c>
      <c r="H1599">
        <v>1</v>
      </c>
      <c r="I1599">
        <v>5</v>
      </c>
      <c r="J1599">
        <v>5</v>
      </c>
      <c r="M1599" t="s">
        <v>82</v>
      </c>
      <c r="N1599" t="s">
        <v>162</v>
      </c>
    </row>
    <row r="1600" spans="1:14" x14ac:dyDescent="0.3">
      <c r="A1600" t="s">
        <v>82</v>
      </c>
      <c r="B1600">
        <f>VLOOKUP(M1600,Sheet9!$I$1:$J$17,2,FALSE)</f>
        <v>10</v>
      </c>
      <c r="C1600">
        <f>VLOOKUP(N1600,Sheet9!$M$1:$N$2,2,FALSE)</f>
        <v>1</v>
      </c>
      <c r="D1600">
        <v>32</v>
      </c>
      <c r="E1600" t="s">
        <v>96</v>
      </c>
      <c r="F1600">
        <v>120</v>
      </c>
      <c r="H1600">
        <v>1</v>
      </c>
      <c r="I1600">
        <v>10</v>
      </c>
      <c r="J1600">
        <v>10</v>
      </c>
      <c r="M1600" t="s">
        <v>82</v>
      </c>
      <c r="N1600" t="s">
        <v>162</v>
      </c>
    </row>
    <row r="1601" spans="1:14" x14ac:dyDescent="0.3">
      <c r="A1601" t="s">
        <v>82</v>
      </c>
      <c r="B1601">
        <f>VLOOKUP(M1601,Sheet9!$I$1:$J$17,2,FALSE)</f>
        <v>10</v>
      </c>
      <c r="C1601">
        <f>VLOOKUP(N1601,Sheet9!$M$1:$N$2,2,FALSE)</f>
        <v>1</v>
      </c>
      <c r="D1601">
        <v>32</v>
      </c>
      <c r="E1601" t="s">
        <v>96</v>
      </c>
      <c r="F1601">
        <v>120</v>
      </c>
      <c r="H1601">
        <v>3</v>
      </c>
      <c r="I1601">
        <v>3</v>
      </c>
      <c r="J1601">
        <v>9</v>
      </c>
      <c r="K1601">
        <v>1.46</v>
      </c>
      <c r="L1601">
        <v>1.91</v>
      </c>
      <c r="M1601" t="s">
        <v>82</v>
      </c>
      <c r="N1601" t="s">
        <v>162</v>
      </c>
    </row>
    <row r="1602" spans="1:14" x14ac:dyDescent="0.3">
      <c r="A1602" t="s">
        <v>82</v>
      </c>
      <c r="B1602">
        <f>VLOOKUP(M1602,Sheet9!$I$1:$J$17,2,FALSE)</f>
        <v>10</v>
      </c>
      <c r="C1602">
        <f>VLOOKUP(N1602,Sheet9!$M$1:$N$2,2,FALSE)</f>
        <v>1</v>
      </c>
      <c r="D1602">
        <v>32</v>
      </c>
      <c r="E1602" t="s">
        <v>96</v>
      </c>
      <c r="F1602">
        <v>120</v>
      </c>
      <c r="H1602">
        <v>3</v>
      </c>
      <c r="I1602">
        <v>5</v>
      </c>
      <c r="J1602">
        <v>15</v>
      </c>
      <c r="K1602">
        <v>1.39</v>
      </c>
      <c r="L1602">
        <v>1.84</v>
      </c>
      <c r="M1602" t="s">
        <v>82</v>
      </c>
      <c r="N1602" t="s">
        <v>162</v>
      </c>
    </row>
    <row r="1603" spans="1:14" x14ac:dyDescent="0.3">
      <c r="A1603" t="s">
        <v>82</v>
      </c>
      <c r="B1603">
        <f>VLOOKUP(M1603,Sheet9!$I$1:$J$17,2,FALSE)</f>
        <v>10</v>
      </c>
      <c r="C1603">
        <f>VLOOKUP(N1603,Sheet9!$M$1:$N$2,2,FALSE)</f>
        <v>1</v>
      </c>
      <c r="D1603">
        <v>32</v>
      </c>
      <c r="E1603" t="s">
        <v>168</v>
      </c>
      <c r="F1603">
        <v>120</v>
      </c>
      <c r="H1603">
        <v>32</v>
      </c>
      <c r="I1603">
        <v>0.6</v>
      </c>
      <c r="J1603">
        <v>19.2</v>
      </c>
      <c r="K1603">
        <v>1.48</v>
      </c>
      <c r="L1603">
        <v>1.94</v>
      </c>
      <c r="M1603" t="s">
        <v>82</v>
      </c>
      <c r="N1603" t="s">
        <v>162</v>
      </c>
    </row>
    <row r="1604" spans="1:14" x14ac:dyDescent="0.3">
      <c r="A1604" t="s">
        <v>82</v>
      </c>
      <c r="B1604">
        <f>VLOOKUP(M1604,Sheet9!$I$1:$J$17,2,FALSE)</f>
        <v>10</v>
      </c>
      <c r="C1604">
        <f>VLOOKUP(N1604,Sheet9!$M$1:$N$2,2,FALSE)</f>
        <v>1</v>
      </c>
      <c r="D1604">
        <v>32</v>
      </c>
      <c r="E1604" t="s">
        <v>96</v>
      </c>
      <c r="F1604">
        <v>120</v>
      </c>
      <c r="H1604">
        <v>64</v>
      </c>
      <c r="I1604">
        <v>0.6</v>
      </c>
      <c r="J1604">
        <v>38.4</v>
      </c>
      <c r="K1604">
        <v>1.3</v>
      </c>
      <c r="L1604">
        <v>1.75</v>
      </c>
      <c r="M1604" t="s">
        <v>82</v>
      </c>
      <c r="N1604" t="s">
        <v>162</v>
      </c>
    </row>
    <row r="1605" spans="1:14" x14ac:dyDescent="0.3">
      <c r="A1605" t="s">
        <v>82</v>
      </c>
      <c r="B1605">
        <f>VLOOKUP(M1605,Sheet9!$I$1:$J$17,2,FALSE)</f>
        <v>10</v>
      </c>
      <c r="C1605">
        <f>VLOOKUP(N1605,Sheet9!$M$1:$N$2,2,FALSE)</f>
        <v>1</v>
      </c>
      <c r="D1605">
        <v>32</v>
      </c>
      <c r="E1605" t="s">
        <v>168</v>
      </c>
      <c r="F1605">
        <v>120</v>
      </c>
      <c r="H1605">
        <v>128</v>
      </c>
      <c r="I1605">
        <v>0.6</v>
      </c>
      <c r="J1605">
        <v>76.8</v>
      </c>
      <c r="K1605">
        <v>1.29</v>
      </c>
      <c r="L1605">
        <v>1.71</v>
      </c>
      <c r="M1605" t="s">
        <v>82</v>
      </c>
      <c r="N1605" t="s">
        <v>162</v>
      </c>
    </row>
    <row r="1606" spans="1:14" x14ac:dyDescent="0.3">
      <c r="A1606" t="s">
        <v>82</v>
      </c>
      <c r="B1606">
        <f>VLOOKUP(M1606,Sheet9!$I$1:$J$17,2,FALSE)</f>
        <v>10</v>
      </c>
      <c r="C1606">
        <f>VLOOKUP(N1606,Sheet9!$M$1:$N$2,2,FALSE)</f>
        <v>1</v>
      </c>
      <c r="D1606">
        <v>32</v>
      </c>
      <c r="E1606" t="s">
        <v>96</v>
      </c>
      <c r="F1606">
        <v>130</v>
      </c>
      <c r="H1606">
        <v>6</v>
      </c>
      <c r="I1606">
        <v>0.6</v>
      </c>
      <c r="J1606">
        <v>3.5999999999999996</v>
      </c>
      <c r="M1606" t="s">
        <v>82</v>
      </c>
      <c r="N1606" t="s">
        <v>162</v>
      </c>
    </row>
    <row r="1607" spans="1:14" x14ac:dyDescent="0.3">
      <c r="A1607" t="s">
        <v>82</v>
      </c>
      <c r="B1607">
        <f>VLOOKUP(M1607,Sheet9!$I$1:$J$17,2,FALSE)</f>
        <v>10</v>
      </c>
      <c r="C1607">
        <f>VLOOKUP(N1607,Sheet9!$M$1:$N$2,2,FALSE)</f>
        <v>1</v>
      </c>
      <c r="D1607">
        <v>32</v>
      </c>
      <c r="E1607" t="s">
        <v>96</v>
      </c>
      <c r="F1607">
        <v>130</v>
      </c>
      <c r="H1607">
        <v>1</v>
      </c>
      <c r="I1607">
        <v>5</v>
      </c>
      <c r="J1607">
        <v>5</v>
      </c>
      <c r="M1607" t="s">
        <v>82</v>
      </c>
      <c r="N1607" t="s">
        <v>162</v>
      </c>
    </row>
    <row r="1608" spans="1:14" x14ac:dyDescent="0.3">
      <c r="A1608" t="s">
        <v>82</v>
      </c>
      <c r="B1608">
        <f>VLOOKUP(M1608,Sheet9!$I$1:$J$17,2,FALSE)</f>
        <v>10</v>
      </c>
      <c r="C1608">
        <f>VLOOKUP(N1608,Sheet9!$M$1:$N$2,2,FALSE)</f>
        <v>1</v>
      </c>
      <c r="D1608">
        <v>32</v>
      </c>
      <c r="E1608" t="s">
        <v>96</v>
      </c>
      <c r="F1608">
        <v>130</v>
      </c>
      <c r="H1608">
        <v>1</v>
      </c>
      <c r="I1608">
        <v>10</v>
      </c>
      <c r="J1608">
        <v>10</v>
      </c>
      <c r="M1608" t="s">
        <v>82</v>
      </c>
      <c r="N1608" t="s">
        <v>162</v>
      </c>
    </row>
    <row r="1609" spans="1:14" x14ac:dyDescent="0.3">
      <c r="A1609" t="s">
        <v>82</v>
      </c>
      <c r="B1609">
        <f>VLOOKUP(M1609,Sheet9!$I$1:$J$17,2,FALSE)</f>
        <v>10</v>
      </c>
      <c r="C1609">
        <f>VLOOKUP(N1609,Sheet9!$M$1:$N$2,2,FALSE)</f>
        <v>1</v>
      </c>
      <c r="D1609">
        <v>32</v>
      </c>
      <c r="E1609" t="s">
        <v>96</v>
      </c>
      <c r="F1609">
        <v>130</v>
      </c>
      <c r="H1609">
        <v>3</v>
      </c>
      <c r="I1609">
        <v>3</v>
      </c>
      <c r="J1609">
        <v>9</v>
      </c>
      <c r="K1609">
        <v>2.02</v>
      </c>
      <c r="L1609">
        <v>2.63</v>
      </c>
      <c r="M1609" t="s">
        <v>82</v>
      </c>
      <c r="N1609" t="s">
        <v>162</v>
      </c>
    </row>
    <row r="1610" spans="1:14" x14ac:dyDescent="0.3">
      <c r="A1610" t="s">
        <v>82</v>
      </c>
      <c r="B1610">
        <f>VLOOKUP(M1610,Sheet9!$I$1:$J$17,2,FALSE)</f>
        <v>10</v>
      </c>
      <c r="C1610">
        <f>VLOOKUP(N1610,Sheet9!$M$1:$N$2,2,FALSE)</f>
        <v>1</v>
      </c>
      <c r="D1610">
        <v>32</v>
      </c>
      <c r="E1610" t="s">
        <v>96</v>
      </c>
      <c r="F1610">
        <v>130</v>
      </c>
      <c r="H1610">
        <v>3</v>
      </c>
      <c r="I1610">
        <v>5</v>
      </c>
      <c r="J1610">
        <v>15</v>
      </c>
      <c r="K1610">
        <v>1.93</v>
      </c>
      <c r="L1610">
        <v>2.5299999999999998</v>
      </c>
      <c r="M1610" t="s">
        <v>82</v>
      </c>
      <c r="N1610" t="s">
        <v>162</v>
      </c>
    </row>
    <row r="1611" spans="1:14" x14ac:dyDescent="0.3">
      <c r="A1611" t="s">
        <v>82</v>
      </c>
      <c r="B1611">
        <f>VLOOKUP(M1611,Sheet9!$I$1:$J$17,2,FALSE)</f>
        <v>10</v>
      </c>
      <c r="C1611">
        <f>VLOOKUP(N1611,Sheet9!$M$1:$N$2,2,FALSE)</f>
        <v>1</v>
      </c>
      <c r="D1611">
        <v>32</v>
      </c>
      <c r="E1611" t="s">
        <v>168</v>
      </c>
      <c r="F1611">
        <v>130</v>
      </c>
      <c r="H1611">
        <v>32</v>
      </c>
      <c r="I1611">
        <v>0.6</v>
      </c>
      <c r="J1611">
        <v>19.2</v>
      </c>
      <c r="K1611">
        <v>2.0499999999999998</v>
      </c>
      <c r="L1611">
        <v>2.68</v>
      </c>
      <c r="M1611" t="s">
        <v>82</v>
      </c>
      <c r="N1611" t="s">
        <v>162</v>
      </c>
    </row>
    <row r="1612" spans="1:14" x14ac:dyDescent="0.3">
      <c r="A1612" t="s">
        <v>82</v>
      </c>
      <c r="B1612">
        <f>VLOOKUP(M1612,Sheet9!$I$1:$J$17,2,FALSE)</f>
        <v>10</v>
      </c>
      <c r="C1612">
        <f>VLOOKUP(N1612,Sheet9!$M$1:$N$2,2,FALSE)</f>
        <v>1</v>
      </c>
      <c r="D1612">
        <v>32</v>
      </c>
      <c r="E1612" t="s">
        <v>96</v>
      </c>
      <c r="F1612">
        <v>130</v>
      </c>
      <c r="H1612">
        <v>64</v>
      </c>
      <c r="I1612">
        <v>0.6</v>
      </c>
      <c r="J1612">
        <v>38.4</v>
      </c>
      <c r="K1612">
        <v>1.8</v>
      </c>
      <c r="L1612">
        <v>2.38</v>
      </c>
      <c r="M1612" t="s">
        <v>82</v>
      </c>
      <c r="N1612" t="s">
        <v>162</v>
      </c>
    </row>
    <row r="1613" spans="1:14" x14ac:dyDescent="0.3">
      <c r="A1613" t="s">
        <v>82</v>
      </c>
      <c r="B1613">
        <f>VLOOKUP(M1613,Sheet9!$I$1:$J$17,2,FALSE)</f>
        <v>10</v>
      </c>
      <c r="C1613">
        <f>VLOOKUP(N1613,Sheet9!$M$1:$N$2,2,FALSE)</f>
        <v>1</v>
      </c>
      <c r="D1613">
        <v>32</v>
      </c>
      <c r="E1613" t="s">
        <v>168</v>
      </c>
      <c r="F1613">
        <v>130</v>
      </c>
      <c r="H1613">
        <v>128</v>
      </c>
      <c r="I1613">
        <v>0.6</v>
      </c>
      <c r="J1613">
        <v>76.8</v>
      </c>
      <c r="K1613">
        <v>1.79</v>
      </c>
      <c r="L1613">
        <v>2.36</v>
      </c>
      <c r="M1613" t="s">
        <v>82</v>
      </c>
      <c r="N1613" t="s">
        <v>162</v>
      </c>
    </row>
    <row r="1614" spans="1:14" x14ac:dyDescent="0.3">
      <c r="A1614" t="s">
        <v>82</v>
      </c>
      <c r="B1614">
        <f>VLOOKUP(M1614,Sheet9!$I$1:$J$17,2,FALSE)</f>
        <v>10</v>
      </c>
      <c r="C1614">
        <f>VLOOKUP(N1614,Sheet9!$M$1:$N$2,2,FALSE)</f>
        <v>1</v>
      </c>
      <c r="D1614">
        <v>32</v>
      </c>
      <c r="E1614" t="s">
        <v>96</v>
      </c>
      <c r="F1614">
        <v>140</v>
      </c>
      <c r="H1614">
        <v>6</v>
      </c>
      <c r="I1614">
        <v>0.6</v>
      </c>
      <c r="J1614">
        <v>3.5999999999999996</v>
      </c>
      <c r="M1614" t="s">
        <v>82</v>
      </c>
      <c r="N1614" t="s">
        <v>162</v>
      </c>
    </row>
    <row r="1615" spans="1:14" x14ac:dyDescent="0.3">
      <c r="A1615" t="s">
        <v>82</v>
      </c>
      <c r="B1615">
        <f>VLOOKUP(M1615,Sheet9!$I$1:$J$17,2,FALSE)</f>
        <v>10</v>
      </c>
      <c r="C1615">
        <f>VLOOKUP(N1615,Sheet9!$M$1:$N$2,2,FALSE)</f>
        <v>1</v>
      </c>
      <c r="D1615">
        <v>32</v>
      </c>
      <c r="E1615" t="s">
        <v>96</v>
      </c>
      <c r="F1615">
        <v>140</v>
      </c>
      <c r="H1615">
        <v>1</v>
      </c>
      <c r="I1615">
        <v>5</v>
      </c>
      <c r="J1615">
        <v>5</v>
      </c>
      <c r="M1615" t="s">
        <v>82</v>
      </c>
      <c r="N1615" t="s">
        <v>162</v>
      </c>
    </row>
    <row r="1616" spans="1:14" x14ac:dyDescent="0.3">
      <c r="A1616" t="s">
        <v>82</v>
      </c>
      <c r="B1616">
        <f>VLOOKUP(M1616,Sheet9!$I$1:$J$17,2,FALSE)</f>
        <v>10</v>
      </c>
      <c r="C1616">
        <f>VLOOKUP(N1616,Sheet9!$M$1:$N$2,2,FALSE)</f>
        <v>1</v>
      </c>
      <c r="D1616">
        <v>32</v>
      </c>
      <c r="E1616" t="s">
        <v>96</v>
      </c>
      <c r="F1616">
        <v>140</v>
      </c>
      <c r="H1616">
        <v>1</v>
      </c>
      <c r="I1616">
        <v>10</v>
      </c>
      <c r="J1616">
        <v>10</v>
      </c>
      <c r="M1616" t="s">
        <v>82</v>
      </c>
      <c r="N1616" t="s">
        <v>162</v>
      </c>
    </row>
    <row r="1617" spans="1:14" x14ac:dyDescent="0.3">
      <c r="A1617" t="s">
        <v>82</v>
      </c>
      <c r="B1617">
        <f>VLOOKUP(M1617,Sheet9!$I$1:$J$17,2,FALSE)</f>
        <v>10</v>
      </c>
      <c r="C1617">
        <f>VLOOKUP(N1617,Sheet9!$M$1:$N$2,2,FALSE)</f>
        <v>1</v>
      </c>
      <c r="D1617">
        <v>32</v>
      </c>
      <c r="E1617" t="s">
        <v>96</v>
      </c>
      <c r="F1617">
        <v>140</v>
      </c>
      <c r="H1617">
        <v>3</v>
      </c>
      <c r="I1617">
        <v>3</v>
      </c>
      <c r="J1617">
        <v>9</v>
      </c>
      <c r="K1617">
        <v>2.69</v>
      </c>
      <c r="L1617">
        <v>3.5</v>
      </c>
      <c r="M1617" t="s">
        <v>82</v>
      </c>
      <c r="N1617" t="s">
        <v>162</v>
      </c>
    </row>
    <row r="1618" spans="1:14" x14ac:dyDescent="0.3">
      <c r="A1618" t="s">
        <v>82</v>
      </c>
      <c r="B1618">
        <f>VLOOKUP(M1618,Sheet9!$I$1:$J$17,2,FALSE)</f>
        <v>10</v>
      </c>
      <c r="C1618">
        <f>VLOOKUP(N1618,Sheet9!$M$1:$N$2,2,FALSE)</f>
        <v>1</v>
      </c>
      <c r="D1618">
        <v>32</v>
      </c>
      <c r="E1618" t="s">
        <v>96</v>
      </c>
      <c r="F1618">
        <v>140</v>
      </c>
      <c r="H1618">
        <v>3</v>
      </c>
      <c r="I1618">
        <v>5</v>
      </c>
      <c r="J1618">
        <v>15</v>
      </c>
      <c r="K1618">
        <v>2.56</v>
      </c>
      <c r="L1618">
        <v>3.36</v>
      </c>
      <c r="M1618" t="s">
        <v>82</v>
      </c>
      <c r="N1618" t="s">
        <v>162</v>
      </c>
    </row>
    <row r="1619" spans="1:14" x14ac:dyDescent="0.3">
      <c r="A1619" t="s">
        <v>82</v>
      </c>
      <c r="B1619">
        <f>VLOOKUP(M1619,Sheet9!$I$1:$J$17,2,FALSE)</f>
        <v>10</v>
      </c>
      <c r="C1619">
        <f>VLOOKUP(N1619,Sheet9!$M$1:$N$2,2,FALSE)</f>
        <v>1</v>
      </c>
      <c r="D1619">
        <v>32</v>
      </c>
      <c r="E1619" t="s">
        <v>168</v>
      </c>
      <c r="F1619">
        <v>140</v>
      </c>
      <c r="H1619">
        <v>32</v>
      </c>
      <c r="I1619">
        <v>0.6</v>
      </c>
      <c r="J1619">
        <v>19.2</v>
      </c>
      <c r="K1619">
        <v>2.73</v>
      </c>
      <c r="L1619">
        <v>3.56</v>
      </c>
      <c r="M1619" t="s">
        <v>82</v>
      </c>
      <c r="N1619" t="s">
        <v>162</v>
      </c>
    </row>
    <row r="1620" spans="1:14" x14ac:dyDescent="0.3">
      <c r="A1620" t="s">
        <v>82</v>
      </c>
      <c r="B1620">
        <f>VLOOKUP(M1620,Sheet9!$I$1:$J$17,2,FALSE)</f>
        <v>10</v>
      </c>
      <c r="C1620">
        <f>VLOOKUP(N1620,Sheet9!$M$1:$N$2,2,FALSE)</f>
        <v>1</v>
      </c>
      <c r="D1620">
        <v>32</v>
      </c>
      <c r="E1620" t="s">
        <v>96</v>
      </c>
      <c r="F1620">
        <v>140</v>
      </c>
      <c r="H1620">
        <v>64</v>
      </c>
      <c r="I1620">
        <v>0.6</v>
      </c>
      <c r="J1620">
        <v>38.4</v>
      </c>
      <c r="K1620">
        <v>2.4</v>
      </c>
      <c r="L1620">
        <v>3.16</v>
      </c>
      <c r="M1620" t="s">
        <v>82</v>
      </c>
      <c r="N1620" t="s">
        <v>162</v>
      </c>
    </row>
    <row r="1621" spans="1:14" x14ac:dyDescent="0.3">
      <c r="A1621" t="s">
        <v>82</v>
      </c>
      <c r="B1621">
        <f>VLOOKUP(M1621,Sheet9!$I$1:$J$17,2,FALSE)</f>
        <v>10</v>
      </c>
      <c r="C1621">
        <f>VLOOKUP(N1621,Sheet9!$M$1:$N$2,2,FALSE)</f>
        <v>1</v>
      </c>
      <c r="D1621">
        <v>32</v>
      </c>
      <c r="E1621" t="s">
        <v>168</v>
      </c>
      <c r="F1621">
        <v>140</v>
      </c>
      <c r="H1621">
        <v>128</v>
      </c>
      <c r="I1621">
        <v>0.6</v>
      </c>
      <c r="J1621">
        <v>76.8</v>
      </c>
      <c r="K1621">
        <v>2.38</v>
      </c>
      <c r="L1621">
        <v>3.13</v>
      </c>
      <c r="M1621" t="s">
        <v>82</v>
      </c>
      <c r="N1621" t="s">
        <v>162</v>
      </c>
    </row>
    <row r="1622" spans="1:14" x14ac:dyDescent="0.3">
      <c r="A1622" t="s">
        <v>82</v>
      </c>
      <c r="B1622">
        <f>VLOOKUP(M1622,Sheet9!$I$1:$J$17,2,FALSE)</f>
        <v>10</v>
      </c>
      <c r="C1622">
        <f>VLOOKUP(N1622,Sheet9!$M$1:$N$2,2,FALSE)</f>
        <v>1</v>
      </c>
      <c r="D1622">
        <v>32</v>
      </c>
      <c r="E1622" t="s">
        <v>96</v>
      </c>
      <c r="F1622">
        <v>150</v>
      </c>
      <c r="H1622">
        <v>6</v>
      </c>
      <c r="I1622">
        <v>0.6</v>
      </c>
      <c r="J1622">
        <v>3.5999999999999996</v>
      </c>
      <c r="M1622" t="s">
        <v>82</v>
      </c>
      <c r="N1622" t="s">
        <v>162</v>
      </c>
    </row>
    <row r="1623" spans="1:14" x14ac:dyDescent="0.3">
      <c r="A1623" t="s">
        <v>82</v>
      </c>
      <c r="B1623">
        <f>VLOOKUP(M1623,Sheet9!$I$1:$J$17,2,FALSE)</f>
        <v>10</v>
      </c>
      <c r="C1623">
        <f>VLOOKUP(N1623,Sheet9!$M$1:$N$2,2,FALSE)</f>
        <v>1</v>
      </c>
      <c r="D1623">
        <v>32</v>
      </c>
      <c r="E1623" t="s">
        <v>96</v>
      </c>
      <c r="F1623">
        <v>150</v>
      </c>
      <c r="H1623">
        <v>1</v>
      </c>
      <c r="I1623">
        <v>5</v>
      </c>
      <c r="J1623">
        <v>5</v>
      </c>
      <c r="M1623" t="s">
        <v>82</v>
      </c>
      <c r="N1623" t="s">
        <v>162</v>
      </c>
    </row>
    <row r="1624" spans="1:14" x14ac:dyDescent="0.3">
      <c r="A1624" t="s">
        <v>82</v>
      </c>
      <c r="B1624">
        <f>VLOOKUP(M1624,Sheet9!$I$1:$J$17,2,FALSE)</f>
        <v>10</v>
      </c>
      <c r="C1624">
        <f>VLOOKUP(N1624,Sheet9!$M$1:$N$2,2,FALSE)</f>
        <v>1</v>
      </c>
      <c r="D1624">
        <v>32</v>
      </c>
      <c r="E1624" t="s">
        <v>96</v>
      </c>
      <c r="F1624">
        <v>150</v>
      </c>
      <c r="H1624">
        <v>1</v>
      </c>
      <c r="I1624">
        <v>10</v>
      </c>
      <c r="J1624">
        <v>10</v>
      </c>
      <c r="M1624" t="s">
        <v>82</v>
      </c>
      <c r="N1624" t="s">
        <v>162</v>
      </c>
    </row>
    <row r="1625" spans="1:14" x14ac:dyDescent="0.3">
      <c r="A1625" t="s">
        <v>82</v>
      </c>
      <c r="B1625">
        <f>VLOOKUP(M1625,Sheet9!$I$1:$J$17,2,FALSE)</f>
        <v>10</v>
      </c>
      <c r="C1625">
        <f>VLOOKUP(N1625,Sheet9!$M$1:$N$2,2,FALSE)</f>
        <v>1</v>
      </c>
      <c r="D1625">
        <v>32</v>
      </c>
      <c r="E1625" t="s">
        <v>96</v>
      </c>
      <c r="F1625">
        <v>150</v>
      </c>
      <c r="H1625">
        <v>3</v>
      </c>
      <c r="I1625">
        <v>3</v>
      </c>
      <c r="J1625">
        <v>9</v>
      </c>
      <c r="K1625">
        <v>3.46</v>
      </c>
      <c r="L1625">
        <v>4.49</v>
      </c>
      <c r="M1625" t="s">
        <v>82</v>
      </c>
      <c r="N1625" t="s">
        <v>162</v>
      </c>
    </row>
    <row r="1626" spans="1:14" x14ac:dyDescent="0.3">
      <c r="A1626" t="s">
        <v>82</v>
      </c>
      <c r="B1626">
        <f>VLOOKUP(M1626,Sheet9!$I$1:$J$17,2,FALSE)</f>
        <v>10</v>
      </c>
      <c r="C1626">
        <f>VLOOKUP(N1626,Sheet9!$M$1:$N$2,2,FALSE)</f>
        <v>1</v>
      </c>
      <c r="D1626">
        <v>32</v>
      </c>
      <c r="E1626" t="s">
        <v>96</v>
      </c>
      <c r="F1626">
        <v>150</v>
      </c>
      <c r="H1626">
        <v>3</v>
      </c>
      <c r="I1626">
        <v>5</v>
      </c>
      <c r="J1626">
        <v>15</v>
      </c>
      <c r="K1626">
        <v>3.3</v>
      </c>
      <c r="L1626">
        <v>4.3099999999999996</v>
      </c>
      <c r="M1626" t="s">
        <v>82</v>
      </c>
      <c r="N1626" t="s">
        <v>162</v>
      </c>
    </row>
    <row r="1627" spans="1:14" x14ac:dyDescent="0.3">
      <c r="A1627" t="s">
        <v>82</v>
      </c>
      <c r="B1627">
        <f>VLOOKUP(M1627,Sheet9!$I$1:$J$17,2,FALSE)</f>
        <v>10</v>
      </c>
      <c r="C1627">
        <f>VLOOKUP(N1627,Sheet9!$M$1:$N$2,2,FALSE)</f>
        <v>1</v>
      </c>
      <c r="D1627">
        <v>32</v>
      </c>
      <c r="E1627" t="s">
        <v>168</v>
      </c>
      <c r="F1627">
        <v>150</v>
      </c>
      <c r="H1627">
        <v>32</v>
      </c>
      <c r="I1627">
        <v>0.6</v>
      </c>
      <c r="J1627">
        <v>19.2</v>
      </c>
      <c r="K1627">
        <v>3.51</v>
      </c>
      <c r="L1627">
        <v>4.57</v>
      </c>
      <c r="M1627" t="s">
        <v>82</v>
      </c>
      <c r="N1627" t="s">
        <v>162</v>
      </c>
    </row>
    <row r="1628" spans="1:14" x14ac:dyDescent="0.3">
      <c r="A1628" t="s">
        <v>82</v>
      </c>
      <c r="B1628">
        <f>VLOOKUP(M1628,Sheet9!$I$1:$J$17,2,FALSE)</f>
        <v>10</v>
      </c>
      <c r="C1628">
        <f>VLOOKUP(N1628,Sheet9!$M$1:$N$2,2,FALSE)</f>
        <v>1</v>
      </c>
      <c r="D1628">
        <v>32</v>
      </c>
      <c r="E1628" t="s">
        <v>96</v>
      </c>
      <c r="F1628">
        <v>150</v>
      </c>
      <c r="H1628">
        <v>64</v>
      </c>
      <c r="I1628">
        <v>0.6</v>
      </c>
      <c r="J1628">
        <v>38.4</v>
      </c>
      <c r="K1628">
        <v>3.08</v>
      </c>
      <c r="L1628">
        <v>4.0599999999999996</v>
      </c>
      <c r="M1628" t="s">
        <v>82</v>
      </c>
      <c r="N1628" t="s">
        <v>162</v>
      </c>
    </row>
    <row r="1629" spans="1:14" x14ac:dyDescent="0.3">
      <c r="A1629" t="s">
        <v>82</v>
      </c>
      <c r="B1629">
        <f>VLOOKUP(M1629,Sheet9!$I$1:$J$17,2,FALSE)</f>
        <v>10</v>
      </c>
      <c r="C1629">
        <f>VLOOKUP(N1629,Sheet9!$M$1:$N$2,2,FALSE)</f>
        <v>1</v>
      </c>
      <c r="D1629">
        <v>32</v>
      </c>
      <c r="E1629" t="s">
        <v>168</v>
      </c>
      <c r="F1629">
        <v>150</v>
      </c>
      <c r="H1629">
        <v>128</v>
      </c>
      <c r="I1629">
        <v>0.6</v>
      </c>
      <c r="J1629">
        <v>76.8</v>
      </c>
      <c r="K1629">
        <v>3.06</v>
      </c>
      <c r="L1629">
        <v>4.0199999999999996</v>
      </c>
      <c r="M1629" t="s">
        <v>82</v>
      </c>
      <c r="N1629" t="s">
        <v>162</v>
      </c>
    </row>
    <row r="1630" spans="1:14" x14ac:dyDescent="0.3">
      <c r="A1630" t="s">
        <v>82</v>
      </c>
      <c r="B1630">
        <f>VLOOKUP(M1630,Sheet9!$I$1:$J$17,2,FALSE)</f>
        <v>10</v>
      </c>
      <c r="C1630">
        <f>VLOOKUP(N1630,Sheet9!$M$1:$N$2,2,FALSE)</f>
        <v>1</v>
      </c>
      <c r="D1630">
        <v>32</v>
      </c>
      <c r="E1630" t="s">
        <v>96</v>
      </c>
      <c r="F1630">
        <v>150</v>
      </c>
      <c r="G1630" t="s">
        <v>170</v>
      </c>
      <c r="H1630">
        <v>6</v>
      </c>
      <c r="I1630">
        <v>0.6</v>
      </c>
      <c r="J1630">
        <v>3.5999999999999996</v>
      </c>
      <c r="M1630" t="s">
        <v>82</v>
      </c>
      <c r="N1630" t="s">
        <v>162</v>
      </c>
    </row>
    <row r="1631" spans="1:14" x14ac:dyDescent="0.3">
      <c r="A1631" t="s">
        <v>82</v>
      </c>
      <c r="B1631">
        <f>VLOOKUP(M1631,Sheet9!$I$1:$J$17,2,FALSE)</f>
        <v>10</v>
      </c>
      <c r="C1631">
        <f>VLOOKUP(N1631,Sheet9!$M$1:$N$2,2,FALSE)</f>
        <v>1</v>
      </c>
      <c r="D1631">
        <v>32</v>
      </c>
      <c r="E1631" t="s">
        <v>96</v>
      </c>
      <c r="F1631">
        <v>150</v>
      </c>
      <c r="H1631">
        <v>1</v>
      </c>
      <c r="I1631">
        <v>5</v>
      </c>
      <c r="J1631">
        <v>5</v>
      </c>
      <c r="M1631" t="s">
        <v>82</v>
      </c>
      <c r="N1631" t="s">
        <v>162</v>
      </c>
    </row>
    <row r="1632" spans="1:14" x14ac:dyDescent="0.3">
      <c r="A1632" t="s">
        <v>82</v>
      </c>
      <c r="B1632">
        <f>VLOOKUP(M1632,Sheet9!$I$1:$J$17,2,FALSE)</f>
        <v>10</v>
      </c>
      <c r="C1632">
        <f>VLOOKUP(N1632,Sheet9!$M$1:$N$2,2,FALSE)</f>
        <v>1</v>
      </c>
      <c r="D1632">
        <v>32</v>
      </c>
      <c r="E1632" t="s">
        <v>96</v>
      </c>
      <c r="F1632">
        <v>150</v>
      </c>
      <c r="H1632">
        <v>1</v>
      </c>
      <c r="I1632">
        <v>10</v>
      </c>
      <c r="J1632">
        <v>10</v>
      </c>
      <c r="M1632" t="s">
        <v>82</v>
      </c>
      <c r="N1632" t="s">
        <v>162</v>
      </c>
    </row>
    <row r="1633" spans="1:14" x14ac:dyDescent="0.3">
      <c r="A1633" t="s">
        <v>82</v>
      </c>
      <c r="B1633">
        <f>VLOOKUP(M1633,Sheet9!$I$1:$J$17,2,FALSE)</f>
        <v>10</v>
      </c>
      <c r="C1633">
        <f>VLOOKUP(N1633,Sheet9!$M$1:$N$2,2,FALSE)</f>
        <v>1</v>
      </c>
      <c r="D1633">
        <v>32</v>
      </c>
      <c r="E1633" t="s">
        <v>96</v>
      </c>
      <c r="F1633">
        <v>150</v>
      </c>
      <c r="H1633">
        <v>3</v>
      </c>
      <c r="I1633">
        <v>3</v>
      </c>
      <c r="J1633">
        <v>9</v>
      </c>
      <c r="M1633" t="s">
        <v>82</v>
      </c>
      <c r="N1633" t="s">
        <v>162</v>
      </c>
    </row>
    <row r="1634" spans="1:14" x14ac:dyDescent="0.3">
      <c r="A1634" t="s">
        <v>82</v>
      </c>
      <c r="B1634">
        <f>VLOOKUP(M1634,Sheet9!$I$1:$J$17,2,FALSE)</f>
        <v>10</v>
      </c>
      <c r="C1634">
        <f>VLOOKUP(N1634,Sheet9!$M$1:$N$2,2,FALSE)</f>
        <v>1</v>
      </c>
      <c r="D1634">
        <v>32</v>
      </c>
      <c r="E1634" t="s">
        <v>96</v>
      </c>
      <c r="F1634">
        <v>150</v>
      </c>
      <c r="H1634">
        <v>3</v>
      </c>
      <c r="I1634">
        <v>5</v>
      </c>
      <c r="J1634">
        <v>15</v>
      </c>
      <c r="M1634" t="s">
        <v>82</v>
      </c>
      <c r="N1634" t="s">
        <v>162</v>
      </c>
    </row>
    <row r="1635" spans="1:14" x14ac:dyDescent="0.3">
      <c r="A1635" t="s">
        <v>82</v>
      </c>
      <c r="B1635">
        <f>VLOOKUP(M1635,Sheet9!$I$1:$J$17,2,FALSE)</f>
        <v>10</v>
      </c>
      <c r="C1635">
        <f>VLOOKUP(N1635,Sheet9!$M$1:$N$2,2,FALSE)</f>
        <v>1</v>
      </c>
      <c r="D1635">
        <v>32</v>
      </c>
      <c r="E1635" t="s">
        <v>168</v>
      </c>
      <c r="F1635">
        <v>150</v>
      </c>
      <c r="H1635">
        <v>32</v>
      </c>
      <c r="I1635">
        <v>0.6</v>
      </c>
      <c r="J1635">
        <v>19.2</v>
      </c>
      <c r="K1635">
        <v>2.14</v>
      </c>
      <c r="L1635">
        <v>2.78</v>
      </c>
      <c r="M1635" t="s">
        <v>82</v>
      </c>
      <c r="N1635" t="s">
        <v>162</v>
      </c>
    </row>
    <row r="1636" spans="1:14" x14ac:dyDescent="0.3">
      <c r="A1636" t="s">
        <v>82</v>
      </c>
      <c r="B1636">
        <f>VLOOKUP(M1636,Sheet9!$I$1:$J$17,2,FALSE)</f>
        <v>10</v>
      </c>
      <c r="C1636">
        <f>VLOOKUP(N1636,Sheet9!$M$1:$N$2,2,FALSE)</f>
        <v>1</v>
      </c>
      <c r="D1636">
        <v>32</v>
      </c>
      <c r="E1636" t="s">
        <v>96</v>
      </c>
      <c r="F1636">
        <v>150</v>
      </c>
      <c r="H1636">
        <v>64</v>
      </c>
      <c r="I1636">
        <v>0.6</v>
      </c>
      <c r="J1636">
        <v>38.4</v>
      </c>
      <c r="K1636">
        <v>1.89</v>
      </c>
      <c r="L1636">
        <v>2.4700000000000002</v>
      </c>
      <c r="M1636" t="s">
        <v>82</v>
      </c>
      <c r="N1636" t="s">
        <v>162</v>
      </c>
    </row>
    <row r="1637" spans="1:14" x14ac:dyDescent="0.3">
      <c r="A1637" t="s">
        <v>82</v>
      </c>
      <c r="B1637">
        <f>VLOOKUP(M1637,Sheet9!$I$1:$J$17,2,FALSE)</f>
        <v>10</v>
      </c>
      <c r="C1637">
        <f>VLOOKUP(N1637,Sheet9!$M$1:$N$2,2,FALSE)</f>
        <v>1</v>
      </c>
      <c r="D1637">
        <v>32</v>
      </c>
      <c r="E1637" t="s">
        <v>168</v>
      </c>
      <c r="F1637">
        <v>150</v>
      </c>
      <c r="H1637">
        <v>128</v>
      </c>
      <c r="I1637">
        <v>0.6</v>
      </c>
      <c r="J1637">
        <v>76.8</v>
      </c>
      <c r="K1637">
        <v>1.88</v>
      </c>
      <c r="L1637">
        <v>2.4500000000000002</v>
      </c>
      <c r="M1637" t="s">
        <v>82</v>
      </c>
      <c r="N1637" t="s">
        <v>162</v>
      </c>
    </row>
    <row r="1638" spans="1:14" x14ac:dyDescent="0.3">
      <c r="A1638" t="s">
        <v>82</v>
      </c>
      <c r="B1638">
        <f>VLOOKUP(M1638,Sheet9!$I$1:$J$17,2,FALSE)</f>
        <v>10</v>
      </c>
      <c r="C1638">
        <f>VLOOKUP(N1638,Sheet9!$M$1:$N$2,2,FALSE)</f>
        <v>1</v>
      </c>
      <c r="D1638">
        <v>32</v>
      </c>
      <c r="E1638" t="s">
        <v>96</v>
      </c>
      <c r="F1638">
        <v>120</v>
      </c>
      <c r="G1638" t="s">
        <v>141</v>
      </c>
      <c r="H1638">
        <v>6</v>
      </c>
      <c r="I1638">
        <v>0.6</v>
      </c>
      <c r="J1638">
        <v>3.5999999999999996</v>
      </c>
      <c r="M1638" t="s">
        <v>82</v>
      </c>
      <c r="N1638" t="s">
        <v>162</v>
      </c>
    </row>
    <row r="1639" spans="1:14" x14ac:dyDescent="0.3">
      <c r="A1639" t="s">
        <v>82</v>
      </c>
      <c r="B1639">
        <f>VLOOKUP(M1639,Sheet9!$I$1:$J$17,2,FALSE)</f>
        <v>10</v>
      </c>
      <c r="C1639">
        <f>VLOOKUP(N1639,Sheet9!$M$1:$N$2,2,FALSE)</f>
        <v>1</v>
      </c>
      <c r="D1639">
        <v>32</v>
      </c>
      <c r="E1639" t="s">
        <v>96</v>
      </c>
      <c r="F1639">
        <v>120</v>
      </c>
      <c r="H1639">
        <v>1</v>
      </c>
      <c r="I1639">
        <v>5</v>
      </c>
      <c r="J1639">
        <v>5</v>
      </c>
      <c r="M1639" t="s">
        <v>82</v>
      </c>
      <c r="N1639" t="s">
        <v>162</v>
      </c>
    </row>
    <row r="1640" spans="1:14" x14ac:dyDescent="0.3">
      <c r="A1640" t="s">
        <v>82</v>
      </c>
      <c r="B1640">
        <f>VLOOKUP(M1640,Sheet9!$I$1:$J$17,2,FALSE)</f>
        <v>10</v>
      </c>
      <c r="C1640">
        <f>VLOOKUP(N1640,Sheet9!$M$1:$N$2,2,FALSE)</f>
        <v>1</v>
      </c>
      <c r="D1640">
        <v>32</v>
      </c>
      <c r="E1640" t="s">
        <v>96</v>
      </c>
      <c r="F1640">
        <v>120</v>
      </c>
      <c r="H1640">
        <v>1</v>
      </c>
      <c r="I1640">
        <v>10</v>
      </c>
      <c r="J1640">
        <v>10</v>
      </c>
      <c r="M1640" t="s">
        <v>82</v>
      </c>
      <c r="N1640" t="s">
        <v>162</v>
      </c>
    </row>
    <row r="1641" spans="1:14" x14ac:dyDescent="0.3">
      <c r="A1641" t="s">
        <v>82</v>
      </c>
      <c r="B1641">
        <f>VLOOKUP(M1641,Sheet9!$I$1:$J$17,2,FALSE)</f>
        <v>10</v>
      </c>
      <c r="C1641">
        <f>VLOOKUP(N1641,Sheet9!$M$1:$N$2,2,FALSE)</f>
        <v>1</v>
      </c>
      <c r="D1641">
        <v>32</v>
      </c>
      <c r="E1641" t="s">
        <v>96</v>
      </c>
      <c r="F1641">
        <v>120</v>
      </c>
      <c r="H1641">
        <v>3</v>
      </c>
      <c r="I1641">
        <v>3</v>
      </c>
      <c r="J1641">
        <v>9</v>
      </c>
      <c r="M1641" t="s">
        <v>82</v>
      </c>
      <c r="N1641" t="s">
        <v>162</v>
      </c>
    </row>
    <row r="1642" spans="1:14" x14ac:dyDescent="0.3">
      <c r="A1642" t="s">
        <v>82</v>
      </c>
      <c r="B1642">
        <f>VLOOKUP(M1642,Sheet9!$I$1:$J$17,2,FALSE)</f>
        <v>10</v>
      </c>
      <c r="C1642">
        <f>VLOOKUP(N1642,Sheet9!$M$1:$N$2,2,FALSE)</f>
        <v>1</v>
      </c>
      <c r="D1642">
        <v>32</v>
      </c>
      <c r="E1642" t="s">
        <v>96</v>
      </c>
      <c r="F1642">
        <v>120</v>
      </c>
      <c r="H1642">
        <v>3</v>
      </c>
      <c r="I1642">
        <v>5</v>
      </c>
      <c r="J1642">
        <v>15</v>
      </c>
      <c r="M1642" t="s">
        <v>82</v>
      </c>
      <c r="N1642" t="s">
        <v>162</v>
      </c>
    </row>
    <row r="1643" spans="1:14" x14ac:dyDescent="0.3">
      <c r="A1643" t="s">
        <v>82</v>
      </c>
      <c r="B1643">
        <f>VLOOKUP(M1643,Sheet9!$I$1:$J$17,2,FALSE)</f>
        <v>10</v>
      </c>
      <c r="C1643">
        <f>VLOOKUP(N1643,Sheet9!$M$1:$N$2,2,FALSE)</f>
        <v>1</v>
      </c>
      <c r="D1643">
        <v>32</v>
      </c>
      <c r="E1643" t="s">
        <v>168</v>
      </c>
      <c r="F1643">
        <v>120</v>
      </c>
      <c r="H1643">
        <v>32</v>
      </c>
      <c r="I1643">
        <v>0.6</v>
      </c>
      <c r="J1643">
        <v>19.2</v>
      </c>
      <c r="M1643" t="s">
        <v>82</v>
      </c>
      <c r="N1643" t="s">
        <v>162</v>
      </c>
    </row>
    <row r="1644" spans="1:14" x14ac:dyDescent="0.3">
      <c r="A1644" t="s">
        <v>82</v>
      </c>
      <c r="B1644">
        <f>VLOOKUP(M1644,Sheet9!$I$1:$J$17,2,FALSE)</f>
        <v>10</v>
      </c>
      <c r="C1644">
        <f>VLOOKUP(N1644,Sheet9!$M$1:$N$2,2,FALSE)</f>
        <v>1</v>
      </c>
      <c r="D1644">
        <v>32</v>
      </c>
      <c r="E1644" t="s">
        <v>96</v>
      </c>
      <c r="F1644">
        <v>120</v>
      </c>
      <c r="H1644">
        <v>64</v>
      </c>
      <c r="I1644">
        <v>0.6</v>
      </c>
      <c r="J1644">
        <v>38.4</v>
      </c>
      <c r="M1644" t="s">
        <v>82</v>
      </c>
      <c r="N1644" t="s">
        <v>162</v>
      </c>
    </row>
    <row r="1645" spans="1:14" x14ac:dyDescent="0.3">
      <c r="A1645" t="s">
        <v>82</v>
      </c>
      <c r="B1645">
        <f>VLOOKUP(M1645,Sheet9!$I$1:$J$17,2,FALSE)</f>
        <v>10</v>
      </c>
      <c r="C1645">
        <f>VLOOKUP(N1645,Sheet9!$M$1:$N$2,2,FALSE)</f>
        <v>1</v>
      </c>
      <c r="D1645">
        <v>32</v>
      </c>
      <c r="E1645" t="s">
        <v>168</v>
      </c>
      <c r="F1645">
        <v>120</v>
      </c>
      <c r="H1645">
        <v>128</v>
      </c>
      <c r="I1645">
        <v>0.6</v>
      </c>
      <c r="J1645">
        <v>76.8</v>
      </c>
      <c r="M1645" t="s">
        <v>82</v>
      </c>
      <c r="N1645" t="s">
        <v>162</v>
      </c>
    </row>
    <row r="1646" spans="1:14" x14ac:dyDescent="0.3">
      <c r="A1646" t="s">
        <v>82</v>
      </c>
      <c r="B1646">
        <f>VLOOKUP(M1646,Sheet9!$I$1:$J$17,2,FALSE)</f>
        <v>10</v>
      </c>
      <c r="C1646">
        <f>VLOOKUP(N1646,Sheet9!$M$1:$N$2,2,FALSE)</f>
        <v>1</v>
      </c>
      <c r="D1646">
        <v>32</v>
      </c>
      <c r="E1646" t="s">
        <v>96</v>
      </c>
      <c r="F1646">
        <v>140</v>
      </c>
      <c r="G1646" t="s">
        <v>141</v>
      </c>
      <c r="H1646">
        <v>6</v>
      </c>
      <c r="I1646">
        <v>0.6</v>
      </c>
      <c r="J1646">
        <v>3.5999999999999996</v>
      </c>
      <c r="M1646" t="s">
        <v>82</v>
      </c>
      <c r="N1646" t="s">
        <v>162</v>
      </c>
    </row>
    <row r="1647" spans="1:14" x14ac:dyDescent="0.3">
      <c r="A1647" t="s">
        <v>82</v>
      </c>
      <c r="B1647">
        <f>VLOOKUP(M1647,Sheet9!$I$1:$J$17,2,FALSE)</f>
        <v>10</v>
      </c>
      <c r="C1647">
        <f>VLOOKUP(N1647,Sheet9!$M$1:$N$2,2,FALSE)</f>
        <v>1</v>
      </c>
      <c r="D1647">
        <v>32</v>
      </c>
      <c r="E1647" t="s">
        <v>96</v>
      </c>
      <c r="F1647">
        <v>140</v>
      </c>
      <c r="H1647">
        <v>1</v>
      </c>
      <c r="I1647">
        <v>5</v>
      </c>
      <c r="J1647">
        <v>5</v>
      </c>
      <c r="M1647" t="s">
        <v>82</v>
      </c>
      <c r="N1647" t="s">
        <v>162</v>
      </c>
    </row>
    <row r="1648" spans="1:14" x14ac:dyDescent="0.3">
      <c r="A1648" t="s">
        <v>82</v>
      </c>
      <c r="B1648">
        <f>VLOOKUP(M1648,Sheet9!$I$1:$J$17,2,FALSE)</f>
        <v>10</v>
      </c>
      <c r="C1648">
        <f>VLOOKUP(N1648,Sheet9!$M$1:$N$2,2,FALSE)</f>
        <v>1</v>
      </c>
      <c r="D1648">
        <v>32</v>
      </c>
      <c r="E1648" t="s">
        <v>96</v>
      </c>
      <c r="F1648">
        <v>140</v>
      </c>
      <c r="H1648">
        <v>1</v>
      </c>
      <c r="I1648">
        <v>10</v>
      </c>
      <c r="J1648">
        <v>10</v>
      </c>
      <c r="M1648" t="s">
        <v>82</v>
      </c>
      <c r="N1648" t="s">
        <v>162</v>
      </c>
    </row>
    <row r="1649" spans="1:14" x14ac:dyDescent="0.3">
      <c r="A1649" t="s">
        <v>82</v>
      </c>
      <c r="B1649">
        <f>VLOOKUP(M1649,Sheet9!$I$1:$J$17,2,FALSE)</f>
        <v>10</v>
      </c>
      <c r="C1649">
        <f>VLOOKUP(N1649,Sheet9!$M$1:$N$2,2,FALSE)</f>
        <v>1</v>
      </c>
      <c r="D1649">
        <v>32</v>
      </c>
      <c r="E1649" t="s">
        <v>96</v>
      </c>
      <c r="F1649">
        <v>140</v>
      </c>
      <c r="H1649">
        <v>3</v>
      </c>
      <c r="I1649">
        <v>3</v>
      </c>
      <c r="J1649">
        <v>9</v>
      </c>
      <c r="M1649" t="s">
        <v>82</v>
      </c>
      <c r="N1649" t="s">
        <v>162</v>
      </c>
    </row>
    <row r="1650" spans="1:14" x14ac:dyDescent="0.3">
      <c r="A1650" t="s">
        <v>82</v>
      </c>
      <c r="B1650">
        <f>VLOOKUP(M1650,Sheet9!$I$1:$J$17,2,FALSE)</f>
        <v>10</v>
      </c>
      <c r="C1650">
        <f>VLOOKUP(N1650,Sheet9!$M$1:$N$2,2,FALSE)</f>
        <v>1</v>
      </c>
      <c r="D1650">
        <v>32</v>
      </c>
      <c r="E1650" t="s">
        <v>96</v>
      </c>
      <c r="F1650">
        <v>140</v>
      </c>
      <c r="H1650">
        <v>3</v>
      </c>
      <c r="I1650">
        <v>5</v>
      </c>
      <c r="J1650">
        <v>15</v>
      </c>
      <c r="M1650" t="s">
        <v>82</v>
      </c>
      <c r="N1650" t="s">
        <v>162</v>
      </c>
    </row>
    <row r="1651" spans="1:14" x14ac:dyDescent="0.3">
      <c r="A1651" t="s">
        <v>82</v>
      </c>
      <c r="B1651">
        <f>VLOOKUP(M1651,Sheet9!$I$1:$J$17,2,FALSE)</f>
        <v>10</v>
      </c>
      <c r="C1651">
        <f>VLOOKUP(N1651,Sheet9!$M$1:$N$2,2,FALSE)</f>
        <v>1</v>
      </c>
      <c r="D1651">
        <v>32</v>
      </c>
      <c r="E1651" t="s">
        <v>168</v>
      </c>
      <c r="F1651">
        <v>140</v>
      </c>
      <c r="H1651">
        <v>32</v>
      </c>
      <c r="I1651">
        <v>0.6</v>
      </c>
      <c r="J1651">
        <v>19.2</v>
      </c>
      <c r="M1651" t="s">
        <v>82</v>
      </c>
      <c r="N1651" t="s">
        <v>162</v>
      </c>
    </row>
    <row r="1652" spans="1:14" x14ac:dyDescent="0.3">
      <c r="A1652" t="s">
        <v>82</v>
      </c>
      <c r="B1652">
        <f>VLOOKUP(M1652,Sheet9!$I$1:$J$17,2,FALSE)</f>
        <v>10</v>
      </c>
      <c r="C1652">
        <f>VLOOKUP(N1652,Sheet9!$M$1:$N$2,2,FALSE)</f>
        <v>1</v>
      </c>
      <c r="D1652">
        <v>32</v>
      </c>
      <c r="E1652" t="s">
        <v>96</v>
      </c>
      <c r="F1652">
        <v>140</v>
      </c>
      <c r="H1652">
        <v>64</v>
      </c>
      <c r="I1652">
        <v>0.6</v>
      </c>
      <c r="J1652">
        <v>38.4</v>
      </c>
      <c r="M1652" t="s">
        <v>82</v>
      </c>
      <c r="N1652" t="s">
        <v>162</v>
      </c>
    </row>
    <row r="1653" spans="1:14" x14ac:dyDescent="0.3">
      <c r="A1653" t="s">
        <v>82</v>
      </c>
      <c r="B1653">
        <f>VLOOKUP(M1653,Sheet9!$I$1:$J$17,2,FALSE)</f>
        <v>10</v>
      </c>
      <c r="C1653">
        <f>VLOOKUP(N1653,Sheet9!$M$1:$N$2,2,FALSE)</f>
        <v>1</v>
      </c>
      <c r="D1653">
        <v>32</v>
      </c>
      <c r="E1653" t="s">
        <v>168</v>
      </c>
      <c r="F1653">
        <v>140</v>
      </c>
      <c r="H1653">
        <v>128</v>
      </c>
      <c r="I1653">
        <v>0.6</v>
      </c>
      <c r="J1653">
        <v>76.8</v>
      </c>
      <c r="M1653" t="s">
        <v>82</v>
      </c>
      <c r="N1653" t="s">
        <v>162</v>
      </c>
    </row>
    <row r="1654" spans="1:14" x14ac:dyDescent="0.3">
      <c r="A1654" t="s">
        <v>25</v>
      </c>
      <c r="B1654">
        <f>VLOOKUP(M1654,Sheet9!$I$1:$J$17,2,FALSE)</f>
        <v>7</v>
      </c>
      <c r="C1654">
        <f>VLOOKUP(N1654,Sheet9!$M$1:$N$2,2,FALSE)</f>
        <v>1</v>
      </c>
      <c r="D1654">
        <v>16</v>
      </c>
      <c r="E1654" t="s">
        <v>95</v>
      </c>
      <c r="F1654">
        <v>70</v>
      </c>
      <c r="G1654" t="s">
        <v>139</v>
      </c>
      <c r="H1654">
        <v>6</v>
      </c>
      <c r="I1654">
        <v>0.6</v>
      </c>
      <c r="J1654">
        <v>3.6</v>
      </c>
      <c r="M1654" t="s">
        <v>25</v>
      </c>
      <c r="N1654" t="s">
        <v>162</v>
      </c>
    </row>
    <row r="1655" spans="1:14" x14ac:dyDescent="0.3">
      <c r="A1655" t="s">
        <v>25</v>
      </c>
      <c r="B1655">
        <f>VLOOKUP(M1655,Sheet9!$I$1:$J$17,2,FALSE)</f>
        <v>7</v>
      </c>
      <c r="C1655">
        <f>VLOOKUP(N1655,Sheet9!$M$1:$N$2,2,FALSE)</f>
        <v>1</v>
      </c>
      <c r="D1655">
        <v>16</v>
      </c>
      <c r="E1655" t="s">
        <v>96</v>
      </c>
      <c r="F1655">
        <v>70</v>
      </c>
      <c r="G1655" t="s">
        <v>139</v>
      </c>
      <c r="H1655">
        <v>6</v>
      </c>
      <c r="I1655">
        <v>0.6</v>
      </c>
      <c r="J1655">
        <v>3.6</v>
      </c>
      <c r="M1655" t="s">
        <v>25</v>
      </c>
      <c r="N1655" t="s">
        <v>162</v>
      </c>
    </row>
    <row r="1656" spans="1:14" x14ac:dyDescent="0.3">
      <c r="A1656" t="s">
        <v>25</v>
      </c>
      <c r="B1656">
        <f>VLOOKUP(M1656,Sheet9!$I$1:$J$17,2,FALSE)</f>
        <v>7</v>
      </c>
      <c r="C1656">
        <f>VLOOKUP(N1656,Sheet9!$M$1:$N$2,2,FALSE)</f>
        <v>1</v>
      </c>
      <c r="D1656">
        <v>16</v>
      </c>
      <c r="E1656" t="s">
        <v>95</v>
      </c>
      <c r="F1656">
        <v>70</v>
      </c>
      <c r="H1656">
        <v>1</v>
      </c>
      <c r="I1656">
        <v>5</v>
      </c>
      <c r="J1656">
        <v>5</v>
      </c>
      <c r="K1656">
        <v>3.7</v>
      </c>
      <c r="L1656">
        <v>4</v>
      </c>
      <c r="M1656" t="s">
        <v>25</v>
      </c>
      <c r="N1656" t="s">
        <v>162</v>
      </c>
    </row>
    <row r="1657" spans="1:14" x14ac:dyDescent="0.3">
      <c r="A1657" t="s">
        <v>25</v>
      </c>
      <c r="B1657">
        <f>VLOOKUP(M1657,Sheet9!$I$1:$J$17,2,FALSE)</f>
        <v>7</v>
      </c>
      <c r="C1657">
        <f>VLOOKUP(N1657,Sheet9!$M$1:$N$2,2,FALSE)</f>
        <v>1</v>
      </c>
      <c r="D1657">
        <v>16</v>
      </c>
      <c r="E1657" t="s">
        <v>96</v>
      </c>
      <c r="F1657">
        <v>70</v>
      </c>
      <c r="H1657">
        <v>1</v>
      </c>
      <c r="I1657">
        <v>5</v>
      </c>
      <c r="J1657">
        <v>5</v>
      </c>
      <c r="K1657">
        <v>3.3</v>
      </c>
      <c r="L1657">
        <v>3.3</v>
      </c>
      <c r="M1657" t="s">
        <v>25</v>
      </c>
      <c r="N1657" t="s">
        <v>162</v>
      </c>
    </row>
    <row r="1658" spans="1:14" x14ac:dyDescent="0.3">
      <c r="A1658" t="s">
        <v>25</v>
      </c>
      <c r="B1658">
        <f>VLOOKUP(M1658,Sheet9!$I$1:$J$17,2,FALSE)</f>
        <v>7</v>
      </c>
      <c r="C1658">
        <f>VLOOKUP(N1658,Sheet9!$M$1:$N$2,2,FALSE)</f>
        <v>1</v>
      </c>
      <c r="D1658">
        <v>16</v>
      </c>
      <c r="E1658" t="s">
        <v>95</v>
      </c>
      <c r="F1658">
        <v>70</v>
      </c>
      <c r="H1658">
        <v>1</v>
      </c>
      <c r="I1658">
        <v>10</v>
      </c>
      <c r="J1658">
        <v>10</v>
      </c>
      <c r="K1658">
        <v>3.7</v>
      </c>
      <c r="L1658">
        <v>3.9</v>
      </c>
      <c r="M1658" t="s">
        <v>25</v>
      </c>
      <c r="N1658" t="s">
        <v>162</v>
      </c>
    </row>
    <row r="1659" spans="1:14" x14ac:dyDescent="0.3">
      <c r="A1659" t="s">
        <v>25</v>
      </c>
      <c r="B1659">
        <f>VLOOKUP(M1659,Sheet9!$I$1:$J$17,2,FALSE)</f>
        <v>7</v>
      </c>
      <c r="C1659">
        <f>VLOOKUP(N1659,Sheet9!$M$1:$N$2,2,FALSE)</f>
        <v>1</v>
      </c>
      <c r="D1659">
        <v>16</v>
      </c>
      <c r="E1659" t="s">
        <v>96</v>
      </c>
      <c r="F1659">
        <v>70</v>
      </c>
      <c r="H1659">
        <v>1</v>
      </c>
      <c r="I1659">
        <v>10</v>
      </c>
      <c r="J1659">
        <v>10</v>
      </c>
      <c r="K1659">
        <v>3.3</v>
      </c>
      <c r="L1659">
        <v>3.3</v>
      </c>
      <c r="M1659" t="s">
        <v>25</v>
      </c>
      <c r="N1659" t="s">
        <v>162</v>
      </c>
    </row>
    <row r="1660" spans="1:14" x14ac:dyDescent="0.3">
      <c r="A1660" t="s">
        <v>25</v>
      </c>
      <c r="B1660">
        <f>VLOOKUP(M1660,Sheet9!$I$1:$J$17,2,FALSE)</f>
        <v>7</v>
      </c>
      <c r="C1660">
        <f>VLOOKUP(N1660,Sheet9!$M$1:$N$2,2,FALSE)</f>
        <v>1</v>
      </c>
      <c r="D1660">
        <v>16</v>
      </c>
      <c r="E1660" t="s">
        <v>95</v>
      </c>
      <c r="F1660">
        <v>70</v>
      </c>
      <c r="H1660">
        <v>3</v>
      </c>
      <c r="I1660">
        <v>5</v>
      </c>
      <c r="J1660">
        <v>15</v>
      </c>
      <c r="K1660">
        <v>3.7</v>
      </c>
      <c r="L1660">
        <v>4</v>
      </c>
      <c r="M1660" t="s">
        <v>25</v>
      </c>
      <c r="N1660" t="s">
        <v>162</v>
      </c>
    </row>
    <row r="1661" spans="1:14" x14ac:dyDescent="0.3">
      <c r="A1661" t="s">
        <v>25</v>
      </c>
      <c r="B1661">
        <f>VLOOKUP(M1661,Sheet9!$I$1:$J$17,2,FALSE)</f>
        <v>7</v>
      </c>
      <c r="C1661">
        <f>VLOOKUP(N1661,Sheet9!$M$1:$N$2,2,FALSE)</f>
        <v>1</v>
      </c>
      <c r="D1661">
        <v>16</v>
      </c>
      <c r="E1661" t="s">
        <v>95</v>
      </c>
      <c r="F1661">
        <v>70</v>
      </c>
      <c r="G1661" t="s">
        <v>139</v>
      </c>
      <c r="H1661">
        <v>3</v>
      </c>
      <c r="I1661">
        <v>5</v>
      </c>
      <c r="J1661">
        <v>15</v>
      </c>
      <c r="M1661" t="s">
        <v>25</v>
      </c>
      <c r="N1661" t="s">
        <v>162</v>
      </c>
    </row>
    <row r="1662" spans="1:14" x14ac:dyDescent="0.3">
      <c r="A1662" t="s">
        <v>25</v>
      </c>
      <c r="B1662">
        <f>VLOOKUP(M1662,Sheet9!$I$1:$J$17,2,FALSE)</f>
        <v>7</v>
      </c>
      <c r="C1662">
        <f>VLOOKUP(N1662,Sheet9!$M$1:$N$2,2,FALSE)</f>
        <v>1</v>
      </c>
      <c r="D1662">
        <v>16</v>
      </c>
      <c r="E1662" t="s">
        <v>96</v>
      </c>
      <c r="F1662">
        <v>70</v>
      </c>
      <c r="H1662">
        <v>3</v>
      </c>
      <c r="I1662">
        <v>5</v>
      </c>
      <c r="J1662">
        <v>15</v>
      </c>
      <c r="K1662">
        <v>3.3</v>
      </c>
      <c r="L1662">
        <v>3.3</v>
      </c>
      <c r="M1662" t="s">
        <v>25</v>
      </c>
      <c r="N1662" t="s">
        <v>162</v>
      </c>
    </row>
    <row r="1663" spans="1:14" x14ac:dyDescent="0.3">
      <c r="A1663" t="s">
        <v>25</v>
      </c>
      <c r="B1663">
        <f>VLOOKUP(M1663,Sheet9!$I$1:$J$17,2,FALSE)</f>
        <v>7</v>
      </c>
      <c r="C1663">
        <f>VLOOKUP(N1663,Sheet9!$M$1:$N$2,2,FALSE)</f>
        <v>1</v>
      </c>
      <c r="D1663">
        <v>16</v>
      </c>
      <c r="E1663" t="s">
        <v>96</v>
      </c>
      <c r="F1663">
        <v>70</v>
      </c>
      <c r="G1663" t="s">
        <v>139</v>
      </c>
      <c r="H1663">
        <v>3</v>
      </c>
      <c r="I1663">
        <v>5</v>
      </c>
      <c r="J1663">
        <v>5</v>
      </c>
      <c r="M1663" t="s">
        <v>25</v>
      </c>
      <c r="N1663" t="s">
        <v>162</v>
      </c>
    </row>
    <row r="1664" spans="1:14" x14ac:dyDescent="0.3">
      <c r="A1664" t="s">
        <v>25</v>
      </c>
      <c r="B1664">
        <f>VLOOKUP(M1664,Sheet9!$I$1:$J$17,2,FALSE)</f>
        <v>7</v>
      </c>
      <c r="C1664">
        <f>VLOOKUP(N1664,Sheet9!$M$1:$N$2,2,FALSE)</f>
        <v>1</v>
      </c>
      <c r="D1664">
        <v>16</v>
      </c>
      <c r="E1664" t="s">
        <v>95</v>
      </c>
      <c r="F1664">
        <v>70</v>
      </c>
      <c r="H1664">
        <v>64</v>
      </c>
      <c r="I1664">
        <v>0.6</v>
      </c>
      <c r="J1664">
        <v>38.4</v>
      </c>
      <c r="K1664">
        <v>3.8</v>
      </c>
      <c r="L1664">
        <v>4.0999999999999996</v>
      </c>
      <c r="M1664" t="s">
        <v>25</v>
      </c>
      <c r="N1664" t="s">
        <v>162</v>
      </c>
    </row>
    <row r="1665" spans="1:14" x14ac:dyDescent="0.3">
      <c r="A1665" t="s">
        <v>25</v>
      </c>
      <c r="B1665">
        <f>VLOOKUP(M1665,Sheet9!$I$1:$J$17,2,FALSE)</f>
        <v>7</v>
      </c>
      <c r="C1665">
        <f>VLOOKUP(N1665,Sheet9!$M$1:$N$2,2,FALSE)</f>
        <v>1</v>
      </c>
      <c r="D1665">
        <v>16</v>
      </c>
      <c r="E1665" t="s">
        <v>95</v>
      </c>
      <c r="F1665">
        <v>70</v>
      </c>
      <c r="G1665" t="s">
        <v>139</v>
      </c>
      <c r="H1665">
        <v>64</v>
      </c>
      <c r="I1665">
        <v>0.6</v>
      </c>
      <c r="J1665">
        <v>38.4</v>
      </c>
      <c r="M1665" t="s">
        <v>25</v>
      </c>
      <c r="N1665" t="s">
        <v>162</v>
      </c>
    </row>
    <row r="1666" spans="1:14" x14ac:dyDescent="0.3">
      <c r="A1666" t="s">
        <v>25</v>
      </c>
      <c r="B1666">
        <f>VLOOKUP(M1666,Sheet9!$I$1:$J$17,2,FALSE)</f>
        <v>7</v>
      </c>
      <c r="C1666">
        <f>VLOOKUP(N1666,Sheet9!$M$1:$N$2,2,FALSE)</f>
        <v>1</v>
      </c>
      <c r="D1666">
        <v>16</v>
      </c>
      <c r="E1666" t="s">
        <v>96</v>
      </c>
      <c r="F1666">
        <v>70</v>
      </c>
      <c r="H1666">
        <v>64</v>
      </c>
      <c r="I1666">
        <v>0.6</v>
      </c>
      <c r="J1666">
        <v>38.4</v>
      </c>
      <c r="K1666">
        <v>3.4</v>
      </c>
      <c r="L1666">
        <v>3.4</v>
      </c>
      <c r="M1666" t="s">
        <v>25</v>
      </c>
      <c r="N1666" t="s">
        <v>162</v>
      </c>
    </row>
    <row r="1667" spans="1:14" x14ac:dyDescent="0.3">
      <c r="A1667" t="s">
        <v>25</v>
      </c>
      <c r="B1667">
        <f>VLOOKUP(M1667,Sheet9!$I$1:$J$17,2,FALSE)</f>
        <v>7</v>
      </c>
      <c r="C1667">
        <f>VLOOKUP(N1667,Sheet9!$M$1:$N$2,2,FALSE)</f>
        <v>1</v>
      </c>
      <c r="D1667">
        <v>16</v>
      </c>
      <c r="E1667" t="s">
        <v>96</v>
      </c>
      <c r="F1667">
        <v>70</v>
      </c>
      <c r="G1667" t="s">
        <v>139</v>
      </c>
      <c r="H1667">
        <v>64</v>
      </c>
      <c r="I1667">
        <v>0.6</v>
      </c>
      <c r="J1667">
        <v>38.4</v>
      </c>
      <c r="M1667" t="s">
        <v>25</v>
      </c>
      <c r="N1667" t="s">
        <v>162</v>
      </c>
    </row>
    <row r="1668" spans="1:14" x14ac:dyDescent="0.3">
      <c r="A1668" t="s">
        <v>25</v>
      </c>
      <c r="B1668">
        <f>VLOOKUP(M1668,Sheet9!$I$1:$J$17,2,FALSE)</f>
        <v>7</v>
      </c>
      <c r="C1668">
        <f>VLOOKUP(N1668,Sheet9!$M$1:$N$2,2,FALSE)</f>
        <v>1</v>
      </c>
      <c r="D1668">
        <v>16</v>
      </c>
      <c r="E1668" t="s">
        <v>95</v>
      </c>
      <c r="F1668">
        <v>70</v>
      </c>
      <c r="G1668" t="s">
        <v>141</v>
      </c>
      <c r="H1668">
        <v>64</v>
      </c>
      <c r="I1668">
        <v>0.6</v>
      </c>
      <c r="J1668">
        <v>38.4</v>
      </c>
      <c r="M1668" t="s">
        <v>25</v>
      </c>
      <c r="N1668" t="s">
        <v>162</v>
      </c>
    </row>
    <row r="1669" spans="1:14" x14ac:dyDescent="0.3">
      <c r="A1669" t="s">
        <v>25</v>
      </c>
      <c r="B1669">
        <f>VLOOKUP(M1669,Sheet9!$I$1:$J$17,2,FALSE)</f>
        <v>7</v>
      </c>
      <c r="C1669">
        <f>VLOOKUP(N1669,Sheet9!$M$1:$N$2,2,FALSE)</f>
        <v>1</v>
      </c>
      <c r="D1669">
        <v>16</v>
      </c>
      <c r="E1669" t="s">
        <v>95</v>
      </c>
      <c r="F1669">
        <v>80</v>
      </c>
      <c r="G1669" t="s">
        <v>139</v>
      </c>
      <c r="H1669">
        <v>6</v>
      </c>
      <c r="I1669">
        <v>0.6</v>
      </c>
      <c r="J1669">
        <v>3.6</v>
      </c>
      <c r="M1669" t="s">
        <v>25</v>
      </c>
      <c r="N1669" t="s">
        <v>162</v>
      </c>
    </row>
    <row r="1670" spans="1:14" x14ac:dyDescent="0.3">
      <c r="A1670" t="s">
        <v>25</v>
      </c>
      <c r="B1670">
        <f>VLOOKUP(M1670,Sheet9!$I$1:$J$17,2,FALSE)</f>
        <v>7</v>
      </c>
      <c r="C1670">
        <f>VLOOKUP(N1670,Sheet9!$M$1:$N$2,2,FALSE)</f>
        <v>1</v>
      </c>
      <c r="D1670">
        <v>16</v>
      </c>
      <c r="E1670" t="s">
        <v>96</v>
      </c>
      <c r="F1670">
        <v>80</v>
      </c>
      <c r="G1670" t="s">
        <v>139</v>
      </c>
      <c r="H1670">
        <v>6</v>
      </c>
      <c r="I1670">
        <v>0.6</v>
      </c>
      <c r="J1670">
        <v>3.6</v>
      </c>
      <c r="M1670" t="s">
        <v>25</v>
      </c>
      <c r="N1670" t="s">
        <v>162</v>
      </c>
    </row>
    <row r="1671" spans="1:14" x14ac:dyDescent="0.3">
      <c r="A1671" t="s">
        <v>25</v>
      </c>
      <c r="B1671">
        <f>VLOOKUP(M1671,Sheet9!$I$1:$J$17,2,FALSE)</f>
        <v>7</v>
      </c>
      <c r="C1671">
        <f>VLOOKUP(N1671,Sheet9!$M$1:$N$2,2,FALSE)</f>
        <v>1</v>
      </c>
      <c r="D1671">
        <v>16</v>
      </c>
      <c r="E1671" t="s">
        <v>95</v>
      </c>
      <c r="F1671">
        <v>80</v>
      </c>
      <c r="H1671">
        <v>1</v>
      </c>
      <c r="I1671">
        <v>5</v>
      </c>
      <c r="J1671">
        <v>5</v>
      </c>
      <c r="K1671">
        <v>5.7</v>
      </c>
      <c r="L1671">
        <v>6</v>
      </c>
      <c r="M1671" t="s">
        <v>25</v>
      </c>
      <c r="N1671" t="s">
        <v>162</v>
      </c>
    </row>
    <row r="1672" spans="1:14" x14ac:dyDescent="0.3">
      <c r="A1672" t="s">
        <v>25</v>
      </c>
      <c r="B1672">
        <f>VLOOKUP(M1672,Sheet9!$I$1:$J$17,2,FALSE)</f>
        <v>7</v>
      </c>
      <c r="C1672">
        <f>VLOOKUP(N1672,Sheet9!$M$1:$N$2,2,FALSE)</f>
        <v>1</v>
      </c>
      <c r="D1672">
        <v>16</v>
      </c>
      <c r="E1672" t="s">
        <v>96</v>
      </c>
      <c r="F1672">
        <v>80</v>
      </c>
      <c r="H1672">
        <v>1</v>
      </c>
      <c r="I1672">
        <v>5</v>
      </c>
      <c r="J1672">
        <v>5</v>
      </c>
      <c r="K1672">
        <v>5.0999999999999996</v>
      </c>
      <c r="L1672">
        <v>5.0999999999999996</v>
      </c>
      <c r="M1672" t="s">
        <v>25</v>
      </c>
      <c r="N1672" t="s">
        <v>162</v>
      </c>
    </row>
    <row r="1673" spans="1:14" x14ac:dyDescent="0.3">
      <c r="A1673" t="s">
        <v>25</v>
      </c>
      <c r="B1673">
        <f>VLOOKUP(M1673,Sheet9!$I$1:$J$17,2,FALSE)</f>
        <v>7</v>
      </c>
      <c r="C1673">
        <f>VLOOKUP(N1673,Sheet9!$M$1:$N$2,2,FALSE)</f>
        <v>1</v>
      </c>
      <c r="D1673">
        <v>16</v>
      </c>
      <c r="E1673" t="s">
        <v>95</v>
      </c>
      <c r="F1673">
        <v>80</v>
      </c>
      <c r="H1673">
        <v>1</v>
      </c>
      <c r="I1673">
        <v>10</v>
      </c>
      <c r="J1673">
        <v>10</v>
      </c>
      <c r="K1673">
        <v>5.7</v>
      </c>
      <c r="L1673">
        <v>6</v>
      </c>
      <c r="M1673" t="s">
        <v>25</v>
      </c>
      <c r="N1673" t="s">
        <v>162</v>
      </c>
    </row>
    <row r="1674" spans="1:14" x14ac:dyDescent="0.3">
      <c r="A1674" t="s">
        <v>25</v>
      </c>
      <c r="B1674">
        <f>VLOOKUP(M1674,Sheet9!$I$1:$J$17,2,FALSE)</f>
        <v>7</v>
      </c>
      <c r="C1674">
        <f>VLOOKUP(N1674,Sheet9!$M$1:$N$2,2,FALSE)</f>
        <v>1</v>
      </c>
      <c r="D1674">
        <v>16</v>
      </c>
      <c r="E1674" t="s">
        <v>96</v>
      </c>
      <c r="F1674">
        <v>80</v>
      </c>
      <c r="H1674">
        <v>1</v>
      </c>
      <c r="I1674">
        <v>10</v>
      </c>
      <c r="J1674">
        <v>10</v>
      </c>
      <c r="K1674">
        <v>5.0999999999999996</v>
      </c>
      <c r="L1674">
        <v>5.0999999999999996</v>
      </c>
      <c r="M1674" t="s">
        <v>25</v>
      </c>
      <c r="N1674" t="s">
        <v>162</v>
      </c>
    </row>
    <row r="1675" spans="1:14" x14ac:dyDescent="0.3">
      <c r="A1675" t="s">
        <v>25</v>
      </c>
      <c r="B1675">
        <f>VLOOKUP(M1675,Sheet9!$I$1:$J$17,2,FALSE)</f>
        <v>7</v>
      </c>
      <c r="C1675">
        <f>VLOOKUP(N1675,Sheet9!$M$1:$N$2,2,FALSE)</f>
        <v>1</v>
      </c>
      <c r="D1675">
        <v>16</v>
      </c>
      <c r="E1675" t="s">
        <v>95</v>
      </c>
      <c r="F1675">
        <v>80</v>
      </c>
      <c r="H1675">
        <v>3</v>
      </c>
      <c r="I1675">
        <v>5</v>
      </c>
      <c r="J1675">
        <v>15</v>
      </c>
      <c r="K1675">
        <v>5.7</v>
      </c>
      <c r="L1675">
        <v>6</v>
      </c>
      <c r="M1675" t="s">
        <v>25</v>
      </c>
      <c r="N1675" t="s">
        <v>162</v>
      </c>
    </row>
    <row r="1676" spans="1:14" x14ac:dyDescent="0.3">
      <c r="A1676" t="s">
        <v>25</v>
      </c>
      <c r="B1676">
        <f>VLOOKUP(M1676,Sheet9!$I$1:$J$17,2,FALSE)</f>
        <v>7</v>
      </c>
      <c r="C1676">
        <f>VLOOKUP(N1676,Sheet9!$M$1:$N$2,2,FALSE)</f>
        <v>1</v>
      </c>
      <c r="D1676">
        <v>16</v>
      </c>
      <c r="E1676" t="s">
        <v>95</v>
      </c>
      <c r="F1676">
        <v>80</v>
      </c>
      <c r="G1676" t="s">
        <v>139</v>
      </c>
      <c r="H1676">
        <v>3</v>
      </c>
      <c r="I1676">
        <v>5</v>
      </c>
      <c r="J1676">
        <v>15</v>
      </c>
      <c r="M1676" t="s">
        <v>25</v>
      </c>
      <c r="N1676" t="s">
        <v>162</v>
      </c>
    </row>
    <row r="1677" spans="1:14" x14ac:dyDescent="0.3">
      <c r="A1677" t="s">
        <v>25</v>
      </c>
      <c r="B1677">
        <f>VLOOKUP(M1677,Sheet9!$I$1:$J$17,2,FALSE)</f>
        <v>7</v>
      </c>
      <c r="C1677">
        <f>VLOOKUP(N1677,Sheet9!$M$1:$N$2,2,FALSE)</f>
        <v>1</v>
      </c>
      <c r="D1677">
        <v>16</v>
      </c>
      <c r="E1677" t="s">
        <v>96</v>
      </c>
      <c r="F1677">
        <v>80</v>
      </c>
      <c r="H1677">
        <v>3</v>
      </c>
      <c r="I1677">
        <v>5</v>
      </c>
      <c r="J1677">
        <v>15</v>
      </c>
      <c r="K1677">
        <v>5.0999999999999996</v>
      </c>
      <c r="L1677">
        <v>5.0999999999999996</v>
      </c>
      <c r="M1677" t="s">
        <v>25</v>
      </c>
      <c r="N1677" t="s">
        <v>162</v>
      </c>
    </row>
    <row r="1678" spans="1:14" x14ac:dyDescent="0.3">
      <c r="A1678" t="s">
        <v>25</v>
      </c>
      <c r="B1678">
        <f>VLOOKUP(M1678,Sheet9!$I$1:$J$17,2,FALSE)</f>
        <v>7</v>
      </c>
      <c r="C1678">
        <f>VLOOKUP(N1678,Sheet9!$M$1:$N$2,2,FALSE)</f>
        <v>1</v>
      </c>
      <c r="D1678">
        <v>16</v>
      </c>
      <c r="E1678" t="s">
        <v>96</v>
      </c>
      <c r="F1678">
        <v>80</v>
      </c>
      <c r="G1678" t="s">
        <v>139</v>
      </c>
      <c r="H1678">
        <v>3</v>
      </c>
      <c r="I1678">
        <v>5</v>
      </c>
      <c r="J1678">
        <v>5</v>
      </c>
      <c r="M1678" t="s">
        <v>25</v>
      </c>
      <c r="N1678" t="s">
        <v>162</v>
      </c>
    </row>
    <row r="1679" spans="1:14" x14ac:dyDescent="0.3">
      <c r="A1679" t="s">
        <v>25</v>
      </c>
      <c r="B1679">
        <f>VLOOKUP(M1679,Sheet9!$I$1:$J$17,2,FALSE)</f>
        <v>7</v>
      </c>
      <c r="C1679">
        <f>VLOOKUP(N1679,Sheet9!$M$1:$N$2,2,FALSE)</f>
        <v>1</v>
      </c>
      <c r="D1679">
        <v>16</v>
      </c>
      <c r="E1679" t="s">
        <v>95</v>
      </c>
      <c r="F1679">
        <v>80</v>
      </c>
      <c r="H1679">
        <v>64</v>
      </c>
      <c r="I1679">
        <v>0.6</v>
      </c>
      <c r="J1679">
        <v>38.4</v>
      </c>
      <c r="K1679">
        <v>5.9</v>
      </c>
      <c r="L1679">
        <v>6.2</v>
      </c>
      <c r="M1679" t="s">
        <v>25</v>
      </c>
      <c r="N1679" t="s">
        <v>162</v>
      </c>
    </row>
    <row r="1680" spans="1:14" x14ac:dyDescent="0.3">
      <c r="A1680" t="s">
        <v>25</v>
      </c>
      <c r="B1680">
        <f>VLOOKUP(M1680,Sheet9!$I$1:$J$17,2,FALSE)</f>
        <v>7</v>
      </c>
      <c r="C1680">
        <f>VLOOKUP(N1680,Sheet9!$M$1:$N$2,2,FALSE)</f>
        <v>1</v>
      </c>
      <c r="D1680">
        <v>16</v>
      </c>
      <c r="E1680" t="s">
        <v>95</v>
      </c>
      <c r="F1680">
        <v>80</v>
      </c>
      <c r="G1680" t="s">
        <v>139</v>
      </c>
      <c r="H1680">
        <v>64</v>
      </c>
      <c r="I1680">
        <v>0.6</v>
      </c>
      <c r="J1680">
        <v>38.4</v>
      </c>
      <c r="M1680" t="s">
        <v>25</v>
      </c>
      <c r="N1680" t="s">
        <v>162</v>
      </c>
    </row>
    <row r="1681" spans="1:14" x14ac:dyDescent="0.3">
      <c r="A1681" t="s">
        <v>25</v>
      </c>
      <c r="B1681">
        <f>VLOOKUP(M1681,Sheet9!$I$1:$J$17,2,FALSE)</f>
        <v>7</v>
      </c>
      <c r="C1681">
        <f>VLOOKUP(N1681,Sheet9!$M$1:$N$2,2,FALSE)</f>
        <v>1</v>
      </c>
      <c r="D1681">
        <v>16</v>
      </c>
      <c r="E1681" t="s">
        <v>96</v>
      </c>
      <c r="F1681">
        <v>80</v>
      </c>
      <c r="H1681">
        <v>64</v>
      </c>
      <c r="I1681">
        <v>0.6</v>
      </c>
      <c r="J1681">
        <v>38.4</v>
      </c>
      <c r="K1681">
        <v>5.3</v>
      </c>
      <c r="L1681">
        <v>5.3</v>
      </c>
      <c r="M1681" t="s">
        <v>25</v>
      </c>
      <c r="N1681" t="s">
        <v>162</v>
      </c>
    </row>
    <row r="1682" spans="1:14" x14ac:dyDescent="0.3">
      <c r="A1682" t="s">
        <v>25</v>
      </c>
      <c r="B1682">
        <f>VLOOKUP(M1682,Sheet9!$I$1:$J$17,2,FALSE)</f>
        <v>7</v>
      </c>
      <c r="C1682">
        <f>VLOOKUP(N1682,Sheet9!$M$1:$N$2,2,FALSE)</f>
        <v>1</v>
      </c>
      <c r="D1682">
        <v>16</v>
      </c>
      <c r="E1682" t="s">
        <v>96</v>
      </c>
      <c r="F1682">
        <v>80</v>
      </c>
      <c r="G1682" t="s">
        <v>139</v>
      </c>
      <c r="H1682">
        <v>64</v>
      </c>
      <c r="I1682">
        <v>0.6</v>
      </c>
      <c r="J1682">
        <v>38.4</v>
      </c>
      <c r="M1682" t="s">
        <v>25</v>
      </c>
      <c r="N1682" t="s">
        <v>162</v>
      </c>
    </row>
    <row r="1683" spans="1:14" x14ac:dyDescent="0.3">
      <c r="A1683" t="s">
        <v>25</v>
      </c>
      <c r="B1683">
        <f>VLOOKUP(M1683,Sheet9!$I$1:$J$17,2,FALSE)</f>
        <v>7</v>
      </c>
      <c r="C1683">
        <f>VLOOKUP(N1683,Sheet9!$M$1:$N$2,2,FALSE)</f>
        <v>1</v>
      </c>
      <c r="D1683">
        <v>16</v>
      </c>
      <c r="E1683" t="s">
        <v>95</v>
      </c>
      <c r="F1683">
        <v>80</v>
      </c>
      <c r="G1683" t="s">
        <v>141</v>
      </c>
      <c r="H1683">
        <v>64</v>
      </c>
      <c r="I1683">
        <v>0.6</v>
      </c>
      <c r="J1683">
        <v>38.4</v>
      </c>
      <c r="M1683" t="s">
        <v>25</v>
      </c>
      <c r="N1683" t="s">
        <v>162</v>
      </c>
    </row>
    <row r="1684" spans="1:14" x14ac:dyDescent="0.3">
      <c r="A1684" t="s">
        <v>25</v>
      </c>
      <c r="B1684">
        <f>VLOOKUP(M1684,Sheet9!$I$1:$J$17,2,FALSE)</f>
        <v>7</v>
      </c>
      <c r="C1684">
        <f>VLOOKUP(N1684,Sheet9!$M$1:$N$2,2,FALSE)</f>
        <v>1</v>
      </c>
      <c r="D1684">
        <v>16</v>
      </c>
      <c r="E1684" t="s">
        <v>95</v>
      </c>
      <c r="F1684">
        <v>90</v>
      </c>
      <c r="G1684" t="s">
        <v>139</v>
      </c>
      <c r="H1684">
        <v>6</v>
      </c>
      <c r="I1684">
        <v>0.6</v>
      </c>
      <c r="J1684">
        <v>3.6</v>
      </c>
      <c r="M1684" t="s">
        <v>25</v>
      </c>
      <c r="N1684" t="s">
        <v>162</v>
      </c>
    </row>
    <row r="1685" spans="1:14" x14ac:dyDescent="0.3">
      <c r="A1685" t="s">
        <v>25</v>
      </c>
      <c r="B1685">
        <f>VLOOKUP(M1685,Sheet9!$I$1:$J$17,2,FALSE)</f>
        <v>7</v>
      </c>
      <c r="C1685">
        <f>VLOOKUP(N1685,Sheet9!$M$1:$N$2,2,FALSE)</f>
        <v>1</v>
      </c>
      <c r="D1685">
        <v>16</v>
      </c>
      <c r="E1685" t="s">
        <v>96</v>
      </c>
      <c r="F1685">
        <v>90</v>
      </c>
      <c r="G1685" t="s">
        <v>139</v>
      </c>
      <c r="H1685">
        <v>6</v>
      </c>
      <c r="I1685">
        <v>0.6</v>
      </c>
      <c r="J1685">
        <v>3.6</v>
      </c>
      <c r="M1685" t="s">
        <v>25</v>
      </c>
      <c r="N1685" t="s">
        <v>162</v>
      </c>
    </row>
    <row r="1686" spans="1:14" x14ac:dyDescent="0.3">
      <c r="A1686" t="s">
        <v>25</v>
      </c>
      <c r="B1686">
        <f>VLOOKUP(M1686,Sheet9!$I$1:$J$17,2,FALSE)</f>
        <v>7</v>
      </c>
      <c r="C1686">
        <f>VLOOKUP(N1686,Sheet9!$M$1:$N$2,2,FALSE)</f>
        <v>1</v>
      </c>
      <c r="D1686">
        <v>16</v>
      </c>
      <c r="E1686" t="s">
        <v>95</v>
      </c>
      <c r="F1686">
        <v>90</v>
      </c>
      <c r="H1686">
        <v>1</v>
      </c>
      <c r="I1686">
        <v>5</v>
      </c>
      <c r="J1686">
        <v>5</v>
      </c>
      <c r="K1686">
        <v>8.1999999999999993</v>
      </c>
      <c r="L1686">
        <v>8.5</v>
      </c>
      <c r="M1686" t="s">
        <v>25</v>
      </c>
      <c r="N1686" t="s">
        <v>162</v>
      </c>
    </row>
    <row r="1687" spans="1:14" x14ac:dyDescent="0.3">
      <c r="A1687" t="s">
        <v>25</v>
      </c>
      <c r="B1687">
        <f>VLOOKUP(M1687,Sheet9!$I$1:$J$17,2,FALSE)</f>
        <v>7</v>
      </c>
      <c r="C1687">
        <f>VLOOKUP(N1687,Sheet9!$M$1:$N$2,2,FALSE)</f>
        <v>1</v>
      </c>
      <c r="D1687">
        <v>16</v>
      </c>
      <c r="E1687" t="s">
        <v>96</v>
      </c>
      <c r="F1687">
        <v>90</v>
      </c>
      <c r="H1687">
        <v>1</v>
      </c>
      <c r="I1687">
        <v>5</v>
      </c>
      <c r="J1687">
        <v>5</v>
      </c>
      <c r="K1687">
        <v>7.4</v>
      </c>
      <c r="L1687">
        <v>7.3</v>
      </c>
      <c r="M1687" t="s">
        <v>25</v>
      </c>
      <c r="N1687" t="s">
        <v>162</v>
      </c>
    </row>
    <row r="1688" spans="1:14" x14ac:dyDescent="0.3">
      <c r="A1688" t="s">
        <v>25</v>
      </c>
      <c r="B1688">
        <f>VLOOKUP(M1688,Sheet9!$I$1:$J$17,2,FALSE)</f>
        <v>7</v>
      </c>
      <c r="C1688">
        <f>VLOOKUP(N1688,Sheet9!$M$1:$N$2,2,FALSE)</f>
        <v>1</v>
      </c>
      <c r="D1688">
        <v>16</v>
      </c>
      <c r="E1688" t="s">
        <v>95</v>
      </c>
      <c r="F1688">
        <v>90</v>
      </c>
      <c r="H1688">
        <v>1</v>
      </c>
      <c r="I1688">
        <v>10</v>
      </c>
      <c r="J1688">
        <v>10</v>
      </c>
      <c r="K1688">
        <v>8.1</v>
      </c>
      <c r="L1688">
        <v>8.4</v>
      </c>
      <c r="M1688" t="s">
        <v>25</v>
      </c>
      <c r="N1688" t="s">
        <v>162</v>
      </c>
    </row>
    <row r="1689" spans="1:14" x14ac:dyDescent="0.3">
      <c r="A1689" t="s">
        <v>25</v>
      </c>
      <c r="B1689">
        <f>VLOOKUP(M1689,Sheet9!$I$1:$J$17,2,FALSE)</f>
        <v>7</v>
      </c>
      <c r="C1689">
        <f>VLOOKUP(N1689,Sheet9!$M$1:$N$2,2,FALSE)</f>
        <v>1</v>
      </c>
      <c r="D1689">
        <v>16</v>
      </c>
      <c r="E1689" t="s">
        <v>96</v>
      </c>
      <c r="F1689">
        <v>90</v>
      </c>
      <c r="H1689">
        <v>1</v>
      </c>
      <c r="I1689">
        <v>10</v>
      </c>
      <c r="J1689">
        <v>10</v>
      </c>
      <c r="K1689">
        <v>7.4</v>
      </c>
      <c r="L1689">
        <v>7.2</v>
      </c>
      <c r="M1689" t="s">
        <v>25</v>
      </c>
      <c r="N1689" t="s">
        <v>162</v>
      </c>
    </row>
    <row r="1690" spans="1:14" x14ac:dyDescent="0.3">
      <c r="A1690" t="s">
        <v>25</v>
      </c>
      <c r="B1690">
        <f>VLOOKUP(M1690,Sheet9!$I$1:$J$17,2,FALSE)</f>
        <v>7</v>
      </c>
      <c r="C1690">
        <f>VLOOKUP(N1690,Sheet9!$M$1:$N$2,2,FALSE)</f>
        <v>1</v>
      </c>
      <c r="D1690">
        <v>16</v>
      </c>
      <c r="E1690" t="s">
        <v>95</v>
      </c>
      <c r="F1690">
        <v>90</v>
      </c>
      <c r="H1690">
        <v>3</v>
      </c>
      <c r="I1690">
        <v>5</v>
      </c>
      <c r="J1690">
        <v>15</v>
      </c>
      <c r="K1690">
        <v>8.1999999999999993</v>
      </c>
      <c r="L1690">
        <v>8.5</v>
      </c>
      <c r="M1690" t="s">
        <v>25</v>
      </c>
      <c r="N1690" t="s">
        <v>162</v>
      </c>
    </row>
    <row r="1691" spans="1:14" x14ac:dyDescent="0.3">
      <c r="A1691" t="s">
        <v>25</v>
      </c>
      <c r="B1691">
        <f>VLOOKUP(M1691,Sheet9!$I$1:$J$17,2,FALSE)</f>
        <v>7</v>
      </c>
      <c r="C1691">
        <f>VLOOKUP(N1691,Sheet9!$M$1:$N$2,2,FALSE)</f>
        <v>1</v>
      </c>
      <c r="D1691">
        <v>16</v>
      </c>
      <c r="E1691" t="s">
        <v>95</v>
      </c>
      <c r="F1691">
        <v>90</v>
      </c>
      <c r="G1691" t="s">
        <v>139</v>
      </c>
      <c r="H1691">
        <v>3</v>
      </c>
      <c r="I1691">
        <v>5</v>
      </c>
      <c r="J1691">
        <v>15</v>
      </c>
      <c r="M1691" t="s">
        <v>25</v>
      </c>
      <c r="N1691" t="s">
        <v>162</v>
      </c>
    </row>
    <row r="1692" spans="1:14" x14ac:dyDescent="0.3">
      <c r="A1692" t="s">
        <v>25</v>
      </c>
      <c r="B1692">
        <f>VLOOKUP(M1692,Sheet9!$I$1:$J$17,2,FALSE)</f>
        <v>7</v>
      </c>
      <c r="C1692">
        <f>VLOOKUP(N1692,Sheet9!$M$1:$N$2,2,FALSE)</f>
        <v>1</v>
      </c>
      <c r="D1692">
        <v>16</v>
      </c>
      <c r="E1692" t="s">
        <v>96</v>
      </c>
      <c r="F1692">
        <v>90</v>
      </c>
      <c r="H1692">
        <v>3</v>
      </c>
      <c r="I1692">
        <v>5</v>
      </c>
      <c r="J1692">
        <v>15</v>
      </c>
      <c r="K1692">
        <v>7.4</v>
      </c>
      <c r="L1692">
        <v>7.3</v>
      </c>
      <c r="M1692" t="s">
        <v>25</v>
      </c>
      <c r="N1692" t="s">
        <v>162</v>
      </c>
    </row>
    <row r="1693" spans="1:14" x14ac:dyDescent="0.3">
      <c r="A1693" t="s">
        <v>25</v>
      </c>
      <c r="B1693">
        <f>VLOOKUP(M1693,Sheet9!$I$1:$J$17,2,FALSE)</f>
        <v>7</v>
      </c>
      <c r="C1693">
        <f>VLOOKUP(N1693,Sheet9!$M$1:$N$2,2,FALSE)</f>
        <v>1</v>
      </c>
      <c r="D1693">
        <v>16</v>
      </c>
      <c r="E1693" t="s">
        <v>96</v>
      </c>
      <c r="F1693">
        <v>90</v>
      </c>
      <c r="G1693" t="s">
        <v>139</v>
      </c>
      <c r="H1693">
        <v>3</v>
      </c>
      <c r="I1693">
        <v>5</v>
      </c>
      <c r="J1693">
        <v>5</v>
      </c>
      <c r="M1693" t="s">
        <v>25</v>
      </c>
      <c r="N1693" t="s">
        <v>162</v>
      </c>
    </row>
    <row r="1694" spans="1:14" x14ac:dyDescent="0.3">
      <c r="A1694" t="s">
        <v>25</v>
      </c>
      <c r="B1694">
        <f>VLOOKUP(M1694,Sheet9!$I$1:$J$17,2,FALSE)</f>
        <v>7</v>
      </c>
      <c r="C1694">
        <f>VLOOKUP(N1694,Sheet9!$M$1:$N$2,2,FALSE)</f>
        <v>1</v>
      </c>
      <c r="D1694">
        <v>16</v>
      </c>
      <c r="E1694" t="s">
        <v>95</v>
      </c>
      <c r="F1694">
        <v>90</v>
      </c>
      <c r="H1694">
        <v>64</v>
      </c>
      <c r="I1694">
        <v>0.6</v>
      </c>
      <c r="J1694">
        <v>38.4</v>
      </c>
      <c r="K1694">
        <v>8.4</v>
      </c>
      <c r="L1694">
        <v>8.8000000000000007</v>
      </c>
      <c r="M1694" t="s">
        <v>25</v>
      </c>
      <c r="N1694" t="s">
        <v>162</v>
      </c>
    </row>
    <row r="1695" spans="1:14" x14ac:dyDescent="0.3">
      <c r="A1695" t="s">
        <v>25</v>
      </c>
      <c r="B1695">
        <f>VLOOKUP(M1695,Sheet9!$I$1:$J$17,2,FALSE)</f>
        <v>7</v>
      </c>
      <c r="C1695">
        <f>VLOOKUP(N1695,Sheet9!$M$1:$N$2,2,FALSE)</f>
        <v>1</v>
      </c>
      <c r="D1695">
        <v>16</v>
      </c>
      <c r="E1695" t="s">
        <v>95</v>
      </c>
      <c r="F1695">
        <v>90</v>
      </c>
      <c r="G1695" t="s">
        <v>139</v>
      </c>
      <c r="H1695">
        <v>64</v>
      </c>
      <c r="I1695">
        <v>0.6</v>
      </c>
      <c r="J1695">
        <v>38.4</v>
      </c>
      <c r="M1695" t="s">
        <v>25</v>
      </c>
      <c r="N1695" t="s">
        <v>162</v>
      </c>
    </row>
    <row r="1696" spans="1:14" x14ac:dyDescent="0.3">
      <c r="A1696" t="s">
        <v>25</v>
      </c>
      <c r="B1696">
        <f>VLOOKUP(M1696,Sheet9!$I$1:$J$17,2,FALSE)</f>
        <v>7</v>
      </c>
      <c r="C1696">
        <f>VLOOKUP(N1696,Sheet9!$M$1:$N$2,2,FALSE)</f>
        <v>1</v>
      </c>
      <c r="D1696">
        <v>16</v>
      </c>
      <c r="E1696" t="s">
        <v>96</v>
      </c>
      <c r="F1696">
        <v>90</v>
      </c>
      <c r="H1696">
        <v>64</v>
      </c>
      <c r="I1696">
        <v>0.6</v>
      </c>
      <c r="J1696">
        <v>38.4</v>
      </c>
      <c r="K1696">
        <v>7.7</v>
      </c>
      <c r="L1696">
        <v>7.6</v>
      </c>
      <c r="M1696" t="s">
        <v>25</v>
      </c>
      <c r="N1696" t="s">
        <v>162</v>
      </c>
    </row>
    <row r="1697" spans="1:14" x14ac:dyDescent="0.3">
      <c r="A1697" t="s">
        <v>25</v>
      </c>
      <c r="B1697">
        <f>VLOOKUP(M1697,Sheet9!$I$1:$J$17,2,FALSE)</f>
        <v>7</v>
      </c>
      <c r="C1697">
        <f>VLOOKUP(N1697,Sheet9!$M$1:$N$2,2,FALSE)</f>
        <v>1</v>
      </c>
      <c r="D1697">
        <v>16</v>
      </c>
      <c r="E1697" t="s">
        <v>96</v>
      </c>
      <c r="F1697">
        <v>90</v>
      </c>
      <c r="G1697" t="s">
        <v>139</v>
      </c>
      <c r="H1697">
        <v>64</v>
      </c>
      <c r="I1697">
        <v>0.6</v>
      </c>
      <c r="J1697">
        <v>38.4</v>
      </c>
      <c r="M1697" t="s">
        <v>25</v>
      </c>
      <c r="N1697" t="s">
        <v>162</v>
      </c>
    </row>
    <row r="1698" spans="1:14" x14ac:dyDescent="0.3">
      <c r="A1698" t="s">
        <v>25</v>
      </c>
      <c r="B1698">
        <f>VLOOKUP(M1698,Sheet9!$I$1:$J$17,2,FALSE)</f>
        <v>7</v>
      </c>
      <c r="C1698">
        <f>VLOOKUP(N1698,Sheet9!$M$1:$N$2,2,FALSE)</f>
        <v>1</v>
      </c>
      <c r="D1698">
        <v>16</v>
      </c>
      <c r="E1698" t="s">
        <v>95</v>
      </c>
      <c r="F1698">
        <v>90</v>
      </c>
      <c r="G1698" t="s">
        <v>141</v>
      </c>
      <c r="H1698">
        <v>64</v>
      </c>
      <c r="I1698">
        <v>0.6</v>
      </c>
      <c r="J1698">
        <v>38.4</v>
      </c>
      <c r="M1698" t="s">
        <v>25</v>
      </c>
      <c r="N1698" t="s">
        <v>162</v>
      </c>
    </row>
    <row r="1699" spans="1:14" x14ac:dyDescent="0.3">
      <c r="A1699" t="s">
        <v>25</v>
      </c>
      <c r="B1699">
        <f>VLOOKUP(M1699,Sheet9!$I$1:$J$17,2,FALSE)</f>
        <v>7</v>
      </c>
      <c r="C1699">
        <f>VLOOKUP(N1699,Sheet9!$M$1:$N$2,2,FALSE)</f>
        <v>1</v>
      </c>
      <c r="D1699">
        <v>16</v>
      </c>
      <c r="E1699" t="s">
        <v>95</v>
      </c>
      <c r="F1699">
        <v>100</v>
      </c>
      <c r="G1699" t="s">
        <v>139</v>
      </c>
      <c r="H1699">
        <v>6</v>
      </c>
      <c r="I1699">
        <v>0.6</v>
      </c>
      <c r="J1699">
        <v>3.6</v>
      </c>
      <c r="K1699">
        <v>1.3</v>
      </c>
      <c r="L1699">
        <v>1.3</v>
      </c>
      <c r="M1699" t="s">
        <v>25</v>
      </c>
      <c r="N1699" t="s">
        <v>162</v>
      </c>
    </row>
    <row r="1700" spans="1:14" x14ac:dyDescent="0.3">
      <c r="A1700" t="s">
        <v>25</v>
      </c>
      <c r="B1700">
        <f>VLOOKUP(M1700,Sheet9!$I$1:$J$17,2,FALSE)</f>
        <v>7</v>
      </c>
      <c r="C1700">
        <f>VLOOKUP(N1700,Sheet9!$M$1:$N$2,2,FALSE)</f>
        <v>1</v>
      </c>
      <c r="D1700">
        <v>16</v>
      </c>
      <c r="E1700" t="s">
        <v>96</v>
      </c>
      <c r="F1700">
        <v>100</v>
      </c>
      <c r="G1700" t="s">
        <v>139</v>
      </c>
      <c r="H1700">
        <v>6</v>
      </c>
      <c r="I1700">
        <v>0.6</v>
      </c>
      <c r="J1700">
        <v>3.6</v>
      </c>
      <c r="K1700">
        <v>1.2</v>
      </c>
      <c r="L1700">
        <v>1.2</v>
      </c>
      <c r="M1700" t="s">
        <v>25</v>
      </c>
      <c r="N1700" t="s">
        <v>162</v>
      </c>
    </row>
    <row r="1701" spans="1:14" x14ac:dyDescent="0.3">
      <c r="A1701" t="s">
        <v>25</v>
      </c>
      <c r="B1701">
        <f>VLOOKUP(M1701,Sheet9!$I$1:$J$17,2,FALSE)</f>
        <v>7</v>
      </c>
      <c r="C1701">
        <f>VLOOKUP(N1701,Sheet9!$M$1:$N$2,2,FALSE)</f>
        <v>1</v>
      </c>
      <c r="D1701">
        <v>16</v>
      </c>
      <c r="E1701" t="s">
        <v>95</v>
      </c>
      <c r="F1701">
        <v>100</v>
      </c>
      <c r="H1701">
        <v>1</v>
      </c>
      <c r="I1701">
        <v>5</v>
      </c>
      <c r="J1701">
        <v>5</v>
      </c>
      <c r="K1701">
        <v>11.1</v>
      </c>
      <c r="L1701">
        <v>11.5</v>
      </c>
      <c r="M1701" t="s">
        <v>25</v>
      </c>
      <c r="N1701" t="s">
        <v>162</v>
      </c>
    </row>
    <row r="1702" spans="1:14" x14ac:dyDescent="0.3">
      <c r="A1702" t="s">
        <v>25</v>
      </c>
      <c r="B1702">
        <f>VLOOKUP(M1702,Sheet9!$I$1:$J$17,2,FALSE)</f>
        <v>7</v>
      </c>
      <c r="C1702">
        <f>VLOOKUP(N1702,Sheet9!$M$1:$N$2,2,FALSE)</f>
        <v>1</v>
      </c>
      <c r="D1702">
        <v>16</v>
      </c>
      <c r="E1702" t="s">
        <v>96</v>
      </c>
      <c r="F1702">
        <v>100</v>
      </c>
      <c r="H1702">
        <v>1</v>
      </c>
      <c r="I1702">
        <v>5</v>
      </c>
      <c r="J1702">
        <v>5</v>
      </c>
      <c r="K1702">
        <v>10.1</v>
      </c>
      <c r="L1702">
        <v>9.9</v>
      </c>
      <c r="M1702" t="s">
        <v>25</v>
      </c>
      <c r="N1702" t="s">
        <v>162</v>
      </c>
    </row>
    <row r="1703" spans="1:14" x14ac:dyDescent="0.3">
      <c r="A1703" t="s">
        <v>25</v>
      </c>
      <c r="B1703">
        <f>VLOOKUP(M1703,Sheet9!$I$1:$J$17,2,FALSE)</f>
        <v>7</v>
      </c>
      <c r="C1703">
        <f>VLOOKUP(N1703,Sheet9!$M$1:$N$2,2,FALSE)</f>
        <v>1</v>
      </c>
      <c r="D1703">
        <v>16</v>
      </c>
      <c r="E1703" t="s">
        <v>95</v>
      </c>
      <c r="F1703">
        <v>100</v>
      </c>
      <c r="H1703">
        <v>1</v>
      </c>
      <c r="I1703">
        <v>10</v>
      </c>
      <c r="J1703">
        <v>10</v>
      </c>
      <c r="K1703">
        <v>11</v>
      </c>
      <c r="L1703">
        <v>11.3</v>
      </c>
      <c r="M1703" t="s">
        <v>25</v>
      </c>
      <c r="N1703" t="s">
        <v>162</v>
      </c>
    </row>
    <row r="1704" spans="1:14" x14ac:dyDescent="0.3">
      <c r="A1704" t="s">
        <v>25</v>
      </c>
      <c r="B1704">
        <f>VLOOKUP(M1704,Sheet9!$I$1:$J$17,2,FALSE)</f>
        <v>7</v>
      </c>
      <c r="C1704">
        <f>VLOOKUP(N1704,Sheet9!$M$1:$N$2,2,FALSE)</f>
        <v>1</v>
      </c>
      <c r="D1704">
        <v>16</v>
      </c>
      <c r="E1704" t="s">
        <v>96</v>
      </c>
      <c r="F1704">
        <v>100</v>
      </c>
      <c r="H1704">
        <v>1</v>
      </c>
      <c r="I1704">
        <v>10</v>
      </c>
      <c r="J1704">
        <v>10</v>
      </c>
      <c r="K1704">
        <v>10.1</v>
      </c>
      <c r="L1704">
        <v>9.8000000000000007</v>
      </c>
      <c r="M1704" t="s">
        <v>25</v>
      </c>
      <c r="N1704" t="s">
        <v>162</v>
      </c>
    </row>
    <row r="1705" spans="1:14" x14ac:dyDescent="0.3">
      <c r="A1705" t="s">
        <v>25</v>
      </c>
      <c r="B1705">
        <f>VLOOKUP(M1705,Sheet9!$I$1:$J$17,2,FALSE)</f>
        <v>7</v>
      </c>
      <c r="C1705">
        <f>VLOOKUP(N1705,Sheet9!$M$1:$N$2,2,FALSE)</f>
        <v>1</v>
      </c>
      <c r="D1705">
        <v>16</v>
      </c>
      <c r="E1705" t="s">
        <v>95</v>
      </c>
      <c r="F1705">
        <v>100</v>
      </c>
      <c r="H1705">
        <v>3</v>
      </c>
      <c r="I1705">
        <v>5</v>
      </c>
      <c r="J1705">
        <v>15</v>
      </c>
      <c r="K1705">
        <v>11</v>
      </c>
      <c r="L1705">
        <v>11.4</v>
      </c>
      <c r="M1705" t="s">
        <v>25</v>
      </c>
      <c r="N1705" t="s">
        <v>162</v>
      </c>
    </row>
    <row r="1706" spans="1:14" x14ac:dyDescent="0.3">
      <c r="A1706" t="s">
        <v>25</v>
      </c>
      <c r="B1706">
        <f>VLOOKUP(M1706,Sheet9!$I$1:$J$17,2,FALSE)</f>
        <v>7</v>
      </c>
      <c r="C1706">
        <f>VLOOKUP(N1706,Sheet9!$M$1:$N$2,2,FALSE)</f>
        <v>1</v>
      </c>
      <c r="D1706">
        <v>16</v>
      </c>
      <c r="E1706" t="s">
        <v>95</v>
      </c>
      <c r="F1706">
        <v>100</v>
      </c>
      <c r="G1706" t="s">
        <v>139</v>
      </c>
      <c r="H1706">
        <v>3</v>
      </c>
      <c r="I1706">
        <v>5</v>
      </c>
      <c r="J1706">
        <v>15</v>
      </c>
      <c r="K1706">
        <v>0.9</v>
      </c>
      <c r="L1706">
        <v>0.9</v>
      </c>
      <c r="M1706" t="s">
        <v>25</v>
      </c>
      <c r="N1706" t="s">
        <v>162</v>
      </c>
    </row>
    <row r="1707" spans="1:14" x14ac:dyDescent="0.3">
      <c r="A1707" t="s">
        <v>25</v>
      </c>
      <c r="B1707">
        <f>VLOOKUP(M1707,Sheet9!$I$1:$J$17,2,FALSE)</f>
        <v>7</v>
      </c>
      <c r="C1707">
        <f>VLOOKUP(N1707,Sheet9!$M$1:$N$2,2,FALSE)</f>
        <v>1</v>
      </c>
      <c r="D1707">
        <v>16</v>
      </c>
      <c r="E1707" t="s">
        <v>96</v>
      </c>
      <c r="F1707">
        <v>100</v>
      </c>
      <c r="H1707">
        <v>3</v>
      </c>
      <c r="I1707">
        <v>5</v>
      </c>
      <c r="J1707">
        <v>15</v>
      </c>
      <c r="K1707">
        <v>10.1</v>
      </c>
      <c r="L1707">
        <v>9.9</v>
      </c>
      <c r="M1707" t="s">
        <v>25</v>
      </c>
      <c r="N1707" t="s">
        <v>162</v>
      </c>
    </row>
    <row r="1708" spans="1:14" x14ac:dyDescent="0.3">
      <c r="A1708" t="s">
        <v>25</v>
      </c>
      <c r="B1708">
        <f>VLOOKUP(M1708,Sheet9!$I$1:$J$17,2,FALSE)</f>
        <v>7</v>
      </c>
      <c r="C1708">
        <f>VLOOKUP(N1708,Sheet9!$M$1:$N$2,2,FALSE)</f>
        <v>1</v>
      </c>
      <c r="D1708">
        <v>16</v>
      </c>
      <c r="E1708" t="s">
        <v>96</v>
      </c>
      <c r="F1708">
        <v>100</v>
      </c>
      <c r="G1708" t="s">
        <v>139</v>
      </c>
      <c r="H1708">
        <v>3</v>
      </c>
      <c r="I1708">
        <v>5</v>
      </c>
      <c r="J1708">
        <v>5</v>
      </c>
      <c r="K1708">
        <v>0.9</v>
      </c>
      <c r="L1708">
        <v>0.8</v>
      </c>
      <c r="M1708" t="s">
        <v>25</v>
      </c>
      <c r="N1708" t="s">
        <v>162</v>
      </c>
    </row>
    <row r="1709" spans="1:14" x14ac:dyDescent="0.3">
      <c r="A1709" t="s">
        <v>25</v>
      </c>
      <c r="B1709">
        <f>VLOOKUP(M1709,Sheet9!$I$1:$J$17,2,FALSE)</f>
        <v>7</v>
      </c>
      <c r="C1709">
        <f>VLOOKUP(N1709,Sheet9!$M$1:$N$2,2,FALSE)</f>
        <v>1</v>
      </c>
      <c r="D1709">
        <v>16</v>
      </c>
      <c r="E1709" t="s">
        <v>95</v>
      </c>
      <c r="F1709">
        <v>100</v>
      </c>
      <c r="H1709">
        <v>64</v>
      </c>
      <c r="I1709">
        <v>0.6</v>
      </c>
      <c r="J1709">
        <v>38.4</v>
      </c>
      <c r="K1709">
        <v>11.4</v>
      </c>
      <c r="L1709">
        <v>11.8</v>
      </c>
      <c r="M1709" t="s">
        <v>25</v>
      </c>
      <c r="N1709" t="s">
        <v>162</v>
      </c>
    </row>
    <row r="1710" spans="1:14" x14ac:dyDescent="0.3">
      <c r="A1710" t="s">
        <v>25</v>
      </c>
      <c r="B1710">
        <f>VLOOKUP(M1710,Sheet9!$I$1:$J$17,2,FALSE)</f>
        <v>7</v>
      </c>
      <c r="C1710">
        <f>VLOOKUP(N1710,Sheet9!$M$1:$N$2,2,FALSE)</f>
        <v>1</v>
      </c>
      <c r="D1710">
        <v>16</v>
      </c>
      <c r="E1710" t="s">
        <v>95</v>
      </c>
      <c r="F1710">
        <v>100</v>
      </c>
      <c r="G1710" t="s">
        <v>139</v>
      </c>
      <c r="H1710">
        <v>64</v>
      </c>
      <c r="I1710">
        <v>0.6</v>
      </c>
      <c r="J1710">
        <v>38.4</v>
      </c>
      <c r="K1710">
        <v>0.9</v>
      </c>
      <c r="L1710">
        <v>0.9</v>
      </c>
      <c r="M1710" t="s">
        <v>25</v>
      </c>
      <c r="N1710" t="s">
        <v>162</v>
      </c>
    </row>
    <row r="1711" spans="1:14" x14ac:dyDescent="0.3">
      <c r="A1711" t="s">
        <v>25</v>
      </c>
      <c r="B1711">
        <f>VLOOKUP(M1711,Sheet9!$I$1:$J$17,2,FALSE)</f>
        <v>7</v>
      </c>
      <c r="C1711">
        <f>VLOOKUP(N1711,Sheet9!$M$1:$N$2,2,FALSE)</f>
        <v>1</v>
      </c>
      <c r="D1711">
        <v>16</v>
      </c>
      <c r="E1711" t="s">
        <v>96</v>
      </c>
      <c r="F1711">
        <v>100</v>
      </c>
      <c r="H1711">
        <v>64</v>
      </c>
      <c r="I1711">
        <v>0.6</v>
      </c>
      <c r="J1711">
        <v>38.4</v>
      </c>
      <c r="K1711">
        <v>10.4</v>
      </c>
      <c r="L1711">
        <v>10.3</v>
      </c>
      <c r="M1711" t="s">
        <v>25</v>
      </c>
      <c r="N1711" t="s">
        <v>162</v>
      </c>
    </row>
    <row r="1712" spans="1:14" x14ac:dyDescent="0.3">
      <c r="A1712" t="s">
        <v>25</v>
      </c>
      <c r="B1712">
        <f>VLOOKUP(M1712,Sheet9!$I$1:$J$17,2,FALSE)</f>
        <v>7</v>
      </c>
      <c r="C1712">
        <f>VLOOKUP(N1712,Sheet9!$M$1:$N$2,2,FALSE)</f>
        <v>1</v>
      </c>
      <c r="D1712">
        <v>16</v>
      </c>
      <c r="E1712" t="s">
        <v>96</v>
      </c>
      <c r="F1712">
        <v>100</v>
      </c>
      <c r="G1712" t="s">
        <v>139</v>
      </c>
      <c r="H1712">
        <v>64</v>
      </c>
      <c r="I1712">
        <v>0.6</v>
      </c>
      <c r="J1712">
        <v>38.4</v>
      </c>
      <c r="K1712">
        <v>0.9</v>
      </c>
      <c r="L1712">
        <v>0.9</v>
      </c>
      <c r="M1712" t="s">
        <v>25</v>
      </c>
      <c r="N1712" t="s">
        <v>162</v>
      </c>
    </row>
    <row r="1713" spans="1:14" x14ac:dyDescent="0.3">
      <c r="A1713" t="s">
        <v>25</v>
      </c>
      <c r="B1713">
        <f>VLOOKUP(M1713,Sheet9!$I$1:$J$17,2,FALSE)</f>
        <v>7</v>
      </c>
      <c r="C1713">
        <f>VLOOKUP(N1713,Sheet9!$M$1:$N$2,2,FALSE)</f>
        <v>1</v>
      </c>
      <c r="D1713">
        <v>16</v>
      </c>
      <c r="E1713" t="s">
        <v>95</v>
      </c>
      <c r="F1713">
        <v>100</v>
      </c>
      <c r="G1713" t="s">
        <v>141</v>
      </c>
      <c r="H1713">
        <v>64</v>
      </c>
      <c r="I1713">
        <v>0.6</v>
      </c>
      <c r="J1713">
        <v>38.4</v>
      </c>
      <c r="M1713" t="s">
        <v>25</v>
      </c>
      <c r="N1713" t="s">
        <v>162</v>
      </c>
    </row>
    <row r="1714" spans="1:14" x14ac:dyDescent="0.3">
      <c r="A1714" t="s">
        <v>25</v>
      </c>
      <c r="B1714">
        <f>VLOOKUP(M1714,Sheet9!$I$1:$J$17,2,FALSE)</f>
        <v>7</v>
      </c>
      <c r="C1714">
        <f>VLOOKUP(N1714,Sheet9!$M$1:$N$2,2,FALSE)</f>
        <v>1</v>
      </c>
      <c r="D1714">
        <v>16</v>
      </c>
      <c r="E1714" t="s">
        <v>95</v>
      </c>
      <c r="F1714">
        <v>110</v>
      </c>
      <c r="G1714" t="s">
        <v>139</v>
      </c>
      <c r="H1714">
        <v>6</v>
      </c>
      <c r="I1714">
        <v>0.6</v>
      </c>
      <c r="J1714">
        <v>3.6</v>
      </c>
      <c r="M1714" t="s">
        <v>25</v>
      </c>
      <c r="N1714" t="s">
        <v>162</v>
      </c>
    </row>
    <row r="1715" spans="1:14" x14ac:dyDescent="0.3">
      <c r="A1715" t="s">
        <v>25</v>
      </c>
      <c r="B1715">
        <f>VLOOKUP(M1715,Sheet9!$I$1:$J$17,2,FALSE)</f>
        <v>7</v>
      </c>
      <c r="C1715">
        <f>VLOOKUP(N1715,Sheet9!$M$1:$N$2,2,FALSE)</f>
        <v>1</v>
      </c>
      <c r="D1715">
        <v>16</v>
      </c>
      <c r="E1715" t="s">
        <v>96</v>
      </c>
      <c r="F1715">
        <v>110</v>
      </c>
      <c r="G1715" t="s">
        <v>139</v>
      </c>
      <c r="H1715">
        <v>6</v>
      </c>
      <c r="I1715">
        <v>0.6</v>
      </c>
      <c r="J1715">
        <v>3.6</v>
      </c>
      <c r="M1715" t="s">
        <v>25</v>
      </c>
      <c r="N1715" t="s">
        <v>162</v>
      </c>
    </row>
    <row r="1716" spans="1:14" x14ac:dyDescent="0.3">
      <c r="A1716" t="s">
        <v>25</v>
      </c>
      <c r="B1716">
        <f>VLOOKUP(M1716,Sheet9!$I$1:$J$17,2,FALSE)</f>
        <v>7</v>
      </c>
      <c r="C1716">
        <f>VLOOKUP(N1716,Sheet9!$M$1:$N$2,2,FALSE)</f>
        <v>1</v>
      </c>
      <c r="D1716">
        <v>16</v>
      </c>
      <c r="E1716" t="s">
        <v>95</v>
      </c>
      <c r="F1716">
        <v>110</v>
      </c>
      <c r="H1716">
        <v>1</v>
      </c>
      <c r="I1716">
        <v>5</v>
      </c>
      <c r="J1716">
        <v>5</v>
      </c>
      <c r="K1716">
        <v>14.2</v>
      </c>
      <c r="L1716">
        <v>14.7</v>
      </c>
      <c r="M1716" t="s">
        <v>25</v>
      </c>
      <c r="N1716" t="s">
        <v>162</v>
      </c>
    </row>
    <row r="1717" spans="1:14" x14ac:dyDescent="0.3">
      <c r="A1717" t="s">
        <v>25</v>
      </c>
      <c r="B1717">
        <f>VLOOKUP(M1717,Sheet9!$I$1:$J$17,2,FALSE)</f>
        <v>7</v>
      </c>
      <c r="C1717">
        <f>VLOOKUP(N1717,Sheet9!$M$1:$N$2,2,FALSE)</f>
        <v>1</v>
      </c>
      <c r="D1717">
        <v>16</v>
      </c>
      <c r="E1717" t="s">
        <v>96</v>
      </c>
      <c r="F1717">
        <v>110</v>
      </c>
      <c r="H1717">
        <v>1</v>
      </c>
      <c r="I1717">
        <v>5</v>
      </c>
      <c r="J1717">
        <v>5</v>
      </c>
      <c r="K1717">
        <v>13.1</v>
      </c>
      <c r="L1717">
        <v>12.8</v>
      </c>
      <c r="M1717" t="s">
        <v>25</v>
      </c>
      <c r="N1717" t="s">
        <v>162</v>
      </c>
    </row>
    <row r="1718" spans="1:14" x14ac:dyDescent="0.3">
      <c r="A1718" t="s">
        <v>25</v>
      </c>
      <c r="B1718">
        <f>VLOOKUP(M1718,Sheet9!$I$1:$J$17,2,FALSE)</f>
        <v>7</v>
      </c>
      <c r="C1718">
        <f>VLOOKUP(N1718,Sheet9!$M$1:$N$2,2,FALSE)</f>
        <v>1</v>
      </c>
      <c r="D1718">
        <v>16</v>
      </c>
      <c r="E1718" t="s">
        <v>95</v>
      </c>
      <c r="F1718">
        <v>110</v>
      </c>
      <c r="H1718">
        <v>1</v>
      </c>
      <c r="I1718">
        <v>10</v>
      </c>
      <c r="J1718">
        <v>10</v>
      </c>
      <c r="K1718">
        <v>14.1</v>
      </c>
      <c r="L1718">
        <v>14.5</v>
      </c>
      <c r="M1718" t="s">
        <v>25</v>
      </c>
      <c r="N1718" t="s">
        <v>162</v>
      </c>
    </row>
    <row r="1719" spans="1:14" x14ac:dyDescent="0.3">
      <c r="A1719" t="s">
        <v>25</v>
      </c>
      <c r="B1719">
        <f>VLOOKUP(M1719,Sheet9!$I$1:$J$17,2,FALSE)</f>
        <v>7</v>
      </c>
      <c r="C1719">
        <f>VLOOKUP(N1719,Sheet9!$M$1:$N$2,2,FALSE)</f>
        <v>1</v>
      </c>
      <c r="D1719">
        <v>16</v>
      </c>
      <c r="E1719" t="s">
        <v>96</v>
      </c>
      <c r="F1719">
        <v>110</v>
      </c>
      <c r="H1719">
        <v>1</v>
      </c>
      <c r="I1719">
        <v>10</v>
      </c>
      <c r="J1719">
        <v>10</v>
      </c>
      <c r="K1719">
        <v>13</v>
      </c>
      <c r="L1719">
        <v>12.7</v>
      </c>
      <c r="M1719" t="s">
        <v>25</v>
      </c>
      <c r="N1719" t="s">
        <v>162</v>
      </c>
    </row>
    <row r="1720" spans="1:14" x14ac:dyDescent="0.3">
      <c r="A1720" t="s">
        <v>25</v>
      </c>
      <c r="B1720">
        <f>VLOOKUP(M1720,Sheet9!$I$1:$J$17,2,FALSE)</f>
        <v>7</v>
      </c>
      <c r="C1720">
        <f>VLOOKUP(N1720,Sheet9!$M$1:$N$2,2,FALSE)</f>
        <v>1</v>
      </c>
      <c r="D1720">
        <v>16</v>
      </c>
      <c r="E1720" t="s">
        <v>95</v>
      </c>
      <c r="F1720">
        <v>110</v>
      </c>
      <c r="H1720">
        <v>3</v>
      </c>
      <c r="I1720">
        <v>5</v>
      </c>
      <c r="J1720">
        <v>15</v>
      </c>
      <c r="K1720">
        <v>14.2</v>
      </c>
      <c r="L1720">
        <v>14.6</v>
      </c>
      <c r="M1720" t="s">
        <v>25</v>
      </c>
      <c r="N1720" t="s">
        <v>162</v>
      </c>
    </row>
    <row r="1721" spans="1:14" x14ac:dyDescent="0.3">
      <c r="A1721" t="s">
        <v>25</v>
      </c>
      <c r="B1721">
        <f>VLOOKUP(M1721,Sheet9!$I$1:$J$17,2,FALSE)</f>
        <v>7</v>
      </c>
      <c r="C1721">
        <f>VLOOKUP(N1721,Sheet9!$M$1:$N$2,2,FALSE)</f>
        <v>1</v>
      </c>
      <c r="D1721">
        <v>16</v>
      </c>
      <c r="E1721" t="s">
        <v>95</v>
      </c>
      <c r="F1721">
        <v>110</v>
      </c>
      <c r="G1721" t="s">
        <v>139</v>
      </c>
      <c r="H1721">
        <v>3</v>
      </c>
      <c r="I1721">
        <v>5</v>
      </c>
      <c r="J1721">
        <v>15</v>
      </c>
      <c r="K1721">
        <v>1.5</v>
      </c>
      <c r="L1721">
        <v>1.5</v>
      </c>
      <c r="M1721" t="s">
        <v>25</v>
      </c>
      <c r="N1721" t="s">
        <v>162</v>
      </c>
    </row>
    <row r="1722" spans="1:14" x14ac:dyDescent="0.3">
      <c r="A1722" t="s">
        <v>25</v>
      </c>
      <c r="B1722">
        <f>VLOOKUP(M1722,Sheet9!$I$1:$J$17,2,FALSE)</f>
        <v>7</v>
      </c>
      <c r="C1722">
        <f>VLOOKUP(N1722,Sheet9!$M$1:$N$2,2,FALSE)</f>
        <v>1</v>
      </c>
      <c r="D1722">
        <v>16</v>
      </c>
      <c r="E1722" t="s">
        <v>96</v>
      </c>
      <c r="F1722">
        <v>110</v>
      </c>
      <c r="H1722">
        <v>3</v>
      </c>
      <c r="I1722">
        <v>5</v>
      </c>
      <c r="J1722">
        <v>15</v>
      </c>
      <c r="K1722">
        <v>13</v>
      </c>
      <c r="L1722">
        <v>12.8</v>
      </c>
      <c r="M1722" t="s">
        <v>25</v>
      </c>
      <c r="N1722" t="s">
        <v>162</v>
      </c>
    </row>
    <row r="1723" spans="1:14" x14ac:dyDescent="0.3">
      <c r="A1723" t="s">
        <v>25</v>
      </c>
      <c r="B1723">
        <f>VLOOKUP(M1723,Sheet9!$I$1:$J$17,2,FALSE)</f>
        <v>7</v>
      </c>
      <c r="C1723">
        <f>VLOOKUP(N1723,Sheet9!$M$1:$N$2,2,FALSE)</f>
        <v>1</v>
      </c>
      <c r="D1723">
        <v>16</v>
      </c>
      <c r="E1723" t="s">
        <v>96</v>
      </c>
      <c r="F1723">
        <v>110</v>
      </c>
      <c r="G1723" t="s">
        <v>139</v>
      </c>
      <c r="H1723">
        <v>3</v>
      </c>
      <c r="I1723">
        <v>5</v>
      </c>
      <c r="J1723">
        <v>5</v>
      </c>
      <c r="K1723">
        <v>1.4</v>
      </c>
      <c r="L1723">
        <v>1.4</v>
      </c>
      <c r="M1723" t="s">
        <v>25</v>
      </c>
      <c r="N1723" t="s">
        <v>162</v>
      </c>
    </row>
    <row r="1724" spans="1:14" x14ac:dyDescent="0.3">
      <c r="A1724" t="s">
        <v>25</v>
      </c>
      <c r="B1724">
        <f>VLOOKUP(M1724,Sheet9!$I$1:$J$17,2,FALSE)</f>
        <v>7</v>
      </c>
      <c r="C1724">
        <f>VLOOKUP(N1724,Sheet9!$M$1:$N$2,2,FALSE)</f>
        <v>1</v>
      </c>
      <c r="D1724">
        <v>16</v>
      </c>
      <c r="E1724" t="s">
        <v>95</v>
      </c>
      <c r="F1724">
        <v>110</v>
      </c>
      <c r="H1724">
        <v>64</v>
      </c>
      <c r="I1724">
        <v>0.6</v>
      </c>
      <c r="J1724">
        <v>38.4</v>
      </c>
      <c r="K1724">
        <v>14.6</v>
      </c>
      <c r="L1724">
        <v>15.1</v>
      </c>
      <c r="M1724" t="s">
        <v>25</v>
      </c>
      <c r="N1724" t="s">
        <v>162</v>
      </c>
    </row>
    <row r="1725" spans="1:14" x14ac:dyDescent="0.3">
      <c r="A1725" t="s">
        <v>25</v>
      </c>
      <c r="B1725">
        <f>VLOOKUP(M1725,Sheet9!$I$1:$J$17,2,FALSE)</f>
        <v>7</v>
      </c>
      <c r="C1725">
        <f>VLOOKUP(N1725,Sheet9!$M$1:$N$2,2,FALSE)</f>
        <v>1</v>
      </c>
      <c r="D1725">
        <v>16</v>
      </c>
      <c r="E1725" t="s">
        <v>95</v>
      </c>
      <c r="F1725">
        <v>110</v>
      </c>
      <c r="G1725" t="s">
        <v>139</v>
      </c>
      <c r="H1725">
        <v>64</v>
      </c>
      <c r="I1725">
        <v>0.6</v>
      </c>
      <c r="J1725">
        <v>38.4</v>
      </c>
      <c r="K1725">
        <v>1.6</v>
      </c>
      <c r="L1725">
        <v>1.6</v>
      </c>
      <c r="M1725" t="s">
        <v>25</v>
      </c>
      <c r="N1725" t="s">
        <v>162</v>
      </c>
    </row>
    <row r="1726" spans="1:14" x14ac:dyDescent="0.3">
      <c r="A1726" t="s">
        <v>25</v>
      </c>
      <c r="B1726">
        <f>VLOOKUP(M1726,Sheet9!$I$1:$J$17,2,FALSE)</f>
        <v>7</v>
      </c>
      <c r="C1726">
        <f>VLOOKUP(N1726,Sheet9!$M$1:$N$2,2,FALSE)</f>
        <v>1</v>
      </c>
      <c r="D1726">
        <v>16</v>
      </c>
      <c r="E1726" t="s">
        <v>96</v>
      </c>
      <c r="F1726">
        <v>110</v>
      </c>
      <c r="H1726">
        <v>64</v>
      </c>
      <c r="I1726">
        <v>0.6</v>
      </c>
      <c r="J1726">
        <v>38.4</v>
      </c>
      <c r="K1726">
        <v>13.5</v>
      </c>
      <c r="L1726">
        <v>13.2</v>
      </c>
      <c r="M1726" t="s">
        <v>25</v>
      </c>
      <c r="N1726" t="s">
        <v>162</v>
      </c>
    </row>
    <row r="1727" spans="1:14" x14ac:dyDescent="0.3">
      <c r="A1727" t="s">
        <v>25</v>
      </c>
      <c r="B1727">
        <f>VLOOKUP(M1727,Sheet9!$I$1:$J$17,2,FALSE)</f>
        <v>7</v>
      </c>
      <c r="C1727">
        <f>VLOOKUP(N1727,Sheet9!$M$1:$N$2,2,FALSE)</f>
        <v>1</v>
      </c>
      <c r="D1727">
        <v>16</v>
      </c>
      <c r="E1727" t="s">
        <v>96</v>
      </c>
      <c r="F1727">
        <v>110</v>
      </c>
      <c r="G1727" t="s">
        <v>139</v>
      </c>
      <c r="H1727">
        <v>64</v>
      </c>
      <c r="I1727">
        <v>0.6</v>
      </c>
      <c r="J1727">
        <v>38.4</v>
      </c>
      <c r="K1727">
        <v>1.5</v>
      </c>
      <c r="L1727">
        <v>1.5</v>
      </c>
      <c r="M1727" t="s">
        <v>25</v>
      </c>
      <c r="N1727" t="s">
        <v>162</v>
      </c>
    </row>
    <row r="1728" spans="1:14" x14ac:dyDescent="0.3">
      <c r="A1728" t="s">
        <v>25</v>
      </c>
      <c r="B1728">
        <f>VLOOKUP(M1728,Sheet9!$I$1:$J$17,2,FALSE)</f>
        <v>7</v>
      </c>
      <c r="C1728">
        <f>VLOOKUP(N1728,Sheet9!$M$1:$N$2,2,FALSE)</f>
        <v>1</v>
      </c>
      <c r="D1728">
        <v>16</v>
      </c>
      <c r="E1728" t="s">
        <v>95</v>
      </c>
      <c r="F1728">
        <v>110</v>
      </c>
      <c r="G1728" t="s">
        <v>141</v>
      </c>
      <c r="H1728">
        <v>64</v>
      </c>
      <c r="I1728">
        <v>0.6</v>
      </c>
      <c r="J1728">
        <v>38.4</v>
      </c>
      <c r="M1728" t="s">
        <v>25</v>
      </c>
      <c r="N1728" t="s">
        <v>162</v>
      </c>
    </row>
    <row r="1729" spans="1:14" x14ac:dyDescent="0.3">
      <c r="A1729" t="s">
        <v>25</v>
      </c>
      <c r="B1729">
        <f>VLOOKUP(M1729,Sheet9!$I$1:$J$17,2,FALSE)</f>
        <v>7</v>
      </c>
      <c r="C1729">
        <f>VLOOKUP(N1729,Sheet9!$M$1:$N$2,2,FALSE)</f>
        <v>1</v>
      </c>
      <c r="D1729">
        <v>16</v>
      </c>
      <c r="E1729" t="s">
        <v>95</v>
      </c>
      <c r="F1729">
        <v>120</v>
      </c>
      <c r="G1729" t="s">
        <v>139</v>
      </c>
      <c r="H1729">
        <v>6</v>
      </c>
      <c r="I1729">
        <v>0.6</v>
      </c>
      <c r="J1729">
        <v>3.6</v>
      </c>
      <c r="M1729" t="s">
        <v>25</v>
      </c>
      <c r="N1729" t="s">
        <v>162</v>
      </c>
    </row>
    <row r="1730" spans="1:14" x14ac:dyDescent="0.3">
      <c r="A1730" t="s">
        <v>25</v>
      </c>
      <c r="B1730">
        <f>VLOOKUP(M1730,Sheet9!$I$1:$J$17,2,FALSE)</f>
        <v>7</v>
      </c>
      <c r="C1730">
        <f>VLOOKUP(N1730,Sheet9!$M$1:$N$2,2,FALSE)</f>
        <v>1</v>
      </c>
      <c r="D1730">
        <v>16</v>
      </c>
      <c r="E1730" t="s">
        <v>96</v>
      </c>
      <c r="F1730">
        <v>120</v>
      </c>
      <c r="G1730" t="s">
        <v>139</v>
      </c>
      <c r="H1730">
        <v>6</v>
      </c>
      <c r="I1730">
        <v>0.6</v>
      </c>
      <c r="J1730">
        <v>3.6</v>
      </c>
      <c r="M1730" t="s">
        <v>25</v>
      </c>
      <c r="N1730" t="s">
        <v>162</v>
      </c>
    </row>
    <row r="1731" spans="1:14" x14ac:dyDescent="0.3">
      <c r="A1731" t="s">
        <v>25</v>
      </c>
      <c r="B1731">
        <f>VLOOKUP(M1731,Sheet9!$I$1:$J$17,2,FALSE)</f>
        <v>7</v>
      </c>
      <c r="C1731">
        <f>VLOOKUP(N1731,Sheet9!$M$1:$N$2,2,FALSE)</f>
        <v>1</v>
      </c>
      <c r="D1731">
        <v>16</v>
      </c>
      <c r="E1731" t="s">
        <v>95</v>
      </c>
      <c r="F1731">
        <v>120</v>
      </c>
      <c r="H1731">
        <v>1</v>
      </c>
      <c r="I1731">
        <v>5</v>
      </c>
      <c r="J1731">
        <v>5</v>
      </c>
      <c r="K1731">
        <v>17.8</v>
      </c>
      <c r="L1731">
        <v>18.2</v>
      </c>
      <c r="M1731" t="s">
        <v>25</v>
      </c>
      <c r="N1731" t="s">
        <v>162</v>
      </c>
    </row>
    <row r="1732" spans="1:14" x14ac:dyDescent="0.3">
      <c r="A1732" t="s">
        <v>25</v>
      </c>
      <c r="B1732">
        <f>VLOOKUP(M1732,Sheet9!$I$1:$J$17,2,FALSE)</f>
        <v>7</v>
      </c>
      <c r="C1732">
        <f>VLOOKUP(N1732,Sheet9!$M$1:$N$2,2,FALSE)</f>
        <v>1</v>
      </c>
      <c r="D1732">
        <v>16</v>
      </c>
      <c r="E1732" t="s">
        <v>96</v>
      </c>
      <c r="F1732">
        <v>120</v>
      </c>
      <c r="H1732">
        <v>1</v>
      </c>
      <c r="I1732">
        <v>5</v>
      </c>
      <c r="J1732">
        <v>5</v>
      </c>
      <c r="K1732">
        <v>16.3</v>
      </c>
      <c r="L1732">
        <v>16</v>
      </c>
      <c r="M1732" t="s">
        <v>25</v>
      </c>
      <c r="N1732" t="s">
        <v>162</v>
      </c>
    </row>
    <row r="1733" spans="1:14" x14ac:dyDescent="0.3">
      <c r="A1733" t="s">
        <v>25</v>
      </c>
      <c r="B1733">
        <f>VLOOKUP(M1733,Sheet9!$I$1:$J$17,2,FALSE)</f>
        <v>7</v>
      </c>
      <c r="C1733">
        <f>VLOOKUP(N1733,Sheet9!$M$1:$N$2,2,FALSE)</f>
        <v>1</v>
      </c>
      <c r="D1733">
        <v>16</v>
      </c>
      <c r="E1733" t="s">
        <v>95</v>
      </c>
      <c r="F1733">
        <v>120</v>
      </c>
      <c r="H1733">
        <v>1</v>
      </c>
      <c r="I1733">
        <v>10</v>
      </c>
      <c r="J1733">
        <v>10</v>
      </c>
      <c r="K1733">
        <v>17.600000000000001</v>
      </c>
      <c r="L1733">
        <v>18</v>
      </c>
      <c r="M1733" t="s">
        <v>25</v>
      </c>
      <c r="N1733" t="s">
        <v>162</v>
      </c>
    </row>
    <row r="1734" spans="1:14" x14ac:dyDescent="0.3">
      <c r="A1734" t="s">
        <v>25</v>
      </c>
      <c r="B1734">
        <f>VLOOKUP(M1734,Sheet9!$I$1:$J$17,2,FALSE)</f>
        <v>7</v>
      </c>
      <c r="C1734">
        <f>VLOOKUP(N1734,Sheet9!$M$1:$N$2,2,FALSE)</f>
        <v>1</v>
      </c>
      <c r="D1734">
        <v>16</v>
      </c>
      <c r="E1734" t="s">
        <v>96</v>
      </c>
      <c r="F1734">
        <v>120</v>
      </c>
      <c r="H1734">
        <v>1</v>
      </c>
      <c r="I1734">
        <v>10</v>
      </c>
      <c r="J1734">
        <v>10</v>
      </c>
      <c r="K1734">
        <v>16.2</v>
      </c>
      <c r="L1734">
        <v>15.6</v>
      </c>
      <c r="M1734" t="s">
        <v>25</v>
      </c>
      <c r="N1734" t="s">
        <v>162</v>
      </c>
    </row>
    <row r="1735" spans="1:14" x14ac:dyDescent="0.3">
      <c r="A1735" t="s">
        <v>25</v>
      </c>
      <c r="B1735">
        <f>VLOOKUP(M1735,Sheet9!$I$1:$J$17,2,FALSE)</f>
        <v>7</v>
      </c>
      <c r="C1735">
        <f>VLOOKUP(N1735,Sheet9!$M$1:$N$2,2,FALSE)</f>
        <v>1</v>
      </c>
      <c r="D1735">
        <v>16</v>
      </c>
      <c r="E1735" t="s">
        <v>95</v>
      </c>
      <c r="F1735">
        <v>120</v>
      </c>
      <c r="H1735">
        <v>3</v>
      </c>
      <c r="I1735">
        <v>5</v>
      </c>
      <c r="J1735">
        <v>15</v>
      </c>
      <c r="K1735">
        <v>17.7</v>
      </c>
      <c r="L1735">
        <v>18.100000000000001</v>
      </c>
      <c r="M1735" t="s">
        <v>25</v>
      </c>
      <c r="N1735" t="s">
        <v>162</v>
      </c>
    </row>
    <row r="1736" spans="1:14" x14ac:dyDescent="0.3">
      <c r="A1736" t="s">
        <v>25</v>
      </c>
      <c r="B1736">
        <f>VLOOKUP(M1736,Sheet9!$I$1:$J$17,2,FALSE)</f>
        <v>7</v>
      </c>
      <c r="C1736">
        <f>VLOOKUP(N1736,Sheet9!$M$1:$N$2,2,FALSE)</f>
        <v>1</v>
      </c>
      <c r="D1736">
        <v>16</v>
      </c>
      <c r="E1736" t="s">
        <v>95</v>
      </c>
      <c r="F1736">
        <v>120</v>
      </c>
      <c r="G1736" t="s">
        <v>139</v>
      </c>
      <c r="H1736">
        <v>3</v>
      </c>
      <c r="I1736">
        <v>5</v>
      </c>
      <c r="J1736">
        <v>15</v>
      </c>
      <c r="K1736">
        <v>2.2999999999999998</v>
      </c>
      <c r="L1736">
        <v>2.2999999999999998</v>
      </c>
      <c r="M1736" t="s">
        <v>25</v>
      </c>
      <c r="N1736" t="s">
        <v>162</v>
      </c>
    </row>
    <row r="1737" spans="1:14" x14ac:dyDescent="0.3">
      <c r="A1737" t="s">
        <v>25</v>
      </c>
      <c r="B1737">
        <f>VLOOKUP(M1737,Sheet9!$I$1:$J$17,2,FALSE)</f>
        <v>7</v>
      </c>
      <c r="C1737">
        <f>VLOOKUP(N1737,Sheet9!$M$1:$N$2,2,FALSE)</f>
        <v>1</v>
      </c>
      <c r="D1737">
        <v>16</v>
      </c>
      <c r="E1737" t="s">
        <v>96</v>
      </c>
      <c r="F1737">
        <v>120</v>
      </c>
      <c r="H1737">
        <v>3</v>
      </c>
      <c r="I1737">
        <v>5</v>
      </c>
      <c r="J1737">
        <v>15</v>
      </c>
      <c r="K1737">
        <v>16.3</v>
      </c>
      <c r="L1737">
        <v>16</v>
      </c>
      <c r="M1737" t="s">
        <v>25</v>
      </c>
      <c r="N1737" t="s">
        <v>162</v>
      </c>
    </row>
    <row r="1738" spans="1:14" x14ac:dyDescent="0.3">
      <c r="A1738" t="s">
        <v>25</v>
      </c>
      <c r="B1738">
        <f>VLOOKUP(M1738,Sheet9!$I$1:$J$17,2,FALSE)</f>
        <v>7</v>
      </c>
      <c r="C1738">
        <f>VLOOKUP(N1738,Sheet9!$M$1:$N$2,2,FALSE)</f>
        <v>1</v>
      </c>
      <c r="D1738">
        <v>16</v>
      </c>
      <c r="E1738" t="s">
        <v>96</v>
      </c>
      <c r="F1738">
        <v>120</v>
      </c>
      <c r="G1738" t="s">
        <v>139</v>
      </c>
      <c r="H1738">
        <v>3</v>
      </c>
      <c r="I1738">
        <v>5</v>
      </c>
      <c r="J1738">
        <v>5</v>
      </c>
      <c r="K1738">
        <v>2.2000000000000002</v>
      </c>
      <c r="L1738">
        <v>2.2000000000000002</v>
      </c>
      <c r="M1738" t="s">
        <v>25</v>
      </c>
      <c r="N1738" t="s">
        <v>162</v>
      </c>
    </row>
    <row r="1739" spans="1:14" x14ac:dyDescent="0.3">
      <c r="A1739" t="s">
        <v>25</v>
      </c>
      <c r="B1739">
        <f>VLOOKUP(M1739,Sheet9!$I$1:$J$17,2,FALSE)</f>
        <v>7</v>
      </c>
      <c r="C1739">
        <f>VLOOKUP(N1739,Sheet9!$M$1:$N$2,2,FALSE)</f>
        <v>1</v>
      </c>
      <c r="D1739">
        <v>16</v>
      </c>
      <c r="E1739" t="s">
        <v>95</v>
      </c>
      <c r="F1739">
        <v>120</v>
      </c>
      <c r="H1739">
        <v>64</v>
      </c>
      <c r="I1739">
        <v>0.6</v>
      </c>
      <c r="J1739">
        <v>38.4</v>
      </c>
      <c r="K1739">
        <v>18.3</v>
      </c>
      <c r="L1739">
        <v>18.8</v>
      </c>
      <c r="M1739" t="s">
        <v>25</v>
      </c>
      <c r="N1739" t="s">
        <v>162</v>
      </c>
    </row>
    <row r="1740" spans="1:14" x14ac:dyDescent="0.3">
      <c r="A1740" t="s">
        <v>25</v>
      </c>
      <c r="B1740">
        <f>VLOOKUP(M1740,Sheet9!$I$1:$J$17,2,FALSE)</f>
        <v>7</v>
      </c>
      <c r="C1740">
        <f>VLOOKUP(N1740,Sheet9!$M$1:$N$2,2,FALSE)</f>
        <v>1</v>
      </c>
      <c r="D1740">
        <v>16</v>
      </c>
      <c r="E1740" t="s">
        <v>95</v>
      </c>
      <c r="F1740">
        <v>120</v>
      </c>
      <c r="G1740" t="s">
        <v>139</v>
      </c>
      <c r="H1740">
        <v>64</v>
      </c>
      <c r="I1740">
        <v>0.6</v>
      </c>
      <c r="J1740">
        <v>38.4</v>
      </c>
      <c r="K1740">
        <v>2.4</v>
      </c>
      <c r="L1740">
        <v>2.4</v>
      </c>
      <c r="M1740" t="s">
        <v>25</v>
      </c>
      <c r="N1740" t="s">
        <v>162</v>
      </c>
    </row>
    <row r="1741" spans="1:14" x14ac:dyDescent="0.3">
      <c r="A1741" t="s">
        <v>25</v>
      </c>
      <c r="B1741">
        <f>VLOOKUP(M1741,Sheet9!$I$1:$J$17,2,FALSE)</f>
        <v>7</v>
      </c>
      <c r="C1741">
        <f>VLOOKUP(N1741,Sheet9!$M$1:$N$2,2,FALSE)</f>
        <v>1</v>
      </c>
      <c r="D1741">
        <v>16</v>
      </c>
      <c r="E1741" t="s">
        <v>96</v>
      </c>
      <c r="F1741">
        <v>120</v>
      </c>
      <c r="H1741">
        <v>64</v>
      </c>
      <c r="I1741">
        <v>0.6</v>
      </c>
      <c r="J1741">
        <v>38.4</v>
      </c>
      <c r="K1741">
        <v>16.899999999999999</v>
      </c>
      <c r="L1741">
        <v>16.5</v>
      </c>
      <c r="M1741" t="s">
        <v>25</v>
      </c>
      <c r="N1741" t="s">
        <v>162</v>
      </c>
    </row>
    <row r="1742" spans="1:14" x14ac:dyDescent="0.3">
      <c r="A1742" t="s">
        <v>25</v>
      </c>
      <c r="B1742">
        <f>VLOOKUP(M1742,Sheet9!$I$1:$J$17,2,FALSE)</f>
        <v>7</v>
      </c>
      <c r="C1742">
        <f>VLOOKUP(N1742,Sheet9!$M$1:$N$2,2,FALSE)</f>
        <v>1</v>
      </c>
      <c r="D1742">
        <v>16</v>
      </c>
      <c r="E1742" t="s">
        <v>96</v>
      </c>
      <c r="F1742">
        <v>120</v>
      </c>
      <c r="G1742" t="s">
        <v>139</v>
      </c>
      <c r="H1742">
        <v>64</v>
      </c>
      <c r="I1742">
        <v>0.6</v>
      </c>
      <c r="J1742">
        <v>38.4</v>
      </c>
      <c r="K1742">
        <v>2.2999999999999998</v>
      </c>
      <c r="L1742">
        <v>2.2000000000000002</v>
      </c>
      <c r="M1742" t="s">
        <v>25</v>
      </c>
      <c r="N1742" t="s">
        <v>162</v>
      </c>
    </row>
    <row r="1743" spans="1:14" x14ac:dyDescent="0.3">
      <c r="A1743" t="s">
        <v>25</v>
      </c>
      <c r="B1743">
        <f>VLOOKUP(M1743,Sheet9!$I$1:$J$17,2,FALSE)</f>
        <v>7</v>
      </c>
      <c r="C1743">
        <f>VLOOKUP(N1743,Sheet9!$M$1:$N$2,2,FALSE)</f>
        <v>1</v>
      </c>
      <c r="D1743">
        <v>16</v>
      </c>
      <c r="E1743" t="s">
        <v>95</v>
      </c>
      <c r="F1743">
        <v>120</v>
      </c>
      <c r="G1743" t="s">
        <v>141</v>
      </c>
      <c r="H1743">
        <v>64</v>
      </c>
      <c r="I1743">
        <v>0.6</v>
      </c>
      <c r="J1743">
        <v>38.4</v>
      </c>
      <c r="K1743">
        <v>5.4</v>
      </c>
      <c r="L1743">
        <v>5.5</v>
      </c>
      <c r="M1743" t="s">
        <v>25</v>
      </c>
      <c r="N1743" t="s">
        <v>162</v>
      </c>
    </row>
    <row r="1744" spans="1:14" x14ac:dyDescent="0.3">
      <c r="A1744" t="s">
        <v>25</v>
      </c>
      <c r="B1744">
        <f>VLOOKUP(M1744,Sheet9!$I$1:$J$17,2,FALSE)</f>
        <v>7</v>
      </c>
      <c r="C1744">
        <f>VLOOKUP(N1744,Sheet9!$M$1:$N$2,2,FALSE)</f>
        <v>1</v>
      </c>
      <c r="D1744">
        <v>16</v>
      </c>
      <c r="E1744" t="s">
        <v>95</v>
      </c>
      <c r="F1744">
        <v>130</v>
      </c>
      <c r="G1744" t="s">
        <v>139</v>
      </c>
      <c r="H1744">
        <v>6</v>
      </c>
      <c r="I1744">
        <v>0.6</v>
      </c>
      <c r="J1744">
        <v>3.6</v>
      </c>
      <c r="M1744" t="s">
        <v>25</v>
      </c>
      <c r="N1744" t="s">
        <v>162</v>
      </c>
    </row>
    <row r="1745" spans="1:14" x14ac:dyDescent="0.3">
      <c r="A1745" t="s">
        <v>25</v>
      </c>
      <c r="B1745">
        <f>VLOOKUP(M1745,Sheet9!$I$1:$J$17,2,FALSE)</f>
        <v>7</v>
      </c>
      <c r="C1745">
        <f>VLOOKUP(N1745,Sheet9!$M$1:$N$2,2,FALSE)</f>
        <v>1</v>
      </c>
      <c r="D1745">
        <v>16</v>
      </c>
      <c r="E1745" t="s">
        <v>96</v>
      </c>
      <c r="F1745">
        <v>130</v>
      </c>
      <c r="G1745" t="s">
        <v>139</v>
      </c>
      <c r="H1745">
        <v>6</v>
      </c>
      <c r="I1745">
        <v>0.6</v>
      </c>
      <c r="J1745">
        <v>3.6</v>
      </c>
      <c r="M1745" t="s">
        <v>25</v>
      </c>
      <c r="N1745" t="s">
        <v>162</v>
      </c>
    </row>
    <row r="1746" spans="1:14" x14ac:dyDescent="0.3">
      <c r="A1746" t="s">
        <v>25</v>
      </c>
      <c r="B1746">
        <f>VLOOKUP(M1746,Sheet9!$I$1:$J$17,2,FALSE)</f>
        <v>7</v>
      </c>
      <c r="C1746">
        <f>VLOOKUP(N1746,Sheet9!$M$1:$N$2,2,FALSE)</f>
        <v>1</v>
      </c>
      <c r="D1746">
        <v>16</v>
      </c>
      <c r="E1746" t="s">
        <v>95</v>
      </c>
      <c r="F1746">
        <v>130</v>
      </c>
      <c r="H1746">
        <v>1</v>
      </c>
      <c r="I1746">
        <v>5</v>
      </c>
      <c r="J1746">
        <v>5</v>
      </c>
      <c r="K1746">
        <v>21.3</v>
      </c>
      <c r="L1746">
        <v>21.9</v>
      </c>
      <c r="M1746" t="s">
        <v>25</v>
      </c>
      <c r="N1746" t="s">
        <v>162</v>
      </c>
    </row>
    <row r="1747" spans="1:14" x14ac:dyDescent="0.3">
      <c r="A1747" t="s">
        <v>25</v>
      </c>
      <c r="B1747">
        <f>VLOOKUP(M1747,Sheet9!$I$1:$J$17,2,FALSE)</f>
        <v>7</v>
      </c>
      <c r="C1747">
        <f>VLOOKUP(N1747,Sheet9!$M$1:$N$2,2,FALSE)</f>
        <v>1</v>
      </c>
      <c r="D1747">
        <v>16</v>
      </c>
      <c r="E1747" t="s">
        <v>96</v>
      </c>
      <c r="F1747">
        <v>130</v>
      </c>
      <c r="H1747">
        <v>1</v>
      </c>
      <c r="I1747">
        <v>5</v>
      </c>
      <c r="J1747">
        <v>5</v>
      </c>
      <c r="K1747">
        <v>19.600000000000001</v>
      </c>
      <c r="L1747">
        <v>19.3</v>
      </c>
      <c r="M1747" t="s">
        <v>25</v>
      </c>
      <c r="N1747" t="s">
        <v>162</v>
      </c>
    </row>
    <row r="1748" spans="1:14" x14ac:dyDescent="0.3">
      <c r="A1748" t="s">
        <v>25</v>
      </c>
      <c r="B1748">
        <f>VLOOKUP(M1748,Sheet9!$I$1:$J$17,2,FALSE)</f>
        <v>7</v>
      </c>
      <c r="C1748">
        <f>VLOOKUP(N1748,Sheet9!$M$1:$N$2,2,FALSE)</f>
        <v>1</v>
      </c>
      <c r="D1748">
        <v>16</v>
      </c>
      <c r="E1748" t="s">
        <v>95</v>
      </c>
      <c r="F1748">
        <v>130</v>
      </c>
      <c r="H1748">
        <v>1</v>
      </c>
      <c r="I1748">
        <v>10</v>
      </c>
      <c r="J1748">
        <v>10</v>
      </c>
      <c r="K1748">
        <v>21</v>
      </c>
      <c r="L1748">
        <v>21.5</v>
      </c>
      <c r="M1748" t="s">
        <v>25</v>
      </c>
      <c r="N1748" t="s">
        <v>162</v>
      </c>
    </row>
    <row r="1749" spans="1:14" x14ac:dyDescent="0.3">
      <c r="A1749" t="s">
        <v>25</v>
      </c>
      <c r="B1749">
        <f>VLOOKUP(M1749,Sheet9!$I$1:$J$17,2,FALSE)</f>
        <v>7</v>
      </c>
      <c r="C1749">
        <f>VLOOKUP(N1749,Sheet9!$M$1:$N$2,2,FALSE)</f>
        <v>1</v>
      </c>
      <c r="D1749">
        <v>16</v>
      </c>
      <c r="E1749" t="s">
        <v>96</v>
      </c>
      <c r="F1749">
        <v>130</v>
      </c>
      <c r="H1749">
        <v>1</v>
      </c>
      <c r="I1749">
        <v>10</v>
      </c>
      <c r="J1749">
        <v>10</v>
      </c>
      <c r="K1749">
        <v>19.5</v>
      </c>
      <c r="L1749">
        <v>19.100000000000001</v>
      </c>
      <c r="M1749" t="s">
        <v>25</v>
      </c>
      <c r="N1749" t="s">
        <v>162</v>
      </c>
    </row>
    <row r="1750" spans="1:14" x14ac:dyDescent="0.3">
      <c r="A1750" t="s">
        <v>25</v>
      </c>
      <c r="B1750">
        <f>VLOOKUP(M1750,Sheet9!$I$1:$J$17,2,FALSE)</f>
        <v>7</v>
      </c>
      <c r="C1750">
        <f>VLOOKUP(N1750,Sheet9!$M$1:$N$2,2,FALSE)</f>
        <v>1</v>
      </c>
      <c r="D1750">
        <v>16</v>
      </c>
      <c r="E1750" t="s">
        <v>95</v>
      </c>
      <c r="F1750">
        <v>130</v>
      </c>
      <c r="H1750">
        <v>3</v>
      </c>
      <c r="I1750">
        <v>5</v>
      </c>
      <c r="J1750">
        <v>15</v>
      </c>
      <c r="K1750">
        <v>21.2</v>
      </c>
      <c r="L1750">
        <v>21.7</v>
      </c>
      <c r="M1750" t="s">
        <v>25</v>
      </c>
      <c r="N1750" t="s">
        <v>162</v>
      </c>
    </row>
    <row r="1751" spans="1:14" x14ac:dyDescent="0.3">
      <c r="A1751" t="s">
        <v>25</v>
      </c>
      <c r="B1751">
        <f>VLOOKUP(M1751,Sheet9!$I$1:$J$17,2,FALSE)</f>
        <v>7</v>
      </c>
      <c r="C1751">
        <f>VLOOKUP(N1751,Sheet9!$M$1:$N$2,2,FALSE)</f>
        <v>1</v>
      </c>
      <c r="D1751">
        <v>16</v>
      </c>
      <c r="E1751" t="s">
        <v>95</v>
      </c>
      <c r="F1751">
        <v>130</v>
      </c>
      <c r="G1751" t="s">
        <v>139</v>
      </c>
      <c r="H1751">
        <v>3</v>
      </c>
      <c r="I1751">
        <v>5</v>
      </c>
      <c r="J1751">
        <v>15</v>
      </c>
      <c r="K1751">
        <v>3.3</v>
      </c>
      <c r="L1751">
        <v>3.4</v>
      </c>
      <c r="M1751" t="s">
        <v>25</v>
      </c>
      <c r="N1751" t="s">
        <v>162</v>
      </c>
    </row>
    <row r="1752" spans="1:14" x14ac:dyDescent="0.3">
      <c r="A1752" t="s">
        <v>25</v>
      </c>
      <c r="B1752">
        <f>VLOOKUP(M1752,Sheet9!$I$1:$J$17,2,FALSE)</f>
        <v>7</v>
      </c>
      <c r="C1752">
        <f>VLOOKUP(N1752,Sheet9!$M$1:$N$2,2,FALSE)</f>
        <v>1</v>
      </c>
      <c r="D1752">
        <v>16</v>
      </c>
      <c r="E1752" t="s">
        <v>96</v>
      </c>
      <c r="F1752">
        <v>130</v>
      </c>
      <c r="H1752">
        <v>3</v>
      </c>
      <c r="I1752">
        <v>5</v>
      </c>
      <c r="J1752">
        <v>15</v>
      </c>
      <c r="K1752">
        <v>19.600000000000001</v>
      </c>
      <c r="L1752">
        <v>19.2</v>
      </c>
      <c r="M1752" t="s">
        <v>25</v>
      </c>
      <c r="N1752" t="s">
        <v>162</v>
      </c>
    </row>
    <row r="1753" spans="1:14" x14ac:dyDescent="0.3">
      <c r="A1753" t="s">
        <v>25</v>
      </c>
      <c r="B1753">
        <f>VLOOKUP(M1753,Sheet9!$I$1:$J$17,2,FALSE)</f>
        <v>7</v>
      </c>
      <c r="C1753">
        <f>VLOOKUP(N1753,Sheet9!$M$1:$N$2,2,FALSE)</f>
        <v>1</v>
      </c>
      <c r="D1753">
        <v>16</v>
      </c>
      <c r="E1753" t="s">
        <v>96</v>
      </c>
      <c r="F1753">
        <v>130</v>
      </c>
      <c r="G1753" t="s">
        <v>139</v>
      </c>
      <c r="H1753">
        <v>3</v>
      </c>
      <c r="I1753">
        <v>5</v>
      </c>
      <c r="J1753">
        <v>5</v>
      </c>
      <c r="K1753">
        <v>3.2</v>
      </c>
      <c r="L1753">
        <v>3.1</v>
      </c>
      <c r="M1753" t="s">
        <v>25</v>
      </c>
      <c r="N1753" t="s">
        <v>162</v>
      </c>
    </row>
    <row r="1754" spans="1:14" x14ac:dyDescent="0.3">
      <c r="A1754" t="s">
        <v>25</v>
      </c>
      <c r="B1754">
        <f>VLOOKUP(M1754,Sheet9!$I$1:$J$17,2,FALSE)</f>
        <v>7</v>
      </c>
      <c r="C1754">
        <f>VLOOKUP(N1754,Sheet9!$M$1:$N$2,2,FALSE)</f>
        <v>1</v>
      </c>
      <c r="D1754">
        <v>16</v>
      </c>
      <c r="E1754" t="s">
        <v>95</v>
      </c>
      <c r="F1754">
        <v>130</v>
      </c>
      <c r="H1754">
        <v>64</v>
      </c>
      <c r="I1754">
        <v>0.6</v>
      </c>
      <c r="J1754">
        <v>38.4</v>
      </c>
      <c r="K1754">
        <v>21.9</v>
      </c>
      <c r="L1754">
        <v>22.4</v>
      </c>
      <c r="M1754" t="s">
        <v>25</v>
      </c>
      <c r="N1754" t="s">
        <v>162</v>
      </c>
    </row>
    <row r="1755" spans="1:14" x14ac:dyDescent="0.3">
      <c r="A1755" t="s">
        <v>25</v>
      </c>
      <c r="B1755">
        <f>VLOOKUP(M1755,Sheet9!$I$1:$J$17,2,FALSE)</f>
        <v>7</v>
      </c>
      <c r="C1755">
        <f>VLOOKUP(N1755,Sheet9!$M$1:$N$2,2,FALSE)</f>
        <v>1</v>
      </c>
      <c r="D1755">
        <v>16</v>
      </c>
      <c r="E1755" t="s">
        <v>95</v>
      </c>
      <c r="F1755">
        <v>130</v>
      </c>
      <c r="G1755" t="s">
        <v>139</v>
      </c>
      <c r="H1755">
        <v>64</v>
      </c>
      <c r="I1755">
        <v>0.6</v>
      </c>
      <c r="J1755">
        <v>38.4</v>
      </c>
      <c r="K1755">
        <v>3.5</v>
      </c>
      <c r="L1755">
        <v>3.5</v>
      </c>
      <c r="M1755" t="s">
        <v>25</v>
      </c>
      <c r="N1755" t="s">
        <v>162</v>
      </c>
    </row>
    <row r="1756" spans="1:14" x14ac:dyDescent="0.3">
      <c r="A1756" t="s">
        <v>25</v>
      </c>
      <c r="B1756">
        <f>VLOOKUP(M1756,Sheet9!$I$1:$J$17,2,FALSE)</f>
        <v>7</v>
      </c>
      <c r="C1756">
        <f>VLOOKUP(N1756,Sheet9!$M$1:$N$2,2,FALSE)</f>
        <v>1</v>
      </c>
      <c r="D1756">
        <v>16</v>
      </c>
      <c r="E1756" t="s">
        <v>96</v>
      </c>
      <c r="F1756">
        <v>130</v>
      </c>
      <c r="H1756">
        <v>64</v>
      </c>
      <c r="I1756">
        <v>0.6</v>
      </c>
      <c r="J1756">
        <v>38.4</v>
      </c>
      <c r="K1756">
        <v>20.2</v>
      </c>
      <c r="L1756">
        <v>19.899999999999999</v>
      </c>
      <c r="M1756" t="s">
        <v>25</v>
      </c>
      <c r="N1756" t="s">
        <v>162</v>
      </c>
    </row>
    <row r="1757" spans="1:14" x14ac:dyDescent="0.3">
      <c r="A1757" t="s">
        <v>25</v>
      </c>
      <c r="B1757">
        <f>VLOOKUP(M1757,Sheet9!$I$1:$J$17,2,FALSE)</f>
        <v>7</v>
      </c>
      <c r="C1757">
        <f>VLOOKUP(N1757,Sheet9!$M$1:$N$2,2,FALSE)</f>
        <v>1</v>
      </c>
      <c r="D1757">
        <v>16</v>
      </c>
      <c r="E1757" t="s">
        <v>96</v>
      </c>
      <c r="F1757">
        <v>130</v>
      </c>
      <c r="G1757" t="s">
        <v>139</v>
      </c>
      <c r="H1757">
        <v>64</v>
      </c>
      <c r="I1757">
        <v>0.6</v>
      </c>
      <c r="J1757">
        <v>38.4</v>
      </c>
      <c r="K1757">
        <v>3.3</v>
      </c>
      <c r="L1757">
        <v>3.2</v>
      </c>
      <c r="M1757" t="s">
        <v>25</v>
      </c>
      <c r="N1757" t="s">
        <v>162</v>
      </c>
    </row>
    <row r="1758" spans="1:14" x14ac:dyDescent="0.3">
      <c r="A1758" t="s">
        <v>25</v>
      </c>
      <c r="B1758">
        <f>VLOOKUP(M1758,Sheet9!$I$1:$J$17,2,FALSE)</f>
        <v>7</v>
      </c>
      <c r="C1758">
        <f>VLOOKUP(N1758,Sheet9!$M$1:$N$2,2,FALSE)</f>
        <v>1</v>
      </c>
      <c r="D1758">
        <v>16</v>
      </c>
      <c r="E1758" t="s">
        <v>95</v>
      </c>
      <c r="F1758">
        <v>130</v>
      </c>
      <c r="G1758" t="s">
        <v>141</v>
      </c>
      <c r="H1758">
        <v>64</v>
      </c>
      <c r="I1758">
        <v>0.6</v>
      </c>
      <c r="J1758">
        <v>38.4</v>
      </c>
      <c r="M1758" t="s">
        <v>25</v>
      </c>
      <c r="N1758" t="s">
        <v>162</v>
      </c>
    </row>
    <row r="1759" spans="1:14" x14ac:dyDescent="0.3">
      <c r="A1759" t="s">
        <v>25</v>
      </c>
      <c r="B1759">
        <f>VLOOKUP(M1759,Sheet9!$I$1:$J$17,2,FALSE)</f>
        <v>7</v>
      </c>
      <c r="C1759">
        <f>VLOOKUP(N1759,Sheet9!$M$1:$N$2,2,FALSE)</f>
        <v>1</v>
      </c>
      <c r="D1759">
        <v>16</v>
      </c>
      <c r="E1759" t="s">
        <v>95</v>
      </c>
      <c r="F1759">
        <v>140</v>
      </c>
      <c r="G1759" t="s">
        <v>139</v>
      </c>
      <c r="H1759">
        <v>6</v>
      </c>
      <c r="I1759">
        <v>0.6</v>
      </c>
      <c r="J1759">
        <v>3.6</v>
      </c>
      <c r="K1759">
        <v>6.4</v>
      </c>
      <c r="L1759">
        <v>6.5</v>
      </c>
      <c r="M1759" t="s">
        <v>25</v>
      </c>
      <c r="N1759" t="s">
        <v>162</v>
      </c>
    </row>
    <row r="1760" spans="1:14" x14ac:dyDescent="0.3">
      <c r="A1760" t="s">
        <v>25</v>
      </c>
      <c r="B1760">
        <f>VLOOKUP(M1760,Sheet9!$I$1:$J$17,2,FALSE)</f>
        <v>7</v>
      </c>
      <c r="C1760">
        <f>VLOOKUP(N1760,Sheet9!$M$1:$N$2,2,FALSE)</f>
        <v>1</v>
      </c>
      <c r="D1760">
        <v>16</v>
      </c>
      <c r="E1760" t="s">
        <v>96</v>
      </c>
      <c r="F1760">
        <v>140</v>
      </c>
      <c r="G1760" t="s">
        <v>139</v>
      </c>
      <c r="H1760">
        <v>6</v>
      </c>
      <c r="I1760">
        <v>0.6</v>
      </c>
      <c r="J1760">
        <v>3.6</v>
      </c>
      <c r="K1760">
        <v>6.1</v>
      </c>
      <c r="L1760">
        <v>6</v>
      </c>
      <c r="M1760" t="s">
        <v>25</v>
      </c>
      <c r="N1760" t="s">
        <v>162</v>
      </c>
    </row>
    <row r="1761" spans="1:14" x14ac:dyDescent="0.3">
      <c r="A1761" t="s">
        <v>25</v>
      </c>
      <c r="B1761">
        <f>VLOOKUP(M1761,Sheet9!$I$1:$J$17,2,FALSE)</f>
        <v>7</v>
      </c>
      <c r="C1761">
        <f>VLOOKUP(N1761,Sheet9!$M$1:$N$2,2,FALSE)</f>
        <v>1</v>
      </c>
      <c r="D1761">
        <v>16</v>
      </c>
      <c r="E1761" t="s">
        <v>95</v>
      </c>
      <c r="F1761">
        <v>140</v>
      </c>
      <c r="H1761">
        <v>1</v>
      </c>
      <c r="I1761">
        <v>5</v>
      </c>
      <c r="J1761">
        <v>5</v>
      </c>
      <c r="K1761">
        <v>25</v>
      </c>
      <c r="L1761">
        <v>25.6</v>
      </c>
      <c r="M1761" t="s">
        <v>25</v>
      </c>
      <c r="N1761" t="s">
        <v>162</v>
      </c>
    </row>
    <row r="1762" spans="1:14" x14ac:dyDescent="0.3">
      <c r="A1762" t="s">
        <v>25</v>
      </c>
      <c r="B1762">
        <f>VLOOKUP(M1762,Sheet9!$I$1:$J$17,2,FALSE)</f>
        <v>7</v>
      </c>
      <c r="C1762">
        <f>VLOOKUP(N1762,Sheet9!$M$1:$N$2,2,FALSE)</f>
        <v>1</v>
      </c>
      <c r="D1762">
        <v>16</v>
      </c>
      <c r="E1762" t="s">
        <v>96</v>
      </c>
      <c r="F1762">
        <v>140</v>
      </c>
      <c r="H1762">
        <v>1</v>
      </c>
      <c r="I1762">
        <v>5</v>
      </c>
      <c r="J1762">
        <v>5</v>
      </c>
      <c r="K1762">
        <v>23.2</v>
      </c>
      <c r="L1762">
        <v>22.8</v>
      </c>
      <c r="M1762" t="s">
        <v>25</v>
      </c>
      <c r="N1762" t="s">
        <v>162</v>
      </c>
    </row>
    <row r="1763" spans="1:14" x14ac:dyDescent="0.3">
      <c r="A1763" t="s">
        <v>25</v>
      </c>
      <c r="B1763">
        <f>VLOOKUP(M1763,Sheet9!$I$1:$J$17,2,FALSE)</f>
        <v>7</v>
      </c>
      <c r="C1763">
        <f>VLOOKUP(N1763,Sheet9!$M$1:$N$2,2,FALSE)</f>
        <v>1</v>
      </c>
      <c r="D1763">
        <v>16</v>
      </c>
      <c r="E1763" t="s">
        <v>95</v>
      </c>
      <c r="F1763">
        <v>140</v>
      </c>
      <c r="H1763">
        <v>1</v>
      </c>
      <c r="I1763">
        <v>10</v>
      </c>
      <c r="J1763">
        <v>10</v>
      </c>
      <c r="K1763">
        <v>24.7</v>
      </c>
      <c r="L1763">
        <v>25.3</v>
      </c>
      <c r="M1763" t="s">
        <v>25</v>
      </c>
      <c r="N1763" t="s">
        <v>162</v>
      </c>
    </row>
    <row r="1764" spans="1:14" x14ac:dyDescent="0.3">
      <c r="A1764" t="s">
        <v>25</v>
      </c>
      <c r="B1764">
        <f>VLOOKUP(M1764,Sheet9!$I$1:$J$17,2,FALSE)</f>
        <v>7</v>
      </c>
      <c r="C1764">
        <f>VLOOKUP(N1764,Sheet9!$M$1:$N$2,2,FALSE)</f>
        <v>1</v>
      </c>
      <c r="D1764">
        <v>16</v>
      </c>
      <c r="E1764" t="s">
        <v>96</v>
      </c>
      <c r="F1764">
        <v>140</v>
      </c>
      <c r="H1764">
        <v>1</v>
      </c>
      <c r="I1764">
        <v>10</v>
      </c>
      <c r="J1764">
        <v>10</v>
      </c>
      <c r="K1764">
        <v>23</v>
      </c>
      <c r="L1764">
        <v>22.5</v>
      </c>
      <c r="M1764" t="s">
        <v>25</v>
      </c>
      <c r="N1764" t="s">
        <v>162</v>
      </c>
    </row>
    <row r="1765" spans="1:14" x14ac:dyDescent="0.3">
      <c r="A1765" t="s">
        <v>25</v>
      </c>
      <c r="B1765">
        <f>VLOOKUP(M1765,Sheet9!$I$1:$J$17,2,FALSE)</f>
        <v>7</v>
      </c>
      <c r="C1765">
        <f>VLOOKUP(N1765,Sheet9!$M$1:$N$2,2,FALSE)</f>
        <v>1</v>
      </c>
      <c r="D1765">
        <v>16</v>
      </c>
      <c r="E1765" t="s">
        <v>95</v>
      </c>
      <c r="F1765">
        <v>140</v>
      </c>
      <c r="H1765">
        <v>3</v>
      </c>
      <c r="I1765">
        <v>5</v>
      </c>
      <c r="J1765">
        <v>15</v>
      </c>
      <c r="K1765">
        <v>24.9</v>
      </c>
      <c r="L1765">
        <v>25.4</v>
      </c>
      <c r="M1765" t="s">
        <v>25</v>
      </c>
      <c r="N1765" t="s">
        <v>162</v>
      </c>
    </row>
    <row r="1766" spans="1:14" x14ac:dyDescent="0.3">
      <c r="A1766" t="s">
        <v>25</v>
      </c>
      <c r="B1766">
        <f>VLOOKUP(M1766,Sheet9!$I$1:$J$17,2,FALSE)</f>
        <v>7</v>
      </c>
      <c r="C1766">
        <f>VLOOKUP(N1766,Sheet9!$M$1:$N$2,2,FALSE)</f>
        <v>1</v>
      </c>
      <c r="D1766">
        <v>16</v>
      </c>
      <c r="E1766" t="s">
        <v>95</v>
      </c>
      <c r="F1766">
        <v>140</v>
      </c>
      <c r="G1766" t="s">
        <v>139</v>
      </c>
      <c r="H1766">
        <v>3</v>
      </c>
      <c r="I1766">
        <v>5</v>
      </c>
      <c r="J1766">
        <v>15</v>
      </c>
      <c r="K1766">
        <v>4.5999999999999996</v>
      </c>
      <c r="L1766">
        <v>4.5999999999999996</v>
      </c>
      <c r="M1766" t="s">
        <v>25</v>
      </c>
      <c r="N1766" t="s">
        <v>162</v>
      </c>
    </row>
    <row r="1767" spans="1:14" x14ac:dyDescent="0.3">
      <c r="A1767" t="s">
        <v>25</v>
      </c>
      <c r="B1767">
        <f>VLOOKUP(M1767,Sheet9!$I$1:$J$17,2,FALSE)</f>
        <v>7</v>
      </c>
      <c r="C1767">
        <f>VLOOKUP(N1767,Sheet9!$M$1:$N$2,2,FALSE)</f>
        <v>1</v>
      </c>
      <c r="D1767">
        <v>16</v>
      </c>
      <c r="E1767" t="s">
        <v>96</v>
      </c>
      <c r="F1767">
        <v>140</v>
      </c>
      <c r="H1767">
        <v>3</v>
      </c>
      <c r="I1767">
        <v>5</v>
      </c>
      <c r="J1767">
        <v>15</v>
      </c>
      <c r="K1767">
        <v>23.2</v>
      </c>
      <c r="L1767">
        <v>22.6</v>
      </c>
      <c r="M1767" t="s">
        <v>25</v>
      </c>
      <c r="N1767" t="s">
        <v>162</v>
      </c>
    </row>
    <row r="1768" spans="1:14" x14ac:dyDescent="0.3">
      <c r="A1768" t="s">
        <v>25</v>
      </c>
      <c r="B1768">
        <f>VLOOKUP(M1768,Sheet9!$I$1:$J$17,2,FALSE)</f>
        <v>7</v>
      </c>
      <c r="C1768">
        <f>VLOOKUP(N1768,Sheet9!$M$1:$N$2,2,FALSE)</f>
        <v>1</v>
      </c>
      <c r="D1768">
        <v>16</v>
      </c>
      <c r="E1768" t="s">
        <v>96</v>
      </c>
      <c r="F1768">
        <v>140</v>
      </c>
      <c r="G1768" t="s">
        <v>139</v>
      </c>
      <c r="H1768">
        <v>3</v>
      </c>
      <c r="I1768">
        <v>5</v>
      </c>
      <c r="J1768">
        <v>5</v>
      </c>
      <c r="K1768">
        <v>4.4000000000000004</v>
      </c>
      <c r="L1768">
        <v>4.3</v>
      </c>
      <c r="M1768" t="s">
        <v>25</v>
      </c>
      <c r="N1768" t="s">
        <v>162</v>
      </c>
    </row>
    <row r="1769" spans="1:14" x14ac:dyDescent="0.3">
      <c r="A1769" t="s">
        <v>25</v>
      </c>
      <c r="B1769">
        <f>VLOOKUP(M1769,Sheet9!$I$1:$J$17,2,FALSE)</f>
        <v>7</v>
      </c>
      <c r="C1769">
        <f>VLOOKUP(N1769,Sheet9!$M$1:$N$2,2,FALSE)</f>
        <v>1</v>
      </c>
      <c r="D1769">
        <v>16</v>
      </c>
      <c r="E1769" t="s">
        <v>95</v>
      </c>
      <c r="F1769">
        <v>140</v>
      </c>
      <c r="H1769">
        <v>64</v>
      </c>
      <c r="I1769">
        <v>0.6</v>
      </c>
      <c r="J1769">
        <v>38.4</v>
      </c>
      <c r="K1769">
        <v>25.8</v>
      </c>
      <c r="L1769">
        <v>26.3</v>
      </c>
      <c r="M1769" t="s">
        <v>25</v>
      </c>
      <c r="N1769" t="s">
        <v>162</v>
      </c>
    </row>
    <row r="1770" spans="1:14" x14ac:dyDescent="0.3">
      <c r="A1770" t="s">
        <v>25</v>
      </c>
      <c r="B1770">
        <f>VLOOKUP(M1770,Sheet9!$I$1:$J$17,2,FALSE)</f>
        <v>7</v>
      </c>
      <c r="C1770">
        <f>VLOOKUP(N1770,Sheet9!$M$1:$N$2,2,FALSE)</f>
        <v>1</v>
      </c>
      <c r="D1770">
        <v>16</v>
      </c>
      <c r="E1770" t="s">
        <v>95</v>
      </c>
      <c r="F1770">
        <v>140</v>
      </c>
      <c r="G1770" t="s">
        <v>139</v>
      </c>
      <c r="H1770">
        <v>64</v>
      </c>
      <c r="I1770">
        <v>0.6</v>
      </c>
      <c r="J1770">
        <v>38.4</v>
      </c>
      <c r="K1770">
        <v>4.7</v>
      </c>
      <c r="L1770">
        <v>4.8</v>
      </c>
      <c r="M1770" t="s">
        <v>25</v>
      </c>
      <c r="N1770" t="s">
        <v>162</v>
      </c>
    </row>
    <row r="1771" spans="1:14" x14ac:dyDescent="0.3">
      <c r="A1771" t="s">
        <v>25</v>
      </c>
      <c r="B1771">
        <f>VLOOKUP(M1771,Sheet9!$I$1:$J$17,2,FALSE)</f>
        <v>7</v>
      </c>
      <c r="C1771">
        <f>VLOOKUP(N1771,Sheet9!$M$1:$N$2,2,FALSE)</f>
        <v>1</v>
      </c>
      <c r="D1771">
        <v>16</v>
      </c>
      <c r="E1771" t="s">
        <v>96</v>
      </c>
      <c r="F1771">
        <v>140</v>
      </c>
      <c r="H1771">
        <v>64</v>
      </c>
      <c r="I1771">
        <v>0.6</v>
      </c>
      <c r="J1771">
        <v>38.4</v>
      </c>
      <c r="K1771">
        <v>23.9</v>
      </c>
      <c r="L1771">
        <v>23.4</v>
      </c>
      <c r="M1771" t="s">
        <v>25</v>
      </c>
      <c r="N1771" t="s">
        <v>162</v>
      </c>
    </row>
    <row r="1772" spans="1:14" x14ac:dyDescent="0.3">
      <c r="A1772" t="s">
        <v>25</v>
      </c>
      <c r="B1772">
        <f>VLOOKUP(M1772,Sheet9!$I$1:$J$17,2,FALSE)</f>
        <v>7</v>
      </c>
      <c r="C1772">
        <f>VLOOKUP(N1772,Sheet9!$M$1:$N$2,2,FALSE)</f>
        <v>1</v>
      </c>
      <c r="D1772">
        <v>16</v>
      </c>
      <c r="E1772" t="s">
        <v>96</v>
      </c>
      <c r="F1772">
        <v>140</v>
      </c>
      <c r="G1772" t="s">
        <v>139</v>
      </c>
      <c r="H1772">
        <v>64</v>
      </c>
      <c r="I1772">
        <v>0.6</v>
      </c>
      <c r="J1772">
        <v>38.4</v>
      </c>
      <c r="K1772">
        <v>4.5</v>
      </c>
      <c r="L1772">
        <v>4.4000000000000004</v>
      </c>
      <c r="M1772" t="s">
        <v>25</v>
      </c>
      <c r="N1772" t="s">
        <v>162</v>
      </c>
    </row>
    <row r="1773" spans="1:14" x14ac:dyDescent="0.3">
      <c r="A1773" t="s">
        <v>25</v>
      </c>
      <c r="B1773">
        <f>VLOOKUP(M1773,Sheet9!$I$1:$J$17,2,FALSE)</f>
        <v>7</v>
      </c>
      <c r="C1773">
        <f>VLOOKUP(N1773,Sheet9!$M$1:$N$2,2,FALSE)</f>
        <v>1</v>
      </c>
      <c r="D1773">
        <v>16</v>
      </c>
      <c r="E1773" t="s">
        <v>95</v>
      </c>
      <c r="F1773">
        <v>140</v>
      </c>
      <c r="G1773" t="s">
        <v>141</v>
      </c>
      <c r="H1773">
        <v>64</v>
      </c>
      <c r="I1773">
        <v>0.6</v>
      </c>
      <c r="J1773">
        <v>38.4</v>
      </c>
      <c r="K1773">
        <v>8.6999999999999993</v>
      </c>
      <c r="L1773">
        <v>8.6999999999999993</v>
      </c>
      <c r="M1773" t="s">
        <v>25</v>
      </c>
      <c r="N1773" t="s">
        <v>162</v>
      </c>
    </row>
    <row r="1774" spans="1:14" x14ac:dyDescent="0.3">
      <c r="A1774" t="s">
        <v>25</v>
      </c>
      <c r="B1774">
        <f>VLOOKUP(M1774,Sheet9!$I$1:$J$17,2,FALSE)</f>
        <v>7</v>
      </c>
      <c r="C1774">
        <f>VLOOKUP(N1774,Sheet9!$M$1:$N$2,2,FALSE)</f>
        <v>1</v>
      </c>
      <c r="D1774">
        <v>32</v>
      </c>
      <c r="E1774" t="s">
        <v>95</v>
      </c>
      <c r="F1774">
        <v>70</v>
      </c>
      <c r="G1774" t="s">
        <v>139</v>
      </c>
      <c r="H1774">
        <v>6</v>
      </c>
      <c r="I1774">
        <v>0.6</v>
      </c>
      <c r="J1774">
        <v>3.6</v>
      </c>
      <c r="M1774" t="s">
        <v>25</v>
      </c>
      <c r="N1774" t="s">
        <v>162</v>
      </c>
    </row>
    <row r="1775" spans="1:14" x14ac:dyDescent="0.3">
      <c r="A1775" t="s">
        <v>25</v>
      </c>
      <c r="B1775">
        <f>VLOOKUP(M1775,Sheet9!$I$1:$J$17,2,FALSE)</f>
        <v>7</v>
      </c>
      <c r="C1775">
        <f>VLOOKUP(N1775,Sheet9!$M$1:$N$2,2,FALSE)</f>
        <v>1</v>
      </c>
      <c r="D1775">
        <v>32</v>
      </c>
      <c r="E1775" t="s">
        <v>96</v>
      </c>
      <c r="F1775">
        <v>70</v>
      </c>
      <c r="G1775" t="s">
        <v>139</v>
      </c>
      <c r="H1775">
        <v>6</v>
      </c>
      <c r="I1775">
        <v>0.6</v>
      </c>
      <c r="J1775">
        <v>3.6</v>
      </c>
      <c r="M1775" t="s">
        <v>25</v>
      </c>
      <c r="N1775" t="s">
        <v>162</v>
      </c>
    </row>
    <row r="1776" spans="1:14" x14ac:dyDescent="0.3">
      <c r="A1776" t="s">
        <v>25</v>
      </c>
      <c r="B1776">
        <f>VLOOKUP(M1776,Sheet9!$I$1:$J$17,2,FALSE)</f>
        <v>7</v>
      </c>
      <c r="C1776">
        <f>VLOOKUP(N1776,Sheet9!$M$1:$N$2,2,FALSE)</f>
        <v>1</v>
      </c>
      <c r="D1776">
        <v>32</v>
      </c>
      <c r="E1776" t="s">
        <v>95</v>
      </c>
      <c r="F1776">
        <v>70</v>
      </c>
      <c r="H1776">
        <v>1</v>
      </c>
      <c r="I1776">
        <v>5</v>
      </c>
      <c r="J1776">
        <v>5</v>
      </c>
      <c r="K1776">
        <v>0.9</v>
      </c>
      <c r="L1776">
        <v>1.7</v>
      </c>
      <c r="M1776" t="s">
        <v>25</v>
      </c>
      <c r="N1776" t="s">
        <v>162</v>
      </c>
    </row>
    <row r="1777" spans="1:14" x14ac:dyDescent="0.3">
      <c r="A1777" t="s">
        <v>25</v>
      </c>
      <c r="B1777">
        <f>VLOOKUP(M1777,Sheet9!$I$1:$J$17,2,FALSE)</f>
        <v>7</v>
      </c>
      <c r="C1777">
        <f>VLOOKUP(N1777,Sheet9!$M$1:$N$2,2,FALSE)</f>
        <v>1</v>
      </c>
      <c r="D1777">
        <v>32</v>
      </c>
      <c r="E1777" t="s">
        <v>96</v>
      </c>
      <c r="F1777">
        <v>70</v>
      </c>
      <c r="H1777">
        <v>1</v>
      </c>
      <c r="I1777">
        <v>5</v>
      </c>
      <c r="J1777">
        <v>5</v>
      </c>
      <c r="K1777">
        <v>0.7</v>
      </c>
      <c r="L1777">
        <v>1.3</v>
      </c>
      <c r="M1777" t="s">
        <v>25</v>
      </c>
      <c r="N1777" t="s">
        <v>162</v>
      </c>
    </row>
    <row r="1778" spans="1:14" x14ac:dyDescent="0.3">
      <c r="A1778" t="s">
        <v>25</v>
      </c>
      <c r="B1778">
        <f>VLOOKUP(M1778,Sheet9!$I$1:$J$17,2,FALSE)</f>
        <v>7</v>
      </c>
      <c r="C1778">
        <f>VLOOKUP(N1778,Sheet9!$M$1:$N$2,2,FALSE)</f>
        <v>1</v>
      </c>
      <c r="D1778">
        <v>32</v>
      </c>
      <c r="E1778" t="s">
        <v>95</v>
      </c>
      <c r="F1778">
        <v>70</v>
      </c>
      <c r="H1778">
        <v>1</v>
      </c>
      <c r="I1778">
        <v>10</v>
      </c>
      <c r="J1778">
        <v>10</v>
      </c>
      <c r="K1778">
        <v>0.8</v>
      </c>
      <c r="L1778">
        <v>1.7</v>
      </c>
      <c r="M1778" t="s">
        <v>25</v>
      </c>
      <c r="N1778" t="s">
        <v>162</v>
      </c>
    </row>
    <row r="1779" spans="1:14" x14ac:dyDescent="0.3">
      <c r="A1779" t="s">
        <v>25</v>
      </c>
      <c r="B1779">
        <f>VLOOKUP(M1779,Sheet9!$I$1:$J$17,2,FALSE)</f>
        <v>7</v>
      </c>
      <c r="C1779">
        <f>VLOOKUP(N1779,Sheet9!$M$1:$N$2,2,FALSE)</f>
        <v>1</v>
      </c>
      <c r="D1779">
        <v>32</v>
      </c>
      <c r="E1779" t="s">
        <v>96</v>
      </c>
      <c r="F1779">
        <v>70</v>
      </c>
      <c r="H1779">
        <v>1</v>
      </c>
      <c r="I1779">
        <v>10</v>
      </c>
      <c r="J1779">
        <v>10</v>
      </c>
      <c r="K1779">
        <v>3.3</v>
      </c>
      <c r="L1779">
        <v>3.3</v>
      </c>
      <c r="M1779" t="s">
        <v>25</v>
      </c>
      <c r="N1779" t="s">
        <v>162</v>
      </c>
    </row>
    <row r="1780" spans="1:14" x14ac:dyDescent="0.3">
      <c r="A1780" t="s">
        <v>25</v>
      </c>
      <c r="B1780">
        <f>VLOOKUP(M1780,Sheet9!$I$1:$J$17,2,FALSE)</f>
        <v>7</v>
      </c>
      <c r="C1780">
        <f>VLOOKUP(N1780,Sheet9!$M$1:$N$2,2,FALSE)</f>
        <v>1</v>
      </c>
      <c r="D1780">
        <v>32</v>
      </c>
      <c r="E1780" t="s">
        <v>95</v>
      </c>
      <c r="F1780">
        <v>70</v>
      </c>
      <c r="H1780">
        <v>3</v>
      </c>
      <c r="I1780">
        <v>5</v>
      </c>
      <c r="J1780">
        <v>15</v>
      </c>
      <c r="K1780">
        <v>0.8</v>
      </c>
      <c r="L1780">
        <v>1.7</v>
      </c>
      <c r="M1780" t="s">
        <v>25</v>
      </c>
      <c r="N1780" t="s">
        <v>162</v>
      </c>
    </row>
    <row r="1781" spans="1:14" x14ac:dyDescent="0.3">
      <c r="A1781" t="s">
        <v>25</v>
      </c>
      <c r="B1781">
        <f>VLOOKUP(M1781,Sheet9!$I$1:$J$17,2,FALSE)</f>
        <v>7</v>
      </c>
      <c r="C1781">
        <f>VLOOKUP(N1781,Sheet9!$M$1:$N$2,2,FALSE)</f>
        <v>1</v>
      </c>
      <c r="D1781">
        <v>32</v>
      </c>
      <c r="E1781" t="s">
        <v>95</v>
      </c>
      <c r="F1781">
        <v>70</v>
      </c>
      <c r="G1781" t="s">
        <v>139</v>
      </c>
      <c r="H1781">
        <v>3</v>
      </c>
      <c r="I1781">
        <v>5</v>
      </c>
      <c r="J1781">
        <v>15</v>
      </c>
      <c r="M1781" t="s">
        <v>25</v>
      </c>
      <c r="N1781" t="s">
        <v>162</v>
      </c>
    </row>
    <row r="1782" spans="1:14" x14ac:dyDescent="0.3">
      <c r="A1782" t="s">
        <v>25</v>
      </c>
      <c r="B1782">
        <f>VLOOKUP(M1782,Sheet9!$I$1:$J$17,2,FALSE)</f>
        <v>7</v>
      </c>
      <c r="C1782">
        <f>VLOOKUP(N1782,Sheet9!$M$1:$N$2,2,FALSE)</f>
        <v>1</v>
      </c>
      <c r="D1782">
        <v>32</v>
      </c>
      <c r="E1782" t="s">
        <v>96</v>
      </c>
      <c r="F1782">
        <v>70</v>
      </c>
      <c r="H1782">
        <v>3</v>
      </c>
      <c r="I1782">
        <v>5</v>
      </c>
      <c r="J1782">
        <v>15</v>
      </c>
      <c r="K1782">
        <v>0.7</v>
      </c>
      <c r="L1782">
        <v>1.3</v>
      </c>
      <c r="M1782" t="s">
        <v>25</v>
      </c>
      <c r="N1782" t="s">
        <v>162</v>
      </c>
    </row>
    <row r="1783" spans="1:14" x14ac:dyDescent="0.3">
      <c r="A1783" t="s">
        <v>25</v>
      </c>
      <c r="B1783">
        <f>VLOOKUP(M1783,Sheet9!$I$1:$J$17,2,FALSE)</f>
        <v>7</v>
      </c>
      <c r="C1783">
        <f>VLOOKUP(N1783,Sheet9!$M$1:$N$2,2,FALSE)</f>
        <v>1</v>
      </c>
      <c r="D1783">
        <v>32</v>
      </c>
      <c r="E1783" t="s">
        <v>96</v>
      </c>
      <c r="F1783">
        <v>70</v>
      </c>
      <c r="G1783" t="s">
        <v>139</v>
      </c>
      <c r="H1783">
        <v>3</v>
      </c>
      <c r="I1783">
        <v>5</v>
      </c>
      <c r="J1783">
        <v>5</v>
      </c>
      <c r="M1783" t="s">
        <v>25</v>
      </c>
      <c r="N1783" t="s">
        <v>162</v>
      </c>
    </row>
    <row r="1784" spans="1:14" x14ac:dyDescent="0.3">
      <c r="A1784" t="s">
        <v>25</v>
      </c>
      <c r="B1784">
        <f>VLOOKUP(M1784,Sheet9!$I$1:$J$17,2,FALSE)</f>
        <v>7</v>
      </c>
      <c r="C1784">
        <f>VLOOKUP(N1784,Sheet9!$M$1:$N$2,2,FALSE)</f>
        <v>1</v>
      </c>
      <c r="D1784">
        <v>32</v>
      </c>
      <c r="E1784" t="s">
        <v>95</v>
      </c>
      <c r="F1784">
        <v>70</v>
      </c>
      <c r="H1784">
        <v>64</v>
      </c>
      <c r="I1784">
        <v>0.6</v>
      </c>
      <c r="J1784">
        <v>38.4</v>
      </c>
      <c r="K1784">
        <v>0.9</v>
      </c>
      <c r="L1784">
        <v>1.7</v>
      </c>
      <c r="M1784" t="s">
        <v>25</v>
      </c>
      <c r="N1784" t="s">
        <v>162</v>
      </c>
    </row>
    <row r="1785" spans="1:14" x14ac:dyDescent="0.3">
      <c r="A1785" t="s">
        <v>25</v>
      </c>
      <c r="B1785">
        <f>VLOOKUP(M1785,Sheet9!$I$1:$J$17,2,FALSE)</f>
        <v>7</v>
      </c>
      <c r="C1785">
        <f>VLOOKUP(N1785,Sheet9!$M$1:$N$2,2,FALSE)</f>
        <v>1</v>
      </c>
      <c r="D1785">
        <v>32</v>
      </c>
      <c r="E1785" t="s">
        <v>95</v>
      </c>
      <c r="F1785">
        <v>70</v>
      </c>
      <c r="G1785" t="s">
        <v>139</v>
      </c>
      <c r="H1785">
        <v>64</v>
      </c>
      <c r="I1785">
        <v>0.6</v>
      </c>
      <c r="J1785">
        <v>38.4</v>
      </c>
      <c r="M1785" t="s">
        <v>25</v>
      </c>
      <c r="N1785" t="s">
        <v>162</v>
      </c>
    </row>
    <row r="1786" spans="1:14" x14ac:dyDescent="0.3">
      <c r="A1786" t="s">
        <v>25</v>
      </c>
      <c r="B1786">
        <f>VLOOKUP(M1786,Sheet9!$I$1:$J$17,2,FALSE)</f>
        <v>7</v>
      </c>
      <c r="C1786">
        <f>VLOOKUP(N1786,Sheet9!$M$1:$N$2,2,FALSE)</f>
        <v>1</v>
      </c>
      <c r="D1786">
        <v>32</v>
      </c>
      <c r="E1786" t="s">
        <v>96</v>
      </c>
      <c r="F1786">
        <v>70</v>
      </c>
      <c r="H1786">
        <v>64</v>
      </c>
      <c r="I1786">
        <v>0.6</v>
      </c>
      <c r="J1786">
        <v>38.4</v>
      </c>
      <c r="K1786">
        <v>0.8</v>
      </c>
      <c r="L1786">
        <v>1.3</v>
      </c>
      <c r="M1786" t="s">
        <v>25</v>
      </c>
      <c r="N1786" t="s">
        <v>162</v>
      </c>
    </row>
    <row r="1787" spans="1:14" x14ac:dyDescent="0.3">
      <c r="A1787" t="s">
        <v>25</v>
      </c>
      <c r="B1787">
        <f>VLOOKUP(M1787,Sheet9!$I$1:$J$17,2,FALSE)</f>
        <v>7</v>
      </c>
      <c r="C1787">
        <f>VLOOKUP(N1787,Sheet9!$M$1:$N$2,2,FALSE)</f>
        <v>1</v>
      </c>
      <c r="D1787">
        <v>32</v>
      </c>
      <c r="E1787" t="s">
        <v>96</v>
      </c>
      <c r="F1787">
        <v>70</v>
      </c>
      <c r="G1787" t="s">
        <v>139</v>
      </c>
      <c r="H1787">
        <v>64</v>
      </c>
      <c r="I1787">
        <v>0.6</v>
      </c>
      <c r="J1787">
        <v>38.4</v>
      </c>
      <c r="M1787" t="s">
        <v>25</v>
      </c>
      <c r="N1787" t="s">
        <v>162</v>
      </c>
    </row>
    <row r="1788" spans="1:14" x14ac:dyDescent="0.3">
      <c r="A1788" t="s">
        <v>25</v>
      </c>
      <c r="B1788">
        <f>VLOOKUP(M1788,Sheet9!$I$1:$J$17,2,FALSE)</f>
        <v>7</v>
      </c>
      <c r="C1788">
        <f>VLOOKUP(N1788,Sheet9!$M$1:$N$2,2,FALSE)</f>
        <v>1</v>
      </c>
      <c r="D1788">
        <v>32</v>
      </c>
      <c r="E1788" t="s">
        <v>95</v>
      </c>
      <c r="F1788">
        <v>70</v>
      </c>
      <c r="G1788" t="s">
        <v>141</v>
      </c>
      <c r="H1788">
        <v>64</v>
      </c>
      <c r="I1788">
        <v>0.6</v>
      </c>
      <c r="J1788">
        <v>38.4</v>
      </c>
      <c r="M1788" t="s">
        <v>25</v>
      </c>
      <c r="N1788" t="s">
        <v>162</v>
      </c>
    </row>
    <row r="1789" spans="1:14" x14ac:dyDescent="0.3">
      <c r="A1789" t="s">
        <v>25</v>
      </c>
      <c r="B1789">
        <f>VLOOKUP(M1789,Sheet9!$I$1:$J$17,2,FALSE)</f>
        <v>7</v>
      </c>
      <c r="C1789">
        <f>VLOOKUP(N1789,Sheet9!$M$1:$N$2,2,FALSE)</f>
        <v>1</v>
      </c>
      <c r="D1789">
        <v>32</v>
      </c>
      <c r="E1789" t="s">
        <v>95</v>
      </c>
      <c r="F1789">
        <v>80</v>
      </c>
      <c r="G1789" t="s">
        <v>139</v>
      </c>
      <c r="H1789">
        <v>6</v>
      </c>
      <c r="I1789">
        <v>0.6</v>
      </c>
      <c r="J1789">
        <v>3.6</v>
      </c>
      <c r="M1789" t="s">
        <v>25</v>
      </c>
      <c r="N1789" t="s">
        <v>162</v>
      </c>
    </row>
    <row r="1790" spans="1:14" x14ac:dyDescent="0.3">
      <c r="A1790" t="s">
        <v>25</v>
      </c>
      <c r="B1790">
        <f>VLOOKUP(M1790,Sheet9!$I$1:$J$17,2,FALSE)</f>
        <v>7</v>
      </c>
      <c r="C1790">
        <f>VLOOKUP(N1790,Sheet9!$M$1:$N$2,2,FALSE)</f>
        <v>1</v>
      </c>
      <c r="D1790">
        <v>32</v>
      </c>
      <c r="E1790" t="s">
        <v>96</v>
      </c>
      <c r="F1790">
        <v>80</v>
      </c>
      <c r="G1790" t="s">
        <v>139</v>
      </c>
      <c r="H1790">
        <v>6</v>
      </c>
      <c r="I1790">
        <v>0.6</v>
      </c>
      <c r="J1790">
        <v>3.6</v>
      </c>
      <c r="M1790" t="s">
        <v>25</v>
      </c>
      <c r="N1790" t="s">
        <v>162</v>
      </c>
    </row>
    <row r="1791" spans="1:14" x14ac:dyDescent="0.3">
      <c r="A1791" t="s">
        <v>25</v>
      </c>
      <c r="B1791">
        <f>VLOOKUP(M1791,Sheet9!$I$1:$J$17,2,FALSE)</f>
        <v>7</v>
      </c>
      <c r="C1791">
        <f>VLOOKUP(N1791,Sheet9!$M$1:$N$2,2,FALSE)</f>
        <v>1</v>
      </c>
      <c r="D1791">
        <v>32</v>
      </c>
      <c r="E1791" t="s">
        <v>95</v>
      </c>
      <c r="F1791">
        <v>80</v>
      </c>
      <c r="H1791">
        <v>1</v>
      </c>
      <c r="I1791">
        <v>5</v>
      </c>
      <c r="J1791">
        <v>5</v>
      </c>
      <c r="K1791">
        <v>1.4</v>
      </c>
      <c r="L1791">
        <v>2.7</v>
      </c>
      <c r="M1791" t="s">
        <v>25</v>
      </c>
      <c r="N1791" t="s">
        <v>162</v>
      </c>
    </row>
    <row r="1792" spans="1:14" x14ac:dyDescent="0.3">
      <c r="A1792" t="s">
        <v>25</v>
      </c>
      <c r="B1792">
        <f>VLOOKUP(M1792,Sheet9!$I$1:$J$17,2,FALSE)</f>
        <v>7</v>
      </c>
      <c r="C1792">
        <f>VLOOKUP(N1792,Sheet9!$M$1:$N$2,2,FALSE)</f>
        <v>1</v>
      </c>
      <c r="D1792">
        <v>32</v>
      </c>
      <c r="E1792" t="s">
        <v>96</v>
      </c>
      <c r="F1792">
        <v>80</v>
      </c>
      <c r="H1792">
        <v>1</v>
      </c>
      <c r="I1792">
        <v>5</v>
      </c>
      <c r="J1792">
        <v>5</v>
      </c>
      <c r="K1792">
        <v>1.2</v>
      </c>
      <c r="L1792">
        <v>2</v>
      </c>
      <c r="M1792" t="s">
        <v>25</v>
      </c>
      <c r="N1792" t="s">
        <v>162</v>
      </c>
    </row>
    <row r="1793" spans="1:14" x14ac:dyDescent="0.3">
      <c r="A1793" t="s">
        <v>25</v>
      </c>
      <c r="B1793">
        <f>VLOOKUP(M1793,Sheet9!$I$1:$J$17,2,FALSE)</f>
        <v>7</v>
      </c>
      <c r="C1793">
        <f>VLOOKUP(N1793,Sheet9!$M$1:$N$2,2,FALSE)</f>
        <v>1</v>
      </c>
      <c r="D1793">
        <v>32</v>
      </c>
      <c r="E1793" t="s">
        <v>95</v>
      </c>
      <c r="F1793">
        <v>80</v>
      </c>
      <c r="H1793">
        <v>1</v>
      </c>
      <c r="I1793">
        <v>10</v>
      </c>
      <c r="J1793">
        <v>10</v>
      </c>
      <c r="K1793">
        <v>1.4</v>
      </c>
      <c r="L1793">
        <v>2.6</v>
      </c>
      <c r="M1793" t="s">
        <v>25</v>
      </c>
      <c r="N1793" t="s">
        <v>162</v>
      </c>
    </row>
    <row r="1794" spans="1:14" x14ac:dyDescent="0.3">
      <c r="A1794" t="s">
        <v>25</v>
      </c>
      <c r="B1794">
        <f>VLOOKUP(M1794,Sheet9!$I$1:$J$17,2,FALSE)</f>
        <v>7</v>
      </c>
      <c r="C1794">
        <f>VLOOKUP(N1794,Sheet9!$M$1:$N$2,2,FALSE)</f>
        <v>1</v>
      </c>
      <c r="D1794">
        <v>32</v>
      </c>
      <c r="E1794" t="s">
        <v>96</v>
      </c>
      <c r="F1794">
        <v>80</v>
      </c>
      <c r="H1794">
        <v>1</v>
      </c>
      <c r="I1794">
        <v>10</v>
      </c>
      <c r="J1794">
        <v>10</v>
      </c>
      <c r="K1794">
        <v>5.0999999999999996</v>
      </c>
      <c r="L1794">
        <v>5.0999999999999996</v>
      </c>
      <c r="M1794" t="s">
        <v>25</v>
      </c>
      <c r="N1794" t="s">
        <v>162</v>
      </c>
    </row>
    <row r="1795" spans="1:14" x14ac:dyDescent="0.3">
      <c r="A1795" t="s">
        <v>25</v>
      </c>
      <c r="B1795">
        <f>VLOOKUP(M1795,Sheet9!$I$1:$J$17,2,FALSE)</f>
        <v>7</v>
      </c>
      <c r="C1795">
        <f>VLOOKUP(N1795,Sheet9!$M$1:$N$2,2,FALSE)</f>
        <v>1</v>
      </c>
      <c r="D1795">
        <v>32</v>
      </c>
      <c r="E1795" t="s">
        <v>95</v>
      </c>
      <c r="F1795">
        <v>80</v>
      </c>
      <c r="H1795">
        <v>3</v>
      </c>
      <c r="I1795">
        <v>5</v>
      </c>
      <c r="J1795">
        <v>15</v>
      </c>
      <c r="K1795">
        <v>1.4</v>
      </c>
      <c r="L1795">
        <v>2.6</v>
      </c>
      <c r="M1795" t="s">
        <v>25</v>
      </c>
      <c r="N1795" t="s">
        <v>162</v>
      </c>
    </row>
    <row r="1796" spans="1:14" x14ac:dyDescent="0.3">
      <c r="A1796" t="s">
        <v>25</v>
      </c>
      <c r="B1796">
        <f>VLOOKUP(M1796,Sheet9!$I$1:$J$17,2,FALSE)</f>
        <v>7</v>
      </c>
      <c r="C1796">
        <f>VLOOKUP(N1796,Sheet9!$M$1:$N$2,2,FALSE)</f>
        <v>1</v>
      </c>
      <c r="D1796">
        <v>32</v>
      </c>
      <c r="E1796" t="s">
        <v>95</v>
      </c>
      <c r="F1796">
        <v>80</v>
      </c>
      <c r="G1796" t="s">
        <v>139</v>
      </c>
      <c r="H1796">
        <v>3</v>
      </c>
      <c r="I1796">
        <v>5</v>
      </c>
      <c r="J1796">
        <v>15</v>
      </c>
      <c r="M1796" t="s">
        <v>25</v>
      </c>
      <c r="N1796" t="s">
        <v>162</v>
      </c>
    </row>
    <row r="1797" spans="1:14" x14ac:dyDescent="0.3">
      <c r="A1797" t="s">
        <v>25</v>
      </c>
      <c r="B1797">
        <f>VLOOKUP(M1797,Sheet9!$I$1:$J$17,2,FALSE)</f>
        <v>7</v>
      </c>
      <c r="C1797">
        <f>VLOOKUP(N1797,Sheet9!$M$1:$N$2,2,FALSE)</f>
        <v>1</v>
      </c>
      <c r="D1797">
        <v>32</v>
      </c>
      <c r="E1797" t="s">
        <v>96</v>
      </c>
      <c r="F1797">
        <v>80</v>
      </c>
      <c r="H1797">
        <v>3</v>
      </c>
      <c r="I1797">
        <v>5</v>
      </c>
      <c r="J1797">
        <v>15</v>
      </c>
      <c r="K1797">
        <v>1.2</v>
      </c>
      <c r="L1797">
        <v>2</v>
      </c>
      <c r="M1797" t="s">
        <v>25</v>
      </c>
      <c r="N1797" t="s">
        <v>162</v>
      </c>
    </row>
    <row r="1798" spans="1:14" x14ac:dyDescent="0.3">
      <c r="A1798" t="s">
        <v>25</v>
      </c>
      <c r="B1798">
        <f>VLOOKUP(M1798,Sheet9!$I$1:$J$17,2,FALSE)</f>
        <v>7</v>
      </c>
      <c r="C1798">
        <f>VLOOKUP(N1798,Sheet9!$M$1:$N$2,2,FALSE)</f>
        <v>1</v>
      </c>
      <c r="D1798">
        <v>32</v>
      </c>
      <c r="E1798" t="s">
        <v>96</v>
      </c>
      <c r="F1798">
        <v>80</v>
      </c>
      <c r="G1798" t="s">
        <v>139</v>
      </c>
      <c r="H1798">
        <v>3</v>
      </c>
      <c r="I1798">
        <v>5</v>
      </c>
      <c r="J1798">
        <v>5</v>
      </c>
      <c r="M1798" t="s">
        <v>25</v>
      </c>
      <c r="N1798" t="s">
        <v>162</v>
      </c>
    </row>
    <row r="1799" spans="1:14" x14ac:dyDescent="0.3">
      <c r="A1799" t="s">
        <v>25</v>
      </c>
      <c r="B1799">
        <f>VLOOKUP(M1799,Sheet9!$I$1:$J$17,2,FALSE)</f>
        <v>7</v>
      </c>
      <c r="C1799">
        <f>VLOOKUP(N1799,Sheet9!$M$1:$N$2,2,FALSE)</f>
        <v>1</v>
      </c>
      <c r="D1799">
        <v>32</v>
      </c>
      <c r="E1799" t="s">
        <v>95</v>
      </c>
      <c r="F1799">
        <v>80</v>
      </c>
      <c r="H1799">
        <v>64</v>
      </c>
      <c r="I1799">
        <v>0.6</v>
      </c>
      <c r="J1799">
        <v>38.4</v>
      </c>
      <c r="K1799">
        <v>1.5</v>
      </c>
      <c r="L1799">
        <v>2.7</v>
      </c>
      <c r="M1799" t="s">
        <v>25</v>
      </c>
      <c r="N1799" t="s">
        <v>162</v>
      </c>
    </row>
    <row r="1800" spans="1:14" x14ac:dyDescent="0.3">
      <c r="A1800" t="s">
        <v>25</v>
      </c>
      <c r="B1800">
        <f>VLOOKUP(M1800,Sheet9!$I$1:$J$17,2,FALSE)</f>
        <v>7</v>
      </c>
      <c r="C1800">
        <f>VLOOKUP(N1800,Sheet9!$M$1:$N$2,2,FALSE)</f>
        <v>1</v>
      </c>
      <c r="D1800">
        <v>32</v>
      </c>
      <c r="E1800" t="s">
        <v>95</v>
      </c>
      <c r="F1800">
        <v>80</v>
      </c>
      <c r="G1800" t="s">
        <v>139</v>
      </c>
      <c r="H1800">
        <v>64</v>
      </c>
      <c r="I1800">
        <v>0.6</v>
      </c>
      <c r="J1800">
        <v>38.4</v>
      </c>
      <c r="M1800" t="s">
        <v>25</v>
      </c>
      <c r="N1800" t="s">
        <v>162</v>
      </c>
    </row>
    <row r="1801" spans="1:14" x14ac:dyDescent="0.3">
      <c r="A1801" t="s">
        <v>25</v>
      </c>
      <c r="B1801">
        <f>VLOOKUP(M1801,Sheet9!$I$1:$J$17,2,FALSE)</f>
        <v>7</v>
      </c>
      <c r="C1801">
        <f>VLOOKUP(N1801,Sheet9!$M$1:$N$2,2,FALSE)</f>
        <v>1</v>
      </c>
      <c r="D1801">
        <v>32</v>
      </c>
      <c r="E1801" t="s">
        <v>96</v>
      </c>
      <c r="F1801">
        <v>80</v>
      </c>
      <c r="H1801">
        <v>64</v>
      </c>
      <c r="I1801">
        <v>0.6</v>
      </c>
      <c r="J1801">
        <v>38.4</v>
      </c>
      <c r="K1801">
        <v>1.3</v>
      </c>
      <c r="L1801">
        <v>2.1</v>
      </c>
      <c r="M1801" t="s">
        <v>25</v>
      </c>
      <c r="N1801" t="s">
        <v>162</v>
      </c>
    </row>
    <row r="1802" spans="1:14" x14ac:dyDescent="0.3">
      <c r="A1802" t="s">
        <v>25</v>
      </c>
      <c r="B1802">
        <f>VLOOKUP(M1802,Sheet9!$I$1:$J$17,2,FALSE)</f>
        <v>7</v>
      </c>
      <c r="C1802">
        <f>VLOOKUP(N1802,Sheet9!$M$1:$N$2,2,FALSE)</f>
        <v>1</v>
      </c>
      <c r="D1802">
        <v>32</v>
      </c>
      <c r="E1802" t="s">
        <v>96</v>
      </c>
      <c r="F1802">
        <v>80</v>
      </c>
      <c r="G1802" t="s">
        <v>139</v>
      </c>
      <c r="H1802">
        <v>64</v>
      </c>
      <c r="I1802">
        <v>0.6</v>
      </c>
      <c r="J1802">
        <v>38.4</v>
      </c>
      <c r="M1802" t="s">
        <v>25</v>
      </c>
      <c r="N1802" t="s">
        <v>162</v>
      </c>
    </row>
    <row r="1803" spans="1:14" x14ac:dyDescent="0.3">
      <c r="A1803" t="s">
        <v>25</v>
      </c>
      <c r="B1803">
        <f>VLOOKUP(M1803,Sheet9!$I$1:$J$17,2,FALSE)</f>
        <v>7</v>
      </c>
      <c r="C1803">
        <f>VLOOKUP(N1803,Sheet9!$M$1:$N$2,2,FALSE)</f>
        <v>1</v>
      </c>
      <c r="D1803">
        <v>32</v>
      </c>
      <c r="E1803" t="s">
        <v>95</v>
      </c>
      <c r="F1803">
        <v>80</v>
      </c>
      <c r="G1803" t="s">
        <v>141</v>
      </c>
      <c r="H1803">
        <v>64</v>
      </c>
      <c r="I1803">
        <v>0.6</v>
      </c>
      <c r="J1803">
        <v>38.4</v>
      </c>
      <c r="M1803" t="s">
        <v>25</v>
      </c>
      <c r="N1803" t="s">
        <v>162</v>
      </c>
    </row>
    <row r="1804" spans="1:14" x14ac:dyDescent="0.3">
      <c r="A1804" t="s">
        <v>25</v>
      </c>
      <c r="B1804">
        <f>VLOOKUP(M1804,Sheet9!$I$1:$J$17,2,FALSE)</f>
        <v>7</v>
      </c>
      <c r="C1804">
        <f>VLOOKUP(N1804,Sheet9!$M$1:$N$2,2,FALSE)</f>
        <v>1</v>
      </c>
      <c r="D1804">
        <v>32</v>
      </c>
      <c r="E1804" t="s">
        <v>95</v>
      </c>
      <c r="F1804">
        <v>90</v>
      </c>
      <c r="G1804" t="s">
        <v>139</v>
      </c>
      <c r="H1804">
        <v>6</v>
      </c>
      <c r="I1804">
        <v>0.6</v>
      </c>
      <c r="J1804">
        <v>3.6</v>
      </c>
      <c r="M1804" t="s">
        <v>25</v>
      </c>
      <c r="N1804" t="s">
        <v>162</v>
      </c>
    </row>
    <row r="1805" spans="1:14" x14ac:dyDescent="0.3">
      <c r="A1805" t="s">
        <v>25</v>
      </c>
      <c r="B1805">
        <f>VLOOKUP(M1805,Sheet9!$I$1:$J$17,2,FALSE)</f>
        <v>7</v>
      </c>
      <c r="C1805">
        <f>VLOOKUP(N1805,Sheet9!$M$1:$N$2,2,FALSE)</f>
        <v>1</v>
      </c>
      <c r="D1805">
        <v>32</v>
      </c>
      <c r="E1805" t="s">
        <v>96</v>
      </c>
      <c r="F1805">
        <v>90</v>
      </c>
      <c r="G1805" t="s">
        <v>139</v>
      </c>
      <c r="H1805">
        <v>6</v>
      </c>
      <c r="I1805">
        <v>0.6</v>
      </c>
      <c r="J1805">
        <v>3.6</v>
      </c>
      <c r="M1805" t="s">
        <v>25</v>
      </c>
      <c r="N1805" t="s">
        <v>162</v>
      </c>
    </row>
    <row r="1806" spans="1:14" x14ac:dyDescent="0.3">
      <c r="A1806" t="s">
        <v>25</v>
      </c>
      <c r="B1806">
        <f>VLOOKUP(M1806,Sheet9!$I$1:$J$17,2,FALSE)</f>
        <v>7</v>
      </c>
      <c r="C1806">
        <f>VLOOKUP(N1806,Sheet9!$M$1:$N$2,2,FALSE)</f>
        <v>1</v>
      </c>
      <c r="D1806">
        <v>32</v>
      </c>
      <c r="E1806" t="s">
        <v>95</v>
      </c>
      <c r="F1806">
        <v>90</v>
      </c>
      <c r="H1806">
        <v>1</v>
      </c>
      <c r="I1806">
        <v>5</v>
      </c>
      <c r="J1806">
        <v>5</v>
      </c>
      <c r="K1806">
        <v>2.2000000000000002</v>
      </c>
      <c r="L1806">
        <v>3.9</v>
      </c>
      <c r="M1806" t="s">
        <v>25</v>
      </c>
      <c r="N1806" t="s">
        <v>162</v>
      </c>
    </row>
    <row r="1807" spans="1:14" x14ac:dyDescent="0.3">
      <c r="A1807" t="s">
        <v>25</v>
      </c>
      <c r="B1807">
        <f>VLOOKUP(M1807,Sheet9!$I$1:$J$17,2,FALSE)</f>
        <v>7</v>
      </c>
      <c r="C1807">
        <f>VLOOKUP(N1807,Sheet9!$M$1:$N$2,2,FALSE)</f>
        <v>1</v>
      </c>
      <c r="D1807">
        <v>32</v>
      </c>
      <c r="E1807" t="s">
        <v>96</v>
      </c>
      <c r="F1807">
        <v>90</v>
      </c>
      <c r="H1807">
        <v>1</v>
      </c>
      <c r="I1807">
        <v>5</v>
      </c>
      <c r="J1807">
        <v>5</v>
      </c>
      <c r="K1807">
        <v>1.9</v>
      </c>
      <c r="L1807">
        <v>3</v>
      </c>
      <c r="M1807" t="s">
        <v>25</v>
      </c>
      <c r="N1807" t="s">
        <v>162</v>
      </c>
    </row>
    <row r="1808" spans="1:14" x14ac:dyDescent="0.3">
      <c r="A1808" t="s">
        <v>25</v>
      </c>
      <c r="B1808">
        <f>VLOOKUP(M1808,Sheet9!$I$1:$J$17,2,FALSE)</f>
        <v>7</v>
      </c>
      <c r="C1808">
        <f>VLOOKUP(N1808,Sheet9!$M$1:$N$2,2,FALSE)</f>
        <v>1</v>
      </c>
      <c r="D1808">
        <v>32</v>
      </c>
      <c r="E1808" t="s">
        <v>95</v>
      </c>
      <c r="F1808">
        <v>90</v>
      </c>
      <c r="H1808">
        <v>1</v>
      </c>
      <c r="I1808">
        <v>10</v>
      </c>
      <c r="J1808">
        <v>10</v>
      </c>
      <c r="K1808">
        <v>2.2000000000000002</v>
      </c>
      <c r="L1808">
        <v>3.8</v>
      </c>
      <c r="M1808" t="s">
        <v>25</v>
      </c>
      <c r="N1808" t="s">
        <v>162</v>
      </c>
    </row>
    <row r="1809" spans="1:14" x14ac:dyDescent="0.3">
      <c r="A1809" t="s">
        <v>25</v>
      </c>
      <c r="B1809">
        <f>VLOOKUP(M1809,Sheet9!$I$1:$J$17,2,FALSE)</f>
        <v>7</v>
      </c>
      <c r="C1809">
        <f>VLOOKUP(N1809,Sheet9!$M$1:$N$2,2,FALSE)</f>
        <v>1</v>
      </c>
      <c r="D1809">
        <v>32</v>
      </c>
      <c r="E1809" t="s">
        <v>96</v>
      </c>
      <c r="F1809">
        <v>90</v>
      </c>
      <c r="H1809">
        <v>1</v>
      </c>
      <c r="I1809">
        <v>10</v>
      </c>
      <c r="J1809">
        <v>10</v>
      </c>
      <c r="K1809">
        <v>7.4</v>
      </c>
      <c r="L1809">
        <v>7.2</v>
      </c>
      <c r="M1809" t="s">
        <v>25</v>
      </c>
      <c r="N1809" t="s">
        <v>162</v>
      </c>
    </row>
    <row r="1810" spans="1:14" x14ac:dyDescent="0.3">
      <c r="A1810" t="s">
        <v>25</v>
      </c>
      <c r="B1810">
        <f>VLOOKUP(M1810,Sheet9!$I$1:$J$17,2,FALSE)</f>
        <v>7</v>
      </c>
      <c r="C1810">
        <f>VLOOKUP(N1810,Sheet9!$M$1:$N$2,2,FALSE)</f>
        <v>1</v>
      </c>
      <c r="D1810">
        <v>32</v>
      </c>
      <c r="E1810" t="s">
        <v>95</v>
      </c>
      <c r="F1810">
        <v>90</v>
      </c>
      <c r="H1810">
        <v>3</v>
      </c>
      <c r="I1810">
        <v>5</v>
      </c>
      <c r="J1810">
        <v>15</v>
      </c>
      <c r="K1810">
        <v>2.2000000000000002</v>
      </c>
      <c r="L1810">
        <v>3.8</v>
      </c>
      <c r="M1810" t="s">
        <v>25</v>
      </c>
      <c r="N1810" t="s">
        <v>162</v>
      </c>
    </row>
    <row r="1811" spans="1:14" x14ac:dyDescent="0.3">
      <c r="A1811" t="s">
        <v>25</v>
      </c>
      <c r="B1811">
        <f>VLOOKUP(M1811,Sheet9!$I$1:$J$17,2,FALSE)</f>
        <v>7</v>
      </c>
      <c r="C1811">
        <f>VLOOKUP(N1811,Sheet9!$M$1:$N$2,2,FALSE)</f>
        <v>1</v>
      </c>
      <c r="D1811">
        <v>32</v>
      </c>
      <c r="E1811" t="s">
        <v>95</v>
      </c>
      <c r="F1811">
        <v>90</v>
      </c>
      <c r="G1811" t="s">
        <v>139</v>
      </c>
      <c r="H1811">
        <v>3</v>
      </c>
      <c r="I1811">
        <v>5</v>
      </c>
      <c r="J1811">
        <v>15</v>
      </c>
      <c r="M1811" t="s">
        <v>25</v>
      </c>
      <c r="N1811" t="s">
        <v>162</v>
      </c>
    </row>
    <row r="1812" spans="1:14" x14ac:dyDescent="0.3">
      <c r="A1812" t="s">
        <v>25</v>
      </c>
      <c r="B1812">
        <f>VLOOKUP(M1812,Sheet9!$I$1:$J$17,2,FALSE)</f>
        <v>7</v>
      </c>
      <c r="C1812">
        <f>VLOOKUP(N1812,Sheet9!$M$1:$N$2,2,FALSE)</f>
        <v>1</v>
      </c>
      <c r="D1812">
        <v>32</v>
      </c>
      <c r="E1812" t="s">
        <v>96</v>
      </c>
      <c r="F1812">
        <v>90</v>
      </c>
      <c r="H1812">
        <v>3</v>
      </c>
      <c r="I1812">
        <v>5</v>
      </c>
      <c r="J1812">
        <v>15</v>
      </c>
      <c r="K1812">
        <v>1.9</v>
      </c>
      <c r="L1812">
        <v>3</v>
      </c>
      <c r="M1812" t="s">
        <v>25</v>
      </c>
      <c r="N1812" t="s">
        <v>162</v>
      </c>
    </row>
    <row r="1813" spans="1:14" x14ac:dyDescent="0.3">
      <c r="A1813" t="s">
        <v>25</v>
      </c>
      <c r="B1813">
        <f>VLOOKUP(M1813,Sheet9!$I$1:$J$17,2,FALSE)</f>
        <v>7</v>
      </c>
      <c r="C1813">
        <f>VLOOKUP(N1813,Sheet9!$M$1:$N$2,2,FALSE)</f>
        <v>1</v>
      </c>
      <c r="D1813">
        <v>32</v>
      </c>
      <c r="E1813" t="s">
        <v>96</v>
      </c>
      <c r="F1813">
        <v>90</v>
      </c>
      <c r="G1813" t="s">
        <v>139</v>
      </c>
      <c r="H1813">
        <v>3</v>
      </c>
      <c r="I1813">
        <v>5</v>
      </c>
      <c r="J1813">
        <v>5</v>
      </c>
      <c r="M1813" t="s">
        <v>25</v>
      </c>
      <c r="N1813" t="s">
        <v>162</v>
      </c>
    </row>
    <row r="1814" spans="1:14" x14ac:dyDescent="0.3">
      <c r="A1814" t="s">
        <v>25</v>
      </c>
      <c r="B1814">
        <f>VLOOKUP(M1814,Sheet9!$I$1:$J$17,2,FALSE)</f>
        <v>7</v>
      </c>
      <c r="C1814">
        <f>VLOOKUP(N1814,Sheet9!$M$1:$N$2,2,FALSE)</f>
        <v>1</v>
      </c>
      <c r="D1814">
        <v>32</v>
      </c>
      <c r="E1814" t="s">
        <v>95</v>
      </c>
      <c r="F1814">
        <v>90</v>
      </c>
      <c r="H1814">
        <v>64</v>
      </c>
      <c r="I1814">
        <v>0.6</v>
      </c>
      <c r="J1814">
        <v>38.4</v>
      </c>
      <c r="K1814">
        <v>2.2999999999999998</v>
      </c>
      <c r="L1814">
        <v>4</v>
      </c>
      <c r="M1814" t="s">
        <v>25</v>
      </c>
      <c r="N1814" t="s">
        <v>162</v>
      </c>
    </row>
    <row r="1815" spans="1:14" x14ac:dyDescent="0.3">
      <c r="A1815" t="s">
        <v>25</v>
      </c>
      <c r="B1815">
        <f>VLOOKUP(M1815,Sheet9!$I$1:$J$17,2,FALSE)</f>
        <v>7</v>
      </c>
      <c r="C1815">
        <f>VLOOKUP(N1815,Sheet9!$M$1:$N$2,2,FALSE)</f>
        <v>1</v>
      </c>
      <c r="D1815">
        <v>32</v>
      </c>
      <c r="E1815" t="s">
        <v>95</v>
      </c>
      <c r="F1815">
        <v>90</v>
      </c>
      <c r="G1815" t="s">
        <v>139</v>
      </c>
      <c r="H1815">
        <v>64</v>
      </c>
      <c r="I1815">
        <v>0.6</v>
      </c>
      <c r="J1815">
        <v>38.4</v>
      </c>
      <c r="M1815" t="s">
        <v>25</v>
      </c>
      <c r="N1815" t="s">
        <v>162</v>
      </c>
    </row>
    <row r="1816" spans="1:14" x14ac:dyDescent="0.3">
      <c r="A1816" t="s">
        <v>25</v>
      </c>
      <c r="B1816">
        <f>VLOOKUP(M1816,Sheet9!$I$1:$J$17,2,FALSE)</f>
        <v>7</v>
      </c>
      <c r="C1816">
        <f>VLOOKUP(N1816,Sheet9!$M$1:$N$2,2,FALSE)</f>
        <v>1</v>
      </c>
      <c r="D1816">
        <v>32</v>
      </c>
      <c r="E1816" t="s">
        <v>96</v>
      </c>
      <c r="F1816">
        <v>90</v>
      </c>
      <c r="H1816">
        <v>64</v>
      </c>
      <c r="I1816">
        <v>0.6</v>
      </c>
      <c r="J1816">
        <v>38.4</v>
      </c>
      <c r="K1816">
        <v>2</v>
      </c>
      <c r="L1816">
        <v>3.1</v>
      </c>
      <c r="M1816" t="s">
        <v>25</v>
      </c>
      <c r="N1816" t="s">
        <v>162</v>
      </c>
    </row>
    <row r="1817" spans="1:14" x14ac:dyDescent="0.3">
      <c r="A1817" t="s">
        <v>25</v>
      </c>
      <c r="B1817">
        <f>VLOOKUP(M1817,Sheet9!$I$1:$J$17,2,FALSE)</f>
        <v>7</v>
      </c>
      <c r="C1817">
        <f>VLOOKUP(N1817,Sheet9!$M$1:$N$2,2,FALSE)</f>
        <v>1</v>
      </c>
      <c r="D1817">
        <v>32</v>
      </c>
      <c r="E1817" t="s">
        <v>96</v>
      </c>
      <c r="F1817">
        <v>90</v>
      </c>
      <c r="G1817" t="s">
        <v>139</v>
      </c>
      <c r="H1817">
        <v>64</v>
      </c>
      <c r="I1817">
        <v>0.6</v>
      </c>
      <c r="J1817">
        <v>38.4</v>
      </c>
      <c r="M1817" t="s">
        <v>25</v>
      </c>
      <c r="N1817" t="s">
        <v>162</v>
      </c>
    </row>
    <row r="1818" spans="1:14" x14ac:dyDescent="0.3">
      <c r="A1818" t="s">
        <v>25</v>
      </c>
      <c r="B1818">
        <f>VLOOKUP(M1818,Sheet9!$I$1:$J$17,2,FALSE)</f>
        <v>7</v>
      </c>
      <c r="C1818">
        <f>VLOOKUP(N1818,Sheet9!$M$1:$N$2,2,FALSE)</f>
        <v>1</v>
      </c>
      <c r="D1818">
        <v>32</v>
      </c>
      <c r="E1818" t="s">
        <v>95</v>
      </c>
      <c r="F1818">
        <v>90</v>
      </c>
      <c r="G1818" t="s">
        <v>141</v>
      </c>
      <c r="H1818">
        <v>64</v>
      </c>
      <c r="I1818">
        <v>0.6</v>
      </c>
      <c r="J1818">
        <v>38.4</v>
      </c>
      <c r="M1818" t="s">
        <v>25</v>
      </c>
      <c r="N1818" t="s">
        <v>162</v>
      </c>
    </row>
    <row r="1819" spans="1:14" x14ac:dyDescent="0.3">
      <c r="A1819" t="s">
        <v>25</v>
      </c>
      <c r="B1819">
        <f>VLOOKUP(M1819,Sheet9!$I$1:$J$17,2,FALSE)</f>
        <v>7</v>
      </c>
      <c r="C1819">
        <f>VLOOKUP(N1819,Sheet9!$M$1:$N$2,2,FALSE)</f>
        <v>1</v>
      </c>
      <c r="D1819">
        <v>32</v>
      </c>
      <c r="E1819" t="s">
        <v>95</v>
      </c>
      <c r="F1819">
        <v>100</v>
      </c>
      <c r="G1819" t="s">
        <v>139</v>
      </c>
      <c r="H1819">
        <v>6</v>
      </c>
      <c r="I1819">
        <v>0.6</v>
      </c>
      <c r="J1819">
        <v>3.6</v>
      </c>
      <c r="K1819">
        <v>0.5</v>
      </c>
      <c r="L1819">
        <v>0.7</v>
      </c>
      <c r="M1819" t="s">
        <v>25</v>
      </c>
      <c r="N1819" t="s">
        <v>162</v>
      </c>
    </row>
    <row r="1820" spans="1:14" x14ac:dyDescent="0.3">
      <c r="A1820" t="s">
        <v>25</v>
      </c>
      <c r="B1820">
        <f>VLOOKUP(M1820,Sheet9!$I$1:$J$17,2,FALSE)</f>
        <v>7</v>
      </c>
      <c r="C1820">
        <f>VLOOKUP(N1820,Sheet9!$M$1:$N$2,2,FALSE)</f>
        <v>1</v>
      </c>
      <c r="D1820">
        <v>32</v>
      </c>
      <c r="E1820" t="s">
        <v>96</v>
      </c>
      <c r="F1820">
        <v>100</v>
      </c>
      <c r="G1820" t="s">
        <v>139</v>
      </c>
      <c r="H1820">
        <v>6</v>
      </c>
      <c r="I1820">
        <v>0.6</v>
      </c>
      <c r="J1820">
        <v>3.6</v>
      </c>
      <c r="K1820">
        <v>0.4</v>
      </c>
      <c r="L1820">
        <v>0.6</v>
      </c>
      <c r="M1820" t="s">
        <v>25</v>
      </c>
      <c r="N1820" t="s">
        <v>162</v>
      </c>
    </row>
    <row r="1821" spans="1:14" x14ac:dyDescent="0.3">
      <c r="A1821" t="s">
        <v>25</v>
      </c>
      <c r="B1821">
        <f>VLOOKUP(M1821,Sheet9!$I$1:$J$17,2,FALSE)</f>
        <v>7</v>
      </c>
      <c r="C1821">
        <f>VLOOKUP(N1821,Sheet9!$M$1:$N$2,2,FALSE)</f>
        <v>1</v>
      </c>
      <c r="D1821">
        <v>32</v>
      </c>
      <c r="E1821" t="s">
        <v>95</v>
      </c>
      <c r="F1821">
        <v>100</v>
      </c>
      <c r="H1821">
        <v>1</v>
      </c>
      <c r="I1821">
        <v>5</v>
      </c>
      <c r="J1821">
        <v>5</v>
      </c>
      <c r="K1821">
        <v>3.2</v>
      </c>
      <c r="L1821">
        <v>5.4</v>
      </c>
      <c r="M1821" t="s">
        <v>25</v>
      </c>
      <c r="N1821" t="s">
        <v>162</v>
      </c>
    </row>
    <row r="1822" spans="1:14" x14ac:dyDescent="0.3">
      <c r="A1822" t="s">
        <v>25</v>
      </c>
      <c r="B1822">
        <f>VLOOKUP(M1822,Sheet9!$I$1:$J$17,2,FALSE)</f>
        <v>7</v>
      </c>
      <c r="C1822">
        <f>VLOOKUP(N1822,Sheet9!$M$1:$N$2,2,FALSE)</f>
        <v>1</v>
      </c>
      <c r="D1822">
        <v>32</v>
      </c>
      <c r="E1822" t="s">
        <v>96</v>
      </c>
      <c r="F1822">
        <v>100</v>
      </c>
      <c r="H1822">
        <v>1</v>
      </c>
      <c r="I1822">
        <v>5</v>
      </c>
      <c r="J1822">
        <v>5</v>
      </c>
      <c r="K1822">
        <v>2.8</v>
      </c>
      <c r="L1822">
        <v>4.2</v>
      </c>
      <c r="M1822" t="s">
        <v>25</v>
      </c>
      <c r="N1822" t="s">
        <v>162</v>
      </c>
    </row>
    <row r="1823" spans="1:14" x14ac:dyDescent="0.3">
      <c r="A1823" t="s">
        <v>25</v>
      </c>
      <c r="B1823">
        <f>VLOOKUP(M1823,Sheet9!$I$1:$J$17,2,FALSE)</f>
        <v>7</v>
      </c>
      <c r="C1823">
        <f>VLOOKUP(N1823,Sheet9!$M$1:$N$2,2,FALSE)</f>
        <v>1</v>
      </c>
      <c r="D1823">
        <v>32</v>
      </c>
      <c r="E1823" t="s">
        <v>95</v>
      </c>
      <c r="F1823">
        <v>100</v>
      </c>
      <c r="H1823">
        <v>1</v>
      </c>
      <c r="I1823">
        <v>10</v>
      </c>
      <c r="J1823">
        <v>10</v>
      </c>
      <c r="K1823">
        <v>3.1</v>
      </c>
      <c r="L1823">
        <v>5.2</v>
      </c>
      <c r="M1823" t="s">
        <v>25</v>
      </c>
      <c r="N1823" t="s">
        <v>162</v>
      </c>
    </row>
    <row r="1824" spans="1:14" x14ac:dyDescent="0.3">
      <c r="A1824" t="s">
        <v>25</v>
      </c>
      <c r="B1824">
        <f>VLOOKUP(M1824,Sheet9!$I$1:$J$17,2,FALSE)</f>
        <v>7</v>
      </c>
      <c r="C1824">
        <f>VLOOKUP(N1824,Sheet9!$M$1:$N$2,2,FALSE)</f>
        <v>1</v>
      </c>
      <c r="D1824">
        <v>32</v>
      </c>
      <c r="E1824" t="s">
        <v>96</v>
      </c>
      <c r="F1824">
        <v>100</v>
      </c>
      <c r="H1824">
        <v>1</v>
      </c>
      <c r="I1824">
        <v>10</v>
      </c>
      <c r="J1824">
        <v>10</v>
      </c>
      <c r="K1824">
        <v>10.1</v>
      </c>
      <c r="L1824">
        <v>9.8000000000000007</v>
      </c>
      <c r="M1824" t="s">
        <v>25</v>
      </c>
      <c r="N1824" t="s">
        <v>162</v>
      </c>
    </row>
    <row r="1825" spans="1:14" x14ac:dyDescent="0.3">
      <c r="A1825" t="s">
        <v>25</v>
      </c>
      <c r="B1825">
        <f>VLOOKUP(M1825,Sheet9!$I$1:$J$17,2,FALSE)</f>
        <v>7</v>
      </c>
      <c r="C1825">
        <f>VLOOKUP(N1825,Sheet9!$M$1:$N$2,2,FALSE)</f>
        <v>1</v>
      </c>
      <c r="D1825">
        <v>32</v>
      </c>
      <c r="E1825" t="s">
        <v>95</v>
      </c>
      <c r="F1825">
        <v>100</v>
      </c>
      <c r="H1825">
        <v>3</v>
      </c>
      <c r="I1825">
        <v>5</v>
      </c>
      <c r="J1825">
        <v>15</v>
      </c>
      <c r="K1825">
        <v>3.1</v>
      </c>
      <c r="L1825">
        <v>5.3</v>
      </c>
      <c r="M1825" t="s">
        <v>25</v>
      </c>
      <c r="N1825" t="s">
        <v>162</v>
      </c>
    </row>
    <row r="1826" spans="1:14" x14ac:dyDescent="0.3">
      <c r="A1826" t="s">
        <v>25</v>
      </c>
      <c r="B1826">
        <f>VLOOKUP(M1826,Sheet9!$I$1:$J$17,2,FALSE)</f>
        <v>7</v>
      </c>
      <c r="C1826">
        <f>VLOOKUP(N1826,Sheet9!$M$1:$N$2,2,FALSE)</f>
        <v>1</v>
      </c>
      <c r="D1826">
        <v>32</v>
      </c>
      <c r="E1826" t="s">
        <v>95</v>
      </c>
      <c r="F1826">
        <v>100</v>
      </c>
      <c r="G1826" t="s">
        <v>139</v>
      </c>
      <c r="H1826">
        <v>3</v>
      </c>
      <c r="I1826">
        <v>5</v>
      </c>
      <c r="J1826">
        <v>15</v>
      </c>
      <c r="K1826">
        <v>0.3</v>
      </c>
      <c r="L1826">
        <v>0.5</v>
      </c>
      <c r="M1826" t="s">
        <v>25</v>
      </c>
      <c r="N1826" t="s">
        <v>162</v>
      </c>
    </row>
    <row r="1827" spans="1:14" x14ac:dyDescent="0.3">
      <c r="A1827" t="s">
        <v>25</v>
      </c>
      <c r="B1827">
        <f>VLOOKUP(M1827,Sheet9!$I$1:$J$17,2,FALSE)</f>
        <v>7</v>
      </c>
      <c r="C1827">
        <f>VLOOKUP(N1827,Sheet9!$M$1:$N$2,2,FALSE)</f>
        <v>1</v>
      </c>
      <c r="D1827">
        <v>32</v>
      </c>
      <c r="E1827" t="s">
        <v>96</v>
      </c>
      <c r="F1827">
        <v>100</v>
      </c>
      <c r="H1827">
        <v>3</v>
      </c>
      <c r="I1827">
        <v>5</v>
      </c>
      <c r="J1827">
        <v>15</v>
      </c>
      <c r="K1827">
        <v>2.8</v>
      </c>
      <c r="L1827">
        <v>4.0999999999999996</v>
      </c>
      <c r="M1827" t="s">
        <v>25</v>
      </c>
      <c r="N1827" t="s">
        <v>162</v>
      </c>
    </row>
    <row r="1828" spans="1:14" x14ac:dyDescent="0.3">
      <c r="A1828" t="s">
        <v>25</v>
      </c>
      <c r="B1828">
        <f>VLOOKUP(M1828,Sheet9!$I$1:$J$17,2,FALSE)</f>
        <v>7</v>
      </c>
      <c r="C1828">
        <f>VLOOKUP(N1828,Sheet9!$M$1:$N$2,2,FALSE)</f>
        <v>1</v>
      </c>
      <c r="D1828">
        <v>32</v>
      </c>
      <c r="E1828" t="s">
        <v>96</v>
      </c>
      <c r="F1828">
        <v>100</v>
      </c>
      <c r="G1828" t="s">
        <v>139</v>
      </c>
      <c r="H1828">
        <v>3</v>
      </c>
      <c r="I1828">
        <v>5</v>
      </c>
      <c r="J1828">
        <v>5</v>
      </c>
      <c r="K1828">
        <v>0.3</v>
      </c>
      <c r="L1828">
        <v>0.4</v>
      </c>
      <c r="M1828" t="s">
        <v>25</v>
      </c>
      <c r="N1828" t="s">
        <v>162</v>
      </c>
    </row>
    <row r="1829" spans="1:14" x14ac:dyDescent="0.3">
      <c r="A1829" t="s">
        <v>25</v>
      </c>
      <c r="B1829">
        <f>VLOOKUP(M1829,Sheet9!$I$1:$J$17,2,FALSE)</f>
        <v>7</v>
      </c>
      <c r="C1829">
        <f>VLOOKUP(N1829,Sheet9!$M$1:$N$2,2,FALSE)</f>
        <v>1</v>
      </c>
      <c r="D1829">
        <v>32</v>
      </c>
      <c r="E1829" t="s">
        <v>95</v>
      </c>
      <c r="F1829">
        <v>100</v>
      </c>
      <c r="H1829">
        <v>64</v>
      </c>
      <c r="I1829">
        <v>0.6</v>
      </c>
      <c r="J1829">
        <v>38.4</v>
      </c>
      <c r="K1829">
        <v>3.2</v>
      </c>
      <c r="L1829">
        <v>5.4</v>
      </c>
      <c r="M1829" t="s">
        <v>25</v>
      </c>
      <c r="N1829" t="s">
        <v>162</v>
      </c>
    </row>
    <row r="1830" spans="1:14" x14ac:dyDescent="0.3">
      <c r="A1830" t="s">
        <v>25</v>
      </c>
      <c r="B1830">
        <f>VLOOKUP(M1830,Sheet9!$I$1:$J$17,2,FALSE)</f>
        <v>7</v>
      </c>
      <c r="C1830">
        <f>VLOOKUP(N1830,Sheet9!$M$1:$N$2,2,FALSE)</f>
        <v>1</v>
      </c>
      <c r="D1830">
        <v>32</v>
      </c>
      <c r="E1830" t="s">
        <v>95</v>
      </c>
      <c r="F1830">
        <v>100</v>
      </c>
      <c r="G1830" t="s">
        <v>139</v>
      </c>
      <c r="H1830">
        <v>64</v>
      </c>
      <c r="I1830">
        <v>0.6</v>
      </c>
      <c r="J1830">
        <v>38.4</v>
      </c>
      <c r="K1830">
        <v>0.3</v>
      </c>
      <c r="L1830">
        <v>0.5</v>
      </c>
      <c r="M1830" t="s">
        <v>25</v>
      </c>
      <c r="N1830" t="s">
        <v>162</v>
      </c>
    </row>
    <row r="1831" spans="1:14" x14ac:dyDescent="0.3">
      <c r="A1831" t="s">
        <v>25</v>
      </c>
      <c r="B1831">
        <f>VLOOKUP(M1831,Sheet9!$I$1:$J$17,2,FALSE)</f>
        <v>7</v>
      </c>
      <c r="C1831">
        <f>VLOOKUP(N1831,Sheet9!$M$1:$N$2,2,FALSE)</f>
        <v>1</v>
      </c>
      <c r="D1831">
        <v>32</v>
      </c>
      <c r="E1831" t="s">
        <v>96</v>
      </c>
      <c r="F1831">
        <v>100</v>
      </c>
      <c r="H1831">
        <v>64</v>
      </c>
      <c r="I1831">
        <v>0.6</v>
      </c>
      <c r="J1831">
        <v>38.4</v>
      </c>
      <c r="K1831">
        <v>2.9</v>
      </c>
      <c r="L1831">
        <v>4.3</v>
      </c>
      <c r="M1831" t="s">
        <v>25</v>
      </c>
      <c r="N1831" t="s">
        <v>162</v>
      </c>
    </row>
    <row r="1832" spans="1:14" x14ac:dyDescent="0.3">
      <c r="A1832" t="s">
        <v>25</v>
      </c>
      <c r="B1832">
        <f>VLOOKUP(M1832,Sheet9!$I$1:$J$17,2,FALSE)</f>
        <v>7</v>
      </c>
      <c r="C1832">
        <f>VLOOKUP(N1832,Sheet9!$M$1:$N$2,2,FALSE)</f>
        <v>1</v>
      </c>
      <c r="D1832">
        <v>32</v>
      </c>
      <c r="E1832" t="s">
        <v>96</v>
      </c>
      <c r="F1832">
        <v>100</v>
      </c>
      <c r="G1832" t="s">
        <v>139</v>
      </c>
      <c r="H1832">
        <v>64</v>
      </c>
      <c r="I1832">
        <v>0.6</v>
      </c>
      <c r="J1832">
        <v>38.4</v>
      </c>
      <c r="K1832">
        <v>0.3</v>
      </c>
      <c r="L1832">
        <v>0.4</v>
      </c>
      <c r="M1832" t="s">
        <v>25</v>
      </c>
      <c r="N1832" t="s">
        <v>162</v>
      </c>
    </row>
    <row r="1833" spans="1:14" x14ac:dyDescent="0.3">
      <c r="A1833" t="s">
        <v>25</v>
      </c>
      <c r="B1833">
        <f>VLOOKUP(M1833,Sheet9!$I$1:$J$17,2,FALSE)</f>
        <v>7</v>
      </c>
      <c r="C1833">
        <f>VLOOKUP(N1833,Sheet9!$M$1:$N$2,2,FALSE)</f>
        <v>1</v>
      </c>
      <c r="D1833">
        <v>32</v>
      </c>
      <c r="E1833" t="s">
        <v>95</v>
      </c>
      <c r="F1833">
        <v>100</v>
      </c>
      <c r="G1833" t="s">
        <v>141</v>
      </c>
      <c r="H1833">
        <v>64</v>
      </c>
      <c r="I1833">
        <v>0.6</v>
      </c>
      <c r="J1833">
        <v>38.4</v>
      </c>
      <c r="M1833" t="s">
        <v>25</v>
      </c>
      <c r="N1833" t="s">
        <v>162</v>
      </c>
    </row>
    <row r="1834" spans="1:14" x14ac:dyDescent="0.3">
      <c r="A1834" t="s">
        <v>25</v>
      </c>
      <c r="B1834">
        <f>VLOOKUP(M1834,Sheet9!$I$1:$J$17,2,FALSE)</f>
        <v>7</v>
      </c>
      <c r="C1834">
        <f>VLOOKUP(N1834,Sheet9!$M$1:$N$2,2,FALSE)</f>
        <v>1</v>
      </c>
      <c r="D1834">
        <v>32</v>
      </c>
      <c r="E1834" t="s">
        <v>95</v>
      </c>
      <c r="F1834">
        <v>110</v>
      </c>
      <c r="G1834" t="s">
        <v>139</v>
      </c>
      <c r="H1834">
        <v>6</v>
      </c>
      <c r="I1834">
        <v>0.6</v>
      </c>
      <c r="J1834">
        <v>3.6</v>
      </c>
      <c r="M1834" t="s">
        <v>25</v>
      </c>
      <c r="N1834" t="s">
        <v>162</v>
      </c>
    </row>
    <row r="1835" spans="1:14" x14ac:dyDescent="0.3">
      <c r="A1835" t="s">
        <v>25</v>
      </c>
      <c r="B1835">
        <f>VLOOKUP(M1835,Sheet9!$I$1:$J$17,2,FALSE)</f>
        <v>7</v>
      </c>
      <c r="C1835">
        <f>VLOOKUP(N1835,Sheet9!$M$1:$N$2,2,FALSE)</f>
        <v>1</v>
      </c>
      <c r="D1835">
        <v>32</v>
      </c>
      <c r="E1835" t="s">
        <v>96</v>
      </c>
      <c r="F1835">
        <v>110</v>
      </c>
      <c r="G1835" t="s">
        <v>139</v>
      </c>
      <c r="H1835">
        <v>6</v>
      </c>
      <c r="I1835">
        <v>0.6</v>
      </c>
      <c r="J1835">
        <v>3.6</v>
      </c>
      <c r="M1835" t="s">
        <v>25</v>
      </c>
      <c r="N1835" t="s">
        <v>162</v>
      </c>
    </row>
    <row r="1836" spans="1:14" x14ac:dyDescent="0.3">
      <c r="A1836" t="s">
        <v>25</v>
      </c>
      <c r="B1836">
        <f>VLOOKUP(M1836,Sheet9!$I$1:$J$17,2,FALSE)</f>
        <v>7</v>
      </c>
      <c r="C1836">
        <f>VLOOKUP(N1836,Sheet9!$M$1:$N$2,2,FALSE)</f>
        <v>1</v>
      </c>
      <c r="D1836">
        <v>32</v>
      </c>
      <c r="E1836" t="s">
        <v>95</v>
      </c>
      <c r="F1836">
        <v>110</v>
      </c>
      <c r="H1836">
        <v>1</v>
      </c>
      <c r="I1836">
        <v>5</v>
      </c>
      <c r="J1836">
        <v>5</v>
      </c>
      <c r="K1836">
        <v>4.2</v>
      </c>
      <c r="L1836">
        <v>7</v>
      </c>
      <c r="M1836" t="s">
        <v>25</v>
      </c>
      <c r="N1836" t="s">
        <v>162</v>
      </c>
    </row>
    <row r="1837" spans="1:14" x14ac:dyDescent="0.3">
      <c r="A1837" t="s">
        <v>25</v>
      </c>
      <c r="B1837">
        <f>VLOOKUP(M1837,Sheet9!$I$1:$J$17,2,FALSE)</f>
        <v>7</v>
      </c>
      <c r="C1837">
        <f>VLOOKUP(N1837,Sheet9!$M$1:$N$2,2,FALSE)</f>
        <v>1</v>
      </c>
      <c r="D1837">
        <v>32</v>
      </c>
      <c r="E1837" t="s">
        <v>96</v>
      </c>
      <c r="F1837">
        <v>110</v>
      </c>
      <c r="H1837">
        <v>1</v>
      </c>
      <c r="I1837">
        <v>5</v>
      </c>
      <c r="J1837">
        <v>5</v>
      </c>
      <c r="K1837">
        <v>3.7</v>
      </c>
      <c r="L1837">
        <v>5.5</v>
      </c>
      <c r="M1837" t="s">
        <v>25</v>
      </c>
      <c r="N1837" t="s">
        <v>162</v>
      </c>
    </row>
    <row r="1838" spans="1:14" x14ac:dyDescent="0.3">
      <c r="A1838" t="s">
        <v>25</v>
      </c>
      <c r="B1838">
        <f>VLOOKUP(M1838,Sheet9!$I$1:$J$17,2,FALSE)</f>
        <v>7</v>
      </c>
      <c r="C1838">
        <f>VLOOKUP(N1838,Sheet9!$M$1:$N$2,2,FALSE)</f>
        <v>1</v>
      </c>
      <c r="D1838">
        <v>32</v>
      </c>
      <c r="E1838" t="s">
        <v>95</v>
      </c>
      <c r="F1838">
        <v>110</v>
      </c>
      <c r="H1838">
        <v>1</v>
      </c>
      <c r="I1838">
        <v>10</v>
      </c>
      <c r="J1838">
        <v>10</v>
      </c>
      <c r="K1838">
        <v>4.2</v>
      </c>
      <c r="L1838">
        <v>6.9</v>
      </c>
      <c r="M1838" t="s">
        <v>25</v>
      </c>
      <c r="N1838" t="s">
        <v>162</v>
      </c>
    </row>
    <row r="1839" spans="1:14" x14ac:dyDescent="0.3">
      <c r="A1839" t="s">
        <v>25</v>
      </c>
      <c r="B1839">
        <f>VLOOKUP(M1839,Sheet9!$I$1:$J$17,2,FALSE)</f>
        <v>7</v>
      </c>
      <c r="C1839">
        <f>VLOOKUP(N1839,Sheet9!$M$1:$N$2,2,FALSE)</f>
        <v>1</v>
      </c>
      <c r="D1839">
        <v>32</v>
      </c>
      <c r="E1839" t="s">
        <v>96</v>
      </c>
      <c r="F1839">
        <v>110</v>
      </c>
      <c r="H1839">
        <v>1</v>
      </c>
      <c r="I1839">
        <v>10</v>
      </c>
      <c r="J1839">
        <v>10</v>
      </c>
      <c r="K1839">
        <v>13</v>
      </c>
      <c r="L1839">
        <v>12.7</v>
      </c>
      <c r="M1839" t="s">
        <v>25</v>
      </c>
      <c r="N1839" t="s">
        <v>162</v>
      </c>
    </row>
    <row r="1840" spans="1:14" x14ac:dyDescent="0.3">
      <c r="A1840" t="s">
        <v>25</v>
      </c>
      <c r="B1840">
        <f>VLOOKUP(M1840,Sheet9!$I$1:$J$17,2,FALSE)</f>
        <v>7</v>
      </c>
      <c r="C1840">
        <f>VLOOKUP(N1840,Sheet9!$M$1:$N$2,2,FALSE)</f>
        <v>1</v>
      </c>
      <c r="D1840">
        <v>32</v>
      </c>
      <c r="E1840" t="s">
        <v>95</v>
      </c>
      <c r="F1840">
        <v>110</v>
      </c>
      <c r="H1840">
        <v>3</v>
      </c>
      <c r="I1840">
        <v>5</v>
      </c>
      <c r="J1840">
        <v>15</v>
      </c>
      <c r="K1840">
        <v>4.2</v>
      </c>
      <c r="L1840">
        <v>6.9</v>
      </c>
      <c r="M1840" t="s">
        <v>25</v>
      </c>
      <c r="N1840" t="s">
        <v>162</v>
      </c>
    </row>
    <row r="1841" spans="1:14" x14ac:dyDescent="0.3">
      <c r="A1841" t="s">
        <v>25</v>
      </c>
      <c r="B1841">
        <f>VLOOKUP(M1841,Sheet9!$I$1:$J$17,2,FALSE)</f>
        <v>7</v>
      </c>
      <c r="C1841">
        <f>VLOOKUP(N1841,Sheet9!$M$1:$N$2,2,FALSE)</f>
        <v>1</v>
      </c>
      <c r="D1841">
        <v>32</v>
      </c>
      <c r="E1841" t="s">
        <v>95</v>
      </c>
      <c r="F1841">
        <v>110</v>
      </c>
      <c r="G1841" t="s">
        <v>139</v>
      </c>
      <c r="H1841">
        <v>3</v>
      </c>
      <c r="I1841">
        <v>5</v>
      </c>
      <c r="J1841">
        <v>15</v>
      </c>
      <c r="K1841">
        <v>0.6</v>
      </c>
      <c r="L1841">
        <v>0.8</v>
      </c>
      <c r="M1841" t="s">
        <v>25</v>
      </c>
      <c r="N1841" t="s">
        <v>162</v>
      </c>
    </row>
    <row r="1842" spans="1:14" x14ac:dyDescent="0.3">
      <c r="A1842" t="s">
        <v>25</v>
      </c>
      <c r="B1842">
        <f>VLOOKUP(M1842,Sheet9!$I$1:$J$17,2,FALSE)</f>
        <v>7</v>
      </c>
      <c r="C1842">
        <f>VLOOKUP(N1842,Sheet9!$M$1:$N$2,2,FALSE)</f>
        <v>1</v>
      </c>
      <c r="D1842">
        <v>32</v>
      </c>
      <c r="E1842" t="s">
        <v>96</v>
      </c>
      <c r="F1842">
        <v>110</v>
      </c>
      <c r="H1842">
        <v>3</v>
      </c>
      <c r="I1842">
        <v>5</v>
      </c>
      <c r="J1842">
        <v>15</v>
      </c>
      <c r="K1842">
        <v>3.7</v>
      </c>
      <c r="L1842">
        <v>5.4</v>
      </c>
      <c r="M1842" t="s">
        <v>25</v>
      </c>
      <c r="N1842" t="s">
        <v>162</v>
      </c>
    </row>
    <row r="1843" spans="1:14" x14ac:dyDescent="0.3">
      <c r="A1843" t="s">
        <v>25</v>
      </c>
      <c r="B1843">
        <f>VLOOKUP(M1843,Sheet9!$I$1:$J$17,2,FALSE)</f>
        <v>7</v>
      </c>
      <c r="C1843">
        <f>VLOOKUP(N1843,Sheet9!$M$1:$N$2,2,FALSE)</f>
        <v>1</v>
      </c>
      <c r="D1843">
        <v>32</v>
      </c>
      <c r="E1843" t="s">
        <v>96</v>
      </c>
      <c r="F1843">
        <v>110</v>
      </c>
      <c r="G1843" t="s">
        <v>139</v>
      </c>
      <c r="H1843">
        <v>3</v>
      </c>
      <c r="I1843">
        <v>5</v>
      </c>
      <c r="J1843">
        <v>5</v>
      </c>
      <c r="K1843">
        <v>0.5</v>
      </c>
      <c r="L1843">
        <v>0.7</v>
      </c>
      <c r="M1843" t="s">
        <v>25</v>
      </c>
      <c r="N1843" t="s">
        <v>162</v>
      </c>
    </row>
    <row r="1844" spans="1:14" x14ac:dyDescent="0.3">
      <c r="A1844" t="s">
        <v>25</v>
      </c>
      <c r="B1844">
        <f>VLOOKUP(M1844,Sheet9!$I$1:$J$17,2,FALSE)</f>
        <v>7</v>
      </c>
      <c r="C1844">
        <f>VLOOKUP(N1844,Sheet9!$M$1:$N$2,2,FALSE)</f>
        <v>1</v>
      </c>
      <c r="D1844">
        <v>32</v>
      </c>
      <c r="E1844" t="s">
        <v>95</v>
      </c>
      <c r="F1844">
        <v>110</v>
      </c>
      <c r="H1844">
        <v>64</v>
      </c>
      <c r="I1844">
        <v>0.6</v>
      </c>
      <c r="J1844">
        <v>38.4</v>
      </c>
      <c r="K1844">
        <v>4.3</v>
      </c>
      <c r="L1844">
        <v>7.1</v>
      </c>
      <c r="M1844" t="s">
        <v>25</v>
      </c>
      <c r="N1844" t="s">
        <v>162</v>
      </c>
    </row>
    <row r="1845" spans="1:14" x14ac:dyDescent="0.3">
      <c r="A1845" t="s">
        <v>25</v>
      </c>
      <c r="B1845">
        <f>VLOOKUP(M1845,Sheet9!$I$1:$J$17,2,FALSE)</f>
        <v>7</v>
      </c>
      <c r="C1845">
        <f>VLOOKUP(N1845,Sheet9!$M$1:$N$2,2,FALSE)</f>
        <v>1</v>
      </c>
      <c r="D1845">
        <v>32</v>
      </c>
      <c r="E1845" t="s">
        <v>95</v>
      </c>
      <c r="F1845">
        <v>110</v>
      </c>
      <c r="G1845" t="s">
        <v>139</v>
      </c>
      <c r="H1845">
        <v>64</v>
      </c>
      <c r="I1845">
        <v>0.6</v>
      </c>
      <c r="J1845">
        <v>38.4</v>
      </c>
      <c r="K1845">
        <v>0.6</v>
      </c>
      <c r="L1845">
        <v>0.9</v>
      </c>
      <c r="M1845" t="s">
        <v>25</v>
      </c>
      <c r="N1845" t="s">
        <v>162</v>
      </c>
    </row>
    <row r="1846" spans="1:14" x14ac:dyDescent="0.3">
      <c r="A1846" t="s">
        <v>25</v>
      </c>
      <c r="B1846">
        <f>VLOOKUP(M1846,Sheet9!$I$1:$J$17,2,FALSE)</f>
        <v>7</v>
      </c>
      <c r="C1846">
        <f>VLOOKUP(N1846,Sheet9!$M$1:$N$2,2,FALSE)</f>
        <v>1</v>
      </c>
      <c r="D1846">
        <v>32</v>
      </c>
      <c r="E1846" t="s">
        <v>96</v>
      </c>
      <c r="F1846">
        <v>110</v>
      </c>
      <c r="H1846">
        <v>64</v>
      </c>
      <c r="I1846">
        <v>0.6</v>
      </c>
      <c r="J1846">
        <v>38.4</v>
      </c>
      <c r="K1846">
        <v>3.8</v>
      </c>
      <c r="L1846">
        <v>5.6</v>
      </c>
      <c r="M1846" t="s">
        <v>25</v>
      </c>
      <c r="N1846" t="s">
        <v>162</v>
      </c>
    </row>
    <row r="1847" spans="1:14" x14ac:dyDescent="0.3">
      <c r="A1847" t="s">
        <v>25</v>
      </c>
      <c r="B1847">
        <f>VLOOKUP(M1847,Sheet9!$I$1:$J$17,2,FALSE)</f>
        <v>7</v>
      </c>
      <c r="C1847">
        <f>VLOOKUP(N1847,Sheet9!$M$1:$N$2,2,FALSE)</f>
        <v>1</v>
      </c>
      <c r="D1847">
        <v>32</v>
      </c>
      <c r="E1847" t="s">
        <v>96</v>
      </c>
      <c r="F1847">
        <v>110</v>
      </c>
      <c r="G1847" t="s">
        <v>139</v>
      </c>
      <c r="H1847">
        <v>64</v>
      </c>
      <c r="I1847">
        <v>0.6</v>
      </c>
      <c r="J1847">
        <v>38.4</v>
      </c>
      <c r="K1847">
        <v>0.5</v>
      </c>
      <c r="L1847">
        <v>0.7</v>
      </c>
      <c r="M1847" t="s">
        <v>25</v>
      </c>
      <c r="N1847" t="s">
        <v>162</v>
      </c>
    </row>
    <row r="1848" spans="1:14" x14ac:dyDescent="0.3">
      <c r="A1848" t="s">
        <v>25</v>
      </c>
      <c r="B1848">
        <f>VLOOKUP(M1848,Sheet9!$I$1:$J$17,2,FALSE)</f>
        <v>7</v>
      </c>
      <c r="C1848">
        <f>VLOOKUP(N1848,Sheet9!$M$1:$N$2,2,FALSE)</f>
        <v>1</v>
      </c>
      <c r="D1848">
        <v>32</v>
      </c>
      <c r="E1848" t="s">
        <v>95</v>
      </c>
      <c r="F1848">
        <v>110</v>
      </c>
      <c r="G1848" t="s">
        <v>141</v>
      </c>
      <c r="H1848">
        <v>64</v>
      </c>
      <c r="I1848">
        <v>0.6</v>
      </c>
      <c r="J1848">
        <v>38.4</v>
      </c>
      <c r="M1848" t="s">
        <v>25</v>
      </c>
      <c r="N1848" t="s">
        <v>162</v>
      </c>
    </row>
    <row r="1849" spans="1:14" x14ac:dyDescent="0.3">
      <c r="A1849" t="s">
        <v>25</v>
      </c>
      <c r="B1849">
        <f>VLOOKUP(M1849,Sheet9!$I$1:$J$17,2,FALSE)</f>
        <v>7</v>
      </c>
      <c r="C1849">
        <f>VLOOKUP(N1849,Sheet9!$M$1:$N$2,2,FALSE)</f>
        <v>1</v>
      </c>
      <c r="D1849">
        <v>32</v>
      </c>
      <c r="E1849" t="s">
        <v>95</v>
      </c>
      <c r="F1849">
        <v>120</v>
      </c>
      <c r="G1849" t="s">
        <v>139</v>
      </c>
      <c r="H1849">
        <v>6</v>
      </c>
      <c r="I1849">
        <v>0.6</v>
      </c>
      <c r="J1849">
        <v>3.6</v>
      </c>
      <c r="M1849" t="s">
        <v>25</v>
      </c>
      <c r="N1849" t="s">
        <v>162</v>
      </c>
    </row>
    <row r="1850" spans="1:14" x14ac:dyDescent="0.3">
      <c r="A1850" t="s">
        <v>25</v>
      </c>
      <c r="B1850">
        <f>VLOOKUP(M1850,Sheet9!$I$1:$J$17,2,FALSE)</f>
        <v>7</v>
      </c>
      <c r="C1850">
        <f>VLOOKUP(N1850,Sheet9!$M$1:$N$2,2,FALSE)</f>
        <v>1</v>
      </c>
      <c r="D1850">
        <v>32</v>
      </c>
      <c r="E1850" t="s">
        <v>96</v>
      </c>
      <c r="F1850">
        <v>120</v>
      </c>
      <c r="G1850" t="s">
        <v>139</v>
      </c>
      <c r="H1850">
        <v>6</v>
      </c>
      <c r="I1850">
        <v>0.6</v>
      </c>
      <c r="J1850">
        <v>3.6</v>
      </c>
      <c r="M1850" t="s">
        <v>25</v>
      </c>
      <c r="N1850" t="s">
        <v>162</v>
      </c>
    </row>
    <row r="1851" spans="1:14" x14ac:dyDescent="0.3">
      <c r="A1851" t="s">
        <v>25</v>
      </c>
      <c r="B1851">
        <f>VLOOKUP(M1851,Sheet9!$I$1:$J$17,2,FALSE)</f>
        <v>7</v>
      </c>
      <c r="C1851">
        <f>VLOOKUP(N1851,Sheet9!$M$1:$N$2,2,FALSE)</f>
        <v>1</v>
      </c>
      <c r="D1851">
        <v>32</v>
      </c>
      <c r="E1851" t="s">
        <v>95</v>
      </c>
      <c r="F1851">
        <v>120</v>
      </c>
      <c r="H1851">
        <v>1</v>
      </c>
      <c r="I1851">
        <v>5</v>
      </c>
      <c r="J1851">
        <v>5</v>
      </c>
      <c r="K1851">
        <v>5.4</v>
      </c>
      <c r="L1851">
        <v>8.9</v>
      </c>
      <c r="M1851" t="s">
        <v>25</v>
      </c>
      <c r="N1851" t="s">
        <v>162</v>
      </c>
    </row>
    <row r="1852" spans="1:14" x14ac:dyDescent="0.3">
      <c r="A1852" t="s">
        <v>25</v>
      </c>
      <c r="B1852">
        <f>VLOOKUP(M1852,Sheet9!$I$1:$J$17,2,FALSE)</f>
        <v>7</v>
      </c>
      <c r="C1852">
        <f>VLOOKUP(N1852,Sheet9!$M$1:$N$2,2,FALSE)</f>
        <v>1</v>
      </c>
      <c r="D1852">
        <v>32</v>
      </c>
      <c r="E1852" t="s">
        <v>96</v>
      </c>
      <c r="F1852">
        <v>120</v>
      </c>
      <c r="H1852">
        <v>1</v>
      </c>
      <c r="I1852">
        <v>5</v>
      </c>
      <c r="J1852">
        <v>5</v>
      </c>
      <c r="K1852">
        <v>4.8</v>
      </c>
      <c r="L1852">
        <v>7</v>
      </c>
      <c r="M1852" t="s">
        <v>25</v>
      </c>
      <c r="N1852" t="s">
        <v>162</v>
      </c>
    </row>
    <row r="1853" spans="1:14" x14ac:dyDescent="0.3">
      <c r="A1853" t="s">
        <v>25</v>
      </c>
      <c r="B1853">
        <f>VLOOKUP(M1853,Sheet9!$I$1:$J$17,2,FALSE)</f>
        <v>7</v>
      </c>
      <c r="C1853">
        <f>VLOOKUP(N1853,Sheet9!$M$1:$N$2,2,FALSE)</f>
        <v>1</v>
      </c>
      <c r="D1853">
        <v>32</v>
      </c>
      <c r="E1853" t="s">
        <v>95</v>
      </c>
      <c r="F1853">
        <v>120</v>
      </c>
      <c r="H1853">
        <v>1</v>
      </c>
      <c r="I1853">
        <v>10</v>
      </c>
      <c r="J1853">
        <v>10</v>
      </c>
      <c r="K1853">
        <v>5.3</v>
      </c>
      <c r="L1853">
        <v>8.6</v>
      </c>
      <c r="M1853" t="s">
        <v>25</v>
      </c>
      <c r="N1853" t="s">
        <v>162</v>
      </c>
    </row>
    <row r="1854" spans="1:14" x14ac:dyDescent="0.3">
      <c r="A1854" t="s">
        <v>25</v>
      </c>
      <c r="B1854">
        <f>VLOOKUP(M1854,Sheet9!$I$1:$J$17,2,FALSE)</f>
        <v>7</v>
      </c>
      <c r="C1854">
        <f>VLOOKUP(N1854,Sheet9!$M$1:$N$2,2,FALSE)</f>
        <v>1</v>
      </c>
      <c r="D1854">
        <v>32</v>
      </c>
      <c r="E1854" t="s">
        <v>96</v>
      </c>
      <c r="F1854">
        <v>120</v>
      </c>
      <c r="H1854">
        <v>1</v>
      </c>
      <c r="I1854">
        <v>10</v>
      </c>
      <c r="J1854">
        <v>10</v>
      </c>
      <c r="K1854">
        <v>16.2</v>
      </c>
      <c r="L1854">
        <v>15.6</v>
      </c>
      <c r="M1854" t="s">
        <v>25</v>
      </c>
      <c r="N1854" t="s">
        <v>162</v>
      </c>
    </row>
    <row r="1855" spans="1:14" x14ac:dyDescent="0.3">
      <c r="A1855" t="s">
        <v>25</v>
      </c>
      <c r="B1855">
        <f>VLOOKUP(M1855,Sheet9!$I$1:$J$17,2,FALSE)</f>
        <v>7</v>
      </c>
      <c r="C1855">
        <f>VLOOKUP(N1855,Sheet9!$M$1:$N$2,2,FALSE)</f>
        <v>1</v>
      </c>
      <c r="D1855">
        <v>32</v>
      </c>
      <c r="E1855" t="s">
        <v>95</v>
      </c>
      <c r="F1855">
        <v>120</v>
      </c>
      <c r="H1855">
        <v>3</v>
      </c>
      <c r="I1855">
        <v>5</v>
      </c>
      <c r="J1855">
        <v>15</v>
      </c>
      <c r="K1855">
        <v>5.4</v>
      </c>
      <c r="L1855">
        <v>8.6999999999999993</v>
      </c>
      <c r="M1855" t="s">
        <v>25</v>
      </c>
      <c r="N1855" t="s">
        <v>162</v>
      </c>
    </row>
    <row r="1856" spans="1:14" x14ac:dyDescent="0.3">
      <c r="A1856" t="s">
        <v>25</v>
      </c>
      <c r="B1856">
        <f>VLOOKUP(M1856,Sheet9!$I$1:$J$17,2,FALSE)</f>
        <v>7</v>
      </c>
      <c r="C1856">
        <f>VLOOKUP(N1856,Sheet9!$M$1:$N$2,2,FALSE)</f>
        <v>1</v>
      </c>
      <c r="D1856">
        <v>32</v>
      </c>
      <c r="E1856" t="s">
        <v>95</v>
      </c>
      <c r="F1856">
        <v>120</v>
      </c>
      <c r="G1856" t="s">
        <v>139</v>
      </c>
      <c r="H1856">
        <v>3</v>
      </c>
      <c r="I1856">
        <v>5</v>
      </c>
      <c r="J1856">
        <v>15</v>
      </c>
      <c r="K1856">
        <v>0.9</v>
      </c>
      <c r="L1856">
        <v>1.3</v>
      </c>
      <c r="M1856" t="s">
        <v>25</v>
      </c>
      <c r="N1856" t="s">
        <v>162</v>
      </c>
    </row>
    <row r="1857" spans="1:14" x14ac:dyDescent="0.3">
      <c r="A1857" t="s">
        <v>25</v>
      </c>
      <c r="B1857">
        <f>VLOOKUP(M1857,Sheet9!$I$1:$J$17,2,FALSE)</f>
        <v>7</v>
      </c>
      <c r="C1857">
        <f>VLOOKUP(N1857,Sheet9!$M$1:$N$2,2,FALSE)</f>
        <v>1</v>
      </c>
      <c r="D1857">
        <v>32</v>
      </c>
      <c r="E1857" t="s">
        <v>96</v>
      </c>
      <c r="F1857">
        <v>120</v>
      </c>
      <c r="H1857">
        <v>3</v>
      </c>
      <c r="I1857">
        <v>5</v>
      </c>
      <c r="J1857">
        <v>15</v>
      </c>
      <c r="K1857">
        <v>4.8</v>
      </c>
      <c r="L1857">
        <v>6.9</v>
      </c>
      <c r="M1857" t="s">
        <v>25</v>
      </c>
      <c r="N1857" t="s">
        <v>162</v>
      </c>
    </row>
    <row r="1858" spans="1:14" x14ac:dyDescent="0.3">
      <c r="A1858" t="s">
        <v>25</v>
      </c>
      <c r="B1858">
        <f>VLOOKUP(M1858,Sheet9!$I$1:$J$17,2,FALSE)</f>
        <v>7</v>
      </c>
      <c r="C1858">
        <f>VLOOKUP(N1858,Sheet9!$M$1:$N$2,2,FALSE)</f>
        <v>1</v>
      </c>
      <c r="D1858">
        <v>32</v>
      </c>
      <c r="E1858" t="s">
        <v>96</v>
      </c>
      <c r="F1858">
        <v>120</v>
      </c>
      <c r="G1858" t="s">
        <v>139</v>
      </c>
      <c r="H1858">
        <v>3</v>
      </c>
      <c r="I1858">
        <v>5</v>
      </c>
      <c r="J1858">
        <v>5</v>
      </c>
      <c r="K1858">
        <v>0.8</v>
      </c>
      <c r="L1858">
        <v>1.1000000000000001</v>
      </c>
      <c r="M1858" t="s">
        <v>25</v>
      </c>
      <c r="N1858" t="s">
        <v>162</v>
      </c>
    </row>
    <row r="1859" spans="1:14" x14ac:dyDescent="0.3">
      <c r="A1859" t="s">
        <v>25</v>
      </c>
      <c r="B1859">
        <f>VLOOKUP(M1859,Sheet9!$I$1:$J$17,2,FALSE)</f>
        <v>7</v>
      </c>
      <c r="C1859">
        <f>VLOOKUP(N1859,Sheet9!$M$1:$N$2,2,FALSE)</f>
        <v>1</v>
      </c>
      <c r="D1859">
        <v>32</v>
      </c>
      <c r="E1859" t="s">
        <v>95</v>
      </c>
      <c r="F1859">
        <v>120</v>
      </c>
      <c r="H1859">
        <v>64</v>
      </c>
      <c r="I1859">
        <v>0.6</v>
      </c>
      <c r="J1859">
        <v>38.4</v>
      </c>
      <c r="K1859">
        <v>5.6</v>
      </c>
      <c r="L1859">
        <v>9</v>
      </c>
      <c r="M1859" t="s">
        <v>25</v>
      </c>
      <c r="N1859" t="s">
        <v>162</v>
      </c>
    </row>
    <row r="1860" spans="1:14" x14ac:dyDescent="0.3">
      <c r="A1860" t="s">
        <v>25</v>
      </c>
      <c r="B1860">
        <f>VLOOKUP(M1860,Sheet9!$I$1:$J$17,2,FALSE)</f>
        <v>7</v>
      </c>
      <c r="C1860">
        <f>VLOOKUP(N1860,Sheet9!$M$1:$N$2,2,FALSE)</f>
        <v>1</v>
      </c>
      <c r="D1860">
        <v>32</v>
      </c>
      <c r="E1860" t="s">
        <v>95</v>
      </c>
      <c r="F1860">
        <v>120</v>
      </c>
      <c r="G1860" t="s">
        <v>139</v>
      </c>
      <c r="H1860">
        <v>64</v>
      </c>
      <c r="I1860">
        <v>0.6</v>
      </c>
      <c r="J1860">
        <v>38.4</v>
      </c>
      <c r="K1860">
        <v>0.9</v>
      </c>
      <c r="L1860">
        <v>1.3</v>
      </c>
      <c r="M1860" t="s">
        <v>25</v>
      </c>
      <c r="N1860" t="s">
        <v>162</v>
      </c>
    </row>
    <row r="1861" spans="1:14" x14ac:dyDescent="0.3">
      <c r="A1861" t="s">
        <v>25</v>
      </c>
      <c r="B1861">
        <f>VLOOKUP(M1861,Sheet9!$I$1:$J$17,2,FALSE)</f>
        <v>7</v>
      </c>
      <c r="C1861">
        <f>VLOOKUP(N1861,Sheet9!$M$1:$N$2,2,FALSE)</f>
        <v>1</v>
      </c>
      <c r="D1861">
        <v>32</v>
      </c>
      <c r="E1861" t="s">
        <v>96</v>
      </c>
      <c r="F1861">
        <v>120</v>
      </c>
      <c r="H1861">
        <v>64</v>
      </c>
      <c r="I1861">
        <v>0.6</v>
      </c>
      <c r="J1861">
        <v>38.4</v>
      </c>
      <c r="K1861">
        <v>5</v>
      </c>
      <c r="L1861">
        <v>7.1</v>
      </c>
      <c r="M1861" t="s">
        <v>25</v>
      </c>
      <c r="N1861" t="s">
        <v>162</v>
      </c>
    </row>
    <row r="1862" spans="1:14" x14ac:dyDescent="0.3">
      <c r="A1862" t="s">
        <v>25</v>
      </c>
      <c r="B1862">
        <f>VLOOKUP(M1862,Sheet9!$I$1:$J$17,2,FALSE)</f>
        <v>7</v>
      </c>
      <c r="C1862">
        <f>VLOOKUP(N1862,Sheet9!$M$1:$N$2,2,FALSE)</f>
        <v>1</v>
      </c>
      <c r="D1862">
        <v>32</v>
      </c>
      <c r="E1862" t="s">
        <v>96</v>
      </c>
      <c r="F1862">
        <v>120</v>
      </c>
      <c r="G1862" t="s">
        <v>139</v>
      </c>
      <c r="H1862">
        <v>64</v>
      </c>
      <c r="I1862">
        <v>0.6</v>
      </c>
      <c r="J1862">
        <v>38.4</v>
      </c>
      <c r="K1862">
        <v>0.8</v>
      </c>
      <c r="L1862">
        <v>1.1000000000000001</v>
      </c>
      <c r="M1862" t="s">
        <v>25</v>
      </c>
      <c r="N1862" t="s">
        <v>162</v>
      </c>
    </row>
    <row r="1863" spans="1:14" x14ac:dyDescent="0.3">
      <c r="A1863" t="s">
        <v>25</v>
      </c>
      <c r="B1863">
        <f>VLOOKUP(M1863,Sheet9!$I$1:$J$17,2,FALSE)</f>
        <v>7</v>
      </c>
      <c r="C1863">
        <f>VLOOKUP(N1863,Sheet9!$M$1:$N$2,2,FALSE)</f>
        <v>1</v>
      </c>
      <c r="D1863">
        <v>32</v>
      </c>
      <c r="E1863" t="s">
        <v>95</v>
      </c>
      <c r="F1863">
        <v>120</v>
      </c>
      <c r="G1863" t="s">
        <v>141</v>
      </c>
      <c r="H1863">
        <v>64</v>
      </c>
      <c r="I1863">
        <v>0.6</v>
      </c>
      <c r="J1863">
        <v>38.4</v>
      </c>
      <c r="K1863">
        <v>1.8</v>
      </c>
      <c r="L1863">
        <v>2.8</v>
      </c>
      <c r="M1863" t="s">
        <v>25</v>
      </c>
      <c r="N1863" t="s">
        <v>162</v>
      </c>
    </row>
    <row r="1864" spans="1:14" x14ac:dyDescent="0.3">
      <c r="A1864" t="s">
        <v>25</v>
      </c>
      <c r="B1864">
        <f>VLOOKUP(M1864,Sheet9!$I$1:$J$17,2,FALSE)</f>
        <v>7</v>
      </c>
      <c r="C1864">
        <f>VLOOKUP(N1864,Sheet9!$M$1:$N$2,2,FALSE)</f>
        <v>1</v>
      </c>
      <c r="D1864">
        <v>32</v>
      </c>
      <c r="E1864" t="s">
        <v>95</v>
      </c>
      <c r="F1864">
        <v>130</v>
      </c>
      <c r="G1864" t="s">
        <v>139</v>
      </c>
      <c r="H1864">
        <v>6</v>
      </c>
      <c r="I1864">
        <v>0.6</v>
      </c>
      <c r="J1864">
        <v>3.6</v>
      </c>
      <c r="M1864" t="s">
        <v>25</v>
      </c>
      <c r="N1864" t="s">
        <v>162</v>
      </c>
    </row>
    <row r="1865" spans="1:14" x14ac:dyDescent="0.3">
      <c r="A1865" t="s">
        <v>25</v>
      </c>
      <c r="B1865">
        <f>VLOOKUP(M1865,Sheet9!$I$1:$J$17,2,FALSE)</f>
        <v>7</v>
      </c>
      <c r="C1865">
        <f>VLOOKUP(N1865,Sheet9!$M$1:$N$2,2,FALSE)</f>
        <v>1</v>
      </c>
      <c r="D1865">
        <v>32</v>
      </c>
      <c r="E1865" t="s">
        <v>96</v>
      </c>
      <c r="F1865">
        <v>130</v>
      </c>
      <c r="G1865" t="s">
        <v>139</v>
      </c>
      <c r="H1865">
        <v>6</v>
      </c>
      <c r="I1865">
        <v>0.6</v>
      </c>
      <c r="J1865">
        <v>3.6</v>
      </c>
      <c r="M1865" t="s">
        <v>25</v>
      </c>
      <c r="N1865" t="s">
        <v>162</v>
      </c>
    </row>
    <row r="1866" spans="1:14" x14ac:dyDescent="0.3">
      <c r="A1866" t="s">
        <v>25</v>
      </c>
      <c r="B1866">
        <f>VLOOKUP(M1866,Sheet9!$I$1:$J$17,2,FALSE)</f>
        <v>7</v>
      </c>
      <c r="C1866">
        <f>VLOOKUP(N1866,Sheet9!$M$1:$N$2,2,FALSE)</f>
        <v>1</v>
      </c>
      <c r="D1866">
        <v>32</v>
      </c>
      <c r="E1866" t="s">
        <v>95</v>
      </c>
      <c r="F1866">
        <v>130</v>
      </c>
      <c r="H1866">
        <v>1</v>
      </c>
      <c r="I1866">
        <v>5</v>
      </c>
      <c r="J1866">
        <v>5</v>
      </c>
      <c r="K1866">
        <v>6.7</v>
      </c>
      <c r="L1866">
        <v>10.8</v>
      </c>
      <c r="M1866" t="s">
        <v>25</v>
      </c>
      <c r="N1866" t="s">
        <v>162</v>
      </c>
    </row>
    <row r="1867" spans="1:14" x14ac:dyDescent="0.3">
      <c r="A1867" t="s">
        <v>25</v>
      </c>
      <c r="B1867">
        <f>VLOOKUP(M1867,Sheet9!$I$1:$J$17,2,FALSE)</f>
        <v>7</v>
      </c>
      <c r="C1867">
        <f>VLOOKUP(N1867,Sheet9!$M$1:$N$2,2,FALSE)</f>
        <v>1</v>
      </c>
      <c r="D1867">
        <v>32</v>
      </c>
      <c r="E1867" t="s">
        <v>96</v>
      </c>
      <c r="F1867">
        <v>130</v>
      </c>
      <c r="H1867">
        <v>1</v>
      </c>
      <c r="I1867">
        <v>5</v>
      </c>
      <c r="J1867">
        <v>5</v>
      </c>
      <c r="K1867">
        <v>5.9</v>
      </c>
      <c r="L1867">
        <v>8.5</v>
      </c>
      <c r="M1867" t="s">
        <v>25</v>
      </c>
      <c r="N1867" t="s">
        <v>162</v>
      </c>
    </row>
    <row r="1868" spans="1:14" x14ac:dyDescent="0.3">
      <c r="A1868" t="s">
        <v>25</v>
      </c>
      <c r="B1868">
        <f>VLOOKUP(M1868,Sheet9!$I$1:$J$17,2,FALSE)</f>
        <v>7</v>
      </c>
      <c r="C1868">
        <f>VLOOKUP(N1868,Sheet9!$M$1:$N$2,2,FALSE)</f>
        <v>1</v>
      </c>
      <c r="D1868">
        <v>32</v>
      </c>
      <c r="E1868" t="s">
        <v>95</v>
      </c>
      <c r="F1868">
        <v>130</v>
      </c>
      <c r="H1868">
        <v>1</v>
      </c>
      <c r="I1868">
        <v>10</v>
      </c>
      <c r="J1868">
        <v>10</v>
      </c>
      <c r="K1868">
        <v>6.6</v>
      </c>
      <c r="L1868">
        <v>10.5</v>
      </c>
      <c r="M1868" t="s">
        <v>25</v>
      </c>
      <c r="N1868" t="s">
        <v>162</v>
      </c>
    </row>
    <row r="1869" spans="1:14" x14ac:dyDescent="0.3">
      <c r="A1869" t="s">
        <v>25</v>
      </c>
      <c r="B1869">
        <f>VLOOKUP(M1869,Sheet9!$I$1:$J$17,2,FALSE)</f>
        <v>7</v>
      </c>
      <c r="C1869">
        <f>VLOOKUP(N1869,Sheet9!$M$1:$N$2,2,FALSE)</f>
        <v>1</v>
      </c>
      <c r="D1869">
        <v>32</v>
      </c>
      <c r="E1869" t="s">
        <v>96</v>
      </c>
      <c r="F1869">
        <v>130</v>
      </c>
      <c r="H1869">
        <v>1</v>
      </c>
      <c r="I1869">
        <v>10</v>
      </c>
      <c r="J1869">
        <v>10</v>
      </c>
      <c r="K1869">
        <v>19.5</v>
      </c>
      <c r="L1869">
        <v>19.100000000000001</v>
      </c>
      <c r="M1869" t="s">
        <v>25</v>
      </c>
      <c r="N1869" t="s">
        <v>162</v>
      </c>
    </row>
    <row r="1870" spans="1:14" x14ac:dyDescent="0.3">
      <c r="A1870" t="s">
        <v>25</v>
      </c>
      <c r="B1870">
        <f>VLOOKUP(M1870,Sheet9!$I$1:$J$17,2,FALSE)</f>
        <v>7</v>
      </c>
      <c r="C1870">
        <f>VLOOKUP(N1870,Sheet9!$M$1:$N$2,2,FALSE)</f>
        <v>1</v>
      </c>
      <c r="D1870">
        <v>32</v>
      </c>
      <c r="E1870" t="s">
        <v>95</v>
      </c>
      <c r="F1870">
        <v>130</v>
      </c>
      <c r="H1870">
        <v>3</v>
      </c>
      <c r="I1870">
        <v>5</v>
      </c>
      <c r="J1870">
        <v>15</v>
      </c>
      <c r="K1870">
        <v>6.6</v>
      </c>
      <c r="L1870">
        <v>10.5</v>
      </c>
      <c r="M1870" t="s">
        <v>25</v>
      </c>
      <c r="N1870" t="s">
        <v>162</v>
      </c>
    </row>
    <row r="1871" spans="1:14" x14ac:dyDescent="0.3">
      <c r="A1871" t="s">
        <v>25</v>
      </c>
      <c r="B1871">
        <f>VLOOKUP(M1871,Sheet9!$I$1:$J$17,2,FALSE)</f>
        <v>7</v>
      </c>
      <c r="C1871">
        <f>VLOOKUP(N1871,Sheet9!$M$1:$N$2,2,FALSE)</f>
        <v>1</v>
      </c>
      <c r="D1871">
        <v>32</v>
      </c>
      <c r="E1871" t="s">
        <v>95</v>
      </c>
      <c r="F1871">
        <v>130</v>
      </c>
      <c r="G1871" t="s">
        <v>139</v>
      </c>
      <c r="H1871">
        <v>3</v>
      </c>
      <c r="I1871">
        <v>5</v>
      </c>
      <c r="J1871">
        <v>15</v>
      </c>
      <c r="K1871">
        <v>1.3</v>
      </c>
      <c r="L1871">
        <v>1.9</v>
      </c>
      <c r="M1871" t="s">
        <v>25</v>
      </c>
      <c r="N1871" t="s">
        <v>162</v>
      </c>
    </row>
    <row r="1872" spans="1:14" x14ac:dyDescent="0.3">
      <c r="A1872" t="s">
        <v>25</v>
      </c>
      <c r="B1872">
        <f>VLOOKUP(M1872,Sheet9!$I$1:$J$17,2,FALSE)</f>
        <v>7</v>
      </c>
      <c r="C1872">
        <f>VLOOKUP(N1872,Sheet9!$M$1:$N$2,2,FALSE)</f>
        <v>1</v>
      </c>
      <c r="D1872">
        <v>32</v>
      </c>
      <c r="E1872" t="s">
        <v>96</v>
      </c>
      <c r="F1872">
        <v>130</v>
      </c>
      <c r="H1872">
        <v>3</v>
      </c>
      <c r="I1872">
        <v>5</v>
      </c>
      <c r="J1872">
        <v>15</v>
      </c>
      <c r="K1872">
        <v>5.9</v>
      </c>
      <c r="L1872">
        <v>8.4</v>
      </c>
      <c r="M1872" t="s">
        <v>25</v>
      </c>
      <c r="N1872" t="s">
        <v>162</v>
      </c>
    </row>
    <row r="1873" spans="1:14" x14ac:dyDescent="0.3">
      <c r="A1873" t="s">
        <v>25</v>
      </c>
      <c r="B1873">
        <f>VLOOKUP(M1873,Sheet9!$I$1:$J$17,2,FALSE)</f>
        <v>7</v>
      </c>
      <c r="C1873">
        <f>VLOOKUP(N1873,Sheet9!$M$1:$N$2,2,FALSE)</f>
        <v>1</v>
      </c>
      <c r="D1873">
        <v>32</v>
      </c>
      <c r="E1873" t="s">
        <v>96</v>
      </c>
      <c r="F1873">
        <v>130</v>
      </c>
      <c r="G1873" t="s">
        <v>139</v>
      </c>
      <c r="H1873">
        <v>3</v>
      </c>
      <c r="I1873">
        <v>5</v>
      </c>
      <c r="J1873">
        <v>5</v>
      </c>
      <c r="K1873">
        <v>1.2</v>
      </c>
      <c r="L1873">
        <v>1.5</v>
      </c>
      <c r="M1873" t="s">
        <v>25</v>
      </c>
      <c r="N1873" t="s">
        <v>162</v>
      </c>
    </row>
    <row r="1874" spans="1:14" x14ac:dyDescent="0.3">
      <c r="A1874" t="s">
        <v>25</v>
      </c>
      <c r="B1874">
        <f>VLOOKUP(M1874,Sheet9!$I$1:$J$17,2,FALSE)</f>
        <v>7</v>
      </c>
      <c r="C1874">
        <f>VLOOKUP(N1874,Sheet9!$M$1:$N$2,2,FALSE)</f>
        <v>1</v>
      </c>
      <c r="D1874">
        <v>32</v>
      </c>
      <c r="E1874" t="s">
        <v>95</v>
      </c>
      <c r="F1874">
        <v>130</v>
      </c>
      <c r="H1874">
        <v>64</v>
      </c>
      <c r="I1874">
        <v>0.6</v>
      </c>
      <c r="J1874">
        <v>38.4</v>
      </c>
      <c r="K1874">
        <v>6.8</v>
      </c>
      <c r="L1874">
        <v>10.9</v>
      </c>
      <c r="M1874" t="s">
        <v>25</v>
      </c>
      <c r="N1874" t="s">
        <v>162</v>
      </c>
    </row>
    <row r="1875" spans="1:14" x14ac:dyDescent="0.3">
      <c r="A1875" t="s">
        <v>25</v>
      </c>
      <c r="B1875">
        <f>VLOOKUP(M1875,Sheet9!$I$1:$J$17,2,FALSE)</f>
        <v>7</v>
      </c>
      <c r="C1875">
        <f>VLOOKUP(N1875,Sheet9!$M$1:$N$2,2,FALSE)</f>
        <v>1</v>
      </c>
      <c r="D1875">
        <v>32</v>
      </c>
      <c r="E1875" t="s">
        <v>95</v>
      </c>
      <c r="F1875">
        <v>130</v>
      </c>
      <c r="G1875" t="s">
        <v>139</v>
      </c>
      <c r="H1875">
        <v>64</v>
      </c>
      <c r="I1875">
        <v>0.6</v>
      </c>
      <c r="J1875">
        <v>38.4</v>
      </c>
      <c r="K1875">
        <v>1.3</v>
      </c>
      <c r="L1875">
        <v>1.9</v>
      </c>
      <c r="M1875" t="s">
        <v>25</v>
      </c>
      <c r="N1875" t="s">
        <v>162</v>
      </c>
    </row>
    <row r="1876" spans="1:14" x14ac:dyDescent="0.3">
      <c r="A1876" t="s">
        <v>25</v>
      </c>
      <c r="B1876">
        <f>VLOOKUP(M1876,Sheet9!$I$1:$J$17,2,FALSE)</f>
        <v>7</v>
      </c>
      <c r="C1876">
        <f>VLOOKUP(N1876,Sheet9!$M$1:$N$2,2,FALSE)</f>
        <v>1</v>
      </c>
      <c r="D1876">
        <v>32</v>
      </c>
      <c r="E1876" t="s">
        <v>96</v>
      </c>
      <c r="F1876">
        <v>130</v>
      </c>
      <c r="H1876">
        <v>64</v>
      </c>
      <c r="I1876">
        <v>0.6</v>
      </c>
      <c r="J1876">
        <v>38.4</v>
      </c>
      <c r="K1876">
        <v>6.1</v>
      </c>
      <c r="L1876">
        <v>8.6999999999999993</v>
      </c>
      <c r="M1876" t="s">
        <v>25</v>
      </c>
      <c r="N1876" t="s">
        <v>162</v>
      </c>
    </row>
    <row r="1877" spans="1:14" x14ac:dyDescent="0.3">
      <c r="A1877" t="s">
        <v>25</v>
      </c>
      <c r="B1877">
        <f>VLOOKUP(M1877,Sheet9!$I$1:$J$17,2,FALSE)</f>
        <v>7</v>
      </c>
      <c r="C1877">
        <f>VLOOKUP(N1877,Sheet9!$M$1:$N$2,2,FALSE)</f>
        <v>1</v>
      </c>
      <c r="D1877">
        <v>32</v>
      </c>
      <c r="E1877" t="s">
        <v>96</v>
      </c>
      <c r="F1877">
        <v>130</v>
      </c>
      <c r="G1877" t="s">
        <v>139</v>
      </c>
      <c r="H1877">
        <v>64</v>
      </c>
      <c r="I1877">
        <v>0.6</v>
      </c>
      <c r="J1877">
        <v>38.4</v>
      </c>
      <c r="K1877">
        <v>1.2</v>
      </c>
      <c r="L1877">
        <v>1.6</v>
      </c>
      <c r="M1877" t="s">
        <v>25</v>
      </c>
      <c r="N1877" t="s">
        <v>162</v>
      </c>
    </row>
    <row r="1878" spans="1:14" x14ac:dyDescent="0.3">
      <c r="A1878" t="s">
        <v>25</v>
      </c>
      <c r="B1878">
        <f>VLOOKUP(M1878,Sheet9!$I$1:$J$17,2,FALSE)</f>
        <v>7</v>
      </c>
      <c r="C1878">
        <f>VLOOKUP(N1878,Sheet9!$M$1:$N$2,2,FALSE)</f>
        <v>1</v>
      </c>
      <c r="D1878">
        <v>32</v>
      </c>
      <c r="E1878" t="s">
        <v>95</v>
      </c>
      <c r="F1878">
        <v>130</v>
      </c>
      <c r="G1878" t="s">
        <v>141</v>
      </c>
      <c r="H1878">
        <v>64</v>
      </c>
      <c r="I1878">
        <v>0.6</v>
      </c>
      <c r="J1878">
        <v>38.4</v>
      </c>
      <c r="M1878" t="s">
        <v>25</v>
      </c>
      <c r="N1878" t="s">
        <v>162</v>
      </c>
    </row>
    <row r="1879" spans="1:14" x14ac:dyDescent="0.3">
      <c r="A1879" t="s">
        <v>25</v>
      </c>
      <c r="B1879">
        <f>VLOOKUP(M1879,Sheet9!$I$1:$J$17,2,FALSE)</f>
        <v>7</v>
      </c>
      <c r="C1879">
        <f>VLOOKUP(N1879,Sheet9!$M$1:$N$2,2,FALSE)</f>
        <v>1</v>
      </c>
      <c r="D1879">
        <v>32</v>
      </c>
      <c r="E1879" t="s">
        <v>95</v>
      </c>
      <c r="F1879">
        <v>140</v>
      </c>
      <c r="G1879" t="s">
        <v>139</v>
      </c>
      <c r="H1879">
        <v>6</v>
      </c>
      <c r="I1879">
        <v>0.6</v>
      </c>
      <c r="J1879">
        <v>3.6</v>
      </c>
      <c r="K1879">
        <v>2.5</v>
      </c>
      <c r="L1879">
        <v>3.7</v>
      </c>
      <c r="M1879" t="s">
        <v>25</v>
      </c>
      <c r="N1879" t="s">
        <v>162</v>
      </c>
    </row>
    <row r="1880" spans="1:14" x14ac:dyDescent="0.3">
      <c r="A1880" t="s">
        <v>25</v>
      </c>
      <c r="B1880">
        <f>VLOOKUP(M1880,Sheet9!$I$1:$J$17,2,FALSE)</f>
        <v>7</v>
      </c>
      <c r="C1880">
        <f>VLOOKUP(N1880,Sheet9!$M$1:$N$2,2,FALSE)</f>
        <v>1</v>
      </c>
      <c r="D1880">
        <v>32</v>
      </c>
      <c r="E1880" t="s">
        <v>96</v>
      </c>
      <c r="F1880">
        <v>140</v>
      </c>
      <c r="G1880" t="s">
        <v>139</v>
      </c>
      <c r="H1880">
        <v>6</v>
      </c>
      <c r="I1880">
        <v>0.6</v>
      </c>
      <c r="J1880">
        <v>3.6</v>
      </c>
      <c r="K1880">
        <v>2.2999999999999998</v>
      </c>
      <c r="L1880">
        <v>3</v>
      </c>
      <c r="M1880" t="s">
        <v>25</v>
      </c>
      <c r="N1880" t="s">
        <v>162</v>
      </c>
    </row>
    <row r="1881" spans="1:14" x14ac:dyDescent="0.3">
      <c r="A1881" t="s">
        <v>25</v>
      </c>
      <c r="B1881">
        <f>VLOOKUP(M1881,Sheet9!$I$1:$J$17,2,FALSE)</f>
        <v>7</v>
      </c>
      <c r="C1881">
        <f>VLOOKUP(N1881,Sheet9!$M$1:$N$2,2,FALSE)</f>
        <v>1</v>
      </c>
      <c r="D1881">
        <v>32</v>
      </c>
      <c r="E1881" t="s">
        <v>95</v>
      </c>
      <c r="F1881">
        <v>140</v>
      </c>
      <c r="H1881">
        <v>1</v>
      </c>
      <c r="I1881">
        <v>5</v>
      </c>
      <c r="J1881">
        <v>5</v>
      </c>
      <c r="K1881">
        <v>8.1</v>
      </c>
      <c r="L1881">
        <v>12.9</v>
      </c>
      <c r="M1881" t="s">
        <v>25</v>
      </c>
      <c r="N1881" t="s">
        <v>162</v>
      </c>
    </row>
    <row r="1882" spans="1:14" x14ac:dyDescent="0.3">
      <c r="A1882" t="s">
        <v>25</v>
      </c>
      <c r="B1882">
        <f>VLOOKUP(M1882,Sheet9!$I$1:$J$17,2,FALSE)</f>
        <v>7</v>
      </c>
      <c r="C1882">
        <f>VLOOKUP(N1882,Sheet9!$M$1:$N$2,2,FALSE)</f>
        <v>1</v>
      </c>
      <c r="D1882">
        <v>32</v>
      </c>
      <c r="E1882" t="s">
        <v>96</v>
      </c>
      <c r="F1882">
        <v>140</v>
      </c>
      <c r="H1882">
        <v>1</v>
      </c>
      <c r="I1882">
        <v>5</v>
      </c>
      <c r="J1882">
        <v>5</v>
      </c>
      <c r="K1882">
        <v>7.2</v>
      </c>
      <c r="L1882">
        <v>10.199999999999999</v>
      </c>
      <c r="M1882" t="s">
        <v>25</v>
      </c>
      <c r="N1882" t="s">
        <v>162</v>
      </c>
    </row>
    <row r="1883" spans="1:14" x14ac:dyDescent="0.3">
      <c r="A1883" t="s">
        <v>25</v>
      </c>
      <c r="B1883">
        <f>VLOOKUP(M1883,Sheet9!$I$1:$J$17,2,FALSE)</f>
        <v>7</v>
      </c>
      <c r="C1883">
        <f>VLOOKUP(N1883,Sheet9!$M$1:$N$2,2,FALSE)</f>
        <v>1</v>
      </c>
      <c r="D1883">
        <v>32</v>
      </c>
      <c r="E1883" t="s">
        <v>95</v>
      </c>
      <c r="F1883">
        <v>140</v>
      </c>
      <c r="H1883">
        <v>1</v>
      </c>
      <c r="I1883">
        <v>10</v>
      </c>
      <c r="J1883">
        <v>10</v>
      </c>
      <c r="K1883">
        <v>7.9</v>
      </c>
      <c r="L1883">
        <v>12.5</v>
      </c>
      <c r="M1883" t="s">
        <v>25</v>
      </c>
      <c r="N1883" t="s">
        <v>162</v>
      </c>
    </row>
    <row r="1884" spans="1:14" x14ac:dyDescent="0.3">
      <c r="A1884" t="s">
        <v>25</v>
      </c>
      <c r="B1884">
        <f>VLOOKUP(M1884,Sheet9!$I$1:$J$17,2,FALSE)</f>
        <v>7</v>
      </c>
      <c r="C1884">
        <f>VLOOKUP(N1884,Sheet9!$M$1:$N$2,2,FALSE)</f>
        <v>1</v>
      </c>
      <c r="D1884">
        <v>32</v>
      </c>
      <c r="E1884" t="s">
        <v>96</v>
      </c>
      <c r="F1884">
        <v>140</v>
      </c>
      <c r="H1884">
        <v>1</v>
      </c>
      <c r="I1884">
        <v>10</v>
      </c>
      <c r="J1884">
        <v>10</v>
      </c>
      <c r="K1884">
        <v>23</v>
      </c>
      <c r="L1884">
        <v>22.5</v>
      </c>
      <c r="M1884" t="s">
        <v>25</v>
      </c>
      <c r="N1884" t="s">
        <v>162</v>
      </c>
    </row>
    <row r="1885" spans="1:14" x14ac:dyDescent="0.3">
      <c r="A1885" t="s">
        <v>25</v>
      </c>
      <c r="B1885">
        <f>VLOOKUP(M1885,Sheet9!$I$1:$J$17,2,FALSE)</f>
        <v>7</v>
      </c>
      <c r="C1885">
        <f>VLOOKUP(N1885,Sheet9!$M$1:$N$2,2,FALSE)</f>
        <v>1</v>
      </c>
      <c r="D1885">
        <v>32</v>
      </c>
      <c r="E1885" t="s">
        <v>95</v>
      </c>
      <c r="F1885">
        <v>140</v>
      </c>
      <c r="H1885">
        <v>3</v>
      </c>
      <c r="I1885">
        <v>5</v>
      </c>
      <c r="J1885">
        <v>15</v>
      </c>
      <c r="K1885">
        <v>8</v>
      </c>
      <c r="L1885">
        <v>12.5</v>
      </c>
      <c r="M1885" t="s">
        <v>25</v>
      </c>
      <c r="N1885" t="s">
        <v>162</v>
      </c>
    </row>
    <row r="1886" spans="1:14" x14ac:dyDescent="0.3">
      <c r="A1886" t="s">
        <v>25</v>
      </c>
      <c r="B1886">
        <f>VLOOKUP(M1886,Sheet9!$I$1:$J$17,2,FALSE)</f>
        <v>7</v>
      </c>
      <c r="C1886">
        <f>VLOOKUP(N1886,Sheet9!$M$1:$N$2,2,FALSE)</f>
        <v>1</v>
      </c>
      <c r="D1886">
        <v>32</v>
      </c>
      <c r="E1886" t="s">
        <v>95</v>
      </c>
      <c r="F1886">
        <v>140</v>
      </c>
      <c r="G1886" t="s">
        <v>139</v>
      </c>
      <c r="H1886">
        <v>3</v>
      </c>
      <c r="I1886">
        <v>5</v>
      </c>
      <c r="J1886">
        <v>15</v>
      </c>
      <c r="K1886">
        <v>1.8</v>
      </c>
      <c r="L1886">
        <v>2.6</v>
      </c>
      <c r="M1886" t="s">
        <v>25</v>
      </c>
      <c r="N1886" t="s">
        <v>162</v>
      </c>
    </row>
    <row r="1887" spans="1:14" x14ac:dyDescent="0.3">
      <c r="A1887" t="s">
        <v>25</v>
      </c>
      <c r="B1887">
        <f>VLOOKUP(M1887,Sheet9!$I$1:$J$17,2,FALSE)</f>
        <v>7</v>
      </c>
      <c r="C1887">
        <f>VLOOKUP(N1887,Sheet9!$M$1:$N$2,2,FALSE)</f>
        <v>1</v>
      </c>
      <c r="D1887">
        <v>32</v>
      </c>
      <c r="E1887" t="s">
        <v>96</v>
      </c>
      <c r="F1887">
        <v>140</v>
      </c>
      <c r="H1887">
        <v>3</v>
      </c>
      <c r="I1887">
        <v>5</v>
      </c>
      <c r="J1887">
        <v>15</v>
      </c>
      <c r="K1887">
        <v>7.1</v>
      </c>
      <c r="L1887">
        <v>10</v>
      </c>
      <c r="M1887" t="s">
        <v>25</v>
      </c>
      <c r="N1887" t="s">
        <v>162</v>
      </c>
    </row>
    <row r="1888" spans="1:14" x14ac:dyDescent="0.3">
      <c r="A1888" t="s">
        <v>25</v>
      </c>
      <c r="B1888">
        <f>VLOOKUP(M1888,Sheet9!$I$1:$J$17,2,FALSE)</f>
        <v>7</v>
      </c>
      <c r="C1888">
        <f>VLOOKUP(N1888,Sheet9!$M$1:$N$2,2,FALSE)</f>
        <v>1</v>
      </c>
      <c r="D1888">
        <v>32</v>
      </c>
      <c r="E1888" t="s">
        <v>96</v>
      </c>
      <c r="F1888">
        <v>140</v>
      </c>
      <c r="G1888" t="s">
        <v>139</v>
      </c>
      <c r="H1888">
        <v>3</v>
      </c>
      <c r="I1888">
        <v>5</v>
      </c>
      <c r="J1888">
        <v>5</v>
      </c>
      <c r="K1888">
        <v>1.6</v>
      </c>
      <c r="L1888">
        <v>2.1</v>
      </c>
      <c r="M1888" t="s">
        <v>25</v>
      </c>
      <c r="N1888" t="s">
        <v>162</v>
      </c>
    </row>
    <row r="1889" spans="1:14" x14ac:dyDescent="0.3">
      <c r="A1889" t="s">
        <v>25</v>
      </c>
      <c r="B1889">
        <f>VLOOKUP(M1889,Sheet9!$I$1:$J$17,2,FALSE)</f>
        <v>7</v>
      </c>
      <c r="C1889">
        <f>VLOOKUP(N1889,Sheet9!$M$1:$N$2,2,FALSE)</f>
        <v>1</v>
      </c>
      <c r="D1889">
        <v>32</v>
      </c>
      <c r="E1889" t="s">
        <v>95</v>
      </c>
      <c r="F1889">
        <v>140</v>
      </c>
      <c r="H1889">
        <v>64</v>
      </c>
      <c r="I1889">
        <v>0.6</v>
      </c>
      <c r="J1889">
        <v>38.4</v>
      </c>
      <c r="K1889">
        <v>8.3000000000000007</v>
      </c>
      <c r="L1889">
        <v>13</v>
      </c>
      <c r="M1889" t="s">
        <v>25</v>
      </c>
      <c r="N1889" t="s">
        <v>162</v>
      </c>
    </row>
    <row r="1890" spans="1:14" x14ac:dyDescent="0.3">
      <c r="A1890" t="s">
        <v>25</v>
      </c>
      <c r="B1890">
        <f>VLOOKUP(M1890,Sheet9!$I$1:$J$17,2,FALSE)</f>
        <v>7</v>
      </c>
      <c r="C1890">
        <f>VLOOKUP(N1890,Sheet9!$M$1:$N$2,2,FALSE)</f>
        <v>1</v>
      </c>
      <c r="D1890">
        <v>32</v>
      </c>
      <c r="E1890" t="s">
        <v>95</v>
      </c>
      <c r="F1890">
        <v>140</v>
      </c>
      <c r="G1890" t="s">
        <v>139</v>
      </c>
      <c r="H1890">
        <v>64</v>
      </c>
      <c r="I1890">
        <v>0.6</v>
      </c>
      <c r="J1890">
        <v>38.4</v>
      </c>
      <c r="K1890">
        <v>1.9</v>
      </c>
      <c r="L1890">
        <v>2.7</v>
      </c>
      <c r="M1890" t="s">
        <v>25</v>
      </c>
      <c r="N1890" t="s">
        <v>162</v>
      </c>
    </row>
    <row r="1891" spans="1:14" x14ac:dyDescent="0.3">
      <c r="A1891" t="s">
        <v>25</v>
      </c>
      <c r="B1891">
        <f>VLOOKUP(M1891,Sheet9!$I$1:$J$17,2,FALSE)</f>
        <v>7</v>
      </c>
      <c r="C1891">
        <f>VLOOKUP(N1891,Sheet9!$M$1:$N$2,2,FALSE)</f>
        <v>1</v>
      </c>
      <c r="D1891">
        <v>32</v>
      </c>
      <c r="E1891" t="s">
        <v>96</v>
      </c>
      <c r="F1891">
        <v>140</v>
      </c>
      <c r="H1891">
        <v>64</v>
      </c>
      <c r="I1891">
        <v>0.6</v>
      </c>
      <c r="J1891">
        <v>38.4</v>
      </c>
      <c r="K1891">
        <v>7.4</v>
      </c>
      <c r="L1891">
        <v>10.4</v>
      </c>
      <c r="M1891" t="s">
        <v>25</v>
      </c>
      <c r="N1891" t="s">
        <v>162</v>
      </c>
    </row>
    <row r="1892" spans="1:14" x14ac:dyDescent="0.3">
      <c r="A1892" t="s">
        <v>25</v>
      </c>
      <c r="B1892">
        <f>VLOOKUP(M1892,Sheet9!$I$1:$J$17,2,FALSE)</f>
        <v>7</v>
      </c>
      <c r="C1892">
        <f>VLOOKUP(N1892,Sheet9!$M$1:$N$2,2,FALSE)</f>
        <v>1</v>
      </c>
      <c r="D1892">
        <v>32</v>
      </c>
      <c r="E1892" t="s">
        <v>96</v>
      </c>
      <c r="F1892">
        <v>140</v>
      </c>
      <c r="G1892" t="s">
        <v>139</v>
      </c>
      <c r="H1892">
        <v>64</v>
      </c>
      <c r="I1892">
        <v>0.6</v>
      </c>
      <c r="J1892">
        <v>38.4</v>
      </c>
      <c r="K1892">
        <v>1.7</v>
      </c>
      <c r="L1892">
        <v>2.2000000000000002</v>
      </c>
      <c r="M1892" t="s">
        <v>25</v>
      </c>
      <c r="N1892" t="s">
        <v>162</v>
      </c>
    </row>
    <row r="1893" spans="1:14" x14ac:dyDescent="0.3">
      <c r="A1893" t="s">
        <v>25</v>
      </c>
      <c r="B1893">
        <f>VLOOKUP(M1893,Sheet9!$I$1:$J$17,2,FALSE)</f>
        <v>7</v>
      </c>
      <c r="C1893">
        <f>VLOOKUP(N1893,Sheet9!$M$1:$N$2,2,FALSE)</f>
        <v>1</v>
      </c>
      <c r="D1893">
        <v>32</v>
      </c>
      <c r="E1893" t="s">
        <v>95</v>
      </c>
      <c r="F1893">
        <v>140</v>
      </c>
      <c r="G1893" t="s">
        <v>141</v>
      </c>
      <c r="H1893">
        <v>64</v>
      </c>
      <c r="I1893">
        <v>0.6</v>
      </c>
      <c r="J1893">
        <v>38.4</v>
      </c>
      <c r="K1893">
        <v>3.1</v>
      </c>
      <c r="L1893">
        <v>4.5999999999999996</v>
      </c>
      <c r="M1893" t="s">
        <v>25</v>
      </c>
      <c r="N1893" t="s">
        <v>162</v>
      </c>
    </row>
    <row r="1894" spans="1:14" x14ac:dyDescent="0.3">
      <c r="A1894" t="s">
        <v>33</v>
      </c>
      <c r="B1894">
        <f>VLOOKUP(M1894,Sheet9!$I$1:$J$17,2,FALSE)</f>
        <v>6</v>
      </c>
      <c r="C1894">
        <f>VLOOKUP(N1894,Sheet9!$M$1:$N$2,2,FALSE)</f>
        <v>1</v>
      </c>
      <c r="D1894">
        <v>16</v>
      </c>
      <c r="E1894" t="s">
        <v>95</v>
      </c>
      <c r="F1894">
        <v>70</v>
      </c>
      <c r="H1894">
        <v>2</v>
      </c>
      <c r="I1894">
        <v>1</v>
      </c>
      <c r="J1894">
        <v>2</v>
      </c>
      <c r="K1894">
        <v>2.6</v>
      </c>
      <c r="L1894">
        <v>2.74</v>
      </c>
      <c r="M1894" t="s">
        <v>33</v>
      </c>
      <c r="N1894" t="s">
        <v>162</v>
      </c>
    </row>
    <row r="1895" spans="1:14" x14ac:dyDescent="0.3">
      <c r="A1895" t="s">
        <v>33</v>
      </c>
      <c r="B1895">
        <f>VLOOKUP(M1895,Sheet9!$I$1:$J$17,2,FALSE)</f>
        <v>6</v>
      </c>
      <c r="C1895">
        <f>VLOOKUP(N1895,Sheet9!$M$1:$N$2,2,FALSE)</f>
        <v>1</v>
      </c>
      <c r="D1895">
        <v>16</v>
      </c>
      <c r="E1895" t="s">
        <v>95</v>
      </c>
      <c r="F1895">
        <v>70</v>
      </c>
      <c r="H1895">
        <v>6</v>
      </c>
      <c r="I1895">
        <v>0.6</v>
      </c>
      <c r="J1895">
        <v>3.6</v>
      </c>
      <c r="K1895">
        <v>4.22</v>
      </c>
      <c r="L1895">
        <v>4.43</v>
      </c>
      <c r="M1895" t="s">
        <v>33</v>
      </c>
      <c r="N1895" t="s">
        <v>162</v>
      </c>
    </row>
    <row r="1896" spans="1:14" x14ac:dyDescent="0.3">
      <c r="A1896" t="s">
        <v>33</v>
      </c>
      <c r="B1896">
        <f>VLOOKUP(M1896,Sheet9!$I$1:$J$17,2,FALSE)</f>
        <v>6</v>
      </c>
      <c r="C1896">
        <f>VLOOKUP(N1896,Sheet9!$M$1:$N$2,2,FALSE)</f>
        <v>1</v>
      </c>
      <c r="D1896">
        <v>16</v>
      </c>
      <c r="E1896" t="s">
        <v>95</v>
      </c>
      <c r="F1896">
        <v>70</v>
      </c>
      <c r="H1896">
        <v>8</v>
      </c>
      <c r="I1896">
        <v>0.6</v>
      </c>
      <c r="J1896">
        <v>4.8</v>
      </c>
      <c r="K1896">
        <v>3.88</v>
      </c>
      <c r="L1896">
        <v>4.07</v>
      </c>
      <c r="M1896" t="s">
        <v>33</v>
      </c>
      <c r="N1896" t="s">
        <v>162</v>
      </c>
    </row>
    <row r="1897" spans="1:14" x14ac:dyDescent="0.3">
      <c r="A1897" t="s">
        <v>33</v>
      </c>
      <c r="B1897">
        <f>VLOOKUP(M1897,Sheet9!$I$1:$J$17,2,FALSE)</f>
        <v>6</v>
      </c>
      <c r="C1897">
        <f>VLOOKUP(N1897,Sheet9!$M$1:$N$2,2,FALSE)</f>
        <v>1</v>
      </c>
      <c r="D1897">
        <v>16</v>
      </c>
      <c r="E1897" t="s">
        <v>167</v>
      </c>
      <c r="F1897">
        <v>70</v>
      </c>
      <c r="H1897">
        <v>8</v>
      </c>
      <c r="I1897">
        <v>0.6</v>
      </c>
      <c r="J1897">
        <v>4.8</v>
      </c>
      <c r="K1897">
        <v>4.58</v>
      </c>
      <c r="L1897">
        <v>4.78</v>
      </c>
      <c r="M1897" t="s">
        <v>33</v>
      </c>
      <c r="N1897" t="s">
        <v>162</v>
      </c>
    </row>
    <row r="1898" spans="1:14" x14ac:dyDescent="0.3">
      <c r="A1898" t="s">
        <v>33</v>
      </c>
      <c r="B1898">
        <f>VLOOKUP(M1898,Sheet9!$I$1:$J$17,2,FALSE)</f>
        <v>6</v>
      </c>
      <c r="C1898">
        <f>VLOOKUP(N1898,Sheet9!$M$1:$N$2,2,FALSE)</f>
        <v>1</v>
      </c>
      <c r="D1898">
        <v>16</v>
      </c>
      <c r="E1898" t="s">
        <v>95</v>
      </c>
      <c r="F1898">
        <v>70</v>
      </c>
      <c r="H1898">
        <v>1</v>
      </c>
      <c r="I1898">
        <v>5</v>
      </c>
      <c r="J1898">
        <v>5</v>
      </c>
      <c r="K1898">
        <v>2.34</v>
      </c>
      <c r="L1898">
        <v>2.46</v>
      </c>
      <c r="M1898" t="s">
        <v>33</v>
      </c>
      <c r="N1898" t="s">
        <v>162</v>
      </c>
    </row>
    <row r="1899" spans="1:14" x14ac:dyDescent="0.3">
      <c r="A1899" t="s">
        <v>33</v>
      </c>
      <c r="B1899">
        <f>VLOOKUP(M1899,Sheet9!$I$1:$J$17,2,FALSE)</f>
        <v>6</v>
      </c>
      <c r="C1899">
        <f>VLOOKUP(N1899,Sheet9!$M$1:$N$2,2,FALSE)</f>
        <v>1</v>
      </c>
      <c r="D1899">
        <v>16</v>
      </c>
      <c r="E1899" t="s">
        <v>95</v>
      </c>
      <c r="F1899">
        <v>70</v>
      </c>
      <c r="H1899">
        <v>10</v>
      </c>
      <c r="I1899">
        <v>0.6</v>
      </c>
      <c r="J1899">
        <v>6</v>
      </c>
      <c r="K1899">
        <v>3.17</v>
      </c>
      <c r="L1899">
        <v>3.31</v>
      </c>
      <c r="M1899" t="s">
        <v>33</v>
      </c>
      <c r="N1899" t="s">
        <v>162</v>
      </c>
    </row>
    <row r="1900" spans="1:14" x14ac:dyDescent="0.3">
      <c r="A1900" t="s">
        <v>33</v>
      </c>
      <c r="B1900">
        <f>VLOOKUP(M1900,Sheet9!$I$1:$J$17,2,FALSE)</f>
        <v>6</v>
      </c>
      <c r="C1900">
        <f>VLOOKUP(N1900,Sheet9!$M$1:$N$2,2,FALSE)</f>
        <v>1</v>
      </c>
      <c r="D1900">
        <v>16</v>
      </c>
      <c r="E1900" t="s">
        <v>95</v>
      </c>
      <c r="F1900">
        <v>70</v>
      </c>
      <c r="H1900">
        <v>6</v>
      </c>
      <c r="I1900">
        <v>1.2</v>
      </c>
      <c r="J1900">
        <v>7.2</v>
      </c>
      <c r="K1900">
        <v>3.36</v>
      </c>
      <c r="L1900">
        <v>3.53</v>
      </c>
      <c r="M1900" t="s">
        <v>33</v>
      </c>
      <c r="N1900" t="s">
        <v>162</v>
      </c>
    </row>
    <row r="1901" spans="1:14" x14ac:dyDescent="0.3">
      <c r="A1901" t="s">
        <v>33</v>
      </c>
      <c r="B1901">
        <f>VLOOKUP(M1901,Sheet9!$I$1:$J$17,2,FALSE)</f>
        <v>6</v>
      </c>
      <c r="C1901">
        <f>VLOOKUP(N1901,Sheet9!$M$1:$N$2,2,FALSE)</f>
        <v>1</v>
      </c>
      <c r="D1901">
        <v>16</v>
      </c>
      <c r="E1901" t="s">
        <v>95</v>
      </c>
      <c r="F1901">
        <v>70</v>
      </c>
      <c r="H1901">
        <v>1</v>
      </c>
      <c r="I1901">
        <v>10</v>
      </c>
      <c r="J1901">
        <v>10</v>
      </c>
      <c r="K1901">
        <v>2.34</v>
      </c>
      <c r="L1901">
        <v>2.46</v>
      </c>
      <c r="M1901" t="s">
        <v>33</v>
      </c>
      <c r="N1901" t="s">
        <v>162</v>
      </c>
    </row>
    <row r="1902" spans="1:14" x14ac:dyDescent="0.3">
      <c r="A1902" t="s">
        <v>33</v>
      </c>
      <c r="B1902">
        <f>VLOOKUP(M1902,Sheet9!$I$1:$J$17,2,FALSE)</f>
        <v>6</v>
      </c>
      <c r="C1902">
        <f>VLOOKUP(N1902,Sheet9!$M$1:$N$2,2,FALSE)</f>
        <v>1</v>
      </c>
      <c r="D1902">
        <v>16</v>
      </c>
      <c r="E1902" t="s">
        <v>95</v>
      </c>
      <c r="F1902">
        <v>70</v>
      </c>
      <c r="H1902">
        <v>20</v>
      </c>
      <c r="I1902">
        <v>0.6</v>
      </c>
      <c r="J1902">
        <v>12</v>
      </c>
      <c r="K1902">
        <v>3.23</v>
      </c>
      <c r="L1902">
        <v>3.38</v>
      </c>
      <c r="M1902" t="s">
        <v>33</v>
      </c>
      <c r="N1902" t="s">
        <v>162</v>
      </c>
    </row>
    <row r="1903" spans="1:14" x14ac:dyDescent="0.3">
      <c r="A1903" t="s">
        <v>33</v>
      </c>
      <c r="B1903">
        <f>VLOOKUP(M1903,Sheet9!$I$1:$J$17,2,FALSE)</f>
        <v>6</v>
      </c>
      <c r="C1903">
        <f>VLOOKUP(N1903,Sheet9!$M$1:$N$2,2,FALSE)</f>
        <v>1</v>
      </c>
      <c r="D1903">
        <v>16</v>
      </c>
      <c r="E1903" t="s">
        <v>95</v>
      </c>
      <c r="F1903">
        <v>70</v>
      </c>
      <c r="H1903">
        <v>12</v>
      </c>
      <c r="I1903">
        <v>1.2</v>
      </c>
      <c r="J1903">
        <v>14.4</v>
      </c>
      <c r="K1903">
        <v>3</v>
      </c>
      <c r="L1903">
        <v>3.15</v>
      </c>
      <c r="M1903" t="s">
        <v>33</v>
      </c>
      <c r="N1903" t="s">
        <v>162</v>
      </c>
    </row>
    <row r="1904" spans="1:14" x14ac:dyDescent="0.3">
      <c r="A1904" t="s">
        <v>33</v>
      </c>
      <c r="B1904">
        <f>VLOOKUP(M1904,Sheet9!$I$1:$J$17,2,FALSE)</f>
        <v>6</v>
      </c>
      <c r="C1904">
        <f>VLOOKUP(N1904,Sheet9!$M$1:$N$2,2,FALSE)</f>
        <v>1</v>
      </c>
      <c r="D1904">
        <v>16</v>
      </c>
      <c r="E1904" t="s">
        <v>95</v>
      </c>
      <c r="F1904">
        <v>70</v>
      </c>
      <c r="H1904">
        <v>32</v>
      </c>
      <c r="I1904">
        <v>1.2</v>
      </c>
      <c r="J1904">
        <v>38.4</v>
      </c>
      <c r="K1904">
        <v>2.62</v>
      </c>
      <c r="L1904">
        <v>2.75</v>
      </c>
      <c r="M1904" t="s">
        <v>33</v>
      </c>
      <c r="N1904" t="s">
        <v>162</v>
      </c>
    </row>
    <row r="1905" spans="1:14" x14ac:dyDescent="0.3">
      <c r="A1905" t="s">
        <v>33</v>
      </c>
      <c r="B1905">
        <f>VLOOKUP(M1905,Sheet9!$I$1:$J$17,2,FALSE)</f>
        <v>6</v>
      </c>
      <c r="C1905">
        <f>VLOOKUP(N1905,Sheet9!$M$1:$N$2,2,FALSE)</f>
        <v>1</v>
      </c>
      <c r="D1905">
        <v>16</v>
      </c>
      <c r="E1905" t="s">
        <v>95</v>
      </c>
      <c r="F1905">
        <v>70</v>
      </c>
      <c r="H1905">
        <v>64</v>
      </c>
      <c r="I1905">
        <v>0.6</v>
      </c>
      <c r="J1905">
        <v>38.4</v>
      </c>
      <c r="K1905">
        <v>2.67</v>
      </c>
      <c r="L1905">
        <v>2.79</v>
      </c>
      <c r="M1905" t="s">
        <v>33</v>
      </c>
      <c r="N1905" t="s">
        <v>162</v>
      </c>
    </row>
    <row r="1906" spans="1:14" x14ac:dyDescent="0.3">
      <c r="A1906" t="s">
        <v>33</v>
      </c>
      <c r="B1906">
        <f>VLOOKUP(M1906,Sheet9!$I$1:$J$17,2,FALSE)</f>
        <v>6</v>
      </c>
      <c r="C1906">
        <f>VLOOKUP(N1906,Sheet9!$M$1:$N$2,2,FALSE)</f>
        <v>1</v>
      </c>
      <c r="D1906">
        <v>16</v>
      </c>
      <c r="E1906" t="s">
        <v>95</v>
      </c>
      <c r="F1906">
        <v>80</v>
      </c>
      <c r="H1906">
        <v>2</v>
      </c>
      <c r="I1906">
        <v>1</v>
      </c>
      <c r="J1906">
        <v>2</v>
      </c>
      <c r="K1906">
        <v>4.18</v>
      </c>
      <c r="L1906">
        <v>4.3600000000000003</v>
      </c>
      <c r="M1906" t="s">
        <v>33</v>
      </c>
      <c r="N1906" t="s">
        <v>162</v>
      </c>
    </row>
    <row r="1907" spans="1:14" x14ac:dyDescent="0.3">
      <c r="A1907" t="s">
        <v>33</v>
      </c>
      <c r="B1907">
        <f>VLOOKUP(M1907,Sheet9!$I$1:$J$17,2,FALSE)</f>
        <v>6</v>
      </c>
      <c r="C1907">
        <f>VLOOKUP(N1907,Sheet9!$M$1:$N$2,2,FALSE)</f>
        <v>1</v>
      </c>
      <c r="D1907">
        <v>16</v>
      </c>
      <c r="E1907" t="s">
        <v>95</v>
      </c>
      <c r="F1907">
        <v>80</v>
      </c>
      <c r="H1907">
        <v>6</v>
      </c>
      <c r="I1907">
        <v>0.6</v>
      </c>
      <c r="J1907">
        <v>3.6</v>
      </c>
      <c r="K1907">
        <v>6.76</v>
      </c>
      <c r="L1907">
        <v>7.06</v>
      </c>
      <c r="M1907" t="s">
        <v>33</v>
      </c>
      <c r="N1907" t="s">
        <v>162</v>
      </c>
    </row>
    <row r="1908" spans="1:14" x14ac:dyDescent="0.3">
      <c r="A1908" t="s">
        <v>33</v>
      </c>
      <c r="B1908">
        <f>VLOOKUP(M1908,Sheet9!$I$1:$J$17,2,FALSE)</f>
        <v>6</v>
      </c>
      <c r="C1908">
        <f>VLOOKUP(N1908,Sheet9!$M$1:$N$2,2,FALSE)</f>
        <v>1</v>
      </c>
      <c r="D1908">
        <v>16</v>
      </c>
      <c r="E1908" t="s">
        <v>95</v>
      </c>
      <c r="F1908">
        <v>80</v>
      </c>
      <c r="H1908">
        <v>8</v>
      </c>
      <c r="I1908">
        <v>0.6</v>
      </c>
      <c r="J1908">
        <v>4.8</v>
      </c>
      <c r="K1908">
        <v>6.22</v>
      </c>
      <c r="L1908">
        <v>6.49</v>
      </c>
      <c r="M1908" t="s">
        <v>33</v>
      </c>
      <c r="N1908" t="s">
        <v>162</v>
      </c>
    </row>
    <row r="1909" spans="1:14" x14ac:dyDescent="0.3">
      <c r="A1909" t="s">
        <v>33</v>
      </c>
      <c r="B1909">
        <f>VLOOKUP(M1909,Sheet9!$I$1:$J$17,2,FALSE)</f>
        <v>6</v>
      </c>
      <c r="C1909">
        <f>VLOOKUP(N1909,Sheet9!$M$1:$N$2,2,FALSE)</f>
        <v>1</v>
      </c>
      <c r="D1909">
        <v>16</v>
      </c>
      <c r="E1909" t="s">
        <v>167</v>
      </c>
      <c r="F1909">
        <v>80</v>
      </c>
      <c r="H1909">
        <v>8</v>
      </c>
      <c r="I1909">
        <v>0.6</v>
      </c>
      <c r="J1909">
        <v>4.8</v>
      </c>
      <c r="K1909">
        <v>7.24</v>
      </c>
      <c r="L1909">
        <v>7.46</v>
      </c>
      <c r="M1909" t="s">
        <v>33</v>
      </c>
      <c r="N1909" t="s">
        <v>162</v>
      </c>
    </row>
    <row r="1910" spans="1:14" x14ac:dyDescent="0.3">
      <c r="A1910" t="s">
        <v>33</v>
      </c>
      <c r="B1910">
        <f>VLOOKUP(M1910,Sheet9!$I$1:$J$17,2,FALSE)</f>
        <v>6</v>
      </c>
      <c r="C1910">
        <f>VLOOKUP(N1910,Sheet9!$M$1:$N$2,2,FALSE)</f>
        <v>1</v>
      </c>
      <c r="D1910">
        <v>16</v>
      </c>
      <c r="E1910" t="s">
        <v>95</v>
      </c>
      <c r="F1910">
        <v>80</v>
      </c>
      <c r="H1910">
        <v>1</v>
      </c>
      <c r="I1910">
        <v>5</v>
      </c>
      <c r="J1910">
        <v>5</v>
      </c>
      <c r="K1910">
        <v>3.75</v>
      </c>
      <c r="L1910">
        <v>3.91</v>
      </c>
      <c r="M1910" t="s">
        <v>33</v>
      </c>
      <c r="N1910" t="s">
        <v>162</v>
      </c>
    </row>
    <row r="1911" spans="1:14" x14ac:dyDescent="0.3">
      <c r="A1911" t="s">
        <v>33</v>
      </c>
      <c r="B1911">
        <f>VLOOKUP(M1911,Sheet9!$I$1:$J$17,2,FALSE)</f>
        <v>6</v>
      </c>
      <c r="C1911">
        <f>VLOOKUP(N1911,Sheet9!$M$1:$N$2,2,FALSE)</f>
        <v>1</v>
      </c>
      <c r="D1911">
        <v>16</v>
      </c>
      <c r="E1911" t="s">
        <v>95</v>
      </c>
      <c r="F1911">
        <v>80</v>
      </c>
      <c r="H1911">
        <v>10</v>
      </c>
      <c r="I1911">
        <v>0.6</v>
      </c>
      <c r="J1911">
        <v>6</v>
      </c>
      <c r="K1911">
        <v>5.0199999999999996</v>
      </c>
      <c r="L1911">
        <v>5.17</v>
      </c>
      <c r="M1911" t="s">
        <v>33</v>
      </c>
      <c r="N1911" t="s">
        <v>162</v>
      </c>
    </row>
    <row r="1912" spans="1:14" x14ac:dyDescent="0.3">
      <c r="A1912" t="s">
        <v>33</v>
      </c>
      <c r="B1912">
        <f>VLOOKUP(M1912,Sheet9!$I$1:$J$17,2,FALSE)</f>
        <v>6</v>
      </c>
      <c r="C1912">
        <f>VLOOKUP(N1912,Sheet9!$M$1:$N$2,2,FALSE)</f>
        <v>1</v>
      </c>
      <c r="D1912">
        <v>16</v>
      </c>
      <c r="E1912" t="s">
        <v>95</v>
      </c>
      <c r="F1912">
        <v>80</v>
      </c>
      <c r="H1912">
        <v>6</v>
      </c>
      <c r="I1912">
        <v>1.2</v>
      </c>
      <c r="J1912">
        <v>7.2</v>
      </c>
      <c r="K1912">
        <v>5.39</v>
      </c>
      <c r="L1912">
        <v>5.62</v>
      </c>
      <c r="M1912" t="s">
        <v>33</v>
      </c>
      <c r="N1912" t="s">
        <v>162</v>
      </c>
    </row>
    <row r="1913" spans="1:14" x14ac:dyDescent="0.3">
      <c r="A1913" t="s">
        <v>33</v>
      </c>
      <c r="B1913">
        <f>VLOOKUP(M1913,Sheet9!$I$1:$J$17,2,FALSE)</f>
        <v>6</v>
      </c>
      <c r="C1913">
        <f>VLOOKUP(N1913,Sheet9!$M$1:$N$2,2,FALSE)</f>
        <v>1</v>
      </c>
      <c r="D1913">
        <v>16</v>
      </c>
      <c r="E1913" t="s">
        <v>95</v>
      </c>
      <c r="F1913">
        <v>80</v>
      </c>
      <c r="H1913">
        <v>1</v>
      </c>
      <c r="I1913">
        <v>10</v>
      </c>
      <c r="J1913">
        <v>10</v>
      </c>
      <c r="K1913">
        <v>3.75</v>
      </c>
      <c r="L1913">
        <v>3.91</v>
      </c>
      <c r="M1913" t="s">
        <v>33</v>
      </c>
      <c r="N1913" t="s">
        <v>162</v>
      </c>
    </row>
    <row r="1914" spans="1:14" x14ac:dyDescent="0.3">
      <c r="A1914" t="s">
        <v>33</v>
      </c>
      <c r="B1914">
        <f>VLOOKUP(M1914,Sheet9!$I$1:$J$17,2,FALSE)</f>
        <v>6</v>
      </c>
      <c r="C1914">
        <f>VLOOKUP(N1914,Sheet9!$M$1:$N$2,2,FALSE)</f>
        <v>1</v>
      </c>
      <c r="D1914">
        <v>16</v>
      </c>
      <c r="E1914" t="s">
        <v>95</v>
      </c>
      <c r="F1914">
        <v>80</v>
      </c>
      <c r="H1914">
        <v>20</v>
      </c>
      <c r="I1914">
        <v>0.6</v>
      </c>
      <c r="J1914">
        <v>12</v>
      </c>
      <c r="K1914">
        <v>5.12</v>
      </c>
      <c r="L1914">
        <v>5.27</v>
      </c>
      <c r="M1914" t="s">
        <v>33</v>
      </c>
      <c r="N1914" t="s">
        <v>162</v>
      </c>
    </row>
    <row r="1915" spans="1:14" x14ac:dyDescent="0.3">
      <c r="A1915" t="s">
        <v>33</v>
      </c>
      <c r="B1915">
        <f>VLOOKUP(M1915,Sheet9!$I$1:$J$17,2,FALSE)</f>
        <v>6</v>
      </c>
      <c r="C1915">
        <f>VLOOKUP(N1915,Sheet9!$M$1:$N$2,2,FALSE)</f>
        <v>1</v>
      </c>
      <c r="D1915">
        <v>16</v>
      </c>
      <c r="E1915" t="s">
        <v>95</v>
      </c>
      <c r="F1915">
        <v>80</v>
      </c>
      <c r="H1915">
        <v>12</v>
      </c>
      <c r="I1915">
        <v>1.2</v>
      </c>
      <c r="J1915">
        <v>14.4</v>
      </c>
      <c r="K1915">
        <v>4.8099999999999996</v>
      </c>
      <c r="L1915">
        <v>5.0199999999999996</v>
      </c>
      <c r="M1915" t="s">
        <v>33</v>
      </c>
      <c r="N1915" t="s">
        <v>162</v>
      </c>
    </row>
    <row r="1916" spans="1:14" x14ac:dyDescent="0.3">
      <c r="A1916" t="s">
        <v>33</v>
      </c>
      <c r="B1916">
        <f>VLOOKUP(M1916,Sheet9!$I$1:$J$17,2,FALSE)</f>
        <v>6</v>
      </c>
      <c r="C1916">
        <f>VLOOKUP(N1916,Sheet9!$M$1:$N$2,2,FALSE)</f>
        <v>1</v>
      </c>
      <c r="D1916">
        <v>16</v>
      </c>
      <c r="E1916" t="s">
        <v>95</v>
      </c>
      <c r="F1916">
        <v>80</v>
      </c>
      <c r="H1916">
        <v>32</v>
      </c>
      <c r="I1916">
        <v>1.2</v>
      </c>
      <c r="J1916">
        <v>38.4</v>
      </c>
      <c r="K1916">
        <v>4.2</v>
      </c>
      <c r="L1916">
        <v>4.38</v>
      </c>
      <c r="M1916" t="s">
        <v>33</v>
      </c>
      <c r="N1916" t="s">
        <v>162</v>
      </c>
    </row>
    <row r="1917" spans="1:14" x14ac:dyDescent="0.3">
      <c r="A1917" t="s">
        <v>33</v>
      </c>
      <c r="B1917">
        <f>VLOOKUP(M1917,Sheet9!$I$1:$J$17,2,FALSE)</f>
        <v>6</v>
      </c>
      <c r="C1917">
        <f>VLOOKUP(N1917,Sheet9!$M$1:$N$2,2,FALSE)</f>
        <v>1</v>
      </c>
      <c r="D1917">
        <v>16</v>
      </c>
      <c r="E1917" t="s">
        <v>95</v>
      </c>
      <c r="F1917">
        <v>80</v>
      </c>
      <c r="H1917">
        <v>64</v>
      </c>
      <c r="I1917">
        <v>0.6</v>
      </c>
      <c r="J1917">
        <v>38.4</v>
      </c>
      <c r="K1917">
        <v>4.2300000000000004</v>
      </c>
      <c r="L1917">
        <v>4.3499999999999996</v>
      </c>
      <c r="M1917" t="s">
        <v>33</v>
      </c>
      <c r="N1917" t="s">
        <v>162</v>
      </c>
    </row>
    <row r="1918" spans="1:14" x14ac:dyDescent="0.3">
      <c r="A1918" t="s">
        <v>33</v>
      </c>
      <c r="B1918">
        <f>VLOOKUP(M1918,Sheet9!$I$1:$J$17,2,FALSE)</f>
        <v>6</v>
      </c>
      <c r="C1918">
        <f>VLOOKUP(N1918,Sheet9!$M$1:$N$2,2,FALSE)</f>
        <v>1</v>
      </c>
      <c r="D1918">
        <v>16</v>
      </c>
      <c r="E1918" t="s">
        <v>95</v>
      </c>
      <c r="F1918">
        <v>100</v>
      </c>
      <c r="H1918">
        <v>2</v>
      </c>
      <c r="I1918">
        <v>1</v>
      </c>
      <c r="J1918">
        <v>2</v>
      </c>
      <c r="K1918">
        <v>8.44</v>
      </c>
      <c r="L1918">
        <v>8.65</v>
      </c>
      <c r="M1918" t="s">
        <v>33</v>
      </c>
      <c r="N1918" t="s">
        <v>162</v>
      </c>
    </row>
    <row r="1919" spans="1:14" x14ac:dyDescent="0.3">
      <c r="A1919" t="s">
        <v>33</v>
      </c>
      <c r="B1919">
        <f>VLOOKUP(M1919,Sheet9!$I$1:$J$17,2,FALSE)</f>
        <v>6</v>
      </c>
      <c r="C1919">
        <f>VLOOKUP(N1919,Sheet9!$M$1:$N$2,2,FALSE)</f>
        <v>1</v>
      </c>
      <c r="D1919">
        <v>16</v>
      </c>
      <c r="E1919" t="s">
        <v>95</v>
      </c>
      <c r="F1919">
        <v>100</v>
      </c>
      <c r="H1919">
        <v>6</v>
      </c>
      <c r="I1919">
        <v>0.6</v>
      </c>
      <c r="J1919">
        <v>3.6</v>
      </c>
      <c r="K1919">
        <v>13.67</v>
      </c>
      <c r="L1919">
        <v>14.01</v>
      </c>
      <c r="M1919" t="s">
        <v>33</v>
      </c>
      <c r="N1919" t="s">
        <v>162</v>
      </c>
    </row>
    <row r="1920" spans="1:14" x14ac:dyDescent="0.3">
      <c r="A1920" t="s">
        <v>33</v>
      </c>
      <c r="B1920">
        <f>VLOOKUP(M1920,Sheet9!$I$1:$J$17,2,FALSE)</f>
        <v>6</v>
      </c>
      <c r="C1920">
        <f>VLOOKUP(N1920,Sheet9!$M$1:$N$2,2,FALSE)</f>
        <v>1</v>
      </c>
      <c r="D1920">
        <v>16</v>
      </c>
      <c r="E1920" t="s">
        <v>95</v>
      </c>
      <c r="F1920">
        <v>100</v>
      </c>
      <c r="H1920">
        <v>8</v>
      </c>
      <c r="I1920">
        <v>0.6</v>
      </c>
      <c r="J1920">
        <v>4.8</v>
      </c>
      <c r="K1920">
        <v>12.56</v>
      </c>
      <c r="L1920">
        <v>12.88</v>
      </c>
      <c r="M1920" t="s">
        <v>33</v>
      </c>
      <c r="N1920" t="s">
        <v>162</v>
      </c>
    </row>
    <row r="1921" spans="1:14" x14ac:dyDescent="0.3">
      <c r="A1921" t="s">
        <v>33</v>
      </c>
      <c r="B1921">
        <f>VLOOKUP(M1921,Sheet9!$I$1:$J$17,2,FALSE)</f>
        <v>6</v>
      </c>
      <c r="C1921">
        <f>VLOOKUP(N1921,Sheet9!$M$1:$N$2,2,FALSE)</f>
        <v>1</v>
      </c>
      <c r="D1921">
        <v>16</v>
      </c>
      <c r="E1921" t="s">
        <v>167</v>
      </c>
      <c r="F1921">
        <v>100</v>
      </c>
      <c r="H1921">
        <v>8</v>
      </c>
      <c r="I1921">
        <v>0.6</v>
      </c>
      <c r="J1921">
        <v>4.8</v>
      </c>
      <c r="K1921">
        <v>14.69</v>
      </c>
      <c r="L1921">
        <v>14.93</v>
      </c>
      <c r="M1921" t="s">
        <v>33</v>
      </c>
      <c r="N1921" t="s">
        <v>162</v>
      </c>
    </row>
    <row r="1922" spans="1:14" x14ac:dyDescent="0.3">
      <c r="A1922" t="s">
        <v>33</v>
      </c>
      <c r="B1922">
        <f>VLOOKUP(M1922,Sheet9!$I$1:$J$17,2,FALSE)</f>
        <v>6</v>
      </c>
      <c r="C1922">
        <f>VLOOKUP(N1922,Sheet9!$M$1:$N$2,2,FALSE)</f>
        <v>1</v>
      </c>
      <c r="D1922">
        <v>16</v>
      </c>
      <c r="E1922" t="s">
        <v>95</v>
      </c>
      <c r="F1922">
        <v>100</v>
      </c>
      <c r="H1922">
        <v>1</v>
      </c>
      <c r="I1922">
        <v>5</v>
      </c>
      <c r="J1922">
        <v>5</v>
      </c>
      <c r="K1922">
        <v>7.57</v>
      </c>
      <c r="L1922">
        <v>7.76</v>
      </c>
      <c r="M1922" t="s">
        <v>33</v>
      </c>
      <c r="N1922" t="s">
        <v>162</v>
      </c>
    </row>
    <row r="1923" spans="1:14" x14ac:dyDescent="0.3">
      <c r="A1923" t="s">
        <v>33</v>
      </c>
      <c r="B1923">
        <f>VLOOKUP(M1923,Sheet9!$I$1:$J$17,2,FALSE)</f>
        <v>6</v>
      </c>
      <c r="C1923">
        <f>VLOOKUP(N1923,Sheet9!$M$1:$N$2,2,FALSE)</f>
        <v>1</v>
      </c>
      <c r="D1923">
        <v>16</v>
      </c>
      <c r="E1923" t="s">
        <v>95</v>
      </c>
      <c r="F1923">
        <v>100</v>
      </c>
      <c r="H1923">
        <v>10</v>
      </c>
      <c r="I1923">
        <v>0.6</v>
      </c>
      <c r="J1923">
        <v>6</v>
      </c>
      <c r="K1923">
        <v>10.19</v>
      </c>
      <c r="L1923">
        <v>10.35</v>
      </c>
      <c r="M1923" t="s">
        <v>33</v>
      </c>
      <c r="N1923" t="s">
        <v>162</v>
      </c>
    </row>
    <row r="1924" spans="1:14" x14ac:dyDescent="0.3">
      <c r="A1924" t="s">
        <v>33</v>
      </c>
      <c r="B1924">
        <f>VLOOKUP(M1924,Sheet9!$I$1:$J$17,2,FALSE)</f>
        <v>6</v>
      </c>
      <c r="C1924">
        <f>VLOOKUP(N1924,Sheet9!$M$1:$N$2,2,FALSE)</f>
        <v>1</v>
      </c>
      <c r="D1924">
        <v>16</v>
      </c>
      <c r="E1924" t="s">
        <v>95</v>
      </c>
      <c r="F1924">
        <v>100</v>
      </c>
      <c r="H1924">
        <v>6</v>
      </c>
      <c r="I1924">
        <v>1.2</v>
      </c>
      <c r="J1924">
        <v>7.2</v>
      </c>
      <c r="K1924">
        <v>10.89</v>
      </c>
      <c r="L1924">
        <v>11.16</v>
      </c>
      <c r="M1924" t="s">
        <v>33</v>
      </c>
      <c r="N1924" t="s">
        <v>162</v>
      </c>
    </row>
    <row r="1925" spans="1:14" x14ac:dyDescent="0.3">
      <c r="A1925" t="s">
        <v>33</v>
      </c>
      <c r="B1925">
        <f>VLOOKUP(M1925,Sheet9!$I$1:$J$17,2,FALSE)</f>
        <v>6</v>
      </c>
      <c r="C1925">
        <f>VLOOKUP(N1925,Sheet9!$M$1:$N$2,2,FALSE)</f>
        <v>1</v>
      </c>
      <c r="D1925">
        <v>16</v>
      </c>
      <c r="E1925" t="s">
        <v>95</v>
      </c>
      <c r="F1925">
        <v>100</v>
      </c>
      <c r="H1925">
        <v>1</v>
      </c>
      <c r="I1925">
        <v>10</v>
      </c>
      <c r="J1925">
        <v>10</v>
      </c>
      <c r="K1925">
        <v>7.57</v>
      </c>
      <c r="L1925">
        <v>7.76</v>
      </c>
      <c r="M1925" t="s">
        <v>33</v>
      </c>
      <c r="N1925" t="s">
        <v>162</v>
      </c>
    </row>
    <row r="1926" spans="1:14" x14ac:dyDescent="0.3">
      <c r="A1926" t="s">
        <v>33</v>
      </c>
      <c r="B1926">
        <f>VLOOKUP(M1926,Sheet9!$I$1:$J$17,2,FALSE)</f>
        <v>6</v>
      </c>
      <c r="C1926">
        <f>VLOOKUP(N1926,Sheet9!$M$1:$N$2,2,FALSE)</f>
        <v>1</v>
      </c>
      <c r="D1926">
        <v>16</v>
      </c>
      <c r="E1926" t="s">
        <v>95</v>
      </c>
      <c r="F1926">
        <v>100</v>
      </c>
      <c r="H1926">
        <v>20</v>
      </c>
      <c r="I1926">
        <v>0.6</v>
      </c>
      <c r="J1926">
        <v>12</v>
      </c>
      <c r="K1926">
        <v>10.38</v>
      </c>
      <c r="L1926">
        <v>10.55</v>
      </c>
      <c r="M1926" t="s">
        <v>33</v>
      </c>
      <c r="N1926" t="s">
        <v>162</v>
      </c>
    </row>
    <row r="1927" spans="1:14" x14ac:dyDescent="0.3">
      <c r="A1927" t="s">
        <v>33</v>
      </c>
      <c r="B1927">
        <f>VLOOKUP(M1927,Sheet9!$I$1:$J$17,2,FALSE)</f>
        <v>6</v>
      </c>
      <c r="C1927">
        <f>VLOOKUP(N1927,Sheet9!$M$1:$N$2,2,FALSE)</f>
        <v>1</v>
      </c>
      <c r="D1927">
        <v>16</v>
      </c>
      <c r="E1927" t="s">
        <v>95</v>
      </c>
      <c r="F1927">
        <v>100</v>
      </c>
      <c r="H1927">
        <v>12</v>
      </c>
      <c r="I1927">
        <v>1.2</v>
      </c>
      <c r="J1927">
        <v>14.4</v>
      </c>
      <c r="K1927">
        <v>9.7100000000000009</v>
      </c>
      <c r="L1927">
        <v>9.9600000000000009</v>
      </c>
      <c r="M1927" t="s">
        <v>33</v>
      </c>
      <c r="N1927" t="s">
        <v>162</v>
      </c>
    </row>
    <row r="1928" spans="1:14" x14ac:dyDescent="0.3">
      <c r="A1928" t="s">
        <v>33</v>
      </c>
      <c r="B1928">
        <f>VLOOKUP(M1928,Sheet9!$I$1:$J$17,2,FALSE)</f>
        <v>6</v>
      </c>
      <c r="C1928">
        <f>VLOOKUP(N1928,Sheet9!$M$1:$N$2,2,FALSE)</f>
        <v>1</v>
      </c>
      <c r="D1928">
        <v>16</v>
      </c>
      <c r="E1928" t="s">
        <v>95</v>
      </c>
      <c r="F1928">
        <v>100</v>
      </c>
      <c r="H1928">
        <v>32</v>
      </c>
      <c r="I1928">
        <v>1.2</v>
      </c>
      <c r="J1928">
        <v>38.4</v>
      </c>
      <c r="K1928">
        <v>8.48</v>
      </c>
      <c r="L1928">
        <v>8.69</v>
      </c>
      <c r="M1928" t="s">
        <v>33</v>
      </c>
      <c r="N1928" t="s">
        <v>162</v>
      </c>
    </row>
    <row r="1929" spans="1:14" x14ac:dyDescent="0.3">
      <c r="A1929" t="s">
        <v>33</v>
      </c>
      <c r="B1929">
        <f>VLOOKUP(M1929,Sheet9!$I$1:$J$17,2,FALSE)</f>
        <v>6</v>
      </c>
      <c r="C1929">
        <f>VLOOKUP(N1929,Sheet9!$M$1:$N$2,2,FALSE)</f>
        <v>1</v>
      </c>
      <c r="D1929">
        <v>16</v>
      </c>
      <c r="E1929" t="s">
        <v>95</v>
      </c>
      <c r="F1929">
        <v>100</v>
      </c>
      <c r="H1929">
        <v>64</v>
      </c>
      <c r="I1929">
        <v>0.6</v>
      </c>
      <c r="J1929">
        <v>38.4</v>
      </c>
      <c r="K1929">
        <v>8.57</v>
      </c>
      <c r="L1929">
        <v>8.7100000000000009</v>
      </c>
      <c r="M1929" t="s">
        <v>33</v>
      </c>
      <c r="N1929" t="s">
        <v>162</v>
      </c>
    </row>
    <row r="1930" spans="1:14" x14ac:dyDescent="0.3">
      <c r="A1930" t="s">
        <v>33</v>
      </c>
      <c r="B1930">
        <f>VLOOKUP(M1930,Sheet9!$I$1:$J$17,2,FALSE)</f>
        <v>6</v>
      </c>
      <c r="C1930">
        <f>VLOOKUP(N1930,Sheet9!$M$1:$N$2,2,FALSE)</f>
        <v>1</v>
      </c>
      <c r="D1930">
        <v>16</v>
      </c>
      <c r="E1930" t="s">
        <v>95</v>
      </c>
      <c r="F1930">
        <v>120</v>
      </c>
      <c r="H1930">
        <v>2</v>
      </c>
      <c r="I1930">
        <v>1</v>
      </c>
      <c r="J1930">
        <v>2</v>
      </c>
      <c r="K1930">
        <v>13.85</v>
      </c>
      <c r="L1930">
        <v>14.11</v>
      </c>
      <c r="M1930" t="s">
        <v>33</v>
      </c>
      <c r="N1930" t="s">
        <v>162</v>
      </c>
    </row>
    <row r="1931" spans="1:14" x14ac:dyDescent="0.3">
      <c r="A1931" t="s">
        <v>33</v>
      </c>
      <c r="B1931">
        <f>VLOOKUP(M1931,Sheet9!$I$1:$J$17,2,FALSE)</f>
        <v>6</v>
      </c>
      <c r="C1931">
        <f>VLOOKUP(N1931,Sheet9!$M$1:$N$2,2,FALSE)</f>
        <v>1</v>
      </c>
      <c r="D1931">
        <v>16</v>
      </c>
      <c r="E1931" t="s">
        <v>95</v>
      </c>
      <c r="F1931">
        <v>120</v>
      </c>
      <c r="H1931">
        <v>6</v>
      </c>
      <c r="I1931">
        <v>0.6</v>
      </c>
      <c r="J1931">
        <v>3.6</v>
      </c>
      <c r="K1931">
        <v>22.42</v>
      </c>
      <c r="L1931">
        <v>22.85</v>
      </c>
      <c r="M1931" t="s">
        <v>33</v>
      </c>
      <c r="N1931" t="s">
        <v>162</v>
      </c>
    </row>
    <row r="1932" spans="1:14" x14ac:dyDescent="0.3">
      <c r="A1932" t="s">
        <v>33</v>
      </c>
      <c r="B1932">
        <f>VLOOKUP(M1932,Sheet9!$I$1:$J$17,2,FALSE)</f>
        <v>6</v>
      </c>
      <c r="C1932">
        <f>VLOOKUP(N1932,Sheet9!$M$1:$N$2,2,FALSE)</f>
        <v>1</v>
      </c>
      <c r="D1932">
        <v>16</v>
      </c>
      <c r="E1932" t="s">
        <v>95</v>
      </c>
      <c r="F1932">
        <v>120</v>
      </c>
      <c r="H1932">
        <v>8</v>
      </c>
      <c r="I1932">
        <v>0.6</v>
      </c>
      <c r="J1932">
        <v>4.8</v>
      </c>
      <c r="K1932">
        <v>20.6</v>
      </c>
      <c r="L1932">
        <v>21</v>
      </c>
      <c r="M1932" t="s">
        <v>33</v>
      </c>
      <c r="N1932" t="s">
        <v>162</v>
      </c>
    </row>
    <row r="1933" spans="1:14" x14ac:dyDescent="0.3">
      <c r="A1933" t="s">
        <v>33</v>
      </c>
      <c r="B1933">
        <f>VLOOKUP(M1933,Sheet9!$I$1:$J$17,2,FALSE)</f>
        <v>6</v>
      </c>
      <c r="C1933">
        <f>VLOOKUP(N1933,Sheet9!$M$1:$N$2,2,FALSE)</f>
        <v>1</v>
      </c>
      <c r="D1933">
        <v>16</v>
      </c>
      <c r="E1933" t="s">
        <v>167</v>
      </c>
      <c r="F1933">
        <v>120</v>
      </c>
      <c r="H1933">
        <v>8</v>
      </c>
      <c r="I1933">
        <v>0.6</v>
      </c>
      <c r="J1933">
        <v>4.8</v>
      </c>
      <c r="K1933">
        <v>24.33</v>
      </c>
      <c r="L1933">
        <v>24.63</v>
      </c>
      <c r="M1933" t="s">
        <v>33</v>
      </c>
      <c r="N1933" t="s">
        <v>162</v>
      </c>
    </row>
    <row r="1934" spans="1:14" x14ac:dyDescent="0.3">
      <c r="A1934" t="s">
        <v>33</v>
      </c>
      <c r="B1934">
        <f>VLOOKUP(M1934,Sheet9!$I$1:$J$17,2,FALSE)</f>
        <v>6</v>
      </c>
      <c r="C1934">
        <f>VLOOKUP(N1934,Sheet9!$M$1:$N$2,2,FALSE)</f>
        <v>1</v>
      </c>
      <c r="D1934">
        <v>16</v>
      </c>
      <c r="E1934" t="s">
        <v>95</v>
      </c>
      <c r="F1934">
        <v>120</v>
      </c>
      <c r="H1934">
        <v>1</v>
      </c>
      <c r="I1934">
        <v>5</v>
      </c>
      <c r="J1934">
        <v>5</v>
      </c>
      <c r="K1934">
        <v>12.42</v>
      </c>
      <c r="L1934">
        <v>12.66</v>
      </c>
      <c r="M1934" t="s">
        <v>33</v>
      </c>
      <c r="N1934" t="s">
        <v>162</v>
      </c>
    </row>
    <row r="1935" spans="1:14" x14ac:dyDescent="0.3">
      <c r="A1935" t="s">
        <v>33</v>
      </c>
      <c r="B1935">
        <f>VLOOKUP(M1935,Sheet9!$I$1:$J$17,2,FALSE)</f>
        <v>6</v>
      </c>
      <c r="C1935">
        <f>VLOOKUP(N1935,Sheet9!$M$1:$N$2,2,FALSE)</f>
        <v>1</v>
      </c>
      <c r="D1935">
        <v>16</v>
      </c>
      <c r="E1935" t="s">
        <v>95</v>
      </c>
      <c r="F1935">
        <v>120</v>
      </c>
      <c r="H1935">
        <v>10</v>
      </c>
      <c r="I1935">
        <v>0.6</v>
      </c>
      <c r="J1935">
        <v>6</v>
      </c>
      <c r="K1935">
        <v>16.87</v>
      </c>
      <c r="L1935">
        <v>17.079999999999998</v>
      </c>
      <c r="M1935" t="s">
        <v>33</v>
      </c>
      <c r="N1935" t="s">
        <v>162</v>
      </c>
    </row>
    <row r="1936" spans="1:14" x14ac:dyDescent="0.3">
      <c r="A1936" t="s">
        <v>33</v>
      </c>
      <c r="B1936">
        <f>VLOOKUP(M1936,Sheet9!$I$1:$J$17,2,FALSE)</f>
        <v>6</v>
      </c>
      <c r="C1936">
        <f>VLOOKUP(N1936,Sheet9!$M$1:$N$2,2,FALSE)</f>
        <v>1</v>
      </c>
      <c r="D1936">
        <v>16</v>
      </c>
      <c r="E1936" t="s">
        <v>95</v>
      </c>
      <c r="F1936">
        <v>120</v>
      </c>
      <c r="H1936">
        <v>6</v>
      </c>
      <c r="I1936">
        <v>1.2</v>
      </c>
      <c r="J1936">
        <v>7.2</v>
      </c>
      <c r="K1936">
        <v>17.86</v>
      </c>
      <c r="L1936">
        <v>18.2</v>
      </c>
      <c r="M1936" t="s">
        <v>33</v>
      </c>
      <c r="N1936" t="s">
        <v>162</v>
      </c>
    </row>
    <row r="1937" spans="1:14" x14ac:dyDescent="0.3">
      <c r="A1937" t="s">
        <v>33</v>
      </c>
      <c r="B1937">
        <f>VLOOKUP(M1937,Sheet9!$I$1:$J$17,2,FALSE)</f>
        <v>6</v>
      </c>
      <c r="C1937">
        <f>VLOOKUP(N1937,Sheet9!$M$1:$N$2,2,FALSE)</f>
        <v>1</v>
      </c>
      <c r="D1937">
        <v>16</v>
      </c>
      <c r="E1937" t="s">
        <v>95</v>
      </c>
      <c r="F1937">
        <v>120</v>
      </c>
      <c r="H1937">
        <v>1</v>
      </c>
      <c r="I1937">
        <v>10</v>
      </c>
      <c r="J1937">
        <v>10</v>
      </c>
      <c r="K1937">
        <v>12.42</v>
      </c>
      <c r="L1937">
        <v>12.66</v>
      </c>
      <c r="M1937" t="s">
        <v>33</v>
      </c>
      <c r="N1937" t="s">
        <v>162</v>
      </c>
    </row>
    <row r="1938" spans="1:14" x14ac:dyDescent="0.3">
      <c r="A1938" t="s">
        <v>33</v>
      </c>
      <c r="B1938">
        <f>VLOOKUP(M1938,Sheet9!$I$1:$J$17,2,FALSE)</f>
        <v>6</v>
      </c>
      <c r="C1938">
        <f>VLOOKUP(N1938,Sheet9!$M$1:$N$2,2,FALSE)</f>
        <v>1</v>
      </c>
      <c r="D1938">
        <v>16</v>
      </c>
      <c r="E1938" t="s">
        <v>95</v>
      </c>
      <c r="F1938">
        <v>120</v>
      </c>
      <c r="H1938">
        <v>20</v>
      </c>
      <c r="I1938">
        <v>0.6</v>
      </c>
      <c r="J1938">
        <v>12</v>
      </c>
      <c r="K1938">
        <v>17.190000000000001</v>
      </c>
      <c r="L1938">
        <v>17.41</v>
      </c>
      <c r="M1938" t="s">
        <v>33</v>
      </c>
      <c r="N1938" t="s">
        <v>162</v>
      </c>
    </row>
    <row r="1939" spans="1:14" x14ac:dyDescent="0.3">
      <c r="A1939" t="s">
        <v>33</v>
      </c>
      <c r="B1939">
        <f>VLOOKUP(M1939,Sheet9!$I$1:$J$17,2,FALSE)</f>
        <v>6</v>
      </c>
      <c r="C1939">
        <f>VLOOKUP(N1939,Sheet9!$M$1:$N$2,2,FALSE)</f>
        <v>1</v>
      </c>
      <c r="D1939">
        <v>16</v>
      </c>
      <c r="E1939" t="s">
        <v>95</v>
      </c>
      <c r="F1939">
        <v>120</v>
      </c>
      <c r="H1939">
        <v>12</v>
      </c>
      <c r="I1939">
        <v>1.2</v>
      </c>
      <c r="J1939">
        <v>14.4</v>
      </c>
      <c r="K1939">
        <v>15.93</v>
      </c>
      <c r="L1939">
        <v>16.239999999999998</v>
      </c>
      <c r="M1939" t="s">
        <v>33</v>
      </c>
      <c r="N1939" t="s">
        <v>162</v>
      </c>
    </row>
    <row r="1940" spans="1:14" x14ac:dyDescent="0.3">
      <c r="A1940" t="s">
        <v>33</v>
      </c>
      <c r="B1940">
        <f>VLOOKUP(M1940,Sheet9!$I$1:$J$17,2,FALSE)</f>
        <v>6</v>
      </c>
      <c r="C1940">
        <f>VLOOKUP(N1940,Sheet9!$M$1:$N$2,2,FALSE)</f>
        <v>1</v>
      </c>
      <c r="D1940">
        <v>16</v>
      </c>
      <c r="E1940" t="s">
        <v>95</v>
      </c>
      <c r="F1940">
        <v>120</v>
      </c>
      <c r="H1940">
        <v>32</v>
      </c>
      <c r="I1940">
        <v>1.2</v>
      </c>
      <c r="J1940">
        <v>38.4</v>
      </c>
      <c r="K1940">
        <v>13.91</v>
      </c>
      <c r="L1940">
        <v>14.17</v>
      </c>
      <c r="M1940" t="s">
        <v>33</v>
      </c>
      <c r="N1940" t="s">
        <v>162</v>
      </c>
    </row>
    <row r="1941" spans="1:14" x14ac:dyDescent="0.3">
      <c r="A1941" t="s">
        <v>33</v>
      </c>
      <c r="B1941">
        <f>VLOOKUP(M1941,Sheet9!$I$1:$J$17,2,FALSE)</f>
        <v>6</v>
      </c>
      <c r="C1941">
        <f>VLOOKUP(N1941,Sheet9!$M$1:$N$2,2,FALSE)</f>
        <v>1</v>
      </c>
      <c r="D1941">
        <v>16</v>
      </c>
      <c r="E1941" t="s">
        <v>95</v>
      </c>
      <c r="F1941">
        <v>120</v>
      </c>
      <c r="H1941">
        <v>64</v>
      </c>
      <c r="I1941">
        <v>0.6</v>
      </c>
      <c r="J1941">
        <v>38.4</v>
      </c>
      <c r="K1941">
        <v>14.19</v>
      </c>
      <c r="L1941">
        <v>14.37</v>
      </c>
      <c r="M1941" t="s">
        <v>33</v>
      </c>
      <c r="N1941" t="s">
        <v>162</v>
      </c>
    </row>
    <row r="1942" spans="1:14" x14ac:dyDescent="0.3">
      <c r="A1942" t="s">
        <v>33</v>
      </c>
      <c r="B1942">
        <f>VLOOKUP(M1942,Sheet9!$I$1:$J$17,2,FALSE)</f>
        <v>6</v>
      </c>
      <c r="C1942">
        <f>VLOOKUP(N1942,Sheet9!$M$1:$N$2,2,FALSE)</f>
        <v>1</v>
      </c>
      <c r="D1942">
        <v>16</v>
      </c>
      <c r="E1942" t="s">
        <v>95</v>
      </c>
      <c r="F1942">
        <v>140</v>
      </c>
      <c r="H1942">
        <v>2</v>
      </c>
      <c r="I1942">
        <v>1</v>
      </c>
      <c r="J1942">
        <v>2</v>
      </c>
      <c r="K1942">
        <v>20.239999999999998</v>
      </c>
      <c r="L1942">
        <v>20.6</v>
      </c>
      <c r="M1942" t="s">
        <v>33</v>
      </c>
      <c r="N1942" t="s">
        <v>162</v>
      </c>
    </row>
    <row r="1943" spans="1:14" x14ac:dyDescent="0.3">
      <c r="A1943" t="s">
        <v>33</v>
      </c>
      <c r="B1943">
        <f>VLOOKUP(M1943,Sheet9!$I$1:$J$17,2,FALSE)</f>
        <v>6</v>
      </c>
      <c r="C1943">
        <f>VLOOKUP(N1943,Sheet9!$M$1:$N$2,2,FALSE)</f>
        <v>1</v>
      </c>
      <c r="D1943">
        <v>16</v>
      </c>
      <c r="E1943" t="s">
        <v>95</v>
      </c>
      <c r="F1943">
        <v>140</v>
      </c>
      <c r="H1943">
        <v>6</v>
      </c>
      <c r="I1943">
        <v>0.6</v>
      </c>
      <c r="J1943">
        <v>3.6</v>
      </c>
      <c r="K1943">
        <v>32.770000000000003</v>
      </c>
      <c r="L1943">
        <v>33.35</v>
      </c>
      <c r="M1943" t="s">
        <v>33</v>
      </c>
      <c r="N1943" t="s">
        <v>162</v>
      </c>
    </row>
    <row r="1944" spans="1:14" x14ac:dyDescent="0.3">
      <c r="A1944" t="s">
        <v>33</v>
      </c>
      <c r="B1944">
        <f>VLOOKUP(M1944,Sheet9!$I$1:$J$17,2,FALSE)</f>
        <v>6</v>
      </c>
      <c r="C1944">
        <f>VLOOKUP(N1944,Sheet9!$M$1:$N$2,2,FALSE)</f>
        <v>1</v>
      </c>
      <c r="D1944">
        <v>16</v>
      </c>
      <c r="E1944" t="s">
        <v>95</v>
      </c>
      <c r="F1944">
        <v>140</v>
      </c>
      <c r="H1944">
        <v>8</v>
      </c>
      <c r="I1944">
        <v>0.6</v>
      </c>
      <c r="J1944">
        <v>4.8</v>
      </c>
      <c r="K1944">
        <v>30.12</v>
      </c>
      <c r="L1944">
        <v>30.65</v>
      </c>
      <c r="M1944" t="s">
        <v>33</v>
      </c>
      <c r="N1944" t="s">
        <v>162</v>
      </c>
    </row>
    <row r="1945" spans="1:14" x14ac:dyDescent="0.3">
      <c r="A1945" t="s">
        <v>33</v>
      </c>
      <c r="B1945">
        <f>VLOOKUP(M1945,Sheet9!$I$1:$J$17,2,FALSE)</f>
        <v>6</v>
      </c>
      <c r="C1945">
        <f>VLOOKUP(N1945,Sheet9!$M$1:$N$2,2,FALSE)</f>
        <v>1</v>
      </c>
      <c r="D1945">
        <v>16</v>
      </c>
      <c r="E1945" t="s">
        <v>167</v>
      </c>
      <c r="F1945">
        <v>140</v>
      </c>
      <c r="H1945">
        <v>8</v>
      </c>
      <c r="I1945">
        <v>0.6</v>
      </c>
      <c r="J1945">
        <v>4.8</v>
      </c>
      <c r="K1945">
        <v>36.159999999999997</v>
      </c>
      <c r="L1945">
        <v>36.64</v>
      </c>
      <c r="M1945" t="s">
        <v>33</v>
      </c>
      <c r="N1945" t="s">
        <v>162</v>
      </c>
    </row>
    <row r="1946" spans="1:14" x14ac:dyDescent="0.3">
      <c r="A1946" t="s">
        <v>33</v>
      </c>
      <c r="B1946">
        <f>VLOOKUP(M1946,Sheet9!$I$1:$J$17,2,FALSE)</f>
        <v>6</v>
      </c>
      <c r="C1946">
        <f>VLOOKUP(N1946,Sheet9!$M$1:$N$2,2,FALSE)</f>
        <v>1</v>
      </c>
      <c r="D1946">
        <v>16</v>
      </c>
      <c r="E1946" t="s">
        <v>95</v>
      </c>
      <c r="F1946">
        <v>140</v>
      </c>
      <c r="H1946">
        <v>1</v>
      </c>
      <c r="I1946">
        <v>5</v>
      </c>
      <c r="J1946">
        <v>5</v>
      </c>
      <c r="K1946">
        <v>18.16</v>
      </c>
      <c r="L1946">
        <v>18.48</v>
      </c>
      <c r="M1946" t="s">
        <v>33</v>
      </c>
      <c r="N1946" t="s">
        <v>162</v>
      </c>
    </row>
    <row r="1947" spans="1:14" x14ac:dyDescent="0.3">
      <c r="A1947" t="s">
        <v>33</v>
      </c>
      <c r="B1947">
        <f>VLOOKUP(M1947,Sheet9!$I$1:$J$17,2,FALSE)</f>
        <v>6</v>
      </c>
      <c r="C1947">
        <f>VLOOKUP(N1947,Sheet9!$M$1:$N$2,2,FALSE)</f>
        <v>1</v>
      </c>
      <c r="D1947">
        <v>16</v>
      </c>
      <c r="E1947" t="s">
        <v>95</v>
      </c>
      <c r="F1947">
        <v>140</v>
      </c>
      <c r="H1947">
        <v>10</v>
      </c>
      <c r="I1947">
        <v>0.6</v>
      </c>
      <c r="J1947">
        <v>6</v>
      </c>
      <c r="K1947">
        <v>25.07</v>
      </c>
      <c r="L1947">
        <v>25.4</v>
      </c>
      <c r="M1947" t="s">
        <v>33</v>
      </c>
      <c r="N1947" t="s">
        <v>162</v>
      </c>
    </row>
    <row r="1948" spans="1:14" x14ac:dyDescent="0.3">
      <c r="A1948" t="s">
        <v>33</v>
      </c>
      <c r="B1948">
        <f>VLOOKUP(M1948,Sheet9!$I$1:$J$17,2,FALSE)</f>
        <v>6</v>
      </c>
      <c r="C1948">
        <f>VLOOKUP(N1948,Sheet9!$M$1:$N$2,2,FALSE)</f>
        <v>1</v>
      </c>
      <c r="D1948">
        <v>16</v>
      </c>
      <c r="E1948" t="s">
        <v>95</v>
      </c>
      <c r="F1948">
        <v>140</v>
      </c>
      <c r="H1948">
        <v>6</v>
      </c>
      <c r="I1948">
        <v>1.2</v>
      </c>
      <c r="J1948">
        <v>7.2</v>
      </c>
      <c r="K1948">
        <v>26.11</v>
      </c>
      <c r="L1948">
        <v>26.56</v>
      </c>
      <c r="M1948" t="s">
        <v>33</v>
      </c>
      <c r="N1948" t="s">
        <v>162</v>
      </c>
    </row>
    <row r="1949" spans="1:14" x14ac:dyDescent="0.3">
      <c r="A1949" t="s">
        <v>33</v>
      </c>
      <c r="B1949">
        <f>VLOOKUP(M1949,Sheet9!$I$1:$J$17,2,FALSE)</f>
        <v>6</v>
      </c>
      <c r="C1949">
        <f>VLOOKUP(N1949,Sheet9!$M$1:$N$2,2,FALSE)</f>
        <v>1</v>
      </c>
      <c r="D1949">
        <v>16</v>
      </c>
      <c r="E1949" t="s">
        <v>95</v>
      </c>
      <c r="F1949">
        <v>140</v>
      </c>
      <c r="H1949">
        <v>1</v>
      </c>
      <c r="I1949">
        <v>10</v>
      </c>
      <c r="J1949">
        <v>10</v>
      </c>
      <c r="K1949">
        <v>18.16</v>
      </c>
      <c r="L1949">
        <v>18.48</v>
      </c>
      <c r="M1949" t="s">
        <v>33</v>
      </c>
      <c r="N1949" t="s">
        <v>162</v>
      </c>
    </row>
    <row r="1950" spans="1:14" x14ac:dyDescent="0.3">
      <c r="A1950" t="s">
        <v>33</v>
      </c>
      <c r="B1950">
        <f>VLOOKUP(M1950,Sheet9!$I$1:$J$17,2,FALSE)</f>
        <v>6</v>
      </c>
      <c r="C1950">
        <f>VLOOKUP(N1950,Sheet9!$M$1:$N$2,2,FALSE)</f>
        <v>1</v>
      </c>
      <c r="D1950">
        <v>16</v>
      </c>
      <c r="E1950" t="s">
        <v>95</v>
      </c>
      <c r="F1950">
        <v>140</v>
      </c>
      <c r="H1950">
        <v>20</v>
      </c>
      <c r="I1950">
        <v>0.6</v>
      </c>
      <c r="J1950">
        <v>12</v>
      </c>
      <c r="K1950">
        <v>25.55</v>
      </c>
      <c r="L1950">
        <v>25.89</v>
      </c>
      <c r="M1950" t="s">
        <v>33</v>
      </c>
      <c r="N1950" t="s">
        <v>162</v>
      </c>
    </row>
    <row r="1951" spans="1:14" x14ac:dyDescent="0.3">
      <c r="A1951" t="s">
        <v>33</v>
      </c>
      <c r="B1951">
        <f>VLOOKUP(M1951,Sheet9!$I$1:$J$17,2,FALSE)</f>
        <v>6</v>
      </c>
      <c r="C1951">
        <f>VLOOKUP(N1951,Sheet9!$M$1:$N$2,2,FALSE)</f>
        <v>1</v>
      </c>
      <c r="D1951">
        <v>16</v>
      </c>
      <c r="E1951" t="s">
        <v>95</v>
      </c>
      <c r="F1951">
        <v>140</v>
      </c>
      <c r="H1951">
        <v>12</v>
      </c>
      <c r="I1951">
        <v>1.2</v>
      </c>
      <c r="J1951">
        <v>14.4</v>
      </c>
      <c r="K1951">
        <v>23.3</v>
      </c>
      <c r="L1951">
        <v>23.7</v>
      </c>
      <c r="M1951" t="s">
        <v>33</v>
      </c>
      <c r="N1951" t="s">
        <v>162</v>
      </c>
    </row>
    <row r="1952" spans="1:14" x14ac:dyDescent="0.3">
      <c r="A1952" t="s">
        <v>33</v>
      </c>
      <c r="B1952">
        <f>VLOOKUP(M1952,Sheet9!$I$1:$J$17,2,FALSE)</f>
        <v>6</v>
      </c>
      <c r="C1952">
        <f>VLOOKUP(N1952,Sheet9!$M$1:$N$2,2,FALSE)</f>
        <v>1</v>
      </c>
      <c r="D1952">
        <v>16</v>
      </c>
      <c r="E1952" t="s">
        <v>95</v>
      </c>
      <c r="F1952">
        <v>140</v>
      </c>
      <c r="H1952">
        <v>32</v>
      </c>
      <c r="I1952">
        <v>1.2</v>
      </c>
      <c r="J1952">
        <v>38.4</v>
      </c>
      <c r="K1952">
        <v>20.329999999999998</v>
      </c>
      <c r="L1952">
        <v>20.69</v>
      </c>
      <c r="M1952" t="s">
        <v>33</v>
      </c>
      <c r="N1952" t="s">
        <v>162</v>
      </c>
    </row>
    <row r="1953" spans="1:14" x14ac:dyDescent="0.3">
      <c r="A1953" t="s">
        <v>33</v>
      </c>
      <c r="B1953">
        <f>VLOOKUP(M1953,Sheet9!$I$1:$J$17,2,FALSE)</f>
        <v>6</v>
      </c>
      <c r="C1953">
        <f>VLOOKUP(N1953,Sheet9!$M$1:$N$2,2,FALSE)</f>
        <v>1</v>
      </c>
      <c r="D1953">
        <v>16</v>
      </c>
      <c r="E1953" t="s">
        <v>95</v>
      </c>
      <c r="F1953">
        <v>140</v>
      </c>
      <c r="H1953">
        <v>64</v>
      </c>
      <c r="I1953">
        <v>0.6</v>
      </c>
      <c r="J1953">
        <v>38.4</v>
      </c>
      <c r="K1953">
        <v>21.09</v>
      </c>
      <c r="L1953">
        <v>21.37</v>
      </c>
      <c r="M1953" t="s">
        <v>33</v>
      </c>
      <c r="N1953" t="s">
        <v>162</v>
      </c>
    </row>
    <row r="1954" spans="1:14" x14ac:dyDescent="0.3">
      <c r="A1954" t="s">
        <v>33</v>
      </c>
      <c r="B1954">
        <f>VLOOKUP(M1954,Sheet9!$I$1:$J$17,2,FALSE)</f>
        <v>6</v>
      </c>
      <c r="C1954">
        <f>VLOOKUP(N1954,Sheet9!$M$1:$N$2,2,FALSE)</f>
        <v>1</v>
      </c>
      <c r="D1954">
        <v>16</v>
      </c>
      <c r="E1954" t="s">
        <v>96</v>
      </c>
      <c r="F1954">
        <v>70</v>
      </c>
      <c r="H1954">
        <v>2</v>
      </c>
      <c r="I1954">
        <v>1</v>
      </c>
      <c r="J1954">
        <v>2</v>
      </c>
      <c r="K1954">
        <v>0.61</v>
      </c>
      <c r="L1954">
        <v>1.1299999999999999</v>
      </c>
      <c r="M1954" t="s">
        <v>33</v>
      </c>
      <c r="N1954" t="s">
        <v>162</v>
      </c>
    </row>
    <row r="1955" spans="1:14" x14ac:dyDescent="0.3">
      <c r="A1955" t="s">
        <v>33</v>
      </c>
      <c r="B1955">
        <f>VLOOKUP(M1955,Sheet9!$I$1:$J$17,2,FALSE)</f>
        <v>6</v>
      </c>
      <c r="C1955">
        <f>VLOOKUP(N1955,Sheet9!$M$1:$N$2,2,FALSE)</f>
        <v>1</v>
      </c>
      <c r="D1955">
        <v>16</v>
      </c>
      <c r="E1955" t="s">
        <v>96</v>
      </c>
      <c r="F1955">
        <v>70</v>
      </c>
      <c r="H1955">
        <v>6</v>
      </c>
      <c r="I1955">
        <v>0.6</v>
      </c>
      <c r="J1955">
        <v>3.6</v>
      </c>
      <c r="K1955">
        <v>0.99</v>
      </c>
      <c r="L1955">
        <v>1.83</v>
      </c>
      <c r="M1955" t="s">
        <v>33</v>
      </c>
      <c r="N1955" t="s">
        <v>162</v>
      </c>
    </row>
    <row r="1956" spans="1:14" x14ac:dyDescent="0.3">
      <c r="A1956" t="s">
        <v>33</v>
      </c>
      <c r="B1956">
        <f>VLOOKUP(M1956,Sheet9!$I$1:$J$17,2,FALSE)</f>
        <v>6</v>
      </c>
      <c r="C1956">
        <f>VLOOKUP(N1956,Sheet9!$M$1:$N$2,2,FALSE)</f>
        <v>1</v>
      </c>
      <c r="D1956">
        <v>16</v>
      </c>
      <c r="E1956" t="s">
        <v>96</v>
      </c>
      <c r="F1956">
        <v>70</v>
      </c>
      <c r="H1956">
        <v>8</v>
      </c>
      <c r="I1956">
        <v>0.6</v>
      </c>
      <c r="J1956">
        <v>4.8</v>
      </c>
      <c r="K1956">
        <v>0.91</v>
      </c>
      <c r="L1956">
        <v>1.68</v>
      </c>
      <c r="M1956" t="s">
        <v>33</v>
      </c>
      <c r="N1956" t="s">
        <v>162</v>
      </c>
    </row>
    <row r="1957" spans="1:14" x14ac:dyDescent="0.3">
      <c r="A1957" t="s">
        <v>33</v>
      </c>
      <c r="B1957">
        <f>VLOOKUP(M1957,Sheet9!$I$1:$J$17,2,FALSE)</f>
        <v>6</v>
      </c>
      <c r="C1957">
        <f>VLOOKUP(N1957,Sheet9!$M$1:$N$2,2,FALSE)</f>
        <v>1</v>
      </c>
      <c r="D1957">
        <v>16</v>
      </c>
      <c r="E1957" t="s">
        <v>168</v>
      </c>
      <c r="F1957">
        <v>70</v>
      </c>
      <c r="H1957">
        <v>8</v>
      </c>
      <c r="I1957">
        <v>0.6</v>
      </c>
      <c r="J1957">
        <v>4.8</v>
      </c>
      <c r="K1957">
        <v>1.07</v>
      </c>
      <c r="L1957">
        <v>1.97</v>
      </c>
      <c r="M1957" t="s">
        <v>33</v>
      </c>
      <c r="N1957" t="s">
        <v>162</v>
      </c>
    </row>
    <row r="1958" spans="1:14" x14ac:dyDescent="0.3">
      <c r="A1958" t="s">
        <v>33</v>
      </c>
      <c r="B1958">
        <f>VLOOKUP(M1958,Sheet9!$I$1:$J$17,2,FALSE)</f>
        <v>6</v>
      </c>
      <c r="C1958">
        <f>VLOOKUP(N1958,Sheet9!$M$1:$N$2,2,FALSE)</f>
        <v>1</v>
      </c>
      <c r="D1958">
        <v>16</v>
      </c>
      <c r="E1958" t="s">
        <v>96</v>
      </c>
      <c r="F1958">
        <v>70</v>
      </c>
      <c r="H1958">
        <v>1</v>
      </c>
      <c r="I1958">
        <v>5</v>
      </c>
      <c r="J1958">
        <v>5</v>
      </c>
      <c r="K1958">
        <v>0.55000000000000004</v>
      </c>
      <c r="L1958">
        <v>1.01</v>
      </c>
      <c r="M1958" t="s">
        <v>33</v>
      </c>
      <c r="N1958" t="s">
        <v>162</v>
      </c>
    </row>
    <row r="1959" spans="1:14" x14ac:dyDescent="0.3">
      <c r="A1959" t="s">
        <v>33</v>
      </c>
      <c r="B1959">
        <f>VLOOKUP(M1959,Sheet9!$I$1:$J$17,2,FALSE)</f>
        <v>6</v>
      </c>
      <c r="C1959">
        <f>VLOOKUP(N1959,Sheet9!$M$1:$N$2,2,FALSE)</f>
        <v>1</v>
      </c>
      <c r="D1959">
        <v>16</v>
      </c>
      <c r="E1959" t="s">
        <v>96</v>
      </c>
      <c r="F1959">
        <v>70</v>
      </c>
      <c r="H1959">
        <v>10</v>
      </c>
      <c r="I1959">
        <v>0.6</v>
      </c>
      <c r="J1959">
        <v>6</v>
      </c>
      <c r="K1959">
        <v>0.74</v>
      </c>
      <c r="L1959">
        <v>1.37</v>
      </c>
      <c r="M1959" t="s">
        <v>33</v>
      </c>
      <c r="N1959" t="s">
        <v>162</v>
      </c>
    </row>
    <row r="1960" spans="1:14" x14ac:dyDescent="0.3">
      <c r="A1960" t="s">
        <v>33</v>
      </c>
      <c r="B1960">
        <f>VLOOKUP(M1960,Sheet9!$I$1:$J$17,2,FALSE)</f>
        <v>6</v>
      </c>
      <c r="C1960">
        <f>VLOOKUP(N1960,Sheet9!$M$1:$N$2,2,FALSE)</f>
        <v>1</v>
      </c>
      <c r="D1960">
        <v>16</v>
      </c>
      <c r="E1960" t="s">
        <v>96</v>
      </c>
      <c r="F1960">
        <v>70</v>
      </c>
      <c r="H1960">
        <v>6</v>
      </c>
      <c r="I1960">
        <v>1.2</v>
      </c>
      <c r="J1960">
        <v>7.2</v>
      </c>
      <c r="K1960">
        <v>0.79</v>
      </c>
      <c r="L1960">
        <v>1.46</v>
      </c>
      <c r="M1960" t="s">
        <v>33</v>
      </c>
      <c r="N1960" t="s">
        <v>162</v>
      </c>
    </row>
    <row r="1961" spans="1:14" x14ac:dyDescent="0.3">
      <c r="A1961" t="s">
        <v>33</v>
      </c>
      <c r="B1961">
        <f>VLOOKUP(M1961,Sheet9!$I$1:$J$17,2,FALSE)</f>
        <v>6</v>
      </c>
      <c r="C1961">
        <f>VLOOKUP(N1961,Sheet9!$M$1:$N$2,2,FALSE)</f>
        <v>1</v>
      </c>
      <c r="D1961">
        <v>16</v>
      </c>
      <c r="E1961" t="s">
        <v>96</v>
      </c>
      <c r="F1961">
        <v>70</v>
      </c>
      <c r="H1961">
        <v>1</v>
      </c>
      <c r="I1961">
        <v>10</v>
      </c>
      <c r="J1961">
        <v>10</v>
      </c>
      <c r="K1961">
        <v>0.55000000000000004</v>
      </c>
      <c r="L1961">
        <v>1.01</v>
      </c>
      <c r="M1961" t="s">
        <v>33</v>
      </c>
      <c r="N1961" t="s">
        <v>162</v>
      </c>
    </row>
    <row r="1962" spans="1:14" x14ac:dyDescent="0.3">
      <c r="A1962" t="s">
        <v>33</v>
      </c>
      <c r="B1962">
        <f>VLOOKUP(M1962,Sheet9!$I$1:$J$17,2,FALSE)</f>
        <v>6</v>
      </c>
      <c r="C1962">
        <f>VLOOKUP(N1962,Sheet9!$M$1:$N$2,2,FALSE)</f>
        <v>1</v>
      </c>
      <c r="D1962">
        <v>16</v>
      </c>
      <c r="E1962" t="s">
        <v>96</v>
      </c>
      <c r="F1962">
        <v>70</v>
      </c>
      <c r="H1962">
        <v>20</v>
      </c>
      <c r="I1962">
        <v>0.6</v>
      </c>
      <c r="J1962">
        <v>12</v>
      </c>
      <c r="K1962">
        <v>0.75</v>
      </c>
      <c r="L1962">
        <v>1.4</v>
      </c>
      <c r="M1962" t="s">
        <v>33</v>
      </c>
      <c r="N1962" t="s">
        <v>162</v>
      </c>
    </row>
    <row r="1963" spans="1:14" x14ac:dyDescent="0.3">
      <c r="A1963" t="s">
        <v>33</v>
      </c>
      <c r="B1963">
        <f>VLOOKUP(M1963,Sheet9!$I$1:$J$17,2,FALSE)</f>
        <v>6</v>
      </c>
      <c r="C1963">
        <f>VLOOKUP(N1963,Sheet9!$M$1:$N$2,2,FALSE)</f>
        <v>1</v>
      </c>
      <c r="D1963">
        <v>16</v>
      </c>
      <c r="E1963" t="s">
        <v>96</v>
      </c>
      <c r="F1963">
        <v>70</v>
      </c>
      <c r="H1963">
        <v>12</v>
      </c>
      <c r="I1963">
        <v>1.2</v>
      </c>
      <c r="J1963">
        <v>14.4</v>
      </c>
      <c r="K1963">
        <v>0.7</v>
      </c>
      <c r="L1963">
        <v>1.3</v>
      </c>
      <c r="M1963" t="s">
        <v>33</v>
      </c>
      <c r="N1963" t="s">
        <v>162</v>
      </c>
    </row>
    <row r="1964" spans="1:14" x14ac:dyDescent="0.3">
      <c r="A1964" t="s">
        <v>33</v>
      </c>
      <c r="B1964">
        <f>VLOOKUP(M1964,Sheet9!$I$1:$J$17,2,FALSE)</f>
        <v>6</v>
      </c>
      <c r="C1964">
        <f>VLOOKUP(N1964,Sheet9!$M$1:$N$2,2,FALSE)</f>
        <v>1</v>
      </c>
      <c r="D1964">
        <v>16</v>
      </c>
      <c r="E1964" t="s">
        <v>96</v>
      </c>
      <c r="F1964">
        <v>70</v>
      </c>
      <c r="H1964">
        <v>32</v>
      </c>
      <c r="I1964">
        <v>1.2</v>
      </c>
      <c r="J1964">
        <v>38.4</v>
      </c>
      <c r="K1964">
        <v>0.61</v>
      </c>
      <c r="L1964">
        <v>1.1399999999999999</v>
      </c>
      <c r="M1964" t="s">
        <v>33</v>
      </c>
      <c r="N1964" t="s">
        <v>162</v>
      </c>
    </row>
    <row r="1965" spans="1:14" x14ac:dyDescent="0.3">
      <c r="A1965" t="s">
        <v>33</v>
      </c>
      <c r="B1965">
        <f>VLOOKUP(M1965,Sheet9!$I$1:$J$17,2,FALSE)</f>
        <v>6</v>
      </c>
      <c r="C1965">
        <f>VLOOKUP(N1965,Sheet9!$M$1:$N$2,2,FALSE)</f>
        <v>1</v>
      </c>
      <c r="D1965">
        <v>16</v>
      </c>
      <c r="E1965" t="s">
        <v>96</v>
      </c>
      <c r="F1965">
        <v>70</v>
      </c>
      <c r="H1965">
        <v>64</v>
      </c>
      <c r="I1965">
        <v>0.6</v>
      </c>
      <c r="J1965">
        <v>38.4</v>
      </c>
      <c r="K1965">
        <v>0.67</v>
      </c>
      <c r="L1965">
        <v>1.1499999999999999</v>
      </c>
      <c r="M1965" t="s">
        <v>33</v>
      </c>
      <c r="N1965" t="s">
        <v>162</v>
      </c>
    </row>
    <row r="1966" spans="1:14" x14ac:dyDescent="0.3">
      <c r="A1966" t="s">
        <v>33</v>
      </c>
      <c r="B1966">
        <f>VLOOKUP(M1966,Sheet9!$I$1:$J$17,2,FALSE)</f>
        <v>6</v>
      </c>
      <c r="C1966">
        <f>VLOOKUP(N1966,Sheet9!$M$1:$N$2,2,FALSE)</f>
        <v>1</v>
      </c>
      <c r="D1966">
        <v>16</v>
      </c>
      <c r="E1966" t="s">
        <v>96</v>
      </c>
      <c r="F1966">
        <v>80</v>
      </c>
      <c r="H1966">
        <v>2</v>
      </c>
      <c r="I1966">
        <v>1</v>
      </c>
      <c r="J1966">
        <v>2</v>
      </c>
      <c r="K1966">
        <v>1.07</v>
      </c>
      <c r="L1966">
        <v>1.86</v>
      </c>
      <c r="M1966" t="s">
        <v>33</v>
      </c>
      <c r="N1966" t="s">
        <v>162</v>
      </c>
    </row>
    <row r="1967" spans="1:14" x14ac:dyDescent="0.3">
      <c r="A1967" t="s">
        <v>33</v>
      </c>
      <c r="B1967">
        <f>VLOOKUP(M1967,Sheet9!$I$1:$J$17,2,FALSE)</f>
        <v>6</v>
      </c>
      <c r="C1967">
        <f>VLOOKUP(N1967,Sheet9!$M$1:$N$2,2,FALSE)</f>
        <v>1</v>
      </c>
      <c r="D1967">
        <v>16</v>
      </c>
      <c r="E1967" t="s">
        <v>96</v>
      </c>
      <c r="F1967">
        <v>80</v>
      </c>
      <c r="H1967">
        <v>6</v>
      </c>
      <c r="I1967">
        <v>0.6</v>
      </c>
      <c r="J1967">
        <v>3.6</v>
      </c>
      <c r="K1967">
        <v>1.73</v>
      </c>
      <c r="L1967">
        <v>3.01</v>
      </c>
      <c r="M1967" t="s">
        <v>33</v>
      </c>
      <c r="N1967" t="s">
        <v>162</v>
      </c>
    </row>
    <row r="1968" spans="1:14" x14ac:dyDescent="0.3">
      <c r="A1968" t="s">
        <v>33</v>
      </c>
      <c r="B1968">
        <f>VLOOKUP(M1968,Sheet9!$I$1:$J$17,2,FALSE)</f>
        <v>6</v>
      </c>
      <c r="C1968">
        <f>VLOOKUP(N1968,Sheet9!$M$1:$N$2,2,FALSE)</f>
        <v>1</v>
      </c>
      <c r="D1968">
        <v>16</v>
      </c>
      <c r="E1968" t="s">
        <v>96</v>
      </c>
      <c r="F1968">
        <v>80</v>
      </c>
      <c r="H1968">
        <v>8</v>
      </c>
      <c r="I1968">
        <v>0.6</v>
      </c>
      <c r="J1968">
        <v>4.8</v>
      </c>
      <c r="K1968">
        <v>1.59</v>
      </c>
      <c r="L1968">
        <v>2.77</v>
      </c>
      <c r="M1968" t="s">
        <v>33</v>
      </c>
      <c r="N1968" t="s">
        <v>162</v>
      </c>
    </row>
    <row r="1969" spans="1:14" x14ac:dyDescent="0.3">
      <c r="A1969" t="s">
        <v>33</v>
      </c>
      <c r="B1969">
        <f>VLOOKUP(M1969,Sheet9!$I$1:$J$17,2,FALSE)</f>
        <v>6</v>
      </c>
      <c r="C1969">
        <f>VLOOKUP(N1969,Sheet9!$M$1:$N$2,2,FALSE)</f>
        <v>1</v>
      </c>
      <c r="D1969">
        <v>16</v>
      </c>
      <c r="E1969" t="s">
        <v>168</v>
      </c>
      <c r="F1969">
        <v>80</v>
      </c>
      <c r="H1969">
        <v>8</v>
      </c>
      <c r="I1969">
        <v>0.6</v>
      </c>
      <c r="J1969">
        <v>4.8</v>
      </c>
      <c r="K1969">
        <v>1.83</v>
      </c>
      <c r="L1969">
        <v>3.18</v>
      </c>
      <c r="M1969" t="s">
        <v>33</v>
      </c>
      <c r="N1969" t="s">
        <v>162</v>
      </c>
    </row>
    <row r="1970" spans="1:14" x14ac:dyDescent="0.3">
      <c r="A1970" t="s">
        <v>33</v>
      </c>
      <c r="B1970">
        <f>VLOOKUP(M1970,Sheet9!$I$1:$J$17,2,FALSE)</f>
        <v>6</v>
      </c>
      <c r="C1970">
        <f>VLOOKUP(N1970,Sheet9!$M$1:$N$2,2,FALSE)</f>
        <v>1</v>
      </c>
      <c r="D1970">
        <v>16</v>
      </c>
      <c r="E1970" t="s">
        <v>96</v>
      </c>
      <c r="F1970">
        <v>80</v>
      </c>
      <c r="H1970">
        <v>1</v>
      </c>
      <c r="I1970">
        <v>5</v>
      </c>
      <c r="J1970">
        <v>5</v>
      </c>
      <c r="K1970">
        <v>0.96</v>
      </c>
      <c r="L1970">
        <v>1.67</v>
      </c>
      <c r="M1970" t="s">
        <v>33</v>
      </c>
      <c r="N1970" t="s">
        <v>162</v>
      </c>
    </row>
    <row r="1971" spans="1:14" x14ac:dyDescent="0.3">
      <c r="A1971" t="s">
        <v>33</v>
      </c>
      <c r="B1971">
        <f>VLOOKUP(M1971,Sheet9!$I$1:$J$17,2,FALSE)</f>
        <v>6</v>
      </c>
      <c r="C1971">
        <f>VLOOKUP(N1971,Sheet9!$M$1:$N$2,2,FALSE)</f>
        <v>1</v>
      </c>
      <c r="D1971">
        <v>16</v>
      </c>
      <c r="E1971" t="s">
        <v>96</v>
      </c>
      <c r="F1971">
        <v>80</v>
      </c>
      <c r="H1971">
        <v>10</v>
      </c>
      <c r="I1971">
        <v>0.6</v>
      </c>
      <c r="J1971">
        <v>6</v>
      </c>
      <c r="K1971">
        <v>1.27</v>
      </c>
      <c r="L1971">
        <v>2.21</v>
      </c>
      <c r="M1971" t="s">
        <v>33</v>
      </c>
      <c r="N1971" t="s">
        <v>162</v>
      </c>
    </row>
    <row r="1972" spans="1:14" x14ac:dyDescent="0.3">
      <c r="A1972" t="s">
        <v>33</v>
      </c>
      <c r="B1972">
        <f>VLOOKUP(M1972,Sheet9!$I$1:$J$17,2,FALSE)</f>
        <v>6</v>
      </c>
      <c r="C1972">
        <f>VLOOKUP(N1972,Sheet9!$M$1:$N$2,2,FALSE)</f>
        <v>1</v>
      </c>
      <c r="D1972">
        <v>16</v>
      </c>
      <c r="E1972" t="s">
        <v>96</v>
      </c>
      <c r="F1972">
        <v>80</v>
      </c>
      <c r="H1972">
        <v>6</v>
      </c>
      <c r="I1972">
        <v>1.2</v>
      </c>
      <c r="J1972">
        <v>7.2</v>
      </c>
      <c r="K1972">
        <v>1.38</v>
      </c>
      <c r="L1972">
        <v>2.4</v>
      </c>
      <c r="M1972" t="s">
        <v>33</v>
      </c>
      <c r="N1972" t="s">
        <v>162</v>
      </c>
    </row>
    <row r="1973" spans="1:14" x14ac:dyDescent="0.3">
      <c r="A1973" t="s">
        <v>33</v>
      </c>
      <c r="B1973">
        <f>VLOOKUP(M1973,Sheet9!$I$1:$J$17,2,FALSE)</f>
        <v>6</v>
      </c>
      <c r="C1973">
        <f>VLOOKUP(N1973,Sheet9!$M$1:$N$2,2,FALSE)</f>
        <v>1</v>
      </c>
      <c r="D1973">
        <v>16</v>
      </c>
      <c r="E1973" t="s">
        <v>96</v>
      </c>
      <c r="F1973">
        <v>80</v>
      </c>
      <c r="H1973">
        <v>1</v>
      </c>
      <c r="I1973">
        <v>10</v>
      </c>
      <c r="J1973">
        <v>10</v>
      </c>
      <c r="K1973">
        <v>0.96</v>
      </c>
      <c r="L1973">
        <v>1.67</v>
      </c>
      <c r="M1973" t="s">
        <v>33</v>
      </c>
      <c r="N1973" t="s">
        <v>162</v>
      </c>
    </row>
    <row r="1974" spans="1:14" x14ac:dyDescent="0.3">
      <c r="A1974" t="s">
        <v>33</v>
      </c>
      <c r="B1974">
        <f>VLOOKUP(M1974,Sheet9!$I$1:$J$17,2,FALSE)</f>
        <v>6</v>
      </c>
      <c r="C1974">
        <f>VLOOKUP(N1974,Sheet9!$M$1:$N$2,2,FALSE)</f>
        <v>1</v>
      </c>
      <c r="D1974">
        <v>16</v>
      </c>
      <c r="E1974" t="s">
        <v>96</v>
      </c>
      <c r="F1974">
        <v>80</v>
      </c>
      <c r="H1974">
        <v>20</v>
      </c>
      <c r="I1974">
        <v>0.6</v>
      </c>
      <c r="J1974">
        <v>12</v>
      </c>
      <c r="K1974">
        <v>1.29</v>
      </c>
      <c r="L1974">
        <v>2.25</v>
      </c>
      <c r="M1974" t="s">
        <v>33</v>
      </c>
      <c r="N1974" t="s">
        <v>162</v>
      </c>
    </row>
    <row r="1975" spans="1:14" x14ac:dyDescent="0.3">
      <c r="A1975" t="s">
        <v>33</v>
      </c>
      <c r="B1975">
        <f>VLOOKUP(M1975,Sheet9!$I$1:$J$17,2,FALSE)</f>
        <v>6</v>
      </c>
      <c r="C1975">
        <f>VLOOKUP(N1975,Sheet9!$M$1:$N$2,2,FALSE)</f>
        <v>1</v>
      </c>
      <c r="D1975">
        <v>16</v>
      </c>
      <c r="E1975" t="s">
        <v>96</v>
      </c>
      <c r="F1975">
        <v>80</v>
      </c>
      <c r="H1975">
        <v>12</v>
      </c>
      <c r="I1975">
        <v>1.2</v>
      </c>
      <c r="J1975">
        <v>14.4</v>
      </c>
      <c r="K1975">
        <v>1.23</v>
      </c>
      <c r="L1975">
        <v>2.14</v>
      </c>
      <c r="M1975" t="s">
        <v>33</v>
      </c>
      <c r="N1975" t="s">
        <v>162</v>
      </c>
    </row>
    <row r="1976" spans="1:14" x14ac:dyDescent="0.3">
      <c r="A1976" t="s">
        <v>33</v>
      </c>
      <c r="B1976">
        <f>VLOOKUP(M1976,Sheet9!$I$1:$J$17,2,FALSE)</f>
        <v>6</v>
      </c>
      <c r="C1976">
        <f>VLOOKUP(N1976,Sheet9!$M$1:$N$2,2,FALSE)</f>
        <v>1</v>
      </c>
      <c r="D1976">
        <v>16</v>
      </c>
      <c r="E1976" t="s">
        <v>96</v>
      </c>
      <c r="F1976">
        <v>80</v>
      </c>
      <c r="H1976">
        <v>32</v>
      </c>
      <c r="I1976">
        <v>1.2</v>
      </c>
      <c r="J1976">
        <v>38.4</v>
      </c>
      <c r="K1976">
        <v>1.08</v>
      </c>
      <c r="L1976">
        <v>1.87</v>
      </c>
      <c r="M1976" t="s">
        <v>33</v>
      </c>
      <c r="N1976" t="s">
        <v>162</v>
      </c>
    </row>
    <row r="1977" spans="1:14" x14ac:dyDescent="0.3">
      <c r="A1977" t="s">
        <v>33</v>
      </c>
      <c r="B1977">
        <f>VLOOKUP(M1977,Sheet9!$I$1:$J$17,2,FALSE)</f>
        <v>6</v>
      </c>
      <c r="C1977">
        <f>VLOOKUP(N1977,Sheet9!$M$1:$N$2,2,FALSE)</f>
        <v>1</v>
      </c>
      <c r="D1977">
        <v>16</v>
      </c>
      <c r="E1977" t="s">
        <v>96</v>
      </c>
      <c r="F1977">
        <v>80</v>
      </c>
      <c r="H1977">
        <v>64</v>
      </c>
      <c r="I1977">
        <v>0.6</v>
      </c>
      <c r="J1977">
        <v>38.4</v>
      </c>
      <c r="K1977">
        <v>1.07</v>
      </c>
      <c r="L1977">
        <v>1.86</v>
      </c>
      <c r="M1977" t="s">
        <v>33</v>
      </c>
      <c r="N1977" t="s">
        <v>162</v>
      </c>
    </row>
    <row r="1978" spans="1:14" x14ac:dyDescent="0.3">
      <c r="A1978" t="s">
        <v>33</v>
      </c>
      <c r="B1978">
        <f>VLOOKUP(M1978,Sheet9!$I$1:$J$17,2,FALSE)</f>
        <v>6</v>
      </c>
      <c r="C1978">
        <f>VLOOKUP(N1978,Sheet9!$M$1:$N$2,2,FALSE)</f>
        <v>1</v>
      </c>
      <c r="D1978">
        <v>16</v>
      </c>
      <c r="E1978" t="s">
        <v>96</v>
      </c>
      <c r="F1978">
        <v>100</v>
      </c>
      <c r="H1978">
        <v>2</v>
      </c>
      <c r="I1978">
        <v>1</v>
      </c>
      <c r="J1978">
        <v>2</v>
      </c>
      <c r="K1978">
        <v>2.4300000000000002</v>
      </c>
      <c r="L1978">
        <v>3.9</v>
      </c>
      <c r="M1978" t="s">
        <v>33</v>
      </c>
      <c r="N1978" t="s">
        <v>162</v>
      </c>
    </row>
    <row r="1979" spans="1:14" x14ac:dyDescent="0.3">
      <c r="A1979" t="s">
        <v>33</v>
      </c>
      <c r="B1979">
        <f>VLOOKUP(M1979,Sheet9!$I$1:$J$17,2,FALSE)</f>
        <v>6</v>
      </c>
      <c r="C1979">
        <f>VLOOKUP(N1979,Sheet9!$M$1:$N$2,2,FALSE)</f>
        <v>1</v>
      </c>
      <c r="D1979">
        <v>16</v>
      </c>
      <c r="E1979" t="s">
        <v>96</v>
      </c>
      <c r="F1979">
        <v>100</v>
      </c>
      <c r="H1979">
        <v>6</v>
      </c>
      <c r="I1979">
        <v>0.6</v>
      </c>
      <c r="J1979">
        <v>3.6</v>
      </c>
      <c r="K1979">
        <v>3.94</v>
      </c>
      <c r="L1979">
        <v>6.32</v>
      </c>
      <c r="M1979" t="s">
        <v>33</v>
      </c>
      <c r="N1979" t="s">
        <v>162</v>
      </c>
    </row>
    <row r="1980" spans="1:14" x14ac:dyDescent="0.3">
      <c r="A1980" t="s">
        <v>33</v>
      </c>
      <c r="B1980">
        <f>VLOOKUP(M1980,Sheet9!$I$1:$J$17,2,FALSE)</f>
        <v>6</v>
      </c>
      <c r="C1980">
        <f>VLOOKUP(N1980,Sheet9!$M$1:$N$2,2,FALSE)</f>
        <v>1</v>
      </c>
      <c r="D1980">
        <v>16</v>
      </c>
      <c r="E1980" t="s">
        <v>96</v>
      </c>
      <c r="F1980">
        <v>100</v>
      </c>
      <c r="H1980">
        <v>8</v>
      </c>
      <c r="I1980">
        <v>0.6</v>
      </c>
      <c r="J1980">
        <v>4.8</v>
      </c>
      <c r="K1980">
        <v>3.62</v>
      </c>
      <c r="L1980">
        <v>5.81</v>
      </c>
      <c r="M1980" t="s">
        <v>33</v>
      </c>
      <c r="N1980" t="s">
        <v>162</v>
      </c>
    </row>
    <row r="1981" spans="1:14" x14ac:dyDescent="0.3">
      <c r="A1981" t="s">
        <v>33</v>
      </c>
      <c r="B1981">
        <f>VLOOKUP(M1981,Sheet9!$I$1:$J$17,2,FALSE)</f>
        <v>6</v>
      </c>
      <c r="C1981">
        <f>VLOOKUP(N1981,Sheet9!$M$1:$N$2,2,FALSE)</f>
        <v>1</v>
      </c>
      <c r="D1981">
        <v>16</v>
      </c>
      <c r="E1981" t="s">
        <v>168</v>
      </c>
      <c r="F1981">
        <v>100</v>
      </c>
      <c r="H1981">
        <v>8</v>
      </c>
      <c r="I1981">
        <v>0.6</v>
      </c>
      <c r="J1981">
        <v>4.8</v>
      </c>
      <c r="K1981">
        <v>4.1900000000000004</v>
      </c>
      <c r="L1981">
        <v>6.75</v>
      </c>
      <c r="M1981" t="s">
        <v>33</v>
      </c>
      <c r="N1981" t="s">
        <v>162</v>
      </c>
    </row>
    <row r="1982" spans="1:14" x14ac:dyDescent="0.3">
      <c r="A1982" t="s">
        <v>33</v>
      </c>
      <c r="B1982">
        <f>VLOOKUP(M1982,Sheet9!$I$1:$J$17,2,FALSE)</f>
        <v>6</v>
      </c>
      <c r="C1982">
        <f>VLOOKUP(N1982,Sheet9!$M$1:$N$2,2,FALSE)</f>
        <v>1</v>
      </c>
      <c r="D1982">
        <v>16</v>
      </c>
      <c r="E1982" t="s">
        <v>96</v>
      </c>
      <c r="F1982">
        <v>100</v>
      </c>
      <c r="H1982">
        <v>1</v>
      </c>
      <c r="I1982">
        <v>5</v>
      </c>
      <c r="J1982">
        <v>5</v>
      </c>
      <c r="K1982">
        <v>2.1800000000000002</v>
      </c>
      <c r="L1982">
        <v>3.5</v>
      </c>
      <c r="M1982" t="s">
        <v>33</v>
      </c>
      <c r="N1982" t="s">
        <v>162</v>
      </c>
    </row>
    <row r="1983" spans="1:14" x14ac:dyDescent="0.3">
      <c r="A1983" t="s">
        <v>33</v>
      </c>
      <c r="B1983">
        <f>VLOOKUP(M1983,Sheet9!$I$1:$J$17,2,FALSE)</f>
        <v>6</v>
      </c>
      <c r="C1983">
        <f>VLOOKUP(N1983,Sheet9!$M$1:$N$2,2,FALSE)</f>
        <v>1</v>
      </c>
      <c r="D1983">
        <v>16</v>
      </c>
      <c r="E1983" t="s">
        <v>96</v>
      </c>
      <c r="F1983">
        <v>100</v>
      </c>
      <c r="H1983">
        <v>10</v>
      </c>
      <c r="I1983">
        <v>0.6</v>
      </c>
      <c r="J1983">
        <v>6</v>
      </c>
      <c r="K1983">
        <v>2.91</v>
      </c>
      <c r="L1983">
        <v>4.68</v>
      </c>
      <c r="M1983" t="s">
        <v>33</v>
      </c>
      <c r="N1983" t="s">
        <v>162</v>
      </c>
    </row>
    <row r="1984" spans="1:14" x14ac:dyDescent="0.3">
      <c r="A1984" t="s">
        <v>33</v>
      </c>
      <c r="B1984">
        <f>VLOOKUP(M1984,Sheet9!$I$1:$J$17,2,FALSE)</f>
        <v>6</v>
      </c>
      <c r="C1984">
        <f>VLOOKUP(N1984,Sheet9!$M$1:$N$2,2,FALSE)</f>
        <v>1</v>
      </c>
      <c r="D1984">
        <v>16</v>
      </c>
      <c r="E1984" t="s">
        <v>96</v>
      </c>
      <c r="F1984">
        <v>100</v>
      </c>
      <c r="H1984">
        <v>6</v>
      </c>
      <c r="I1984">
        <v>1.2</v>
      </c>
      <c r="J1984">
        <v>7.2</v>
      </c>
      <c r="K1984">
        <v>3.14</v>
      </c>
      <c r="L1984">
        <v>5.03</v>
      </c>
      <c r="M1984" t="s">
        <v>33</v>
      </c>
      <c r="N1984" t="s">
        <v>162</v>
      </c>
    </row>
    <row r="1985" spans="1:14" x14ac:dyDescent="0.3">
      <c r="A1985" t="s">
        <v>33</v>
      </c>
      <c r="B1985">
        <f>VLOOKUP(M1985,Sheet9!$I$1:$J$17,2,FALSE)</f>
        <v>6</v>
      </c>
      <c r="C1985">
        <f>VLOOKUP(N1985,Sheet9!$M$1:$N$2,2,FALSE)</f>
        <v>1</v>
      </c>
      <c r="D1985">
        <v>16</v>
      </c>
      <c r="E1985" t="s">
        <v>96</v>
      </c>
      <c r="F1985">
        <v>100</v>
      </c>
      <c r="H1985">
        <v>1</v>
      </c>
      <c r="I1985">
        <v>10</v>
      </c>
      <c r="J1985">
        <v>10</v>
      </c>
      <c r="K1985">
        <v>2.1800000000000002</v>
      </c>
      <c r="L1985">
        <v>3.5</v>
      </c>
      <c r="M1985" t="s">
        <v>33</v>
      </c>
      <c r="N1985" t="s">
        <v>162</v>
      </c>
    </row>
    <row r="1986" spans="1:14" x14ac:dyDescent="0.3">
      <c r="A1986" t="s">
        <v>33</v>
      </c>
      <c r="B1986">
        <f>VLOOKUP(M1986,Sheet9!$I$1:$J$17,2,FALSE)</f>
        <v>6</v>
      </c>
      <c r="C1986">
        <f>VLOOKUP(N1986,Sheet9!$M$1:$N$2,2,FALSE)</f>
        <v>1</v>
      </c>
      <c r="D1986">
        <v>16</v>
      </c>
      <c r="E1986" t="s">
        <v>96</v>
      </c>
      <c r="F1986">
        <v>100</v>
      </c>
      <c r="H1986">
        <v>20</v>
      </c>
      <c r="I1986">
        <v>0.6</v>
      </c>
      <c r="J1986">
        <v>12</v>
      </c>
      <c r="K1986">
        <v>2.96</v>
      </c>
      <c r="L1986">
        <v>4.7699999999999996</v>
      </c>
      <c r="M1986" t="s">
        <v>33</v>
      </c>
      <c r="N1986" t="s">
        <v>162</v>
      </c>
    </row>
    <row r="1987" spans="1:14" x14ac:dyDescent="0.3">
      <c r="A1987" t="s">
        <v>33</v>
      </c>
      <c r="B1987">
        <f>VLOOKUP(M1987,Sheet9!$I$1:$J$17,2,FALSE)</f>
        <v>6</v>
      </c>
      <c r="C1987">
        <f>VLOOKUP(N1987,Sheet9!$M$1:$N$2,2,FALSE)</f>
        <v>1</v>
      </c>
      <c r="D1987">
        <v>16</v>
      </c>
      <c r="E1987" t="s">
        <v>96</v>
      </c>
      <c r="F1987">
        <v>100</v>
      </c>
      <c r="H1987">
        <v>12</v>
      </c>
      <c r="I1987">
        <v>1.2</v>
      </c>
      <c r="J1987">
        <v>14.4</v>
      </c>
      <c r="K1987">
        <v>2.8</v>
      </c>
      <c r="L1987">
        <v>4.49</v>
      </c>
      <c r="M1987" t="s">
        <v>33</v>
      </c>
      <c r="N1987" t="s">
        <v>162</v>
      </c>
    </row>
    <row r="1988" spans="1:14" x14ac:dyDescent="0.3">
      <c r="A1988" t="s">
        <v>33</v>
      </c>
      <c r="B1988">
        <f>VLOOKUP(M1988,Sheet9!$I$1:$J$17,2,FALSE)</f>
        <v>6</v>
      </c>
      <c r="C1988">
        <f>VLOOKUP(N1988,Sheet9!$M$1:$N$2,2,FALSE)</f>
        <v>1</v>
      </c>
      <c r="D1988">
        <v>16</v>
      </c>
      <c r="E1988" t="s">
        <v>96</v>
      </c>
      <c r="F1988">
        <v>100</v>
      </c>
      <c r="H1988">
        <v>32</v>
      </c>
      <c r="I1988">
        <v>1.2</v>
      </c>
      <c r="J1988">
        <v>38.4</v>
      </c>
      <c r="K1988">
        <v>2.44</v>
      </c>
      <c r="L1988">
        <v>3.92</v>
      </c>
      <c r="M1988" t="s">
        <v>33</v>
      </c>
      <c r="N1988" t="s">
        <v>162</v>
      </c>
    </row>
    <row r="1989" spans="1:14" x14ac:dyDescent="0.3">
      <c r="A1989" t="s">
        <v>33</v>
      </c>
      <c r="B1989">
        <f>VLOOKUP(M1989,Sheet9!$I$1:$J$17,2,FALSE)</f>
        <v>6</v>
      </c>
      <c r="C1989">
        <f>VLOOKUP(N1989,Sheet9!$M$1:$N$2,2,FALSE)</f>
        <v>1</v>
      </c>
      <c r="D1989">
        <v>16</v>
      </c>
      <c r="E1989" t="s">
        <v>96</v>
      </c>
      <c r="F1989">
        <v>100</v>
      </c>
      <c r="H1989">
        <v>64</v>
      </c>
      <c r="I1989">
        <v>0.6</v>
      </c>
      <c r="J1989">
        <v>38.4</v>
      </c>
      <c r="K1989">
        <v>2.4500000000000002</v>
      </c>
      <c r="L1989">
        <v>3.94</v>
      </c>
      <c r="M1989" t="s">
        <v>33</v>
      </c>
      <c r="N1989" t="s">
        <v>162</v>
      </c>
    </row>
    <row r="1990" spans="1:14" x14ac:dyDescent="0.3">
      <c r="A1990" t="s">
        <v>33</v>
      </c>
      <c r="B1990">
        <f>VLOOKUP(M1990,Sheet9!$I$1:$J$17,2,FALSE)</f>
        <v>6</v>
      </c>
      <c r="C1990">
        <f>VLOOKUP(N1990,Sheet9!$M$1:$N$2,2,FALSE)</f>
        <v>1</v>
      </c>
      <c r="D1990">
        <v>16</v>
      </c>
      <c r="E1990" t="s">
        <v>96</v>
      </c>
      <c r="F1990">
        <v>120</v>
      </c>
      <c r="H1990">
        <v>2</v>
      </c>
      <c r="I1990">
        <v>1</v>
      </c>
      <c r="J1990">
        <v>2</v>
      </c>
      <c r="K1990">
        <v>4.28</v>
      </c>
      <c r="L1990">
        <v>6.61</v>
      </c>
      <c r="M1990" t="s">
        <v>33</v>
      </c>
      <c r="N1990" t="s">
        <v>162</v>
      </c>
    </row>
    <row r="1991" spans="1:14" x14ac:dyDescent="0.3">
      <c r="A1991" t="s">
        <v>33</v>
      </c>
      <c r="B1991">
        <f>VLOOKUP(M1991,Sheet9!$I$1:$J$17,2,FALSE)</f>
        <v>6</v>
      </c>
      <c r="C1991">
        <f>VLOOKUP(N1991,Sheet9!$M$1:$N$2,2,FALSE)</f>
        <v>1</v>
      </c>
      <c r="D1991">
        <v>16</v>
      </c>
      <c r="E1991" t="s">
        <v>96</v>
      </c>
      <c r="F1991">
        <v>120</v>
      </c>
      <c r="H1991">
        <v>6</v>
      </c>
      <c r="I1991">
        <v>0.6</v>
      </c>
      <c r="J1991">
        <v>3.6</v>
      </c>
      <c r="K1991">
        <v>6.93</v>
      </c>
      <c r="L1991">
        <v>10.7</v>
      </c>
      <c r="M1991" t="s">
        <v>33</v>
      </c>
      <c r="N1991" t="s">
        <v>162</v>
      </c>
    </row>
    <row r="1992" spans="1:14" x14ac:dyDescent="0.3">
      <c r="A1992" t="s">
        <v>33</v>
      </c>
      <c r="B1992">
        <f>VLOOKUP(M1992,Sheet9!$I$1:$J$17,2,FALSE)</f>
        <v>6</v>
      </c>
      <c r="C1992">
        <f>VLOOKUP(N1992,Sheet9!$M$1:$N$2,2,FALSE)</f>
        <v>1</v>
      </c>
      <c r="D1992">
        <v>16</v>
      </c>
      <c r="E1992" t="s">
        <v>96</v>
      </c>
      <c r="F1992">
        <v>120</v>
      </c>
      <c r="H1992">
        <v>8</v>
      </c>
      <c r="I1992">
        <v>0.6</v>
      </c>
      <c r="J1992">
        <v>4.8</v>
      </c>
      <c r="K1992">
        <v>6.37</v>
      </c>
      <c r="L1992">
        <v>9.84</v>
      </c>
      <c r="M1992" t="s">
        <v>33</v>
      </c>
      <c r="N1992" t="s">
        <v>162</v>
      </c>
    </row>
    <row r="1993" spans="1:14" x14ac:dyDescent="0.3">
      <c r="A1993" t="s">
        <v>33</v>
      </c>
      <c r="B1993">
        <f>VLOOKUP(M1993,Sheet9!$I$1:$J$17,2,FALSE)</f>
        <v>6</v>
      </c>
      <c r="C1993">
        <f>VLOOKUP(N1993,Sheet9!$M$1:$N$2,2,FALSE)</f>
        <v>1</v>
      </c>
      <c r="D1993">
        <v>16</v>
      </c>
      <c r="E1993" t="s">
        <v>168</v>
      </c>
      <c r="F1993">
        <v>120</v>
      </c>
      <c r="H1993">
        <v>8</v>
      </c>
      <c r="I1993">
        <v>0.6</v>
      </c>
      <c r="J1993">
        <v>4.8</v>
      </c>
      <c r="K1993">
        <v>7.5</v>
      </c>
      <c r="L1993">
        <v>11.55</v>
      </c>
      <c r="M1993" t="s">
        <v>33</v>
      </c>
      <c r="N1993" t="s">
        <v>162</v>
      </c>
    </row>
    <row r="1994" spans="1:14" x14ac:dyDescent="0.3">
      <c r="A1994" t="s">
        <v>33</v>
      </c>
      <c r="B1994">
        <f>VLOOKUP(M1994,Sheet9!$I$1:$J$17,2,FALSE)</f>
        <v>6</v>
      </c>
      <c r="C1994">
        <f>VLOOKUP(N1994,Sheet9!$M$1:$N$2,2,FALSE)</f>
        <v>1</v>
      </c>
      <c r="D1994">
        <v>16</v>
      </c>
      <c r="E1994" t="s">
        <v>96</v>
      </c>
      <c r="F1994">
        <v>120</v>
      </c>
      <c r="H1994">
        <v>1</v>
      </c>
      <c r="I1994">
        <v>5</v>
      </c>
      <c r="J1994">
        <v>5</v>
      </c>
      <c r="K1994">
        <v>3.84</v>
      </c>
      <c r="L1994">
        <v>5.93</v>
      </c>
      <c r="M1994" t="s">
        <v>33</v>
      </c>
      <c r="N1994" t="s">
        <v>162</v>
      </c>
    </row>
    <row r="1995" spans="1:14" x14ac:dyDescent="0.3">
      <c r="A1995" t="s">
        <v>33</v>
      </c>
      <c r="B1995">
        <f>VLOOKUP(M1995,Sheet9!$I$1:$J$17,2,FALSE)</f>
        <v>6</v>
      </c>
      <c r="C1995">
        <f>VLOOKUP(N1995,Sheet9!$M$1:$N$2,2,FALSE)</f>
        <v>1</v>
      </c>
      <c r="D1995">
        <v>16</v>
      </c>
      <c r="E1995" t="s">
        <v>96</v>
      </c>
      <c r="F1995">
        <v>120</v>
      </c>
      <c r="H1995">
        <v>10</v>
      </c>
      <c r="I1995">
        <v>0.6</v>
      </c>
      <c r="J1995">
        <v>6</v>
      </c>
      <c r="K1995">
        <v>5.2</v>
      </c>
      <c r="L1995">
        <v>8.01</v>
      </c>
      <c r="M1995" t="s">
        <v>33</v>
      </c>
      <c r="N1995" t="s">
        <v>162</v>
      </c>
    </row>
    <row r="1996" spans="1:14" x14ac:dyDescent="0.3">
      <c r="A1996" t="s">
        <v>33</v>
      </c>
      <c r="B1996">
        <f>VLOOKUP(M1996,Sheet9!$I$1:$J$17,2,FALSE)</f>
        <v>6</v>
      </c>
      <c r="C1996">
        <f>VLOOKUP(N1996,Sheet9!$M$1:$N$2,2,FALSE)</f>
        <v>1</v>
      </c>
      <c r="D1996">
        <v>16</v>
      </c>
      <c r="E1996" t="s">
        <v>96</v>
      </c>
      <c r="F1996">
        <v>120</v>
      </c>
      <c r="H1996">
        <v>6</v>
      </c>
      <c r="I1996">
        <v>1.2</v>
      </c>
      <c r="J1996">
        <v>7.2</v>
      </c>
      <c r="K1996">
        <v>5.52</v>
      </c>
      <c r="L1996">
        <v>8.5299999999999994</v>
      </c>
      <c r="M1996" t="s">
        <v>33</v>
      </c>
      <c r="N1996" t="s">
        <v>162</v>
      </c>
    </row>
    <row r="1997" spans="1:14" x14ac:dyDescent="0.3">
      <c r="A1997" t="s">
        <v>33</v>
      </c>
      <c r="B1997">
        <f>VLOOKUP(M1997,Sheet9!$I$1:$J$17,2,FALSE)</f>
        <v>6</v>
      </c>
      <c r="C1997">
        <f>VLOOKUP(N1997,Sheet9!$M$1:$N$2,2,FALSE)</f>
        <v>1</v>
      </c>
      <c r="D1997">
        <v>16</v>
      </c>
      <c r="E1997" t="s">
        <v>96</v>
      </c>
      <c r="F1997">
        <v>120</v>
      </c>
      <c r="H1997">
        <v>1</v>
      </c>
      <c r="I1997">
        <v>10</v>
      </c>
      <c r="J1997">
        <v>10</v>
      </c>
      <c r="K1997">
        <v>3.84</v>
      </c>
      <c r="L1997">
        <v>5.93</v>
      </c>
      <c r="M1997" t="s">
        <v>33</v>
      </c>
      <c r="N1997" t="s">
        <v>162</v>
      </c>
    </row>
    <row r="1998" spans="1:14" x14ac:dyDescent="0.3">
      <c r="A1998" t="s">
        <v>33</v>
      </c>
      <c r="B1998">
        <f>VLOOKUP(M1998,Sheet9!$I$1:$J$17,2,FALSE)</f>
        <v>6</v>
      </c>
      <c r="C1998">
        <f>VLOOKUP(N1998,Sheet9!$M$1:$N$2,2,FALSE)</f>
        <v>1</v>
      </c>
      <c r="D1998">
        <v>16</v>
      </c>
      <c r="E1998" t="s">
        <v>96</v>
      </c>
      <c r="F1998">
        <v>120</v>
      </c>
      <c r="H1998">
        <v>20</v>
      </c>
      <c r="I1998">
        <v>0.6</v>
      </c>
      <c r="J1998">
        <v>12</v>
      </c>
      <c r="K1998">
        <v>5.3</v>
      </c>
      <c r="L1998">
        <v>8.16</v>
      </c>
      <c r="M1998" t="s">
        <v>33</v>
      </c>
      <c r="N1998" t="s">
        <v>162</v>
      </c>
    </row>
    <row r="1999" spans="1:14" x14ac:dyDescent="0.3">
      <c r="A1999" t="s">
        <v>33</v>
      </c>
      <c r="B1999">
        <f>VLOOKUP(M1999,Sheet9!$I$1:$J$17,2,FALSE)</f>
        <v>6</v>
      </c>
      <c r="C1999">
        <f>VLOOKUP(N1999,Sheet9!$M$1:$N$2,2,FALSE)</f>
        <v>1</v>
      </c>
      <c r="D1999">
        <v>16</v>
      </c>
      <c r="E1999" t="s">
        <v>96</v>
      </c>
      <c r="F1999">
        <v>120</v>
      </c>
      <c r="H1999">
        <v>12</v>
      </c>
      <c r="I1999">
        <v>1.2</v>
      </c>
      <c r="J1999">
        <v>14.4</v>
      </c>
      <c r="K1999">
        <v>4.93</v>
      </c>
      <c r="L1999">
        <v>7.61</v>
      </c>
      <c r="M1999" t="s">
        <v>33</v>
      </c>
      <c r="N1999" t="s">
        <v>162</v>
      </c>
    </row>
    <row r="2000" spans="1:14" x14ac:dyDescent="0.3">
      <c r="A2000" t="s">
        <v>33</v>
      </c>
      <c r="B2000">
        <f>VLOOKUP(M2000,Sheet9!$I$1:$J$17,2,FALSE)</f>
        <v>6</v>
      </c>
      <c r="C2000">
        <f>VLOOKUP(N2000,Sheet9!$M$1:$N$2,2,FALSE)</f>
        <v>1</v>
      </c>
      <c r="D2000">
        <v>16</v>
      </c>
      <c r="E2000" t="s">
        <v>96</v>
      </c>
      <c r="F2000">
        <v>120</v>
      </c>
      <c r="H2000">
        <v>32</v>
      </c>
      <c r="I2000">
        <v>1.2</v>
      </c>
      <c r="J2000">
        <v>38.4</v>
      </c>
      <c r="K2000">
        <v>4.3</v>
      </c>
      <c r="L2000">
        <v>6.64</v>
      </c>
      <c r="M2000" t="s">
        <v>33</v>
      </c>
      <c r="N2000" t="s">
        <v>162</v>
      </c>
    </row>
    <row r="2001" spans="1:14" x14ac:dyDescent="0.3">
      <c r="A2001" t="s">
        <v>33</v>
      </c>
      <c r="B2001">
        <f>VLOOKUP(M2001,Sheet9!$I$1:$J$17,2,FALSE)</f>
        <v>6</v>
      </c>
      <c r="C2001">
        <f>VLOOKUP(N2001,Sheet9!$M$1:$N$2,2,FALSE)</f>
        <v>1</v>
      </c>
      <c r="D2001">
        <v>16</v>
      </c>
      <c r="E2001" t="s">
        <v>96</v>
      </c>
      <c r="F2001">
        <v>120</v>
      </c>
      <c r="H2001">
        <v>64</v>
      </c>
      <c r="I2001">
        <v>0.6</v>
      </c>
      <c r="J2001">
        <v>38.4</v>
      </c>
      <c r="K2001">
        <v>4.37</v>
      </c>
      <c r="L2001">
        <v>6.74</v>
      </c>
      <c r="M2001" t="s">
        <v>33</v>
      </c>
      <c r="N2001" t="s">
        <v>162</v>
      </c>
    </row>
    <row r="2002" spans="1:14" x14ac:dyDescent="0.3">
      <c r="A2002" t="s">
        <v>33</v>
      </c>
      <c r="B2002">
        <f>VLOOKUP(M2002,Sheet9!$I$1:$J$17,2,FALSE)</f>
        <v>6</v>
      </c>
      <c r="C2002">
        <f>VLOOKUP(N2002,Sheet9!$M$1:$N$2,2,FALSE)</f>
        <v>1</v>
      </c>
      <c r="D2002">
        <v>16</v>
      </c>
      <c r="E2002" t="s">
        <v>96</v>
      </c>
      <c r="F2002">
        <v>140</v>
      </c>
      <c r="H2002">
        <v>2</v>
      </c>
      <c r="I2002">
        <v>1</v>
      </c>
      <c r="J2002">
        <v>2</v>
      </c>
      <c r="K2002">
        <v>6.57</v>
      </c>
      <c r="L2002">
        <v>9.94</v>
      </c>
      <c r="M2002" t="s">
        <v>33</v>
      </c>
      <c r="N2002" t="s">
        <v>162</v>
      </c>
    </row>
    <row r="2003" spans="1:14" x14ac:dyDescent="0.3">
      <c r="A2003" t="s">
        <v>33</v>
      </c>
      <c r="B2003">
        <f>VLOOKUP(M2003,Sheet9!$I$1:$J$17,2,FALSE)</f>
        <v>6</v>
      </c>
      <c r="C2003">
        <f>VLOOKUP(N2003,Sheet9!$M$1:$N$2,2,FALSE)</f>
        <v>1</v>
      </c>
      <c r="D2003">
        <v>16</v>
      </c>
      <c r="E2003" t="s">
        <v>96</v>
      </c>
      <c r="F2003">
        <v>140</v>
      </c>
      <c r="H2003">
        <v>6</v>
      </c>
      <c r="I2003">
        <v>0.6</v>
      </c>
      <c r="J2003">
        <v>3.6</v>
      </c>
      <c r="K2003">
        <v>10.64</v>
      </c>
      <c r="L2003">
        <v>16.09</v>
      </c>
      <c r="M2003" t="s">
        <v>33</v>
      </c>
      <c r="N2003" t="s">
        <v>162</v>
      </c>
    </row>
    <row r="2004" spans="1:14" x14ac:dyDescent="0.3">
      <c r="A2004" t="s">
        <v>33</v>
      </c>
      <c r="B2004">
        <f>VLOOKUP(M2004,Sheet9!$I$1:$J$17,2,FALSE)</f>
        <v>6</v>
      </c>
      <c r="C2004">
        <f>VLOOKUP(N2004,Sheet9!$M$1:$N$2,2,FALSE)</f>
        <v>1</v>
      </c>
      <c r="D2004">
        <v>16</v>
      </c>
      <c r="E2004" t="s">
        <v>96</v>
      </c>
      <c r="F2004">
        <v>140</v>
      </c>
      <c r="H2004">
        <v>8</v>
      </c>
      <c r="I2004">
        <v>0.6</v>
      </c>
      <c r="J2004">
        <v>4.8</v>
      </c>
      <c r="K2004">
        <v>9.7799999999999994</v>
      </c>
      <c r="L2004">
        <v>14.79</v>
      </c>
      <c r="M2004" t="s">
        <v>33</v>
      </c>
      <c r="N2004" t="s">
        <v>162</v>
      </c>
    </row>
    <row r="2005" spans="1:14" x14ac:dyDescent="0.3">
      <c r="A2005" t="s">
        <v>33</v>
      </c>
      <c r="B2005">
        <f>VLOOKUP(M2005,Sheet9!$I$1:$J$17,2,FALSE)</f>
        <v>6</v>
      </c>
      <c r="C2005">
        <f>VLOOKUP(N2005,Sheet9!$M$1:$N$2,2,FALSE)</f>
        <v>1</v>
      </c>
      <c r="D2005">
        <v>16</v>
      </c>
      <c r="E2005" t="s">
        <v>168</v>
      </c>
      <c r="F2005">
        <v>140</v>
      </c>
      <c r="H2005">
        <v>8</v>
      </c>
      <c r="I2005">
        <v>0.6</v>
      </c>
      <c r="J2005">
        <v>4.8</v>
      </c>
      <c r="K2005">
        <v>11.59</v>
      </c>
      <c r="L2005">
        <v>17.62</v>
      </c>
      <c r="M2005" t="s">
        <v>33</v>
      </c>
      <c r="N2005" t="s">
        <v>162</v>
      </c>
    </row>
    <row r="2006" spans="1:14" x14ac:dyDescent="0.3">
      <c r="A2006" t="s">
        <v>33</v>
      </c>
      <c r="B2006">
        <f>VLOOKUP(M2006,Sheet9!$I$1:$J$17,2,FALSE)</f>
        <v>6</v>
      </c>
      <c r="C2006">
        <f>VLOOKUP(N2006,Sheet9!$M$1:$N$2,2,FALSE)</f>
        <v>1</v>
      </c>
      <c r="D2006">
        <v>16</v>
      </c>
      <c r="E2006" t="s">
        <v>96</v>
      </c>
      <c r="F2006">
        <v>140</v>
      </c>
      <c r="H2006">
        <v>1</v>
      </c>
      <c r="I2006">
        <v>5</v>
      </c>
      <c r="J2006">
        <v>5</v>
      </c>
      <c r="K2006">
        <v>5.89</v>
      </c>
      <c r="L2006">
        <v>8.91</v>
      </c>
      <c r="M2006" t="s">
        <v>33</v>
      </c>
      <c r="N2006" t="s">
        <v>162</v>
      </c>
    </row>
    <row r="2007" spans="1:14" x14ac:dyDescent="0.3">
      <c r="A2007" t="s">
        <v>33</v>
      </c>
      <c r="B2007">
        <f>VLOOKUP(M2007,Sheet9!$I$1:$J$17,2,FALSE)</f>
        <v>6</v>
      </c>
      <c r="C2007">
        <f>VLOOKUP(N2007,Sheet9!$M$1:$N$2,2,FALSE)</f>
        <v>1</v>
      </c>
      <c r="D2007">
        <v>16</v>
      </c>
      <c r="E2007" t="s">
        <v>96</v>
      </c>
      <c r="F2007">
        <v>140</v>
      </c>
      <c r="H2007">
        <v>10</v>
      </c>
      <c r="I2007">
        <v>0.6</v>
      </c>
      <c r="J2007">
        <v>6</v>
      </c>
      <c r="K2007">
        <v>8.0299999999999994</v>
      </c>
      <c r="L2007">
        <v>12.22</v>
      </c>
      <c r="M2007" t="s">
        <v>33</v>
      </c>
      <c r="N2007" t="s">
        <v>162</v>
      </c>
    </row>
    <row r="2008" spans="1:14" x14ac:dyDescent="0.3">
      <c r="A2008" t="s">
        <v>33</v>
      </c>
      <c r="B2008">
        <f>VLOOKUP(M2008,Sheet9!$I$1:$J$17,2,FALSE)</f>
        <v>6</v>
      </c>
      <c r="C2008">
        <f>VLOOKUP(N2008,Sheet9!$M$1:$N$2,2,FALSE)</f>
        <v>1</v>
      </c>
      <c r="D2008">
        <v>16</v>
      </c>
      <c r="E2008" t="s">
        <v>96</v>
      </c>
      <c r="F2008">
        <v>140</v>
      </c>
      <c r="H2008">
        <v>6</v>
      </c>
      <c r="I2008">
        <v>1.2</v>
      </c>
      <c r="J2008">
        <v>7.2</v>
      </c>
      <c r="K2008">
        <v>8.4700000000000006</v>
      </c>
      <c r="L2008">
        <v>12.81</v>
      </c>
      <c r="M2008" t="s">
        <v>33</v>
      </c>
      <c r="N2008" t="s">
        <v>162</v>
      </c>
    </row>
    <row r="2009" spans="1:14" x14ac:dyDescent="0.3">
      <c r="A2009" t="s">
        <v>33</v>
      </c>
      <c r="B2009">
        <f>VLOOKUP(M2009,Sheet9!$I$1:$J$17,2,FALSE)</f>
        <v>6</v>
      </c>
      <c r="C2009">
        <f>VLOOKUP(N2009,Sheet9!$M$1:$N$2,2,FALSE)</f>
        <v>1</v>
      </c>
      <c r="D2009">
        <v>16</v>
      </c>
      <c r="E2009" t="s">
        <v>96</v>
      </c>
      <c r="F2009">
        <v>140</v>
      </c>
      <c r="H2009">
        <v>1</v>
      </c>
      <c r="I2009">
        <v>10</v>
      </c>
      <c r="J2009">
        <v>10</v>
      </c>
      <c r="K2009">
        <v>5.89</v>
      </c>
      <c r="L2009">
        <v>8.91</v>
      </c>
      <c r="M2009" t="s">
        <v>33</v>
      </c>
      <c r="N2009" t="s">
        <v>162</v>
      </c>
    </row>
    <row r="2010" spans="1:14" x14ac:dyDescent="0.3">
      <c r="A2010" t="s">
        <v>33</v>
      </c>
      <c r="B2010">
        <f>VLOOKUP(M2010,Sheet9!$I$1:$J$17,2,FALSE)</f>
        <v>6</v>
      </c>
      <c r="C2010">
        <f>VLOOKUP(N2010,Sheet9!$M$1:$N$2,2,FALSE)</f>
        <v>1</v>
      </c>
      <c r="D2010">
        <v>16</v>
      </c>
      <c r="E2010" t="s">
        <v>96</v>
      </c>
      <c r="F2010">
        <v>140</v>
      </c>
      <c r="H2010">
        <v>20</v>
      </c>
      <c r="I2010">
        <v>0.6</v>
      </c>
      <c r="J2010">
        <v>12</v>
      </c>
      <c r="K2010">
        <v>8.19</v>
      </c>
      <c r="L2010">
        <v>12.45</v>
      </c>
      <c r="M2010" t="s">
        <v>33</v>
      </c>
      <c r="N2010" t="s">
        <v>162</v>
      </c>
    </row>
    <row r="2011" spans="1:14" x14ac:dyDescent="0.3">
      <c r="A2011" t="s">
        <v>33</v>
      </c>
      <c r="B2011">
        <f>VLOOKUP(M2011,Sheet9!$I$1:$J$17,2,FALSE)</f>
        <v>6</v>
      </c>
      <c r="C2011">
        <f>VLOOKUP(N2011,Sheet9!$M$1:$N$2,2,FALSE)</f>
        <v>1</v>
      </c>
      <c r="D2011">
        <v>16</v>
      </c>
      <c r="E2011" t="s">
        <v>96</v>
      </c>
      <c r="F2011">
        <v>140</v>
      </c>
      <c r="H2011">
        <v>12</v>
      </c>
      <c r="I2011">
        <v>1.2</v>
      </c>
      <c r="J2011">
        <v>14.4</v>
      </c>
      <c r="K2011">
        <v>7.56</v>
      </c>
      <c r="L2011">
        <v>11.43</v>
      </c>
      <c r="M2011" t="s">
        <v>33</v>
      </c>
      <c r="N2011" t="s">
        <v>162</v>
      </c>
    </row>
    <row r="2012" spans="1:14" x14ac:dyDescent="0.3">
      <c r="A2012" t="s">
        <v>33</v>
      </c>
      <c r="B2012">
        <f>VLOOKUP(M2012,Sheet9!$I$1:$J$17,2,FALSE)</f>
        <v>6</v>
      </c>
      <c r="C2012">
        <f>VLOOKUP(N2012,Sheet9!$M$1:$N$2,2,FALSE)</f>
        <v>1</v>
      </c>
      <c r="D2012">
        <v>16</v>
      </c>
      <c r="E2012" t="s">
        <v>96</v>
      </c>
      <c r="F2012">
        <v>140</v>
      </c>
      <c r="H2012">
        <v>32</v>
      </c>
      <c r="I2012">
        <v>1.2</v>
      </c>
      <c r="J2012">
        <v>38.4</v>
      </c>
      <c r="K2012">
        <v>6.6</v>
      </c>
      <c r="L2012">
        <v>9.98</v>
      </c>
      <c r="M2012" t="s">
        <v>33</v>
      </c>
      <c r="N2012" t="s">
        <v>162</v>
      </c>
    </row>
    <row r="2013" spans="1:14" x14ac:dyDescent="0.3">
      <c r="A2013" t="s">
        <v>33</v>
      </c>
      <c r="B2013">
        <f>VLOOKUP(M2013,Sheet9!$I$1:$J$17,2,FALSE)</f>
        <v>6</v>
      </c>
      <c r="C2013">
        <f>VLOOKUP(N2013,Sheet9!$M$1:$N$2,2,FALSE)</f>
        <v>1</v>
      </c>
      <c r="D2013">
        <v>16</v>
      </c>
      <c r="E2013" t="s">
        <v>96</v>
      </c>
      <c r="F2013">
        <v>140</v>
      </c>
      <c r="H2013">
        <v>64</v>
      </c>
      <c r="I2013">
        <v>0.6</v>
      </c>
      <c r="J2013">
        <v>38.4</v>
      </c>
      <c r="K2013">
        <v>6.76</v>
      </c>
      <c r="L2013">
        <v>10.28</v>
      </c>
      <c r="M2013" t="s">
        <v>33</v>
      </c>
      <c r="N2013" t="s">
        <v>162</v>
      </c>
    </row>
    <row r="2014" spans="1:14" x14ac:dyDescent="0.3">
      <c r="A2014" t="s">
        <v>33</v>
      </c>
      <c r="B2014">
        <f>VLOOKUP(M2014,Sheet9!$I$1:$J$17,2,FALSE)</f>
        <v>6</v>
      </c>
      <c r="C2014">
        <f>VLOOKUP(N2014,Sheet9!$M$1:$N$2,2,FALSE)</f>
        <v>1</v>
      </c>
      <c r="D2014">
        <v>32</v>
      </c>
      <c r="E2014" t="s">
        <v>95</v>
      </c>
      <c r="F2014">
        <v>70</v>
      </c>
      <c r="H2014">
        <v>2</v>
      </c>
      <c r="I2014">
        <v>1</v>
      </c>
      <c r="J2014">
        <v>2</v>
      </c>
      <c r="K2014">
        <v>2.36</v>
      </c>
      <c r="L2014">
        <v>2.36</v>
      </c>
      <c r="M2014" t="s">
        <v>33</v>
      </c>
      <c r="N2014" t="s">
        <v>162</v>
      </c>
    </row>
    <row r="2015" spans="1:14" x14ac:dyDescent="0.3">
      <c r="A2015" t="s">
        <v>33</v>
      </c>
      <c r="B2015">
        <f>VLOOKUP(M2015,Sheet9!$I$1:$J$17,2,FALSE)</f>
        <v>6</v>
      </c>
      <c r="C2015">
        <f>VLOOKUP(N2015,Sheet9!$M$1:$N$2,2,FALSE)</f>
        <v>1</v>
      </c>
      <c r="D2015">
        <v>32</v>
      </c>
      <c r="E2015" t="s">
        <v>95</v>
      </c>
      <c r="F2015">
        <v>70</v>
      </c>
      <c r="H2015">
        <v>6</v>
      </c>
      <c r="I2015">
        <v>0.6</v>
      </c>
      <c r="J2015">
        <v>3.6</v>
      </c>
      <c r="K2015">
        <v>3.83</v>
      </c>
      <c r="L2015">
        <v>3.81</v>
      </c>
      <c r="M2015" t="s">
        <v>33</v>
      </c>
      <c r="N2015" t="s">
        <v>162</v>
      </c>
    </row>
    <row r="2016" spans="1:14" x14ac:dyDescent="0.3">
      <c r="A2016" t="s">
        <v>33</v>
      </c>
      <c r="B2016">
        <f>VLOOKUP(M2016,Sheet9!$I$1:$J$17,2,FALSE)</f>
        <v>6</v>
      </c>
      <c r="C2016">
        <f>VLOOKUP(N2016,Sheet9!$M$1:$N$2,2,FALSE)</f>
        <v>1</v>
      </c>
      <c r="D2016">
        <v>32</v>
      </c>
      <c r="E2016" t="s">
        <v>95</v>
      </c>
      <c r="F2016">
        <v>70</v>
      </c>
      <c r="H2016">
        <v>8</v>
      </c>
      <c r="I2016">
        <v>0.6</v>
      </c>
      <c r="J2016">
        <v>4.8</v>
      </c>
      <c r="K2016">
        <v>3.52</v>
      </c>
      <c r="L2016">
        <v>3.51</v>
      </c>
      <c r="M2016" t="s">
        <v>33</v>
      </c>
      <c r="N2016" t="s">
        <v>162</v>
      </c>
    </row>
    <row r="2017" spans="1:14" x14ac:dyDescent="0.3">
      <c r="A2017" t="s">
        <v>33</v>
      </c>
      <c r="B2017">
        <f>VLOOKUP(M2017,Sheet9!$I$1:$J$17,2,FALSE)</f>
        <v>6</v>
      </c>
      <c r="C2017">
        <f>VLOOKUP(N2017,Sheet9!$M$1:$N$2,2,FALSE)</f>
        <v>1</v>
      </c>
      <c r="D2017">
        <v>32</v>
      </c>
      <c r="E2017" t="s">
        <v>167</v>
      </c>
      <c r="F2017">
        <v>70</v>
      </c>
      <c r="H2017">
        <v>8</v>
      </c>
      <c r="I2017">
        <v>0.6</v>
      </c>
      <c r="J2017">
        <v>4.8</v>
      </c>
      <c r="K2017">
        <v>4.12</v>
      </c>
      <c r="L2017">
        <v>4.07</v>
      </c>
      <c r="M2017" t="s">
        <v>33</v>
      </c>
      <c r="N2017" t="s">
        <v>162</v>
      </c>
    </row>
    <row r="2018" spans="1:14" x14ac:dyDescent="0.3">
      <c r="A2018" t="s">
        <v>33</v>
      </c>
      <c r="B2018">
        <f>VLOOKUP(M2018,Sheet9!$I$1:$J$17,2,FALSE)</f>
        <v>6</v>
      </c>
      <c r="C2018">
        <f>VLOOKUP(N2018,Sheet9!$M$1:$N$2,2,FALSE)</f>
        <v>1</v>
      </c>
      <c r="D2018">
        <v>32</v>
      </c>
      <c r="E2018" t="s">
        <v>95</v>
      </c>
      <c r="F2018">
        <v>70</v>
      </c>
      <c r="H2018">
        <v>1</v>
      </c>
      <c r="I2018">
        <v>5</v>
      </c>
      <c r="J2018">
        <v>5</v>
      </c>
      <c r="K2018">
        <v>2.12</v>
      </c>
      <c r="L2018">
        <v>2.11</v>
      </c>
      <c r="M2018" t="s">
        <v>33</v>
      </c>
      <c r="N2018" t="s">
        <v>162</v>
      </c>
    </row>
    <row r="2019" spans="1:14" x14ac:dyDescent="0.3">
      <c r="A2019" t="s">
        <v>33</v>
      </c>
      <c r="B2019">
        <f>VLOOKUP(M2019,Sheet9!$I$1:$J$17,2,FALSE)</f>
        <v>6</v>
      </c>
      <c r="C2019">
        <f>VLOOKUP(N2019,Sheet9!$M$1:$N$2,2,FALSE)</f>
        <v>1</v>
      </c>
      <c r="D2019">
        <v>32</v>
      </c>
      <c r="E2019" t="s">
        <v>95</v>
      </c>
      <c r="F2019">
        <v>70</v>
      </c>
      <c r="H2019">
        <v>10</v>
      </c>
      <c r="I2019">
        <v>0.6</v>
      </c>
      <c r="J2019">
        <v>6</v>
      </c>
      <c r="K2019">
        <v>2.86</v>
      </c>
      <c r="L2019">
        <v>2.82</v>
      </c>
      <c r="M2019" t="s">
        <v>33</v>
      </c>
      <c r="N2019" t="s">
        <v>162</v>
      </c>
    </row>
    <row r="2020" spans="1:14" x14ac:dyDescent="0.3">
      <c r="A2020" t="s">
        <v>33</v>
      </c>
      <c r="B2020">
        <f>VLOOKUP(M2020,Sheet9!$I$1:$J$17,2,FALSE)</f>
        <v>6</v>
      </c>
      <c r="C2020">
        <f>VLOOKUP(N2020,Sheet9!$M$1:$N$2,2,FALSE)</f>
        <v>1</v>
      </c>
      <c r="D2020">
        <v>32</v>
      </c>
      <c r="E2020" t="s">
        <v>95</v>
      </c>
      <c r="F2020">
        <v>70</v>
      </c>
      <c r="H2020">
        <v>6</v>
      </c>
      <c r="I2020">
        <v>1.2</v>
      </c>
      <c r="J2020">
        <v>7.2</v>
      </c>
      <c r="K2020">
        <v>3.05</v>
      </c>
      <c r="L2020">
        <v>3.04</v>
      </c>
      <c r="M2020" t="s">
        <v>33</v>
      </c>
      <c r="N2020" t="s">
        <v>162</v>
      </c>
    </row>
    <row r="2021" spans="1:14" x14ac:dyDescent="0.3">
      <c r="A2021" t="s">
        <v>33</v>
      </c>
      <c r="B2021">
        <f>VLOOKUP(M2021,Sheet9!$I$1:$J$17,2,FALSE)</f>
        <v>6</v>
      </c>
      <c r="C2021">
        <f>VLOOKUP(N2021,Sheet9!$M$1:$N$2,2,FALSE)</f>
        <v>1</v>
      </c>
      <c r="D2021">
        <v>32</v>
      </c>
      <c r="E2021" t="s">
        <v>95</v>
      </c>
      <c r="F2021">
        <v>70</v>
      </c>
      <c r="H2021">
        <v>1</v>
      </c>
      <c r="I2021">
        <v>10</v>
      </c>
      <c r="J2021">
        <v>10</v>
      </c>
      <c r="K2021">
        <v>2.12</v>
      </c>
      <c r="L2021">
        <v>2.11</v>
      </c>
      <c r="M2021" t="s">
        <v>33</v>
      </c>
      <c r="N2021" t="s">
        <v>162</v>
      </c>
    </row>
    <row r="2022" spans="1:14" x14ac:dyDescent="0.3">
      <c r="A2022" t="s">
        <v>33</v>
      </c>
      <c r="B2022">
        <f>VLOOKUP(M2022,Sheet9!$I$1:$J$17,2,FALSE)</f>
        <v>6</v>
      </c>
      <c r="C2022">
        <f>VLOOKUP(N2022,Sheet9!$M$1:$N$2,2,FALSE)</f>
        <v>1</v>
      </c>
      <c r="D2022">
        <v>32</v>
      </c>
      <c r="E2022" t="s">
        <v>95</v>
      </c>
      <c r="F2022">
        <v>70</v>
      </c>
      <c r="H2022">
        <v>20</v>
      </c>
      <c r="I2022">
        <v>0.6</v>
      </c>
      <c r="J2022">
        <v>12</v>
      </c>
      <c r="K2022">
        <v>2.91</v>
      </c>
      <c r="L2022">
        <v>2.88</v>
      </c>
      <c r="M2022" t="s">
        <v>33</v>
      </c>
      <c r="N2022" t="s">
        <v>162</v>
      </c>
    </row>
    <row r="2023" spans="1:14" x14ac:dyDescent="0.3">
      <c r="A2023" t="s">
        <v>33</v>
      </c>
      <c r="B2023">
        <f>VLOOKUP(M2023,Sheet9!$I$1:$J$17,2,FALSE)</f>
        <v>6</v>
      </c>
      <c r="C2023">
        <f>VLOOKUP(N2023,Sheet9!$M$1:$N$2,2,FALSE)</f>
        <v>1</v>
      </c>
      <c r="D2023">
        <v>32</v>
      </c>
      <c r="E2023" t="s">
        <v>95</v>
      </c>
      <c r="F2023">
        <v>70</v>
      </c>
      <c r="H2023">
        <v>12</v>
      </c>
      <c r="I2023">
        <v>1.2</v>
      </c>
      <c r="J2023">
        <v>14.4</v>
      </c>
      <c r="K2023">
        <v>2.72</v>
      </c>
      <c r="L2023">
        <v>2.71</v>
      </c>
      <c r="M2023" t="s">
        <v>33</v>
      </c>
      <c r="N2023" t="s">
        <v>162</v>
      </c>
    </row>
    <row r="2024" spans="1:14" x14ac:dyDescent="0.3">
      <c r="A2024" t="s">
        <v>33</v>
      </c>
      <c r="B2024">
        <f>VLOOKUP(M2024,Sheet9!$I$1:$J$17,2,FALSE)</f>
        <v>6</v>
      </c>
      <c r="C2024">
        <f>VLOOKUP(N2024,Sheet9!$M$1:$N$2,2,FALSE)</f>
        <v>1</v>
      </c>
      <c r="D2024">
        <v>32</v>
      </c>
      <c r="E2024" t="s">
        <v>95</v>
      </c>
      <c r="F2024">
        <v>70</v>
      </c>
      <c r="H2024">
        <v>32</v>
      </c>
      <c r="I2024">
        <v>1.2</v>
      </c>
      <c r="J2024">
        <v>38.4</v>
      </c>
      <c r="K2024">
        <v>2.38</v>
      </c>
      <c r="L2024">
        <v>2.37</v>
      </c>
      <c r="M2024" t="s">
        <v>33</v>
      </c>
      <c r="N2024" t="s">
        <v>162</v>
      </c>
    </row>
    <row r="2025" spans="1:14" x14ac:dyDescent="0.3">
      <c r="A2025" t="s">
        <v>33</v>
      </c>
      <c r="B2025">
        <f>VLOOKUP(M2025,Sheet9!$I$1:$J$17,2,FALSE)</f>
        <v>6</v>
      </c>
      <c r="C2025">
        <f>VLOOKUP(N2025,Sheet9!$M$1:$N$2,2,FALSE)</f>
        <v>1</v>
      </c>
      <c r="D2025">
        <v>32</v>
      </c>
      <c r="E2025" t="s">
        <v>95</v>
      </c>
      <c r="F2025">
        <v>70</v>
      </c>
      <c r="H2025">
        <v>64</v>
      </c>
      <c r="I2025">
        <v>0.6</v>
      </c>
      <c r="J2025">
        <v>38.4</v>
      </c>
      <c r="K2025">
        <v>2.4</v>
      </c>
      <c r="L2025">
        <v>2.37</v>
      </c>
      <c r="M2025" t="s">
        <v>33</v>
      </c>
      <c r="N2025" t="s">
        <v>162</v>
      </c>
    </row>
    <row r="2026" spans="1:14" x14ac:dyDescent="0.3">
      <c r="A2026" t="s">
        <v>33</v>
      </c>
      <c r="B2026">
        <f>VLOOKUP(M2026,Sheet9!$I$1:$J$17,2,FALSE)</f>
        <v>6</v>
      </c>
      <c r="C2026">
        <f>VLOOKUP(N2026,Sheet9!$M$1:$N$2,2,FALSE)</f>
        <v>1</v>
      </c>
      <c r="D2026">
        <v>32</v>
      </c>
      <c r="E2026" t="s">
        <v>95</v>
      </c>
      <c r="F2026">
        <v>80</v>
      </c>
      <c r="H2026">
        <v>2</v>
      </c>
      <c r="I2026">
        <v>1</v>
      </c>
      <c r="J2026">
        <v>2</v>
      </c>
      <c r="K2026">
        <v>3.81</v>
      </c>
      <c r="L2026">
        <v>3.78</v>
      </c>
      <c r="M2026" t="s">
        <v>33</v>
      </c>
      <c r="N2026" t="s">
        <v>162</v>
      </c>
    </row>
    <row r="2027" spans="1:14" x14ac:dyDescent="0.3">
      <c r="A2027" t="s">
        <v>33</v>
      </c>
      <c r="B2027">
        <f>VLOOKUP(M2027,Sheet9!$I$1:$J$17,2,FALSE)</f>
        <v>6</v>
      </c>
      <c r="C2027">
        <f>VLOOKUP(N2027,Sheet9!$M$1:$N$2,2,FALSE)</f>
        <v>1</v>
      </c>
      <c r="D2027">
        <v>32</v>
      </c>
      <c r="E2027" t="s">
        <v>95</v>
      </c>
      <c r="F2027">
        <v>80</v>
      </c>
      <c r="H2027">
        <v>6</v>
      </c>
      <c r="I2027">
        <v>0.6</v>
      </c>
      <c r="J2027">
        <v>3.6</v>
      </c>
      <c r="K2027">
        <v>6.17</v>
      </c>
      <c r="L2027">
        <v>6.12</v>
      </c>
      <c r="M2027" t="s">
        <v>33</v>
      </c>
      <c r="N2027" t="s">
        <v>162</v>
      </c>
    </row>
    <row r="2028" spans="1:14" x14ac:dyDescent="0.3">
      <c r="A2028" t="s">
        <v>33</v>
      </c>
      <c r="B2028">
        <f>VLOOKUP(M2028,Sheet9!$I$1:$J$17,2,FALSE)</f>
        <v>6</v>
      </c>
      <c r="C2028">
        <f>VLOOKUP(N2028,Sheet9!$M$1:$N$2,2,FALSE)</f>
        <v>1</v>
      </c>
      <c r="D2028">
        <v>32</v>
      </c>
      <c r="E2028" t="s">
        <v>95</v>
      </c>
      <c r="F2028">
        <v>80</v>
      </c>
      <c r="H2028">
        <v>8</v>
      </c>
      <c r="I2028">
        <v>0.6</v>
      </c>
      <c r="J2028">
        <v>4.8</v>
      </c>
      <c r="K2028">
        <v>5.67</v>
      </c>
      <c r="L2028">
        <v>5.63</v>
      </c>
      <c r="M2028" t="s">
        <v>33</v>
      </c>
      <c r="N2028" t="s">
        <v>162</v>
      </c>
    </row>
    <row r="2029" spans="1:14" x14ac:dyDescent="0.3">
      <c r="A2029" t="s">
        <v>33</v>
      </c>
      <c r="B2029">
        <f>VLOOKUP(M2029,Sheet9!$I$1:$J$17,2,FALSE)</f>
        <v>6</v>
      </c>
      <c r="C2029">
        <f>VLOOKUP(N2029,Sheet9!$M$1:$N$2,2,FALSE)</f>
        <v>1</v>
      </c>
      <c r="D2029">
        <v>32</v>
      </c>
      <c r="E2029" t="s">
        <v>167</v>
      </c>
      <c r="F2029">
        <v>80</v>
      </c>
      <c r="H2029">
        <v>8</v>
      </c>
      <c r="I2029">
        <v>0.6</v>
      </c>
      <c r="J2029">
        <v>4.8</v>
      </c>
      <c r="K2029">
        <v>6.58</v>
      </c>
      <c r="L2029">
        <v>6.44</v>
      </c>
      <c r="M2029" t="s">
        <v>33</v>
      </c>
      <c r="N2029" t="s">
        <v>162</v>
      </c>
    </row>
    <row r="2030" spans="1:14" x14ac:dyDescent="0.3">
      <c r="A2030" t="s">
        <v>33</v>
      </c>
      <c r="B2030">
        <f>VLOOKUP(M2030,Sheet9!$I$1:$J$17,2,FALSE)</f>
        <v>6</v>
      </c>
      <c r="C2030">
        <f>VLOOKUP(N2030,Sheet9!$M$1:$N$2,2,FALSE)</f>
        <v>1</v>
      </c>
      <c r="D2030">
        <v>32</v>
      </c>
      <c r="E2030" t="s">
        <v>95</v>
      </c>
      <c r="F2030">
        <v>80</v>
      </c>
      <c r="H2030">
        <v>1</v>
      </c>
      <c r="I2030">
        <v>5</v>
      </c>
      <c r="J2030">
        <v>5</v>
      </c>
      <c r="K2030">
        <v>3.42</v>
      </c>
      <c r="L2030">
        <v>3.39</v>
      </c>
      <c r="M2030" t="s">
        <v>33</v>
      </c>
      <c r="N2030" t="s">
        <v>162</v>
      </c>
    </row>
    <row r="2031" spans="1:14" x14ac:dyDescent="0.3">
      <c r="A2031" t="s">
        <v>33</v>
      </c>
      <c r="B2031">
        <f>VLOOKUP(M2031,Sheet9!$I$1:$J$17,2,FALSE)</f>
        <v>6</v>
      </c>
      <c r="C2031">
        <f>VLOOKUP(N2031,Sheet9!$M$1:$N$2,2,FALSE)</f>
        <v>1</v>
      </c>
      <c r="D2031">
        <v>32</v>
      </c>
      <c r="E2031" t="s">
        <v>95</v>
      </c>
      <c r="F2031">
        <v>80</v>
      </c>
      <c r="H2031">
        <v>10</v>
      </c>
      <c r="I2031">
        <v>0.6</v>
      </c>
      <c r="J2031">
        <v>6</v>
      </c>
      <c r="K2031">
        <v>4.5599999999999996</v>
      </c>
      <c r="L2031">
        <v>4.47</v>
      </c>
      <c r="M2031" t="s">
        <v>33</v>
      </c>
      <c r="N2031" t="s">
        <v>162</v>
      </c>
    </row>
    <row r="2032" spans="1:14" x14ac:dyDescent="0.3">
      <c r="A2032" t="s">
        <v>33</v>
      </c>
      <c r="B2032">
        <f>VLOOKUP(M2032,Sheet9!$I$1:$J$17,2,FALSE)</f>
        <v>6</v>
      </c>
      <c r="C2032">
        <f>VLOOKUP(N2032,Sheet9!$M$1:$N$2,2,FALSE)</f>
        <v>1</v>
      </c>
      <c r="D2032">
        <v>32</v>
      </c>
      <c r="E2032" t="s">
        <v>95</v>
      </c>
      <c r="F2032">
        <v>80</v>
      </c>
      <c r="H2032">
        <v>6</v>
      </c>
      <c r="I2032">
        <v>1.2</v>
      </c>
      <c r="J2032">
        <v>7.2</v>
      </c>
      <c r="K2032">
        <v>4.92</v>
      </c>
      <c r="L2032">
        <v>4.88</v>
      </c>
      <c r="M2032" t="s">
        <v>33</v>
      </c>
      <c r="N2032" t="s">
        <v>162</v>
      </c>
    </row>
    <row r="2033" spans="1:14" x14ac:dyDescent="0.3">
      <c r="A2033" t="s">
        <v>33</v>
      </c>
      <c r="B2033">
        <f>VLOOKUP(M2033,Sheet9!$I$1:$J$17,2,FALSE)</f>
        <v>6</v>
      </c>
      <c r="C2033">
        <f>VLOOKUP(N2033,Sheet9!$M$1:$N$2,2,FALSE)</f>
        <v>1</v>
      </c>
      <c r="D2033">
        <v>32</v>
      </c>
      <c r="E2033" t="s">
        <v>95</v>
      </c>
      <c r="F2033">
        <v>80</v>
      </c>
      <c r="H2033">
        <v>1</v>
      </c>
      <c r="I2033">
        <v>10</v>
      </c>
      <c r="J2033">
        <v>10</v>
      </c>
      <c r="K2033">
        <v>3.42</v>
      </c>
      <c r="L2033">
        <v>3.39</v>
      </c>
      <c r="M2033" t="s">
        <v>33</v>
      </c>
      <c r="N2033" t="s">
        <v>162</v>
      </c>
    </row>
    <row r="2034" spans="1:14" x14ac:dyDescent="0.3">
      <c r="A2034" t="s">
        <v>33</v>
      </c>
      <c r="B2034">
        <f>VLOOKUP(M2034,Sheet9!$I$1:$J$17,2,FALSE)</f>
        <v>6</v>
      </c>
      <c r="C2034">
        <f>VLOOKUP(N2034,Sheet9!$M$1:$N$2,2,FALSE)</f>
        <v>1</v>
      </c>
      <c r="D2034">
        <v>32</v>
      </c>
      <c r="E2034" t="s">
        <v>95</v>
      </c>
      <c r="F2034">
        <v>80</v>
      </c>
      <c r="H2034">
        <v>20</v>
      </c>
      <c r="I2034">
        <v>0.6</v>
      </c>
      <c r="J2034">
        <v>12</v>
      </c>
      <c r="K2034">
        <v>4.6500000000000004</v>
      </c>
      <c r="L2034">
        <v>4.55</v>
      </c>
      <c r="M2034" t="s">
        <v>33</v>
      </c>
      <c r="N2034" t="s">
        <v>162</v>
      </c>
    </row>
    <row r="2035" spans="1:14" x14ac:dyDescent="0.3">
      <c r="A2035" t="s">
        <v>33</v>
      </c>
      <c r="B2035">
        <f>VLOOKUP(M2035,Sheet9!$I$1:$J$17,2,FALSE)</f>
        <v>6</v>
      </c>
      <c r="C2035">
        <f>VLOOKUP(N2035,Sheet9!$M$1:$N$2,2,FALSE)</f>
        <v>1</v>
      </c>
      <c r="D2035">
        <v>32</v>
      </c>
      <c r="E2035" t="s">
        <v>95</v>
      </c>
      <c r="F2035">
        <v>80</v>
      </c>
      <c r="H2035">
        <v>12</v>
      </c>
      <c r="I2035">
        <v>1.2</v>
      </c>
      <c r="J2035">
        <v>14.4</v>
      </c>
      <c r="K2035">
        <v>4.3899999999999997</v>
      </c>
      <c r="L2035">
        <v>4.3899999999999997</v>
      </c>
      <c r="M2035" t="s">
        <v>33</v>
      </c>
      <c r="N2035" t="s">
        <v>162</v>
      </c>
    </row>
    <row r="2036" spans="1:14" x14ac:dyDescent="0.3">
      <c r="A2036" t="s">
        <v>33</v>
      </c>
      <c r="B2036">
        <f>VLOOKUP(M2036,Sheet9!$I$1:$J$17,2,FALSE)</f>
        <v>6</v>
      </c>
      <c r="C2036">
        <f>VLOOKUP(N2036,Sheet9!$M$1:$N$2,2,FALSE)</f>
        <v>1</v>
      </c>
      <c r="D2036">
        <v>32</v>
      </c>
      <c r="E2036" t="s">
        <v>95</v>
      </c>
      <c r="F2036">
        <v>80</v>
      </c>
      <c r="H2036">
        <v>32</v>
      </c>
      <c r="I2036">
        <v>1.2</v>
      </c>
      <c r="J2036">
        <v>38.4</v>
      </c>
      <c r="K2036">
        <v>3.83</v>
      </c>
      <c r="L2036">
        <v>3.8</v>
      </c>
      <c r="M2036" t="s">
        <v>33</v>
      </c>
      <c r="N2036" t="s">
        <v>162</v>
      </c>
    </row>
    <row r="2037" spans="1:14" x14ac:dyDescent="0.3">
      <c r="A2037" t="s">
        <v>33</v>
      </c>
      <c r="B2037">
        <f>VLOOKUP(M2037,Sheet9!$I$1:$J$17,2,FALSE)</f>
        <v>6</v>
      </c>
      <c r="C2037">
        <f>VLOOKUP(N2037,Sheet9!$M$1:$N$2,2,FALSE)</f>
        <v>1</v>
      </c>
      <c r="D2037">
        <v>32</v>
      </c>
      <c r="E2037" t="s">
        <v>95</v>
      </c>
      <c r="F2037">
        <v>80</v>
      </c>
      <c r="H2037">
        <v>64</v>
      </c>
      <c r="I2037">
        <v>0.6</v>
      </c>
      <c r="J2037">
        <v>38.4</v>
      </c>
      <c r="K2037">
        <v>3.84</v>
      </c>
      <c r="L2037">
        <v>3.76</v>
      </c>
      <c r="M2037" t="s">
        <v>33</v>
      </c>
      <c r="N2037" t="s">
        <v>162</v>
      </c>
    </row>
    <row r="2038" spans="1:14" x14ac:dyDescent="0.3">
      <c r="A2038" t="s">
        <v>33</v>
      </c>
      <c r="B2038">
        <f>VLOOKUP(M2038,Sheet9!$I$1:$J$17,2,FALSE)</f>
        <v>6</v>
      </c>
      <c r="C2038">
        <f>VLOOKUP(N2038,Sheet9!$M$1:$N$2,2,FALSE)</f>
        <v>1</v>
      </c>
      <c r="D2038">
        <v>32</v>
      </c>
      <c r="E2038" t="s">
        <v>95</v>
      </c>
      <c r="F2038">
        <v>100</v>
      </c>
      <c r="H2038">
        <v>2</v>
      </c>
      <c r="I2038">
        <v>1</v>
      </c>
      <c r="J2038">
        <v>2</v>
      </c>
      <c r="K2038">
        <v>7.81</v>
      </c>
      <c r="L2038">
        <v>7.69</v>
      </c>
      <c r="M2038" t="s">
        <v>33</v>
      </c>
      <c r="N2038" t="s">
        <v>162</v>
      </c>
    </row>
    <row r="2039" spans="1:14" x14ac:dyDescent="0.3">
      <c r="A2039" t="s">
        <v>33</v>
      </c>
      <c r="B2039">
        <f>VLOOKUP(M2039,Sheet9!$I$1:$J$17,2,FALSE)</f>
        <v>6</v>
      </c>
      <c r="C2039">
        <f>VLOOKUP(N2039,Sheet9!$M$1:$N$2,2,FALSE)</f>
        <v>1</v>
      </c>
      <c r="D2039">
        <v>32</v>
      </c>
      <c r="E2039" t="s">
        <v>95</v>
      </c>
      <c r="F2039">
        <v>100</v>
      </c>
      <c r="H2039">
        <v>6</v>
      </c>
      <c r="I2039">
        <v>0.6</v>
      </c>
      <c r="J2039">
        <v>3.6</v>
      </c>
      <c r="K2039">
        <v>12.65</v>
      </c>
      <c r="L2039">
        <v>12.45</v>
      </c>
      <c r="M2039" t="s">
        <v>33</v>
      </c>
      <c r="N2039" t="s">
        <v>162</v>
      </c>
    </row>
    <row r="2040" spans="1:14" x14ac:dyDescent="0.3">
      <c r="A2040" t="s">
        <v>33</v>
      </c>
      <c r="B2040">
        <f>VLOOKUP(M2040,Sheet9!$I$1:$J$17,2,FALSE)</f>
        <v>6</v>
      </c>
      <c r="C2040">
        <f>VLOOKUP(N2040,Sheet9!$M$1:$N$2,2,FALSE)</f>
        <v>1</v>
      </c>
      <c r="D2040">
        <v>32</v>
      </c>
      <c r="E2040" t="s">
        <v>95</v>
      </c>
      <c r="F2040">
        <v>100</v>
      </c>
      <c r="H2040">
        <v>8</v>
      </c>
      <c r="I2040">
        <v>0.6</v>
      </c>
      <c r="J2040">
        <v>4.8</v>
      </c>
      <c r="K2040">
        <v>11.63</v>
      </c>
      <c r="L2040">
        <v>11.44</v>
      </c>
      <c r="M2040" t="s">
        <v>33</v>
      </c>
      <c r="N2040" t="s">
        <v>162</v>
      </c>
    </row>
    <row r="2041" spans="1:14" x14ac:dyDescent="0.3">
      <c r="A2041" t="s">
        <v>33</v>
      </c>
      <c r="B2041">
        <f>VLOOKUP(M2041,Sheet9!$I$1:$J$17,2,FALSE)</f>
        <v>6</v>
      </c>
      <c r="C2041">
        <f>VLOOKUP(N2041,Sheet9!$M$1:$N$2,2,FALSE)</f>
        <v>1</v>
      </c>
      <c r="D2041">
        <v>32</v>
      </c>
      <c r="E2041" t="s">
        <v>167</v>
      </c>
      <c r="F2041">
        <v>100</v>
      </c>
      <c r="H2041">
        <v>8</v>
      </c>
      <c r="I2041">
        <v>0.6</v>
      </c>
      <c r="J2041">
        <v>4.8</v>
      </c>
      <c r="K2041">
        <v>13.53</v>
      </c>
      <c r="L2041">
        <v>13.14</v>
      </c>
      <c r="M2041" t="s">
        <v>33</v>
      </c>
      <c r="N2041" t="s">
        <v>162</v>
      </c>
    </row>
    <row r="2042" spans="1:14" x14ac:dyDescent="0.3">
      <c r="A2042" t="s">
        <v>33</v>
      </c>
      <c r="B2042">
        <f>VLOOKUP(M2042,Sheet9!$I$1:$J$17,2,FALSE)</f>
        <v>6</v>
      </c>
      <c r="C2042">
        <f>VLOOKUP(N2042,Sheet9!$M$1:$N$2,2,FALSE)</f>
        <v>1</v>
      </c>
      <c r="D2042">
        <v>32</v>
      </c>
      <c r="E2042" t="s">
        <v>95</v>
      </c>
      <c r="F2042">
        <v>100</v>
      </c>
      <c r="H2042">
        <v>1</v>
      </c>
      <c r="I2042">
        <v>5</v>
      </c>
      <c r="J2042">
        <v>5</v>
      </c>
      <c r="K2042">
        <v>7.01</v>
      </c>
      <c r="L2042">
        <v>6.9</v>
      </c>
      <c r="M2042" t="s">
        <v>33</v>
      </c>
      <c r="N2042" t="s">
        <v>162</v>
      </c>
    </row>
    <row r="2043" spans="1:14" x14ac:dyDescent="0.3">
      <c r="A2043" t="s">
        <v>33</v>
      </c>
      <c r="B2043">
        <f>VLOOKUP(M2043,Sheet9!$I$1:$J$17,2,FALSE)</f>
        <v>6</v>
      </c>
      <c r="C2043">
        <f>VLOOKUP(N2043,Sheet9!$M$1:$N$2,2,FALSE)</f>
        <v>1</v>
      </c>
      <c r="D2043">
        <v>32</v>
      </c>
      <c r="E2043" t="s">
        <v>95</v>
      </c>
      <c r="F2043">
        <v>100</v>
      </c>
      <c r="H2043">
        <v>10</v>
      </c>
      <c r="I2043">
        <v>0.6</v>
      </c>
      <c r="J2043">
        <v>6</v>
      </c>
      <c r="K2043">
        <v>9.3800000000000008</v>
      </c>
      <c r="L2043">
        <v>9.11</v>
      </c>
      <c r="M2043" t="s">
        <v>33</v>
      </c>
      <c r="N2043" t="s">
        <v>162</v>
      </c>
    </row>
    <row r="2044" spans="1:14" x14ac:dyDescent="0.3">
      <c r="A2044" t="s">
        <v>33</v>
      </c>
      <c r="B2044">
        <f>VLOOKUP(M2044,Sheet9!$I$1:$J$17,2,FALSE)</f>
        <v>6</v>
      </c>
      <c r="C2044">
        <f>VLOOKUP(N2044,Sheet9!$M$1:$N$2,2,FALSE)</f>
        <v>1</v>
      </c>
      <c r="D2044">
        <v>32</v>
      </c>
      <c r="E2044" t="s">
        <v>95</v>
      </c>
      <c r="F2044">
        <v>100</v>
      </c>
      <c r="H2044">
        <v>6</v>
      </c>
      <c r="I2044">
        <v>1.2</v>
      </c>
      <c r="J2044">
        <v>7.2</v>
      </c>
      <c r="K2044">
        <v>10.08</v>
      </c>
      <c r="L2044">
        <v>9.92</v>
      </c>
      <c r="M2044" t="s">
        <v>33</v>
      </c>
      <c r="N2044" t="s">
        <v>162</v>
      </c>
    </row>
    <row r="2045" spans="1:14" x14ac:dyDescent="0.3">
      <c r="A2045" t="s">
        <v>33</v>
      </c>
      <c r="B2045">
        <f>VLOOKUP(M2045,Sheet9!$I$1:$J$17,2,FALSE)</f>
        <v>6</v>
      </c>
      <c r="C2045">
        <f>VLOOKUP(N2045,Sheet9!$M$1:$N$2,2,FALSE)</f>
        <v>1</v>
      </c>
      <c r="D2045">
        <v>32</v>
      </c>
      <c r="E2045" t="s">
        <v>95</v>
      </c>
      <c r="F2045">
        <v>100</v>
      </c>
      <c r="H2045">
        <v>1</v>
      </c>
      <c r="I2045">
        <v>10</v>
      </c>
      <c r="J2045">
        <v>10</v>
      </c>
      <c r="K2045">
        <v>7.01</v>
      </c>
      <c r="L2045">
        <v>6.9</v>
      </c>
      <c r="M2045" t="s">
        <v>33</v>
      </c>
      <c r="N2045" t="s">
        <v>162</v>
      </c>
    </row>
    <row r="2046" spans="1:14" x14ac:dyDescent="0.3">
      <c r="A2046" t="s">
        <v>33</v>
      </c>
      <c r="B2046">
        <f>VLOOKUP(M2046,Sheet9!$I$1:$J$17,2,FALSE)</f>
        <v>6</v>
      </c>
      <c r="C2046">
        <f>VLOOKUP(N2046,Sheet9!$M$1:$N$2,2,FALSE)</f>
        <v>1</v>
      </c>
      <c r="D2046">
        <v>32</v>
      </c>
      <c r="E2046" t="s">
        <v>95</v>
      </c>
      <c r="F2046">
        <v>100</v>
      </c>
      <c r="H2046">
        <v>20</v>
      </c>
      <c r="I2046">
        <v>0.6</v>
      </c>
      <c r="J2046">
        <v>12</v>
      </c>
      <c r="K2046">
        <v>9.56</v>
      </c>
      <c r="L2046">
        <v>9.2899999999999991</v>
      </c>
      <c r="M2046" t="s">
        <v>33</v>
      </c>
      <c r="N2046" t="s">
        <v>162</v>
      </c>
    </row>
    <row r="2047" spans="1:14" x14ac:dyDescent="0.3">
      <c r="A2047" t="s">
        <v>33</v>
      </c>
      <c r="B2047">
        <f>VLOOKUP(M2047,Sheet9!$I$1:$J$17,2,FALSE)</f>
        <v>6</v>
      </c>
      <c r="C2047">
        <f>VLOOKUP(N2047,Sheet9!$M$1:$N$2,2,FALSE)</f>
        <v>1</v>
      </c>
      <c r="D2047">
        <v>32</v>
      </c>
      <c r="E2047" t="s">
        <v>95</v>
      </c>
      <c r="F2047">
        <v>100</v>
      </c>
      <c r="H2047">
        <v>12</v>
      </c>
      <c r="I2047">
        <v>1.2</v>
      </c>
      <c r="J2047">
        <v>14.4</v>
      </c>
      <c r="K2047">
        <v>8.99</v>
      </c>
      <c r="L2047">
        <v>8.85</v>
      </c>
      <c r="M2047" t="s">
        <v>33</v>
      </c>
      <c r="N2047" t="s">
        <v>162</v>
      </c>
    </row>
    <row r="2048" spans="1:14" x14ac:dyDescent="0.3">
      <c r="A2048" t="s">
        <v>33</v>
      </c>
      <c r="B2048">
        <f>VLOOKUP(M2048,Sheet9!$I$1:$J$17,2,FALSE)</f>
        <v>6</v>
      </c>
      <c r="C2048">
        <f>VLOOKUP(N2048,Sheet9!$M$1:$N$2,2,FALSE)</f>
        <v>1</v>
      </c>
      <c r="D2048">
        <v>32</v>
      </c>
      <c r="E2048" t="s">
        <v>95</v>
      </c>
      <c r="F2048">
        <v>100</v>
      </c>
      <c r="H2048">
        <v>32</v>
      </c>
      <c r="I2048">
        <v>1.2</v>
      </c>
      <c r="J2048">
        <v>38.4</v>
      </c>
      <c r="K2048">
        <v>7.85</v>
      </c>
      <c r="L2048">
        <v>7.72</v>
      </c>
      <c r="M2048" t="s">
        <v>33</v>
      </c>
      <c r="N2048" t="s">
        <v>162</v>
      </c>
    </row>
    <row r="2049" spans="1:14" x14ac:dyDescent="0.3">
      <c r="A2049" t="s">
        <v>33</v>
      </c>
      <c r="B2049">
        <f>VLOOKUP(M2049,Sheet9!$I$1:$J$17,2,FALSE)</f>
        <v>6</v>
      </c>
      <c r="C2049">
        <f>VLOOKUP(N2049,Sheet9!$M$1:$N$2,2,FALSE)</f>
        <v>1</v>
      </c>
      <c r="D2049">
        <v>32</v>
      </c>
      <c r="E2049" t="s">
        <v>95</v>
      </c>
      <c r="F2049">
        <v>100</v>
      </c>
      <c r="H2049">
        <v>64</v>
      </c>
      <c r="I2049">
        <v>0.6</v>
      </c>
      <c r="J2049">
        <v>38.4</v>
      </c>
      <c r="K2049">
        <v>7.89</v>
      </c>
      <c r="L2049">
        <v>7.67</v>
      </c>
      <c r="M2049" t="s">
        <v>33</v>
      </c>
      <c r="N2049" t="s">
        <v>162</v>
      </c>
    </row>
    <row r="2050" spans="1:14" x14ac:dyDescent="0.3">
      <c r="A2050" t="s">
        <v>33</v>
      </c>
      <c r="B2050">
        <f>VLOOKUP(M2050,Sheet9!$I$1:$J$17,2,FALSE)</f>
        <v>6</v>
      </c>
      <c r="C2050">
        <f>VLOOKUP(N2050,Sheet9!$M$1:$N$2,2,FALSE)</f>
        <v>1</v>
      </c>
      <c r="D2050">
        <v>32</v>
      </c>
      <c r="E2050" t="s">
        <v>95</v>
      </c>
      <c r="F2050">
        <v>120</v>
      </c>
      <c r="H2050">
        <v>2</v>
      </c>
      <c r="I2050">
        <v>1</v>
      </c>
      <c r="J2050">
        <v>2</v>
      </c>
      <c r="K2050">
        <v>12.93</v>
      </c>
      <c r="L2050">
        <v>12.68</v>
      </c>
      <c r="M2050" t="s">
        <v>33</v>
      </c>
      <c r="N2050" t="s">
        <v>162</v>
      </c>
    </row>
    <row r="2051" spans="1:14" x14ac:dyDescent="0.3">
      <c r="A2051" t="s">
        <v>33</v>
      </c>
      <c r="B2051">
        <f>VLOOKUP(M2051,Sheet9!$I$1:$J$17,2,FALSE)</f>
        <v>6</v>
      </c>
      <c r="C2051">
        <f>VLOOKUP(N2051,Sheet9!$M$1:$N$2,2,FALSE)</f>
        <v>1</v>
      </c>
      <c r="D2051">
        <v>32</v>
      </c>
      <c r="E2051" t="s">
        <v>95</v>
      </c>
      <c r="F2051">
        <v>120</v>
      </c>
      <c r="H2051">
        <v>6</v>
      </c>
      <c r="I2051">
        <v>0.6</v>
      </c>
      <c r="J2051">
        <v>3.6</v>
      </c>
      <c r="K2051">
        <v>20.93</v>
      </c>
      <c r="L2051">
        <v>20.52</v>
      </c>
      <c r="M2051" t="s">
        <v>33</v>
      </c>
      <c r="N2051" t="s">
        <v>162</v>
      </c>
    </row>
    <row r="2052" spans="1:14" x14ac:dyDescent="0.3">
      <c r="A2052" t="s">
        <v>33</v>
      </c>
      <c r="B2052">
        <f>VLOOKUP(M2052,Sheet9!$I$1:$J$17,2,FALSE)</f>
        <v>6</v>
      </c>
      <c r="C2052">
        <f>VLOOKUP(N2052,Sheet9!$M$1:$N$2,2,FALSE)</f>
        <v>1</v>
      </c>
      <c r="D2052">
        <v>32</v>
      </c>
      <c r="E2052" t="s">
        <v>95</v>
      </c>
      <c r="F2052">
        <v>120</v>
      </c>
      <c r="H2052">
        <v>8</v>
      </c>
      <c r="I2052">
        <v>0.6</v>
      </c>
      <c r="J2052">
        <v>4.8</v>
      </c>
      <c r="K2052">
        <v>19.23</v>
      </c>
      <c r="L2052">
        <v>18.86</v>
      </c>
      <c r="M2052" t="s">
        <v>33</v>
      </c>
      <c r="N2052" t="s">
        <v>162</v>
      </c>
    </row>
    <row r="2053" spans="1:14" x14ac:dyDescent="0.3">
      <c r="A2053" t="s">
        <v>33</v>
      </c>
      <c r="B2053">
        <f>VLOOKUP(M2053,Sheet9!$I$1:$J$17,2,FALSE)</f>
        <v>6</v>
      </c>
      <c r="C2053">
        <f>VLOOKUP(N2053,Sheet9!$M$1:$N$2,2,FALSE)</f>
        <v>1</v>
      </c>
      <c r="D2053">
        <v>32</v>
      </c>
      <c r="E2053" t="s">
        <v>167</v>
      </c>
      <c r="F2053">
        <v>120</v>
      </c>
      <c r="H2053">
        <v>8</v>
      </c>
      <c r="I2053">
        <v>0.6</v>
      </c>
      <c r="J2053">
        <v>4.8</v>
      </c>
      <c r="K2053">
        <v>22.53</v>
      </c>
      <c r="L2053">
        <v>21.91</v>
      </c>
      <c r="M2053" t="s">
        <v>33</v>
      </c>
      <c r="N2053" t="s">
        <v>162</v>
      </c>
    </row>
    <row r="2054" spans="1:14" x14ac:dyDescent="0.3">
      <c r="A2054" t="s">
        <v>33</v>
      </c>
      <c r="B2054">
        <f>VLOOKUP(M2054,Sheet9!$I$1:$J$17,2,FALSE)</f>
        <v>6</v>
      </c>
      <c r="C2054">
        <f>VLOOKUP(N2054,Sheet9!$M$1:$N$2,2,FALSE)</f>
        <v>1</v>
      </c>
      <c r="D2054">
        <v>32</v>
      </c>
      <c r="E2054" t="s">
        <v>95</v>
      </c>
      <c r="F2054">
        <v>120</v>
      </c>
      <c r="H2054">
        <v>1</v>
      </c>
      <c r="I2054">
        <v>5</v>
      </c>
      <c r="J2054">
        <v>5</v>
      </c>
      <c r="K2054">
        <v>11.6</v>
      </c>
      <c r="L2054">
        <v>11.37</v>
      </c>
      <c r="M2054" t="s">
        <v>33</v>
      </c>
      <c r="N2054" t="s">
        <v>162</v>
      </c>
    </row>
    <row r="2055" spans="1:14" x14ac:dyDescent="0.3">
      <c r="A2055" t="s">
        <v>33</v>
      </c>
      <c r="B2055">
        <f>VLOOKUP(M2055,Sheet9!$I$1:$J$17,2,FALSE)</f>
        <v>6</v>
      </c>
      <c r="C2055">
        <f>VLOOKUP(N2055,Sheet9!$M$1:$N$2,2,FALSE)</f>
        <v>1</v>
      </c>
      <c r="D2055">
        <v>32</v>
      </c>
      <c r="E2055" t="s">
        <v>95</v>
      </c>
      <c r="F2055">
        <v>120</v>
      </c>
      <c r="H2055">
        <v>10</v>
      </c>
      <c r="I2055">
        <v>0.6</v>
      </c>
      <c r="J2055">
        <v>6</v>
      </c>
      <c r="K2055">
        <v>15.62</v>
      </c>
      <c r="L2055">
        <v>16.190000000000001</v>
      </c>
      <c r="M2055" t="s">
        <v>33</v>
      </c>
      <c r="N2055" t="s">
        <v>162</v>
      </c>
    </row>
    <row r="2056" spans="1:14" x14ac:dyDescent="0.3">
      <c r="A2056" t="s">
        <v>33</v>
      </c>
      <c r="B2056">
        <f>VLOOKUP(M2056,Sheet9!$I$1:$J$17,2,FALSE)</f>
        <v>6</v>
      </c>
      <c r="C2056">
        <f>VLOOKUP(N2056,Sheet9!$M$1:$N$2,2,FALSE)</f>
        <v>1</v>
      </c>
      <c r="D2056">
        <v>32</v>
      </c>
      <c r="E2056" t="s">
        <v>95</v>
      </c>
      <c r="F2056">
        <v>120</v>
      </c>
      <c r="H2056">
        <v>6</v>
      </c>
      <c r="I2056">
        <v>1.2</v>
      </c>
      <c r="J2056">
        <v>7.2</v>
      </c>
      <c r="K2056">
        <v>16.670000000000002</v>
      </c>
      <c r="L2056">
        <v>16.350000000000001</v>
      </c>
      <c r="M2056" t="s">
        <v>33</v>
      </c>
      <c r="N2056" t="s">
        <v>162</v>
      </c>
    </row>
    <row r="2057" spans="1:14" x14ac:dyDescent="0.3">
      <c r="A2057" t="s">
        <v>33</v>
      </c>
      <c r="B2057">
        <f>VLOOKUP(M2057,Sheet9!$I$1:$J$17,2,FALSE)</f>
        <v>6</v>
      </c>
      <c r="C2057">
        <f>VLOOKUP(N2057,Sheet9!$M$1:$N$2,2,FALSE)</f>
        <v>1</v>
      </c>
      <c r="D2057">
        <v>32</v>
      </c>
      <c r="E2057" t="s">
        <v>95</v>
      </c>
      <c r="F2057">
        <v>120</v>
      </c>
      <c r="H2057">
        <v>1</v>
      </c>
      <c r="I2057">
        <v>10</v>
      </c>
      <c r="J2057">
        <v>10</v>
      </c>
      <c r="K2057">
        <v>11.6</v>
      </c>
      <c r="L2057">
        <v>11.37</v>
      </c>
      <c r="M2057" t="s">
        <v>33</v>
      </c>
      <c r="N2057" t="s">
        <v>162</v>
      </c>
    </row>
    <row r="2058" spans="1:14" x14ac:dyDescent="0.3">
      <c r="A2058" t="s">
        <v>33</v>
      </c>
      <c r="B2058">
        <f>VLOOKUP(M2058,Sheet9!$I$1:$J$17,2,FALSE)</f>
        <v>6</v>
      </c>
      <c r="C2058">
        <f>VLOOKUP(N2058,Sheet9!$M$1:$N$2,2,FALSE)</f>
        <v>1</v>
      </c>
      <c r="D2058">
        <v>32</v>
      </c>
      <c r="E2058" t="s">
        <v>95</v>
      </c>
      <c r="F2058">
        <v>120</v>
      </c>
      <c r="H2058">
        <v>20</v>
      </c>
      <c r="I2058">
        <v>0.6</v>
      </c>
      <c r="J2058">
        <v>12</v>
      </c>
      <c r="K2058">
        <v>15.92</v>
      </c>
      <c r="L2058">
        <v>15.48</v>
      </c>
      <c r="M2058" t="s">
        <v>33</v>
      </c>
      <c r="N2058" t="s">
        <v>162</v>
      </c>
    </row>
    <row r="2059" spans="1:14" x14ac:dyDescent="0.3">
      <c r="A2059" t="s">
        <v>33</v>
      </c>
      <c r="B2059">
        <f>VLOOKUP(M2059,Sheet9!$I$1:$J$17,2,FALSE)</f>
        <v>6</v>
      </c>
      <c r="C2059">
        <f>VLOOKUP(N2059,Sheet9!$M$1:$N$2,2,FALSE)</f>
        <v>1</v>
      </c>
      <c r="D2059">
        <v>32</v>
      </c>
      <c r="E2059" t="s">
        <v>95</v>
      </c>
      <c r="F2059">
        <v>120</v>
      </c>
      <c r="H2059">
        <v>12</v>
      </c>
      <c r="I2059">
        <v>1.2</v>
      </c>
      <c r="J2059">
        <v>14.4</v>
      </c>
      <c r="K2059">
        <v>14.87</v>
      </c>
      <c r="L2059">
        <v>14.59</v>
      </c>
      <c r="M2059" t="s">
        <v>33</v>
      </c>
      <c r="N2059" t="s">
        <v>162</v>
      </c>
    </row>
    <row r="2060" spans="1:14" x14ac:dyDescent="0.3">
      <c r="A2060" t="s">
        <v>33</v>
      </c>
      <c r="B2060">
        <f>VLOOKUP(M2060,Sheet9!$I$1:$J$17,2,FALSE)</f>
        <v>6</v>
      </c>
      <c r="C2060">
        <f>VLOOKUP(N2060,Sheet9!$M$1:$N$2,2,FALSE)</f>
        <v>1</v>
      </c>
      <c r="D2060">
        <v>32</v>
      </c>
      <c r="E2060" t="s">
        <v>95</v>
      </c>
      <c r="F2060">
        <v>120</v>
      </c>
      <c r="H2060">
        <v>32</v>
      </c>
      <c r="I2060">
        <v>1.2</v>
      </c>
      <c r="J2060">
        <v>38.4</v>
      </c>
      <c r="K2060">
        <v>12.98</v>
      </c>
      <c r="L2060">
        <v>12.73</v>
      </c>
      <c r="M2060" t="s">
        <v>33</v>
      </c>
      <c r="N2060" t="s">
        <v>162</v>
      </c>
    </row>
    <row r="2061" spans="1:14" x14ac:dyDescent="0.3">
      <c r="A2061" t="s">
        <v>33</v>
      </c>
      <c r="B2061">
        <f>VLOOKUP(M2061,Sheet9!$I$1:$J$17,2,FALSE)</f>
        <v>6</v>
      </c>
      <c r="C2061">
        <f>VLOOKUP(N2061,Sheet9!$M$1:$N$2,2,FALSE)</f>
        <v>1</v>
      </c>
      <c r="D2061">
        <v>32</v>
      </c>
      <c r="E2061" t="s">
        <v>95</v>
      </c>
      <c r="F2061">
        <v>120</v>
      </c>
      <c r="H2061">
        <v>64</v>
      </c>
      <c r="I2061">
        <v>0.6</v>
      </c>
      <c r="J2061">
        <v>38.4</v>
      </c>
      <c r="K2061">
        <v>13.14</v>
      </c>
      <c r="L2061">
        <v>12.78</v>
      </c>
      <c r="M2061" t="s">
        <v>33</v>
      </c>
      <c r="N2061" t="s">
        <v>162</v>
      </c>
    </row>
    <row r="2062" spans="1:14" x14ac:dyDescent="0.3">
      <c r="A2062" t="s">
        <v>33</v>
      </c>
      <c r="B2062">
        <f>VLOOKUP(M2062,Sheet9!$I$1:$J$17,2,FALSE)</f>
        <v>6</v>
      </c>
      <c r="C2062">
        <f>VLOOKUP(N2062,Sheet9!$M$1:$N$2,2,FALSE)</f>
        <v>1</v>
      </c>
      <c r="D2062">
        <v>32</v>
      </c>
      <c r="E2062" t="s">
        <v>95</v>
      </c>
      <c r="F2062">
        <v>140</v>
      </c>
      <c r="H2062">
        <v>2</v>
      </c>
      <c r="I2062">
        <v>1</v>
      </c>
      <c r="J2062">
        <v>2</v>
      </c>
      <c r="K2062">
        <v>18.829999999999998</v>
      </c>
      <c r="L2062">
        <v>18.5</v>
      </c>
      <c r="M2062" t="s">
        <v>33</v>
      </c>
      <c r="N2062" t="s">
        <v>162</v>
      </c>
    </row>
    <row r="2063" spans="1:14" x14ac:dyDescent="0.3">
      <c r="A2063" t="s">
        <v>33</v>
      </c>
      <c r="B2063">
        <f>VLOOKUP(M2063,Sheet9!$I$1:$J$17,2,FALSE)</f>
        <v>6</v>
      </c>
      <c r="C2063">
        <f>VLOOKUP(N2063,Sheet9!$M$1:$N$2,2,FALSE)</f>
        <v>1</v>
      </c>
      <c r="D2063">
        <v>32</v>
      </c>
      <c r="E2063" t="s">
        <v>95</v>
      </c>
      <c r="F2063">
        <v>140</v>
      </c>
      <c r="H2063">
        <v>6</v>
      </c>
      <c r="I2063">
        <v>0.6</v>
      </c>
      <c r="J2063">
        <v>3.6</v>
      </c>
      <c r="K2063">
        <v>30.49</v>
      </c>
      <c r="L2063">
        <v>29.95</v>
      </c>
      <c r="M2063" t="s">
        <v>33</v>
      </c>
      <c r="N2063" t="s">
        <v>162</v>
      </c>
    </row>
    <row r="2064" spans="1:14" x14ac:dyDescent="0.3">
      <c r="A2064" t="s">
        <v>33</v>
      </c>
      <c r="B2064">
        <f>VLOOKUP(M2064,Sheet9!$I$1:$J$17,2,FALSE)</f>
        <v>6</v>
      </c>
      <c r="C2064">
        <f>VLOOKUP(N2064,Sheet9!$M$1:$N$2,2,FALSE)</f>
        <v>1</v>
      </c>
      <c r="D2064">
        <v>32</v>
      </c>
      <c r="E2064" t="s">
        <v>95</v>
      </c>
      <c r="F2064">
        <v>140</v>
      </c>
      <c r="H2064">
        <v>8</v>
      </c>
      <c r="I2064">
        <v>0.6</v>
      </c>
      <c r="J2064">
        <v>4.8</v>
      </c>
      <c r="K2064">
        <v>28.02</v>
      </c>
      <c r="L2064">
        <v>27.53</v>
      </c>
      <c r="M2064" t="s">
        <v>33</v>
      </c>
      <c r="N2064" t="s">
        <v>162</v>
      </c>
    </row>
    <row r="2065" spans="1:14" x14ac:dyDescent="0.3">
      <c r="A2065" t="s">
        <v>33</v>
      </c>
      <c r="B2065">
        <f>VLOOKUP(M2065,Sheet9!$I$1:$J$17,2,FALSE)</f>
        <v>6</v>
      </c>
      <c r="C2065">
        <f>VLOOKUP(N2065,Sheet9!$M$1:$N$2,2,FALSE)</f>
        <v>1</v>
      </c>
      <c r="D2065">
        <v>32</v>
      </c>
      <c r="E2065" t="s">
        <v>167</v>
      </c>
      <c r="F2065">
        <v>140</v>
      </c>
      <c r="H2065">
        <v>8</v>
      </c>
      <c r="I2065">
        <v>0.6</v>
      </c>
      <c r="J2065">
        <v>4.8</v>
      </c>
      <c r="K2065">
        <v>33.71</v>
      </c>
      <c r="L2065">
        <v>32.85</v>
      </c>
      <c r="M2065" t="s">
        <v>33</v>
      </c>
      <c r="N2065" t="s">
        <v>162</v>
      </c>
    </row>
    <row r="2066" spans="1:14" x14ac:dyDescent="0.3">
      <c r="A2066" t="s">
        <v>33</v>
      </c>
      <c r="B2066">
        <f>VLOOKUP(M2066,Sheet9!$I$1:$J$17,2,FALSE)</f>
        <v>6</v>
      </c>
      <c r="C2066">
        <f>VLOOKUP(N2066,Sheet9!$M$1:$N$2,2,FALSE)</f>
        <v>1</v>
      </c>
      <c r="D2066">
        <v>32</v>
      </c>
      <c r="E2066" t="s">
        <v>95</v>
      </c>
      <c r="F2066">
        <v>140</v>
      </c>
      <c r="H2066">
        <v>1</v>
      </c>
      <c r="I2066">
        <v>5</v>
      </c>
      <c r="J2066">
        <v>5</v>
      </c>
      <c r="K2066">
        <v>16.89</v>
      </c>
      <c r="L2066">
        <v>16.600000000000001</v>
      </c>
      <c r="M2066" t="s">
        <v>33</v>
      </c>
      <c r="N2066" t="s">
        <v>162</v>
      </c>
    </row>
    <row r="2067" spans="1:14" x14ac:dyDescent="0.3">
      <c r="A2067" t="s">
        <v>33</v>
      </c>
      <c r="B2067">
        <f>VLOOKUP(M2067,Sheet9!$I$1:$J$17,2,FALSE)</f>
        <v>6</v>
      </c>
      <c r="C2067">
        <f>VLOOKUP(N2067,Sheet9!$M$1:$N$2,2,FALSE)</f>
        <v>1</v>
      </c>
      <c r="D2067">
        <v>32</v>
      </c>
      <c r="E2067" t="s">
        <v>95</v>
      </c>
      <c r="F2067">
        <v>140</v>
      </c>
      <c r="H2067">
        <v>10</v>
      </c>
      <c r="I2067">
        <v>0.6</v>
      </c>
      <c r="J2067">
        <v>6</v>
      </c>
      <c r="K2067">
        <v>23.38</v>
      </c>
      <c r="L2067">
        <v>22.77</v>
      </c>
      <c r="M2067" t="s">
        <v>33</v>
      </c>
      <c r="N2067" t="s">
        <v>162</v>
      </c>
    </row>
    <row r="2068" spans="1:14" x14ac:dyDescent="0.3">
      <c r="A2068" t="s">
        <v>33</v>
      </c>
      <c r="B2068">
        <f>VLOOKUP(M2068,Sheet9!$I$1:$J$17,2,FALSE)</f>
        <v>6</v>
      </c>
      <c r="C2068">
        <f>VLOOKUP(N2068,Sheet9!$M$1:$N$2,2,FALSE)</f>
        <v>1</v>
      </c>
      <c r="D2068">
        <v>32</v>
      </c>
      <c r="E2068" t="s">
        <v>95</v>
      </c>
      <c r="F2068">
        <v>140</v>
      </c>
      <c r="H2068">
        <v>6</v>
      </c>
      <c r="I2068">
        <v>1.2</v>
      </c>
      <c r="J2068">
        <v>7.2</v>
      </c>
      <c r="K2068">
        <v>24.29</v>
      </c>
      <c r="L2068">
        <v>23.86</v>
      </c>
      <c r="M2068" t="s">
        <v>33</v>
      </c>
      <c r="N2068" t="s">
        <v>162</v>
      </c>
    </row>
    <row r="2069" spans="1:14" x14ac:dyDescent="0.3">
      <c r="A2069" t="s">
        <v>33</v>
      </c>
      <c r="B2069">
        <f>VLOOKUP(M2069,Sheet9!$I$1:$J$17,2,FALSE)</f>
        <v>6</v>
      </c>
      <c r="C2069">
        <f>VLOOKUP(N2069,Sheet9!$M$1:$N$2,2,FALSE)</f>
        <v>1</v>
      </c>
      <c r="D2069">
        <v>32</v>
      </c>
      <c r="E2069" t="s">
        <v>95</v>
      </c>
      <c r="F2069">
        <v>140</v>
      </c>
      <c r="H2069">
        <v>1</v>
      </c>
      <c r="I2069">
        <v>10</v>
      </c>
      <c r="J2069">
        <v>10</v>
      </c>
      <c r="K2069">
        <v>16.89</v>
      </c>
      <c r="L2069">
        <v>16.600000000000001</v>
      </c>
      <c r="M2069" t="s">
        <v>33</v>
      </c>
      <c r="N2069" t="s">
        <v>162</v>
      </c>
    </row>
    <row r="2070" spans="1:14" x14ac:dyDescent="0.3">
      <c r="A2070" t="s">
        <v>33</v>
      </c>
      <c r="B2070">
        <f>VLOOKUP(M2070,Sheet9!$I$1:$J$17,2,FALSE)</f>
        <v>6</v>
      </c>
      <c r="C2070">
        <f>VLOOKUP(N2070,Sheet9!$M$1:$N$2,2,FALSE)</f>
        <v>1</v>
      </c>
      <c r="D2070">
        <v>32</v>
      </c>
      <c r="E2070" t="s">
        <v>95</v>
      </c>
      <c r="F2070">
        <v>140</v>
      </c>
      <c r="H2070">
        <v>20</v>
      </c>
      <c r="I2070">
        <v>0.6</v>
      </c>
      <c r="J2070">
        <v>12</v>
      </c>
      <c r="K2070">
        <v>23.82</v>
      </c>
      <c r="L2070">
        <v>23.21</v>
      </c>
      <c r="M2070" t="s">
        <v>33</v>
      </c>
      <c r="N2070" t="s">
        <v>162</v>
      </c>
    </row>
    <row r="2071" spans="1:14" x14ac:dyDescent="0.3">
      <c r="A2071" t="s">
        <v>33</v>
      </c>
      <c r="B2071">
        <f>VLOOKUP(M2071,Sheet9!$I$1:$J$17,2,FALSE)</f>
        <v>6</v>
      </c>
      <c r="C2071">
        <f>VLOOKUP(N2071,Sheet9!$M$1:$N$2,2,FALSE)</f>
        <v>1</v>
      </c>
      <c r="D2071">
        <v>32</v>
      </c>
      <c r="E2071" t="s">
        <v>95</v>
      </c>
      <c r="F2071">
        <v>140</v>
      </c>
      <c r="H2071">
        <v>12</v>
      </c>
      <c r="I2071">
        <v>1.2</v>
      </c>
      <c r="J2071">
        <v>14.4</v>
      </c>
      <c r="K2071">
        <v>21.67</v>
      </c>
      <c r="L2071">
        <v>21.29</v>
      </c>
      <c r="M2071" t="s">
        <v>33</v>
      </c>
      <c r="N2071" t="s">
        <v>162</v>
      </c>
    </row>
    <row r="2072" spans="1:14" x14ac:dyDescent="0.3">
      <c r="A2072" t="s">
        <v>33</v>
      </c>
      <c r="B2072">
        <f>VLOOKUP(M2072,Sheet9!$I$1:$J$17,2,FALSE)</f>
        <v>6</v>
      </c>
      <c r="C2072">
        <f>VLOOKUP(N2072,Sheet9!$M$1:$N$2,2,FALSE)</f>
        <v>1</v>
      </c>
      <c r="D2072">
        <v>32</v>
      </c>
      <c r="E2072" t="s">
        <v>95</v>
      </c>
      <c r="F2072">
        <v>140</v>
      </c>
      <c r="H2072">
        <v>32</v>
      </c>
      <c r="I2072">
        <v>1.2</v>
      </c>
      <c r="J2072">
        <v>38.4</v>
      </c>
      <c r="K2072">
        <v>18.91</v>
      </c>
      <c r="L2072">
        <v>18.579999999999998</v>
      </c>
      <c r="M2072" t="s">
        <v>33</v>
      </c>
      <c r="N2072" t="s">
        <v>162</v>
      </c>
    </row>
    <row r="2073" spans="1:14" x14ac:dyDescent="0.3">
      <c r="A2073" t="s">
        <v>33</v>
      </c>
      <c r="B2073">
        <f>VLOOKUP(M2073,Sheet9!$I$1:$J$17,2,FALSE)</f>
        <v>6</v>
      </c>
      <c r="C2073">
        <f>VLOOKUP(N2073,Sheet9!$M$1:$N$2,2,FALSE)</f>
        <v>1</v>
      </c>
      <c r="D2073">
        <v>32</v>
      </c>
      <c r="E2073" t="s">
        <v>95</v>
      </c>
      <c r="F2073">
        <v>140</v>
      </c>
      <c r="H2073">
        <v>64</v>
      </c>
      <c r="I2073">
        <v>0.6</v>
      </c>
      <c r="J2073">
        <v>38.4</v>
      </c>
      <c r="K2073">
        <v>19.670000000000002</v>
      </c>
      <c r="L2073">
        <v>19.16</v>
      </c>
      <c r="M2073" t="s">
        <v>33</v>
      </c>
      <c r="N2073" t="s">
        <v>162</v>
      </c>
    </row>
    <row r="2074" spans="1:14" x14ac:dyDescent="0.3">
      <c r="A2074" t="s">
        <v>33</v>
      </c>
      <c r="B2074">
        <f>VLOOKUP(M2074,Sheet9!$I$1:$J$17,2,FALSE)</f>
        <v>6</v>
      </c>
      <c r="C2074">
        <f>VLOOKUP(N2074,Sheet9!$M$1:$N$2,2,FALSE)</f>
        <v>1</v>
      </c>
      <c r="D2074">
        <v>32</v>
      </c>
      <c r="E2074" t="s">
        <v>96</v>
      </c>
      <c r="F2074">
        <v>70</v>
      </c>
      <c r="H2074">
        <v>2</v>
      </c>
      <c r="I2074">
        <v>1</v>
      </c>
      <c r="J2074">
        <v>2</v>
      </c>
      <c r="K2074">
        <v>0.54</v>
      </c>
      <c r="L2074">
        <v>0.9</v>
      </c>
      <c r="M2074" t="s">
        <v>33</v>
      </c>
      <c r="N2074" t="s">
        <v>162</v>
      </c>
    </row>
    <row r="2075" spans="1:14" x14ac:dyDescent="0.3">
      <c r="A2075" t="s">
        <v>33</v>
      </c>
      <c r="B2075">
        <f>VLOOKUP(M2075,Sheet9!$I$1:$J$17,2,FALSE)</f>
        <v>6</v>
      </c>
      <c r="C2075">
        <f>VLOOKUP(N2075,Sheet9!$M$1:$N$2,2,FALSE)</f>
        <v>1</v>
      </c>
      <c r="D2075">
        <v>32</v>
      </c>
      <c r="E2075" t="s">
        <v>96</v>
      </c>
      <c r="F2075">
        <v>70</v>
      </c>
      <c r="H2075">
        <v>6</v>
      </c>
      <c r="I2075">
        <v>0.6</v>
      </c>
      <c r="J2075">
        <v>3.6</v>
      </c>
      <c r="K2075">
        <v>0.87</v>
      </c>
      <c r="L2075">
        <v>1.45</v>
      </c>
      <c r="M2075" t="s">
        <v>33</v>
      </c>
      <c r="N2075" t="s">
        <v>162</v>
      </c>
    </row>
    <row r="2076" spans="1:14" x14ac:dyDescent="0.3">
      <c r="A2076" t="s">
        <v>33</v>
      </c>
      <c r="B2076">
        <f>VLOOKUP(M2076,Sheet9!$I$1:$J$17,2,FALSE)</f>
        <v>6</v>
      </c>
      <c r="C2076">
        <f>VLOOKUP(N2076,Sheet9!$M$1:$N$2,2,FALSE)</f>
        <v>1</v>
      </c>
      <c r="D2076">
        <v>32</v>
      </c>
      <c r="E2076" t="s">
        <v>96</v>
      </c>
      <c r="F2076">
        <v>70</v>
      </c>
      <c r="H2076">
        <v>8</v>
      </c>
      <c r="I2076">
        <v>0.6</v>
      </c>
      <c r="J2076">
        <v>4.8</v>
      </c>
      <c r="K2076">
        <v>0.8</v>
      </c>
      <c r="L2076">
        <v>1.33</v>
      </c>
      <c r="M2076" t="s">
        <v>33</v>
      </c>
      <c r="N2076" t="s">
        <v>162</v>
      </c>
    </row>
    <row r="2077" spans="1:14" x14ac:dyDescent="0.3">
      <c r="A2077" t="s">
        <v>33</v>
      </c>
      <c r="B2077">
        <f>VLOOKUP(M2077,Sheet9!$I$1:$J$17,2,FALSE)</f>
        <v>6</v>
      </c>
      <c r="C2077">
        <f>VLOOKUP(N2077,Sheet9!$M$1:$N$2,2,FALSE)</f>
        <v>1</v>
      </c>
      <c r="D2077">
        <v>32</v>
      </c>
      <c r="E2077" t="s">
        <v>168</v>
      </c>
      <c r="F2077">
        <v>70</v>
      </c>
      <c r="H2077">
        <v>8</v>
      </c>
      <c r="I2077">
        <v>0.6</v>
      </c>
      <c r="J2077">
        <v>4.8</v>
      </c>
      <c r="K2077">
        <v>0.93</v>
      </c>
      <c r="L2077">
        <v>1.54</v>
      </c>
      <c r="M2077" t="s">
        <v>33</v>
      </c>
      <c r="N2077" t="s">
        <v>162</v>
      </c>
    </row>
    <row r="2078" spans="1:14" x14ac:dyDescent="0.3">
      <c r="A2078" t="s">
        <v>33</v>
      </c>
      <c r="B2078">
        <f>VLOOKUP(M2078,Sheet9!$I$1:$J$17,2,FALSE)</f>
        <v>6</v>
      </c>
      <c r="C2078">
        <f>VLOOKUP(N2078,Sheet9!$M$1:$N$2,2,FALSE)</f>
        <v>1</v>
      </c>
      <c r="D2078">
        <v>32</v>
      </c>
      <c r="E2078" t="s">
        <v>96</v>
      </c>
      <c r="F2078">
        <v>70</v>
      </c>
      <c r="H2078">
        <v>1</v>
      </c>
      <c r="I2078">
        <v>5</v>
      </c>
      <c r="J2078">
        <v>5</v>
      </c>
      <c r="K2078">
        <v>0.48</v>
      </c>
      <c r="L2078">
        <v>0.8</v>
      </c>
      <c r="M2078" t="s">
        <v>33</v>
      </c>
      <c r="N2078" t="s">
        <v>162</v>
      </c>
    </row>
    <row r="2079" spans="1:14" x14ac:dyDescent="0.3">
      <c r="A2079" t="s">
        <v>33</v>
      </c>
      <c r="B2079">
        <f>VLOOKUP(M2079,Sheet9!$I$1:$J$17,2,FALSE)</f>
        <v>6</v>
      </c>
      <c r="C2079">
        <f>VLOOKUP(N2079,Sheet9!$M$1:$N$2,2,FALSE)</f>
        <v>1</v>
      </c>
      <c r="D2079">
        <v>32</v>
      </c>
      <c r="E2079" t="s">
        <v>96</v>
      </c>
      <c r="F2079">
        <v>70</v>
      </c>
      <c r="H2079">
        <v>10</v>
      </c>
      <c r="I2079">
        <v>0.6</v>
      </c>
      <c r="J2079">
        <v>6</v>
      </c>
      <c r="K2079">
        <v>0.65</v>
      </c>
      <c r="L2079">
        <v>1.07</v>
      </c>
      <c r="M2079" t="s">
        <v>33</v>
      </c>
      <c r="N2079" t="s">
        <v>162</v>
      </c>
    </row>
    <row r="2080" spans="1:14" x14ac:dyDescent="0.3">
      <c r="A2080" t="s">
        <v>33</v>
      </c>
      <c r="B2080">
        <f>VLOOKUP(M2080,Sheet9!$I$1:$J$17,2,FALSE)</f>
        <v>6</v>
      </c>
      <c r="C2080">
        <f>VLOOKUP(N2080,Sheet9!$M$1:$N$2,2,FALSE)</f>
        <v>1</v>
      </c>
      <c r="D2080">
        <v>32</v>
      </c>
      <c r="E2080" t="s">
        <v>96</v>
      </c>
      <c r="F2080">
        <v>70</v>
      </c>
      <c r="H2080">
        <v>6</v>
      </c>
      <c r="I2080">
        <v>1.2</v>
      </c>
      <c r="J2080">
        <v>7.2</v>
      </c>
      <c r="K2080">
        <v>0.69</v>
      </c>
      <c r="L2080">
        <v>1.1599999999999999</v>
      </c>
      <c r="M2080" t="s">
        <v>33</v>
      </c>
      <c r="N2080" t="s">
        <v>162</v>
      </c>
    </row>
    <row r="2081" spans="1:14" x14ac:dyDescent="0.3">
      <c r="A2081" t="s">
        <v>33</v>
      </c>
      <c r="B2081">
        <f>VLOOKUP(M2081,Sheet9!$I$1:$J$17,2,FALSE)</f>
        <v>6</v>
      </c>
      <c r="C2081">
        <f>VLOOKUP(N2081,Sheet9!$M$1:$N$2,2,FALSE)</f>
        <v>1</v>
      </c>
      <c r="D2081">
        <v>32</v>
      </c>
      <c r="E2081" t="s">
        <v>96</v>
      </c>
      <c r="F2081">
        <v>70</v>
      </c>
      <c r="H2081">
        <v>1</v>
      </c>
      <c r="I2081">
        <v>10</v>
      </c>
      <c r="J2081">
        <v>10</v>
      </c>
      <c r="K2081">
        <v>0.48</v>
      </c>
      <c r="L2081">
        <v>0.8</v>
      </c>
      <c r="M2081" t="s">
        <v>33</v>
      </c>
      <c r="N2081" t="s">
        <v>162</v>
      </c>
    </row>
    <row r="2082" spans="1:14" x14ac:dyDescent="0.3">
      <c r="A2082" t="s">
        <v>33</v>
      </c>
      <c r="B2082">
        <f>VLOOKUP(M2082,Sheet9!$I$1:$J$17,2,FALSE)</f>
        <v>6</v>
      </c>
      <c r="C2082">
        <f>VLOOKUP(N2082,Sheet9!$M$1:$N$2,2,FALSE)</f>
        <v>1</v>
      </c>
      <c r="D2082">
        <v>32</v>
      </c>
      <c r="E2082" t="s">
        <v>96</v>
      </c>
      <c r="F2082">
        <v>70</v>
      </c>
      <c r="H2082">
        <v>20</v>
      </c>
      <c r="I2082">
        <v>0.6</v>
      </c>
      <c r="J2082">
        <v>12</v>
      </c>
      <c r="K2082">
        <v>0.66</v>
      </c>
      <c r="L2082">
        <v>1.0900000000000001</v>
      </c>
      <c r="M2082" t="s">
        <v>33</v>
      </c>
      <c r="N2082" t="s">
        <v>162</v>
      </c>
    </row>
    <row r="2083" spans="1:14" x14ac:dyDescent="0.3">
      <c r="A2083" t="s">
        <v>33</v>
      </c>
      <c r="B2083">
        <f>VLOOKUP(M2083,Sheet9!$I$1:$J$17,2,FALSE)</f>
        <v>6</v>
      </c>
      <c r="C2083">
        <f>VLOOKUP(N2083,Sheet9!$M$1:$N$2,2,FALSE)</f>
        <v>1</v>
      </c>
      <c r="D2083">
        <v>32</v>
      </c>
      <c r="E2083" t="s">
        <v>96</v>
      </c>
      <c r="F2083">
        <v>70</v>
      </c>
      <c r="H2083">
        <v>12</v>
      </c>
      <c r="I2083">
        <v>1.2</v>
      </c>
      <c r="J2083">
        <v>14.4</v>
      </c>
      <c r="K2083">
        <v>0.62</v>
      </c>
      <c r="L2083">
        <v>1.03</v>
      </c>
      <c r="M2083" t="s">
        <v>33</v>
      </c>
      <c r="N2083" t="s">
        <v>162</v>
      </c>
    </row>
    <row r="2084" spans="1:14" x14ac:dyDescent="0.3">
      <c r="A2084" t="s">
        <v>33</v>
      </c>
      <c r="B2084">
        <f>VLOOKUP(M2084,Sheet9!$I$1:$J$17,2,FALSE)</f>
        <v>6</v>
      </c>
      <c r="C2084">
        <f>VLOOKUP(N2084,Sheet9!$M$1:$N$2,2,FALSE)</f>
        <v>1</v>
      </c>
      <c r="D2084">
        <v>32</v>
      </c>
      <c r="E2084" t="s">
        <v>96</v>
      </c>
      <c r="F2084">
        <v>70</v>
      </c>
      <c r="H2084">
        <v>32</v>
      </c>
      <c r="I2084">
        <v>1.2</v>
      </c>
      <c r="J2084">
        <v>38.4</v>
      </c>
      <c r="K2084">
        <v>0.54</v>
      </c>
      <c r="L2084">
        <v>0.9</v>
      </c>
      <c r="M2084" t="s">
        <v>33</v>
      </c>
      <c r="N2084" t="s">
        <v>162</v>
      </c>
    </row>
    <row r="2085" spans="1:14" x14ac:dyDescent="0.3">
      <c r="A2085" t="s">
        <v>33</v>
      </c>
      <c r="B2085">
        <f>VLOOKUP(M2085,Sheet9!$I$1:$J$17,2,FALSE)</f>
        <v>6</v>
      </c>
      <c r="C2085">
        <f>VLOOKUP(N2085,Sheet9!$M$1:$N$2,2,FALSE)</f>
        <v>1</v>
      </c>
      <c r="D2085">
        <v>32</v>
      </c>
      <c r="E2085" t="s">
        <v>96</v>
      </c>
      <c r="F2085">
        <v>70</v>
      </c>
      <c r="H2085">
        <v>64</v>
      </c>
      <c r="I2085">
        <v>0.6</v>
      </c>
      <c r="J2085">
        <v>38.4</v>
      </c>
      <c r="K2085">
        <v>0.55000000000000004</v>
      </c>
      <c r="L2085">
        <v>0.9</v>
      </c>
      <c r="M2085" t="s">
        <v>33</v>
      </c>
      <c r="N2085" t="s">
        <v>162</v>
      </c>
    </row>
    <row r="2086" spans="1:14" x14ac:dyDescent="0.3">
      <c r="A2086" t="s">
        <v>33</v>
      </c>
      <c r="B2086">
        <f>VLOOKUP(M2086,Sheet9!$I$1:$J$17,2,FALSE)</f>
        <v>6</v>
      </c>
      <c r="C2086">
        <f>VLOOKUP(N2086,Sheet9!$M$1:$N$2,2,FALSE)</f>
        <v>1</v>
      </c>
      <c r="D2086">
        <v>32</v>
      </c>
      <c r="E2086" t="s">
        <v>96</v>
      </c>
      <c r="F2086">
        <v>80</v>
      </c>
      <c r="H2086">
        <v>2</v>
      </c>
      <c r="I2086">
        <v>1</v>
      </c>
      <c r="J2086">
        <v>2</v>
      </c>
      <c r="K2086">
        <v>0.94</v>
      </c>
      <c r="L2086">
        <v>1.46</v>
      </c>
      <c r="M2086" t="s">
        <v>33</v>
      </c>
      <c r="N2086" t="s">
        <v>162</v>
      </c>
    </row>
    <row r="2087" spans="1:14" x14ac:dyDescent="0.3">
      <c r="A2087" t="s">
        <v>33</v>
      </c>
      <c r="B2087">
        <f>VLOOKUP(M2087,Sheet9!$I$1:$J$17,2,FALSE)</f>
        <v>6</v>
      </c>
      <c r="C2087">
        <f>VLOOKUP(N2087,Sheet9!$M$1:$N$2,2,FALSE)</f>
        <v>1</v>
      </c>
      <c r="D2087">
        <v>32</v>
      </c>
      <c r="E2087" t="s">
        <v>96</v>
      </c>
      <c r="F2087">
        <v>80</v>
      </c>
      <c r="H2087">
        <v>6</v>
      </c>
      <c r="I2087">
        <v>0.6</v>
      </c>
      <c r="J2087">
        <v>3.6</v>
      </c>
      <c r="K2087">
        <v>1.52</v>
      </c>
      <c r="L2087">
        <v>2.36</v>
      </c>
      <c r="M2087" t="s">
        <v>33</v>
      </c>
      <c r="N2087" t="s">
        <v>162</v>
      </c>
    </row>
    <row r="2088" spans="1:14" x14ac:dyDescent="0.3">
      <c r="A2088" t="s">
        <v>33</v>
      </c>
      <c r="B2088">
        <f>VLOOKUP(M2088,Sheet9!$I$1:$J$17,2,FALSE)</f>
        <v>6</v>
      </c>
      <c r="C2088">
        <f>VLOOKUP(N2088,Sheet9!$M$1:$N$2,2,FALSE)</f>
        <v>1</v>
      </c>
      <c r="D2088">
        <v>32</v>
      </c>
      <c r="E2088" t="s">
        <v>96</v>
      </c>
      <c r="F2088">
        <v>80</v>
      </c>
      <c r="H2088">
        <v>8</v>
      </c>
      <c r="I2088">
        <v>0.6</v>
      </c>
      <c r="J2088">
        <v>4.8</v>
      </c>
      <c r="K2088">
        <v>1.39</v>
      </c>
      <c r="L2088">
        <v>2.17</v>
      </c>
      <c r="M2088" t="s">
        <v>33</v>
      </c>
      <c r="N2088" t="s">
        <v>162</v>
      </c>
    </row>
    <row r="2089" spans="1:14" x14ac:dyDescent="0.3">
      <c r="A2089" t="s">
        <v>33</v>
      </c>
      <c r="B2089">
        <f>VLOOKUP(M2089,Sheet9!$I$1:$J$17,2,FALSE)</f>
        <v>6</v>
      </c>
      <c r="C2089">
        <f>VLOOKUP(N2089,Sheet9!$M$1:$N$2,2,FALSE)</f>
        <v>1</v>
      </c>
      <c r="D2089">
        <v>32</v>
      </c>
      <c r="E2089" t="s">
        <v>168</v>
      </c>
      <c r="F2089">
        <v>80</v>
      </c>
      <c r="H2089">
        <v>8</v>
      </c>
      <c r="I2089">
        <v>0.6</v>
      </c>
      <c r="J2089">
        <v>4.8</v>
      </c>
      <c r="K2089">
        <v>1.62</v>
      </c>
      <c r="L2089">
        <v>2.48</v>
      </c>
      <c r="M2089" t="s">
        <v>33</v>
      </c>
      <c r="N2089" t="s">
        <v>162</v>
      </c>
    </row>
    <row r="2090" spans="1:14" x14ac:dyDescent="0.3">
      <c r="A2090" t="s">
        <v>33</v>
      </c>
      <c r="B2090">
        <f>VLOOKUP(M2090,Sheet9!$I$1:$J$17,2,FALSE)</f>
        <v>6</v>
      </c>
      <c r="C2090">
        <f>VLOOKUP(N2090,Sheet9!$M$1:$N$2,2,FALSE)</f>
        <v>1</v>
      </c>
      <c r="D2090">
        <v>32</v>
      </c>
      <c r="E2090" t="s">
        <v>96</v>
      </c>
      <c r="F2090">
        <v>80</v>
      </c>
      <c r="H2090">
        <v>1</v>
      </c>
      <c r="I2090">
        <v>5</v>
      </c>
      <c r="J2090">
        <v>5</v>
      </c>
      <c r="K2090">
        <v>0.84</v>
      </c>
      <c r="L2090">
        <v>1.31</v>
      </c>
      <c r="M2090" t="s">
        <v>33</v>
      </c>
      <c r="N2090" t="s">
        <v>162</v>
      </c>
    </row>
    <row r="2091" spans="1:14" x14ac:dyDescent="0.3">
      <c r="A2091" t="s">
        <v>33</v>
      </c>
      <c r="B2091">
        <f>VLOOKUP(M2091,Sheet9!$I$1:$J$17,2,FALSE)</f>
        <v>6</v>
      </c>
      <c r="C2091">
        <f>VLOOKUP(N2091,Sheet9!$M$1:$N$2,2,FALSE)</f>
        <v>1</v>
      </c>
      <c r="D2091">
        <v>32</v>
      </c>
      <c r="E2091" t="s">
        <v>96</v>
      </c>
      <c r="F2091">
        <v>80</v>
      </c>
      <c r="H2091">
        <v>10</v>
      </c>
      <c r="I2091">
        <v>0.6</v>
      </c>
      <c r="J2091">
        <v>6</v>
      </c>
      <c r="K2091">
        <v>1.1200000000000001</v>
      </c>
      <c r="L2091">
        <v>1.72</v>
      </c>
      <c r="M2091" t="s">
        <v>33</v>
      </c>
      <c r="N2091" t="s">
        <v>162</v>
      </c>
    </row>
    <row r="2092" spans="1:14" x14ac:dyDescent="0.3">
      <c r="A2092" t="s">
        <v>33</v>
      </c>
      <c r="B2092">
        <f>VLOOKUP(M2092,Sheet9!$I$1:$J$17,2,FALSE)</f>
        <v>6</v>
      </c>
      <c r="C2092">
        <f>VLOOKUP(N2092,Sheet9!$M$1:$N$2,2,FALSE)</f>
        <v>1</v>
      </c>
      <c r="D2092">
        <v>32</v>
      </c>
      <c r="E2092" t="s">
        <v>96</v>
      </c>
      <c r="F2092">
        <v>80</v>
      </c>
      <c r="H2092">
        <v>6</v>
      </c>
      <c r="I2092">
        <v>1.2</v>
      </c>
      <c r="J2092">
        <v>7.2</v>
      </c>
      <c r="K2092">
        <v>1.21</v>
      </c>
      <c r="L2092">
        <v>1.88</v>
      </c>
      <c r="M2092" t="s">
        <v>33</v>
      </c>
      <c r="N2092" t="s">
        <v>162</v>
      </c>
    </row>
    <row r="2093" spans="1:14" x14ac:dyDescent="0.3">
      <c r="A2093" t="s">
        <v>33</v>
      </c>
      <c r="B2093">
        <f>VLOOKUP(M2093,Sheet9!$I$1:$J$17,2,FALSE)</f>
        <v>6</v>
      </c>
      <c r="C2093">
        <f>VLOOKUP(N2093,Sheet9!$M$1:$N$2,2,FALSE)</f>
        <v>1</v>
      </c>
      <c r="D2093">
        <v>32</v>
      </c>
      <c r="E2093" t="s">
        <v>96</v>
      </c>
      <c r="F2093">
        <v>80</v>
      </c>
      <c r="H2093">
        <v>1</v>
      </c>
      <c r="I2093">
        <v>10</v>
      </c>
      <c r="J2093">
        <v>10</v>
      </c>
      <c r="K2093">
        <v>0.84</v>
      </c>
      <c r="L2093">
        <v>1.31</v>
      </c>
      <c r="M2093" t="s">
        <v>33</v>
      </c>
      <c r="N2093" t="s">
        <v>162</v>
      </c>
    </row>
    <row r="2094" spans="1:14" x14ac:dyDescent="0.3">
      <c r="A2094" t="s">
        <v>33</v>
      </c>
      <c r="B2094">
        <f>VLOOKUP(M2094,Sheet9!$I$1:$J$17,2,FALSE)</f>
        <v>6</v>
      </c>
      <c r="C2094">
        <f>VLOOKUP(N2094,Sheet9!$M$1:$N$2,2,FALSE)</f>
        <v>1</v>
      </c>
      <c r="D2094">
        <v>32</v>
      </c>
      <c r="E2094" t="s">
        <v>96</v>
      </c>
      <c r="F2094">
        <v>80</v>
      </c>
      <c r="H2094">
        <v>20</v>
      </c>
      <c r="I2094">
        <v>0.6</v>
      </c>
      <c r="J2094">
        <v>12</v>
      </c>
      <c r="K2094">
        <v>1.1499999999999999</v>
      </c>
      <c r="L2094">
        <v>1.76</v>
      </c>
      <c r="M2094" t="s">
        <v>33</v>
      </c>
      <c r="N2094" t="s">
        <v>162</v>
      </c>
    </row>
    <row r="2095" spans="1:14" x14ac:dyDescent="0.3">
      <c r="A2095" t="s">
        <v>33</v>
      </c>
      <c r="B2095">
        <f>VLOOKUP(M2095,Sheet9!$I$1:$J$17,2,FALSE)</f>
        <v>6</v>
      </c>
      <c r="C2095">
        <f>VLOOKUP(N2095,Sheet9!$M$1:$N$2,2,FALSE)</f>
        <v>1</v>
      </c>
      <c r="D2095">
        <v>32</v>
      </c>
      <c r="E2095" t="s">
        <v>96</v>
      </c>
      <c r="F2095">
        <v>80</v>
      </c>
      <c r="H2095">
        <v>12</v>
      </c>
      <c r="I2095">
        <v>1.2</v>
      </c>
      <c r="J2095">
        <v>14.4</v>
      </c>
      <c r="K2095">
        <v>1.08</v>
      </c>
      <c r="L2095">
        <v>1.68</v>
      </c>
      <c r="M2095" t="s">
        <v>33</v>
      </c>
      <c r="N2095" t="s">
        <v>162</v>
      </c>
    </row>
    <row r="2096" spans="1:14" x14ac:dyDescent="0.3">
      <c r="A2096" t="s">
        <v>33</v>
      </c>
      <c r="B2096">
        <f>VLOOKUP(M2096,Sheet9!$I$1:$J$17,2,FALSE)</f>
        <v>6</v>
      </c>
      <c r="C2096">
        <f>VLOOKUP(N2096,Sheet9!$M$1:$N$2,2,FALSE)</f>
        <v>1</v>
      </c>
      <c r="D2096">
        <v>32</v>
      </c>
      <c r="E2096" t="s">
        <v>96</v>
      </c>
      <c r="F2096">
        <v>80</v>
      </c>
      <c r="H2096">
        <v>32</v>
      </c>
      <c r="I2096">
        <v>1.2</v>
      </c>
      <c r="J2096">
        <v>38.4</v>
      </c>
      <c r="K2096">
        <v>0.94</v>
      </c>
      <c r="L2096">
        <v>1.47</v>
      </c>
      <c r="M2096" t="s">
        <v>33</v>
      </c>
      <c r="N2096" t="s">
        <v>162</v>
      </c>
    </row>
    <row r="2097" spans="1:14" x14ac:dyDescent="0.3">
      <c r="A2097" t="s">
        <v>33</v>
      </c>
      <c r="B2097">
        <f>VLOOKUP(M2097,Sheet9!$I$1:$J$17,2,FALSE)</f>
        <v>6</v>
      </c>
      <c r="C2097">
        <f>VLOOKUP(N2097,Sheet9!$M$1:$N$2,2,FALSE)</f>
        <v>1</v>
      </c>
      <c r="D2097">
        <v>32</v>
      </c>
      <c r="E2097" t="s">
        <v>96</v>
      </c>
      <c r="F2097">
        <v>80</v>
      </c>
      <c r="H2097">
        <v>64</v>
      </c>
      <c r="I2097">
        <v>0.6</v>
      </c>
      <c r="J2097">
        <v>38.4</v>
      </c>
      <c r="K2097">
        <v>0.95</v>
      </c>
      <c r="L2097">
        <v>1.45</v>
      </c>
      <c r="M2097" t="s">
        <v>33</v>
      </c>
      <c r="N2097" t="s">
        <v>162</v>
      </c>
    </row>
    <row r="2098" spans="1:14" x14ac:dyDescent="0.3">
      <c r="A2098" t="s">
        <v>33</v>
      </c>
      <c r="B2098">
        <f>VLOOKUP(M2098,Sheet9!$I$1:$J$17,2,FALSE)</f>
        <v>6</v>
      </c>
      <c r="C2098">
        <f>VLOOKUP(N2098,Sheet9!$M$1:$N$2,2,FALSE)</f>
        <v>1</v>
      </c>
      <c r="D2098">
        <v>32</v>
      </c>
      <c r="E2098" t="s">
        <v>96</v>
      </c>
      <c r="F2098">
        <v>100</v>
      </c>
      <c r="H2098">
        <v>2</v>
      </c>
      <c r="I2098">
        <v>1</v>
      </c>
      <c r="J2098">
        <v>2</v>
      </c>
      <c r="K2098">
        <v>2.17</v>
      </c>
      <c r="L2098">
        <v>3.12</v>
      </c>
      <c r="M2098" t="s">
        <v>33</v>
      </c>
      <c r="N2098" t="s">
        <v>162</v>
      </c>
    </row>
    <row r="2099" spans="1:14" x14ac:dyDescent="0.3">
      <c r="A2099" t="s">
        <v>33</v>
      </c>
      <c r="B2099">
        <f>VLOOKUP(M2099,Sheet9!$I$1:$J$17,2,FALSE)</f>
        <v>6</v>
      </c>
      <c r="C2099">
        <f>VLOOKUP(N2099,Sheet9!$M$1:$N$2,2,FALSE)</f>
        <v>1</v>
      </c>
      <c r="D2099">
        <v>32</v>
      </c>
      <c r="E2099" t="s">
        <v>96</v>
      </c>
      <c r="F2099">
        <v>100</v>
      </c>
      <c r="H2099">
        <v>6</v>
      </c>
      <c r="I2099">
        <v>0.6</v>
      </c>
      <c r="J2099">
        <v>3.6</v>
      </c>
      <c r="K2099">
        <v>3.51</v>
      </c>
      <c r="L2099">
        <v>5.0599999999999996</v>
      </c>
      <c r="M2099" t="s">
        <v>33</v>
      </c>
      <c r="N2099" t="s">
        <v>162</v>
      </c>
    </row>
    <row r="2100" spans="1:14" x14ac:dyDescent="0.3">
      <c r="A2100" t="s">
        <v>33</v>
      </c>
      <c r="B2100">
        <f>VLOOKUP(M2100,Sheet9!$I$1:$J$17,2,FALSE)</f>
        <v>6</v>
      </c>
      <c r="C2100">
        <f>VLOOKUP(N2100,Sheet9!$M$1:$N$2,2,FALSE)</f>
        <v>1</v>
      </c>
      <c r="D2100">
        <v>32</v>
      </c>
      <c r="E2100" t="s">
        <v>96</v>
      </c>
      <c r="F2100">
        <v>100</v>
      </c>
      <c r="H2100">
        <v>8</v>
      </c>
      <c r="I2100">
        <v>0.6</v>
      </c>
      <c r="J2100">
        <v>4.8</v>
      </c>
      <c r="K2100">
        <v>3.22</v>
      </c>
      <c r="L2100">
        <v>4.6500000000000004</v>
      </c>
      <c r="M2100" t="s">
        <v>33</v>
      </c>
      <c r="N2100" t="s">
        <v>162</v>
      </c>
    </row>
    <row r="2101" spans="1:14" x14ac:dyDescent="0.3">
      <c r="A2101" t="s">
        <v>33</v>
      </c>
      <c r="B2101">
        <f>VLOOKUP(M2101,Sheet9!$I$1:$J$17,2,FALSE)</f>
        <v>6</v>
      </c>
      <c r="C2101">
        <f>VLOOKUP(N2101,Sheet9!$M$1:$N$2,2,FALSE)</f>
        <v>1</v>
      </c>
      <c r="D2101">
        <v>32</v>
      </c>
      <c r="E2101" t="s">
        <v>168</v>
      </c>
      <c r="F2101">
        <v>100</v>
      </c>
      <c r="H2101">
        <v>8</v>
      </c>
      <c r="I2101">
        <v>0.6</v>
      </c>
      <c r="J2101">
        <v>4.8</v>
      </c>
      <c r="K2101">
        <v>3.75</v>
      </c>
      <c r="L2101">
        <v>5.34</v>
      </c>
      <c r="M2101" t="s">
        <v>33</v>
      </c>
      <c r="N2101" t="s">
        <v>162</v>
      </c>
    </row>
    <row r="2102" spans="1:14" x14ac:dyDescent="0.3">
      <c r="A2102" t="s">
        <v>33</v>
      </c>
      <c r="B2102">
        <f>VLOOKUP(M2102,Sheet9!$I$1:$J$17,2,FALSE)</f>
        <v>6</v>
      </c>
      <c r="C2102">
        <f>VLOOKUP(N2102,Sheet9!$M$1:$N$2,2,FALSE)</f>
        <v>1</v>
      </c>
      <c r="D2102">
        <v>32</v>
      </c>
      <c r="E2102" t="s">
        <v>96</v>
      </c>
      <c r="F2102">
        <v>100</v>
      </c>
      <c r="H2102">
        <v>1</v>
      </c>
      <c r="I2102">
        <v>5</v>
      </c>
      <c r="J2102">
        <v>5</v>
      </c>
      <c r="K2102">
        <v>1.94</v>
      </c>
      <c r="L2102">
        <v>2.8</v>
      </c>
      <c r="M2102" t="s">
        <v>33</v>
      </c>
      <c r="N2102" t="s">
        <v>162</v>
      </c>
    </row>
    <row r="2103" spans="1:14" x14ac:dyDescent="0.3">
      <c r="A2103" t="s">
        <v>33</v>
      </c>
      <c r="B2103">
        <f>VLOOKUP(M2103,Sheet9!$I$1:$J$17,2,FALSE)</f>
        <v>6</v>
      </c>
      <c r="C2103">
        <f>VLOOKUP(N2103,Sheet9!$M$1:$N$2,2,FALSE)</f>
        <v>1</v>
      </c>
      <c r="D2103">
        <v>32</v>
      </c>
      <c r="E2103" t="s">
        <v>96</v>
      </c>
      <c r="F2103">
        <v>100</v>
      </c>
      <c r="H2103">
        <v>10</v>
      </c>
      <c r="I2103">
        <v>0.6</v>
      </c>
      <c r="J2103">
        <v>6</v>
      </c>
      <c r="K2103">
        <v>2.6</v>
      </c>
      <c r="L2103">
        <v>3.7</v>
      </c>
      <c r="M2103" t="s">
        <v>33</v>
      </c>
      <c r="N2103" t="s">
        <v>162</v>
      </c>
    </row>
    <row r="2104" spans="1:14" x14ac:dyDescent="0.3">
      <c r="A2104" t="s">
        <v>33</v>
      </c>
      <c r="B2104">
        <f>VLOOKUP(M2104,Sheet9!$I$1:$J$17,2,FALSE)</f>
        <v>6</v>
      </c>
      <c r="C2104">
        <f>VLOOKUP(N2104,Sheet9!$M$1:$N$2,2,FALSE)</f>
        <v>1</v>
      </c>
      <c r="D2104">
        <v>32</v>
      </c>
      <c r="E2104" t="s">
        <v>96</v>
      </c>
      <c r="F2104">
        <v>100</v>
      </c>
      <c r="H2104">
        <v>6</v>
      </c>
      <c r="I2104">
        <v>1.2</v>
      </c>
      <c r="J2104">
        <v>7.2</v>
      </c>
      <c r="K2104">
        <v>2.79</v>
      </c>
      <c r="L2104">
        <v>4.03</v>
      </c>
      <c r="M2104" t="s">
        <v>33</v>
      </c>
      <c r="N2104" t="s">
        <v>162</v>
      </c>
    </row>
    <row r="2105" spans="1:14" x14ac:dyDescent="0.3">
      <c r="A2105" t="s">
        <v>33</v>
      </c>
      <c r="B2105">
        <f>VLOOKUP(M2105,Sheet9!$I$1:$J$17,2,FALSE)</f>
        <v>6</v>
      </c>
      <c r="C2105">
        <f>VLOOKUP(N2105,Sheet9!$M$1:$N$2,2,FALSE)</f>
        <v>1</v>
      </c>
      <c r="D2105">
        <v>32</v>
      </c>
      <c r="E2105" t="s">
        <v>96</v>
      </c>
      <c r="F2105">
        <v>100</v>
      </c>
      <c r="H2105">
        <v>1</v>
      </c>
      <c r="I2105">
        <v>10</v>
      </c>
      <c r="J2105">
        <v>10</v>
      </c>
      <c r="K2105">
        <v>1.94</v>
      </c>
      <c r="L2105">
        <v>2.8</v>
      </c>
      <c r="M2105" t="s">
        <v>33</v>
      </c>
      <c r="N2105" t="s">
        <v>162</v>
      </c>
    </row>
    <row r="2106" spans="1:14" x14ac:dyDescent="0.3">
      <c r="A2106" t="s">
        <v>33</v>
      </c>
      <c r="B2106">
        <f>VLOOKUP(M2106,Sheet9!$I$1:$J$17,2,FALSE)</f>
        <v>6</v>
      </c>
      <c r="C2106">
        <f>VLOOKUP(N2106,Sheet9!$M$1:$N$2,2,FALSE)</f>
        <v>1</v>
      </c>
      <c r="D2106">
        <v>32</v>
      </c>
      <c r="E2106" t="s">
        <v>96</v>
      </c>
      <c r="F2106">
        <v>100</v>
      </c>
      <c r="H2106">
        <v>20</v>
      </c>
      <c r="I2106">
        <v>0.6</v>
      </c>
      <c r="J2106">
        <v>12</v>
      </c>
      <c r="K2106">
        <v>2.65</v>
      </c>
      <c r="L2106">
        <v>3.78</v>
      </c>
      <c r="M2106" t="s">
        <v>33</v>
      </c>
      <c r="N2106" t="s">
        <v>162</v>
      </c>
    </row>
    <row r="2107" spans="1:14" x14ac:dyDescent="0.3">
      <c r="A2107" t="s">
        <v>33</v>
      </c>
      <c r="B2107">
        <f>VLOOKUP(M2107,Sheet9!$I$1:$J$17,2,FALSE)</f>
        <v>6</v>
      </c>
      <c r="C2107">
        <f>VLOOKUP(N2107,Sheet9!$M$1:$N$2,2,FALSE)</f>
        <v>1</v>
      </c>
      <c r="D2107">
        <v>32</v>
      </c>
      <c r="E2107" t="s">
        <v>96</v>
      </c>
      <c r="F2107">
        <v>100</v>
      </c>
      <c r="H2107">
        <v>12</v>
      </c>
      <c r="I2107">
        <v>1.2</v>
      </c>
      <c r="J2107">
        <v>14.4</v>
      </c>
      <c r="K2107">
        <v>2.4900000000000002</v>
      </c>
      <c r="L2107">
        <v>3.59</v>
      </c>
      <c r="M2107" t="s">
        <v>33</v>
      </c>
      <c r="N2107" t="s">
        <v>162</v>
      </c>
    </row>
    <row r="2108" spans="1:14" x14ac:dyDescent="0.3">
      <c r="A2108" t="s">
        <v>33</v>
      </c>
      <c r="B2108">
        <f>VLOOKUP(M2108,Sheet9!$I$1:$J$17,2,FALSE)</f>
        <v>6</v>
      </c>
      <c r="C2108">
        <f>VLOOKUP(N2108,Sheet9!$M$1:$N$2,2,FALSE)</f>
        <v>1</v>
      </c>
      <c r="D2108">
        <v>32</v>
      </c>
      <c r="E2108" t="s">
        <v>96</v>
      </c>
      <c r="F2108">
        <v>100</v>
      </c>
      <c r="H2108">
        <v>32</v>
      </c>
      <c r="I2108">
        <v>1.2</v>
      </c>
      <c r="J2108">
        <v>38.4</v>
      </c>
      <c r="K2108">
        <v>2.17</v>
      </c>
      <c r="L2108">
        <v>3.14</v>
      </c>
      <c r="M2108" t="s">
        <v>33</v>
      </c>
      <c r="N2108" t="s">
        <v>162</v>
      </c>
    </row>
    <row r="2109" spans="1:14" x14ac:dyDescent="0.3">
      <c r="A2109" t="s">
        <v>33</v>
      </c>
      <c r="B2109">
        <f>VLOOKUP(M2109,Sheet9!$I$1:$J$17,2,FALSE)</f>
        <v>6</v>
      </c>
      <c r="C2109">
        <f>VLOOKUP(N2109,Sheet9!$M$1:$N$2,2,FALSE)</f>
        <v>1</v>
      </c>
      <c r="D2109">
        <v>32</v>
      </c>
      <c r="E2109" t="s">
        <v>96</v>
      </c>
      <c r="F2109">
        <v>100</v>
      </c>
      <c r="H2109">
        <v>64</v>
      </c>
      <c r="I2109">
        <v>0.6</v>
      </c>
      <c r="J2109">
        <v>38.4</v>
      </c>
      <c r="K2109">
        <v>2.19</v>
      </c>
      <c r="L2109">
        <v>3.12</v>
      </c>
      <c r="M2109" t="s">
        <v>33</v>
      </c>
      <c r="N2109" t="s">
        <v>162</v>
      </c>
    </row>
    <row r="2110" spans="1:14" x14ac:dyDescent="0.3">
      <c r="A2110" t="s">
        <v>33</v>
      </c>
      <c r="B2110">
        <f>VLOOKUP(M2110,Sheet9!$I$1:$J$17,2,FALSE)</f>
        <v>6</v>
      </c>
      <c r="C2110">
        <f>VLOOKUP(N2110,Sheet9!$M$1:$N$2,2,FALSE)</f>
        <v>1</v>
      </c>
      <c r="D2110">
        <v>32</v>
      </c>
      <c r="E2110" t="s">
        <v>96</v>
      </c>
      <c r="F2110">
        <v>120</v>
      </c>
      <c r="H2110">
        <v>2</v>
      </c>
      <c r="I2110">
        <v>1</v>
      </c>
      <c r="J2110">
        <v>2</v>
      </c>
      <c r="K2110">
        <v>3.84</v>
      </c>
      <c r="L2110">
        <v>5.36</v>
      </c>
      <c r="M2110" t="s">
        <v>33</v>
      </c>
      <c r="N2110" t="s">
        <v>162</v>
      </c>
    </row>
    <row r="2111" spans="1:14" x14ac:dyDescent="0.3">
      <c r="A2111" t="s">
        <v>33</v>
      </c>
      <c r="B2111">
        <f>VLOOKUP(M2111,Sheet9!$I$1:$J$17,2,FALSE)</f>
        <v>6</v>
      </c>
      <c r="C2111">
        <f>VLOOKUP(N2111,Sheet9!$M$1:$N$2,2,FALSE)</f>
        <v>1</v>
      </c>
      <c r="D2111">
        <v>32</v>
      </c>
      <c r="E2111" t="s">
        <v>96</v>
      </c>
      <c r="F2111">
        <v>120</v>
      </c>
      <c r="H2111">
        <v>6</v>
      </c>
      <c r="I2111">
        <v>0.6</v>
      </c>
      <c r="J2111">
        <v>3.6</v>
      </c>
      <c r="K2111">
        <v>6.22</v>
      </c>
      <c r="L2111">
        <v>8.68</v>
      </c>
      <c r="M2111" t="s">
        <v>33</v>
      </c>
      <c r="N2111" t="s">
        <v>162</v>
      </c>
    </row>
    <row r="2112" spans="1:14" x14ac:dyDescent="0.3">
      <c r="A2112" t="s">
        <v>33</v>
      </c>
      <c r="B2112">
        <f>VLOOKUP(M2112,Sheet9!$I$1:$J$17,2,FALSE)</f>
        <v>6</v>
      </c>
      <c r="C2112">
        <f>VLOOKUP(N2112,Sheet9!$M$1:$N$2,2,FALSE)</f>
        <v>1</v>
      </c>
      <c r="D2112">
        <v>32</v>
      </c>
      <c r="E2112" t="s">
        <v>96</v>
      </c>
      <c r="F2112">
        <v>120</v>
      </c>
      <c r="H2112">
        <v>8</v>
      </c>
      <c r="I2112">
        <v>0.6</v>
      </c>
      <c r="J2112">
        <v>4.8</v>
      </c>
      <c r="K2112">
        <v>5.72</v>
      </c>
      <c r="L2112">
        <v>7.98</v>
      </c>
      <c r="M2112" t="s">
        <v>33</v>
      </c>
      <c r="N2112" t="s">
        <v>162</v>
      </c>
    </row>
    <row r="2113" spans="1:14" x14ac:dyDescent="0.3">
      <c r="A2113" t="s">
        <v>33</v>
      </c>
      <c r="B2113">
        <f>VLOOKUP(M2113,Sheet9!$I$1:$J$17,2,FALSE)</f>
        <v>6</v>
      </c>
      <c r="C2113">
        <f>VLOOKUP(N2113,Sheet9!$M$1:$N$2,2,FALSE)</f>
        <v>1</v>
      </c>
      <c r="D2113">
        <v>32</v>
      </c>
      <c r="E2113" t="s">
        <v>168</v>
      </c>
      <c r="F2113">
        <v>120</v>
      </c>
      <c r="H2113">
        <v>8</v>
      </c>
      <c r="I2113">
        <v>0.6</v>
      </c>
      <c r="J2113">
        <v>4.8</v>
      </c>
      <c r="K2113">
        <v>6.67</v>
      </c>
      <c r="L2113">
        <v>9.2100000000000009</v>
      </c>
      <c r="M2113" t="s">
        <v>33</v>
      </c>
      <c r="N2113" t="s">
        <v>162</v>
      </c>
    </row>
    <row r="2114" spans="1:14" x14ac:dyDescent="0.3">
      <c r="A2114" t="s">
        <v>33</v>
      </c>
      <c r="B2114">
        <f>VLOOKUP(M2114,Sheet9!$I$1:$J$17,2,FALSE)</f>
        <v>6</v>
      </c>
      <c r="C2114">
        <f>VLOOKUP(N2114,Sheet9!$M$1:$N$2,2,FALSE)</f>
        <v>1</v>
      </c>
      <c r="D2114">
        <v>32</v>
      </c>
      <c r="E2114" t="s">
        <v>96</v>
      </c>
      <c r="F2114">
        <v>120</v>
      </c>
      <c r="H2114">
        <v>1</v>
      </c>
      <c r="I2114">
        <v>5</v>
      </c>
      <c r="J2114">
        <v>5</v>
      </c>
      <c r="K2114">
        <v>3.45</v>
      </c>
      <c r="L2114">
        <v>4.8099999999999996</v>
      </c>
      <c r="M2114" t="s">
        <v>33</v>
      </c>
      <c r="N2114" t="s">
        <v>162</v>
      </c>
    </row>
    <row r="2115" spans="1:14" x14ac:dyDescent="0.3">
      <c r="A2115" t="s">
        <v>33</v>
      </c>
      <c r="B2115">
        <f>VLOOKUP(M2115,Sheet9!$I$1:$J$17,2,FALSE)</f>
        <v>6</v>
      </c>
      <c r="C2115">
        <f>VLOOKUP(N2115,Sheet9!$M$1:$N$2,2,FALSE)</f>
        <v>1</v>
      </c>
      <c r="D2115">
        <v>32</v>
      </c>
      <c r="E2115" t="s">
        <v>96</v>
      </c>
      <c r="F2115">
        <v>120</v>
      </c>
      <c r="H2115">
        <v>10</v>
      </c>
      <c r="I2115">
        <v>0.6</v>
      </c>
      <c r="J2115">
        <v>6</v>
      </c>
      <c r="K2115">
        <v>4.62</v>
      </c>
      <c r="L2115">
        <v>6.39</v>
      </c>
      <c r="M2115" t="s">
        <v>33</v>
      </c>
      <c r="N2115" t="s">
        <v>162</v>
      </c>
    </row>
    <row r="2116" spans="1:14" x14ac:dyDescent="0.3">
      <c r="A2116" t="s">
        <v>33</v>
      </c>
      <c r="B2116">
        <f>VLOOKUP(M2116,Sheet9!$I$1:$J$17,2,FALSE)</f>
        <v>6</v>
      </c>
      <c r="C2116">
        <f>VLOOKUP(N2116,Sheet9!$M$1:$N$2,2,FALSE)</f>
        <v>1</v>
      </c>
      <c r="D2116">
        <v>32</v>
      </c>
      <c r="E2116" t="s">
        <v>96</v>
      </c>
      <c r="F2116">
        <v>120</v>
      </c>
      <c r="H2116">
        <v>6</v>
      </c>
      <c r="I2116">
        <v>1.2</v>
      </c>
      <c r="J2116">
        <v>7.2</v>
      </c>
      <c r="K2116">
        <v>4.95</v>
      </c>
      <c r="L2116">
        <v>6.91</v>
      </c>
      <c r="M2116" t="s">
        <v>33</v>
      </c>
      <c r="N2116" t="s">
        <v>162</v>
      </c>
    </row>
    <row r="2117" spans="1:14" x14ac:dyDescent="0.3">
      <c r="A2117" t="s">
        <v>33</v>
      </c>
      <c r="B2117">
        <f>VLOOKUP(M2117,Sheet9!$I$1:$J$17,2,FALSE)</f>
        <v>6</v>
      </c>
      <c r="C2117">
        <f>VLOOKUP(N2117,Sheet9!$M$1:$N$2,2,FALSE)</f>
        <v>1</v>
      </c>
      <c r="D2117">
        <v>32</v>
      </c>
      <c r="E2117" t="s">
        <v>96</v>
      </c>
      <c r="F2117">
        <v>120</v>
      </c>
      <c r="H2117">
        <v>1</v>
      </c>
      <c r="I2117">
        <v>10</v>
      </c>
      <c r="J2117">
        <v>10</v>
      </c>
      <c r="K2117">
        <v>3.45</v>
      </c>
      <c r="L2117">
        <v>4.8099999999999996</v>
      </c>
      <c r="M2117" t="s">
        <v>33</v>
      </c>
      <c r="N2117" t="s">
        <v>162</v>
      </c>
    </row>
    <row r="2118" spans="1:14" x14ac:dyDescent="0.3">
      <c r="A2118" t="s">
        <v>33</v>
      </c>
      <c r="B2118">
        <f>VLOOKUP(M2118,Sheet9!$I$1:$J$17,2,FALSE)</f>
        <v>6</v>
      </c>
      <c r="C2118">
        <f>VLOOKUP(N2118,Sheet9!$M$1:$N$2,2,FALSE)</f>
        <v>1</v>
      </c>
      <c r="D2118">
        <v>32</v>
      </c>
      <c r="E2118" t="s">
        <v>96</v>
      </c>
      <c r="F2118">
        <v>120</v>
      </c>
      <c r="H2118">
        <v>20</v>
      </c>
      <c r="I2118">
        <v>0.6</v>
      </c>
      <c r="J2118">
        <v>12</v>
      </c>
      <c r="K2118">
        <v>4.71</v>
      </c>
      <c r="L2118">
        <v>6.51</v>
      </c>
      <c r="M2118" t="s">
        <v>33</v>
      </c>
      <c r="N2118" t="s">
        <v>162</v>
      </c>
    </row>
    <row r="2119" spans="1:14" x14ac:dyDescent="0.3">
      <c r="A2119" t="s">
        <v>33</v>
      </c>
      <c r="B2119">
        <f>VLOOKUP(M2119,Sheet9!$I$1:$J$17,2,FALSE)</f>
        <v>6</v>
      </c>
      <c r="C2119">
        <f>VLOOKUP(N2119,Sheet9!$M$1:$N$2,2,FALSE)</f>
        <v>1</v>
      </c>
      <c r="D2119">
        <v>32</v>
      </c>
      <c r="E2119" t="s">
        <v>96</v>
      </c>
      <c r="F2119">
        <v>120</v>
      </c>
      <c r="H2119">
        <v>12</v>
      </c>
      <c r="I2119">
        <v>1.2</v>
      </c>
      <c r="J2119">
        <v>14.4</v>
      </c>
      <c r="K2119">
        <v>4.42</v>
      </c>
      <c r="L2119">
        <v>6.17</v>
      </c>
      <c r="M2119" t="s">
        <v>33</v>
      </c>
      <c r="N2119" t="s">
        <v>162</v>
      </c>
    </row>
    <row r="2120" spans="1:14" x14ac:dyDescent="0.3">
      <c r="A2120" t="s">
        <v>33</v>
      </c>
      <c r="B2120">
        <f>VLOOKUP(M2120,Sheet9!$I$1:$J$17,2,FALSE)</f>
        <v>6</v>
      </c>
      <c r="C2120">
        <f>VLOOKUP(N2120,Sheet9!$M$1:$N$2,2,FALSE)</f>
        <v>1</v>
      </c>
      <c r="D2120">
        <v>32</v>
      </c>
      <c r="E2120" t="s">
        <v>96</v>
      </c>
      <c r="F2120">
        <v>120</v>
      </c>
      <c r="H2120">
        <v>32</v>
      </c>
      <c r="I2120">
        <v>1.2</v>
      </c>
      <c r="J2120">
        <v>38.4</v>
      </c>
      <c r="K2120">
        <v>3.86</v>
      </c>
      <c r="L2120">
        <v>5.39</v>
      </c>
      <c r="M2120" t="s">
        <v>33</v>
      </c>
      <c r="N2120" t="s">
        <v>162</v>
      </c>
    </row>
    <row r="2121" spans="1:14" x14ac:dyDescent="0.3">
      <c r="A2121" t="s">
        <v>33</v>
      </c>
      <c r="B2121">
        <f>VLOOKUP(M2121,Sheet9!$I$1:$J$17,2,FALSE)</f>
        <v>6</v>
      </c>
      <c r="C2121">
        <f>VLOOKUP(N2121,Sheet9!$M$1:$N$2,2,FALSE)</f>
        <v>1</v>
      </c>
      <c r="D2121">
        <v>32</v>
      </c>
      <c r="E2121" t="s">
        <v>96</v>
      </c>
      <c r="F2121">
        <v>120</v>
      </c>
      <c r="H2121">
        <v>64</v>
      </c>
      <c r="I2121">
        <v>0.6</v>
      </c>
      <c r="J2121">
        <v>38.4</v>
      </c>
      <c r="K2121">
        <v>3.89</v>
      </c>
      <c r="L2121">
        <v>5.38</v>
      </c>
      <c r="M2121" t="s">
        <v>33</v>
      </c>
      <c r="N2121" t="s">
        <v>162</v>
      </c>
    </row>
    <row r="2122" spans="1:14" x14ac:dyDescent="0.3">
      <c r="A2122" t="s">
        <v>33</v>
      </c>
      <c r="B2122">
        <f>VLOOKUP(M2122,Sheet9!$I$1:$J$17,2,FALSE)</f>
        <v>6</v>
      </c>
      <c r="C2122">
        <f>VLOOKUP(N2122,Sheet9!$M$1:$N$2,2,FALSE)</f>
        <v>1</v>
      </c>
      <c r="D2122">
        <v>32</v>
      </c>
      <c r="E2122" t="s">
        <v>96</v>
      </c>
      <c r="F2122">
        <v>140</v>
      </c>
      <c r="H2122">
        <v>2</v>
      </c>
      <c r="I2122">
        <v>1</v>
      </c>
      <c r="J2122">
        <v>2</v>
      </c>
      <c r="K2122">
        <v>5.89</v>
      </c>
      <c r="L2122">
        <v>8.0299999999999994</v>
      </c>
      <c r="M2122" t="s">
        <v>33</v>
      </c>
      <c r="N2122" t="s">
        <v>162</v>
      </c>
    </row>
    <row r="2123" spans="1:14" x14ac:dyDescent="0.3">
      <c r="A2123" t="s">
        <v>33</v>
      </c>
      <c r="B2123">
        <f>VLOOKUP(M2123,Sheet9!$I$1:$J$17,2,FALSE)</f>
        <v>6</v>
      </c>
      <c r="C2123">
        <f>VLOOKUP(N2123,Sheet9!$M$1:$N$2,2,FALSE)</f>
        <v>1</v>
      </c>
      <c r="D2123">
        <v>32</v>
      </c>
      <c r="E2123" t="s">
        <v>96</v>
      </c>
      <c r="F2123">
        <v>140</v>
      </c>
      <c r="H2123">
        <v>6</v>
      </c>
      <c r="I2123">
        <v>0.6</v>
      </c>
      <c r="J2123">
        <v>3.6</v>
      </c>
      <c r="K2123">
        <v>9.5299999999999994</v>
      </c>
      <c r="L2123">
        <v>13</v>
      </c>
      <c r="M2123" t="s">
        <v>33</v>
      </c>
      <c r="N2123" t="s">
        <v>162</v>
      </c>
    </row>
    <row r="2124" spans="1:14" x14ac:dyDescent="0.3">
      <c r="A2124" t="s">
        <v>33</v>
      </c>
      <c r="B2124">
        <f>VLOOKUP(M2124,Sheet9!$I$1:$J$17,2,FALSE)</f>
        <v>6</v>
      </c>
      <c r="C2124">
        <f>VLOOKUP(N2124,Sheet9!$M$1:$N$2,2,FALSE)</f>
        <v>1</v>
      </c>
      <c r="D2124">
        <v>32</v>
      </c>
      <c r="E2124" t="s">
        <v>96</v>
      </c>
      <c r="F2124">
        <v>140</v>
      </c>
      <c r="H2124">
        <v>8</v>
      </c>
      <c r="I2124">
        <v>0.6</v>
      </c>
      <c r="J2124">
        <v>4.8</v>
      </c>
      <c r="K2124">
        <v>8.76</v>
      </c>
      <c r="L2124">
        <v>11.95</v>
      </c>
      <c r="M2124" t="s">
        <v>33</v>
      </c>
      <c r="N2124" t="s">
        <v>162</v>
      </c>
    </row>
    <row r="2125" spans="1:14" x14ac:dyDescent="0.3">
      <c r="A2125" t="s">
        <v>33</v>
      </c>
      <c r="B2125">
        <f>VLOOKUP(M2125,Sheet9!$I$1:$J$17,2,FALSE)</f>
        <v>6</v>
      </c>
      <c r="C2125">
        <f>VLOOKUP(N2125,Sheet9!$M$1:$N$2,2,FALSE)</f>
        <v>1</v>
      </c>
      <c r="D2125">
        <v>32</v>
      </c>
      <c r="E2125" t="s">
        <v>168</v>
      </c>
      <c r="F2125">
        <v>140</v>
      </c>
      <c r="H2125">
        <v>8</v>
      </c>
      <c r="I2125">
        <v>0.6</v>
      </c>
      <c r="J2125">
        <v>4.8</v>
      </c>
      <c r="K2125">
        <v>10.45</v>
      </c>
      <c r="L2125">
        <v>14.2</v>
      </c>
      <c r="M2125" t="s">
        <v>33</v>
      </c>
      <c r="N2125" t="s">
        <v>162</v>
      </c>
    </row>
    <row r="2126" spans="1:14" x14ac:dyDescent="0.3">
      <c r="A2126" t="s">
        <v>33</v>
      </c>
      <c r="B2126">
        <f>VLOOKUP(M2126,Sheet9!$I$1:$J$17,2,FALSE)</f>
        <v>6</v>
      </c>
      <c r="C2126">
        <f>VLOOKUP(N2126,Sheet9!$M$1:$N$2,2,FALSE)</f>
        <v>1</v>
      </c>
      <c r="D2126">
        <v>32</v>
      </c>
      <c r="E2126" t="s">
        <v>96</v>
      </c>
      <c r="F2126">
        <v>140</v>
      </c>
      <c r="H2126">
        <v>1</v>
      </c>
      <c r="I2126">
        <v>5</v>
      </c>
      <c r="J2126">
        <v>5</v>
      </c>
      <c r="K2126">
        <v>5.28</v>
      </c>
      <c r="L2126">
        <v>7.2</v>
      </c>
      <c r="M2126" t="s">
        <v>33</v>
      </c>
      <c r="N2126" t="s">
        <v>162</v>
      </c>
    </row>
    <row r="2127" spans="1:14" x14ac:dyDescent="0.3">
      <c r="A2127" t="s">
        <v>33</v>
      </c>
      <c r="B2127">
        <f>VLOOKUP(M2127,Sheet9!$I$1:$J$17,2,FALSE)</f>
        <v>6</v>
      </c>
      <c r="C2127">
        <f>VLOOKUP(N2127,Sheet9!$M$1:$N$2,2,FALSE)</f>
        <v>1</v>
      </c>
      <c r="D2127">
        <v>32</v>
      </c>
      <c r="E2127" t="s">
        <v>96</v>
      </c>
      <c r="F2127">
        <v>140</v>
      </c>
      <c r="H2127">
        <v>10</v>
      </c>
      <c r="I2127">
        <v>0.6</v>
      </c>
      <c r="J2127">
        <v>6</v>
      </c>
      <c r="K2127">
        <v>7.25</v>
      </c>
      <c r="L2127">
        <v>9.84</v>
      </c>
      <c r="M2127" t="s">
        <v>33</v>
      </c>
      <c r="N2127" t="s">
        <v>162</v>
      </c>
    </row>
    <row r="2128" spans="1:14" x14ac:dyDescent="0.3">
      <c r="A2128" t="s">
        <v>33</v>
      </c>
      <c r="B2128">
        <f>VLOOKUP(M2128,Sheet9!$I$1:$J$17,2,FALSE)</f>
        <v>6</v>
      </c>
      <c r="C2128">
        <f>VLOOKUP(N2128,Sheet9!$M$1:$N$2,2,FALSE)</f>
        <v>1</v>
      </c>
      <c r="D2128">
        <v>32</v>
      </c>
      <c r="E2128" t="s">
        <v>96</v>
      </c>
      <c r="F2128">
        <v>140</v>
      </c>
      <c r="H2128">
        <v>6</v>
      </c>
      <c r="I2128">
        <v>1.2</v>
      </c>
      <c r="J2128">
        <v>7.2</v>
      </c>
      <c r="K2128">
        <v>7.59</v>
      </c>
      <c r="L2128">
        <v>10.36</v>
      </c>
      <c r="M2128" t="s">
        <v>33</v>
      </c>
      <c r="N2128" t="s">
        <v>162</v>
      </c>
    </row>
    <row r="2129" spans="1:14" x14ac:dyDescent="0.3">
      <c r="A2129" t="s">
        <v>33</v>
      </c>
      <c r="B2129">
        <f>VLOOKUP(M2129,Sheet9!$I$1:$J$17,2,FALSE)</f>
        <v>6</v>
      </c>
      <c r="C2129">
        <f>VLOOKUP(N2129,Sheet9!$M$1:$N$2,2,FALSE)</f>
        <v>1</v>
      </c>
      <c r="D2129">
        <v>32</v>
      </c>
      <c r="E2129" t="s">
        <v>96</v>
      </c>
      <c r="F2129">
        <v>140</v>
      </c>
      <c r="H2129">
        <v>1</v>
      </c>
      <c r="I2129">
        <v>10</v>
      </c>
      <c r="J2129">
        <v>10</v>
      </c>
      <c r="K2129">
        <v>5.28</v>
      </c>
      <c r="L2129">
        <v>7.2</v>
      </c>
      <c r="M2129" t="s">
        <v>33</v>
      </c>
      <c r="N2129" t="s">
        <v>162</v>
      </c>
    </row>
    <row r="2130" spans="1:14" x14ac:dyDescent="0.3">
      <c r="A2130" t="s">
        <v>33</v>
      </c>
      <c r="B2130">
        <f>VLOOKUP(M2130,Sheet9!$I$1:$J$17,2,FALSE)</f>
        <v>6</v>
      </c>
      <c r="C2130">
        <f>VLOOKUP(N2130,Sheet9!$M$1:$N$2,2,FALSE)</f>
        <v>1</v>
      </c>
      <c r="D2130">
        <v>32</v>
      </c>
      <c r="E2130" t="s">
        <v>96</v>
      </c>
      <c r="F2130">
        <v>140</v>
      </c>
      <c r="H2130">
        <v>20</v>
      </c>
      <c r="I2130">
        <v>0.6</v>
      </c>
      <c r="J2130">
        <v>12</v>
      </c>
      <c r="K2130">
        <v>7.38</v>
      </c>
      <c r="L2130">
        <v>10.029999999999999</v>
      </c>
      <c r="M2130" t="s">
        <v>33</v>
      </c>
      <c r="N2130" t="s">
        <v>162</v>
      </c>
    </row>
    <row r="2131" spans="1:14" x14ac:dyDescent="0.3">
      <c r="A2131" t="s">
        <v>33</v>
      </c>
      <c r="B2131">
        <f>VLOOKUP(M2131,Sheet9!$I$1:$J$17,2,FALSE)</f>
        <v>6</v>
      </c>
      <c r="C2131">
        <f>VLOOKUP(N2131,Sheet9!$M$1:$N$2,2,FALSE)</f>
        <v>1</v>
      </c>
      <c r="D2131">
        <v>32</v>
      </c>
      <c r="E2131" t="s">
        <v>96</v>
      </c>
      <c r="F2131">
        <v>140</v>
      </c>
      <c r="H2131">
        <v>12</v>
      </c>
      <c r="I2131">
        <v>1.2</v>
      </c>
      <c r="J2131">
        <v>14.4</v>
      </c>
      <c r="K2131">
        <v>6.77</v>
      </c>
      <c r="L2131">
        <v>9.24</v>
      </c>
      <c r="M2131" t="s">
        <v>33</v>
      </c>
      <c r="N2131" t="s">
        <v>162</v>
      </c>
    </row>
    <row r="2132" spans="1:14" x14ac:dyDescent="0.3">
      <c r="A2132" t="s">
        <v>33</v>
      </c>
      <c r="B2132">
        <f>VLOOKUP(M2132,Sheet9!$I$1:$J$17,2,FALSE)</f>
        <v>6</v>
      </c>
      <c r="C2132">
        <f>VLOOKUP(N2132,Sheet9!$M$1:$N$2,2,FALSE)</f>
        <v>1</v>
      </c>
      <c r="D2132">
        <v>32</v>
      </c>
      <c r="E2132" t="s">
        <v>96</v>
      </c>
      <c r="F2132">
        <v>140</v>
      </c>
      <c r="H2132">
        <v>32</v>
      </c>
      <c r="I2132">
        <v>1.2</v>
      </c>
      <c r="J2132">
        <v>38.4</v>
      </c>
      <c r="K2132">
        <v>5.91</v>
      </c>
      <c r="L2132">
        <v>8.07</v>
      </c>
      <c r="M2132" t="s">
        <v>33</v>
      </c>
      <c r="N2132" t="s">
        <v>162</v>
      </c>
    </row>
    <row r="2133" spans="1:14" x14ac:dyDescent="0.3">
      <c r="A2133" t="s">
        <v>33</v>
      </c>
      <c r="B2133">
        <f>VLOOKUP(M2133,Sheet9!$I$1:$J$17,2,FALSE)</f>
        <v>6</v>
      </c>
      <c r="C2133">
        <f>VLOOKUP(N2133,Sheet9!$M$1:$N$2,2,FALSE)</f>
        <v>1</v>
      </c>
      <c r="D2133">
        <v>32</v>
      </c>
      <c r="E2133" t="s">
        <v>96</v>
      </c>
      <c r="F2133">
        <v>140</v>
      </c>
      <c r="H2133">
        <v>64</v>
      </c>
      <c r="I2133">
        <v>0.6</v>
      </c>
      <c r="J2133">
        <v>38.4</v>
      </c>
      <c r="K2133">
        <v>6.1</v>
      </c>
      <c r="L2133">
        <v>8.2799999999999994</v>
      </c>
      <c r="M2133" t="s">
        <v>33</v>
      </c>
      <c r="N2133" t="s">
        <v>162</v>
      </c>
    </row>
    <row r="2134" spans="1:14" x14ac:dyDescent="0.3">
      <c r="A2134" t="s">
        <v>64</v>
      </c>
      <c r="B2134">
        <f>VLOOKUP(M2134,Sheet9!$I$1:$J$17,2,FALSE)</f>
        <v>5</v>
      </c>
      <c r="C2134">
        <f>VLOOKUP(N2134,Sheet9!$M$1:$N$2,2,FALSE)</f>
        <v>1</v>
      </c>
      <c r="D2134">
        <v>16</v>
      </c>
      <c r="E2134" t="s">
        <v>95</v>
      </c>
      <c r="F2134">
        <v>70</v>
      </c>
      <c r="H2134">
        <v>2</v>
      </c>
      <c r="I2134">
        <v>1</v>
      </c>
      <c r="J2134">
        <v>2</v>
      </c>
      <c r="K2134">
        <v>2.57</v>
      </c>
      <c r="L2134">
        <v>2.69</v>
      </c>
      <c r="M2134" t="s">
        <v>64</v>
      </c>
      <c r="N2134" t="s">
        <v>162</v>
      </c>
    </row>
    <row r="2135" spans="1:14" x14ac:dyDescent="0.3">
      <c r="A2135" t="s">
        <v>64</v>
      </c>
      <c r="B2135">
        <f>VLOOKUP(M2135,Sheet9!$I$1:$J$17,2,FALSE)</f>
        <v>5</v>
      </c>
      <c r="C2135">
        <f>VLOOKUP(N2135,Sheet9!$M$1:$N$2,2,FALSE)</f>
        <v>1</v>
      </c>
      <c r="D2135">
        <v>16</v>
      </c>
      <c r="E2135" t="s">
        <v>95</v>
      </c>
      <c r="F2135">
        <v>70</v>
      </c>
      <c r="H2135">
        <v>6</v>
      </c>
      <c r="I2135">
        <v>0.6</v>
      </c>
      <c r="J2135">
        <v>3.6</v>
      </c>
      <c r="K2135">
        <v>4.17</v>
      </c>
      <c r="L2135">
        <v>4.3499999999999996</v>
      </c>
      <c r="M2135" t="s">
        <v>64</v>
      </c>
      <c r="N2135" t="s">
        <v>162</v>
      </c>
    </row>
    <row r="2136" spans="1:14" x14ac:dyDescent="0.3">
      <c r="A2136" t="s">
        <v>64</v>
      </c>
      <c r="B2136">
        <f>VLOOKUP(M2136,Sheet9!$I$1:$J$17,2,FALSE)</f>
        <v>5</v>
      </c>
      <c r="C2136">
        <f>VLOOKUP(N2136,Sheet9!$M$1:$N$2,2,FALSE)</f>
        <v>1</v>
      </c>
      <c r="D2136">
        <v>16</v>
      </c>
      <c r="E2136" t="s">
        <v>167</v>
      </c>
      <c r="F2136">
        <v>70</v>
      </c>
      <c r="H2136">
        <v>8</v>
      </c>
      <c r="I2136">
        <v>0.6</v>
      </c>
      <c r="J2136">
        <v>4.8</v>
      </c>
      <c r="K2136">
        <v>4.3899999999999997</v>
      </c>
      <c r="L2136">
        <v>4.5599999999999996</v>
      </c>
      <c r="M2136" t="s">
        <v>64</v>
      </c>
      <c r="N2136" t="s">
        <v>162</v>
      </c>
    </row>
    <row r="2137" spans="1:14" x14ac:dyDescent="0.3">
      <c r="A2137" t="s">
        <v>64</v>
      </c>
      <c r="B2137">
        <f>VLOOKUP(M2137,Sheet9!$I$1:$J$17,2,FALSE)</f>
        <v>5</v>
      </c>
      <c r="C2137">
        <f>VLOOKUP(N2137,Sheet9!$M$1:$N$2,2,FALSE)</f>
        <v>1</v>
      </c>
      <c r="D2137">
        <v>16</v>
      </c>
      <c r="E2137" t="s">
        <v>95</v>
      </c>
      <c r="F2137">
        <v>70</v>
      </c>
      <c r="H2137">
        <v>1</v>
      </c>
      <c r="I2137">
        <v>5</v>
      </c>
      <c r="J2137">
        <v>5</v>
      </c>
      <c r="K2137">
        <v>2.31</v>
      </c>
      <c r="L2137">
        <v>2.41</v>
      </c>
      <c r="M2137" t="s">
        <v>64</v>
      </c>
      <c r="N2137" t="s">
        <v>162</v>
      </c>
    </row>
    <row r="2138" spans="1:14" x14ac:dyDescent="0.3">
      <c r="A2138" t="s">
        <v>64</v>
      </c>
      <c r="B2138">
        <f>VLOOKUP(M2138,Sheet9!$I$1:$J$17,2,FALSE)</f>
        <v>5</v>
      </c>
      <c r="C2138">
        <f>VLOOKUP(N2138,Sheet9!$M$1:$N$2,2,FALSE)</f>
        <v>1</v>
      </c>
      <c r="D2138">
        <v>16</v>
      </c>
      <c r="E2138" t="s">
        <v>167</v>
      </c>
      <c r="F2138">
        <v>70</v>
      </c>
      <c r="H2138">
        <v>10</v>
      </c>
      <c r="I2138">
        <v>0.6</v>
      </c>
      <c r="J2138">
        <v>6</v>
      </c>
      <c r="K2138">
        <v>3.04</v>
      </c>
      <c r="L2138">
        <v>3.16</v>
      </c>
      <c r="M2138" t="s">
        <v>64</v>
      </c>
      <c r="N2138" t="s">
        <v>162</v>
      </c>
    </row>
    <row r="2139" spans="1:14" x14ac:dyDescent="0.3">
      <c r="A2139" t="s">
        <v>64</v>
      </c>
      <c r="B2139">
        <f>VLOOKUP(M2139,Sheet9!$I$1:$J$17,2,FALSE)</f>
        <v>5</v>
      </c>
      <c r="C2139">
        <f>VLOOKUP(N2139,Sheet9!$M$1:$N$2,2,FALSE)</f>
        <v>1</v>
      </c>
      <c r="D2139">
        <v>16</v>
      </c>
      <c r="E2139" t="s">
        <v>95</v>
      </c>
      <c r="F2139">
        <v>70</v>
      </c>
      <c r="H2139">
        <v>1</v>
      </c>
      <c r="I2139">
        <v>10</v>
      </c>
      <c r="J2139">
        <v>10</v>
      </c>
      <c r="K2139">
        <v>2.31</v>
      </c>
      <c r="L2139">
        <v>2.41</v>
      </c>
      <c r="M2139" t="s">
        <v>64</v>
      </c>
      <c r="N2139" t="s">
        <v>162</v>
      </c>
    </row>
    <row r="2140" spans="1:14" x14ac:dyDescent="0.3">
      <c r="A2140" t="s">
        <v>64</v>
      </c>
      <c r="B2140">
        <f>VLOOKUP(M2140,Sheet9!$I$1:$J$17,2,FALSE)</f>
        <v>5</v>
      </c>
      <c r="C2140">
        <f>VLOOKUP(N2140,Sheet9!$M$1:$N$2,2,FALSE)</f>
        <v>1</v>
      </c>
      <c r="D2140">
        <v>16</v>
      </c>
      <c r="E2140" t="s">
        <v>95</v>
      </c>
      <c r="F2140">
        <v>70</v>
      </c>
      <c r="H2140">
        <v>12</v>
      </c>
      <c r="I2140">
        <v>1.2</v>
      </c>
      <c r="J2140">
        <v>14.4</v>
      </c>
      <c r="K2140">
        <v>2.96</v>
      </c>
      <c r="L2140">
        <v>3.09</v>
      </c>
      <c r="M2140" t="s">
        <v>64</v>
      </c>
      <c r="N2140" t="s">
        <v>162</v>
      </c>
    </row>
    <row r="2141" spans="1:14" x14ac:dyDescent="0.3">
      <c r="A2141" t="s">
        <v>64</v>
      </c>
      <c r="B2141">
        <f>VLOOKUP(M2141,Sheet9!$I$1:$J$17,2,FALSE)</f>
        <v>5</v>
      </c>
      <c r="C2141">
        <f>VLOOKUP(N2141,Sheet9!$M$1:$N$2,2,FALSE)</f>
        <v>1</v>
      </c>
      <c r="D2141">
        <v>16</v>
      </c>
      <c r="E2141" t="s">
        <v>167</v>
      </c>
      <c r="F2141">
        <v>70</v>
      </c>
      <c r="H2141">
        <v>20</v>
      </c>
      <c r="I2141">
        <v>0.6</v>
      </c>
      <c r="J2141">
        <v>12</v>
      </c>
      <c r="K2141">
        <v>3.1</v>
      </c>
      <c r="L2141">
        <v>3.22</v>
      </c>
      <c r="M2141" t="s">
        <v>64</v>
      </c>
      <c r="N2141" t="s">
        <v>162</v>
      </c>
    </row>
    <row r="2142" spans="1:14" x14ac:dyDescent="0.3">
      <c r="A2142" t="s">
        <v>64</v>
      </c>
      <c r="B2142">
        <f>VLOOKUP(M2142,Sheet9!$I$1:$J$17,2,FALSE)</f>
        <v>5</v>
      </c>
      <c r="C2142">
        <f>VLOOKUP(N2142,Sheet9!$M$1:$N$2,2,FALSE)</f>
        <v>1</v>
      </c>
      <c r="D2142">
        <v>16</v>
      </c>
      <c r="E2142" t="s">
        <v>167</v>
      </c>
      <c r="F2142">
        <v>70</v>
      </c>
      <c r="H2142">
        <v>32</v>
      </c>
      <c r="I2142">
        <v>0.6</v>
      </c>
      <c r="J2142">
        <v>19.2</v>
      </c>
      <c r="K2142">
        <v>2.86</v>
      </c>
      <c r="L2142">
        <v>2.98</v>
      </c>
      <c r="M2142" t="s">
        <v>64</v>
      </c>
      <c r="N2142" t="s">
        <v>162</v>
      </c>
    </row>
    <row r="2143" spans="1:14" x14ac:dyDescent="0.3">
      <c r="A2143" t="s">
        <v>64</v>
      </c>
      <c r="B2143">
        <f>VLOOKUP(M2143,Sheet9!$I$1:$J$17,2,FALSE)</f>
        <v>5</v>
      </c>
      <c r="C2143">
        <f>VLOOKUP(N2143,Sheet9!$M$1:$N$2,2,FALSE)</f>
        <v>1</v>
      </c>
      <c r="D2143">
        <v>16</v>
      </c>
      <c r="E2143" t="s">
        <v>95</v>
      </c>
      <c r="F2143">
        <v>70</v>
      </c>
      <c r="H2143">
        <v>12</v>
      </c>
      <c r="I2143">
        <v>1.2</v>
      </c>
      <c r="J2143">
        <v>14.4</v>
      </c>
      <c r="K2143">
        <v>2.59</v>
      </c>
      <c r="L2143">
        <v>2.7</v>
      </c>
      <c r="M2143" t="s">
        <v>64</v>
      </c>
      <c r="N2143" t="s">
        <v>162</v>
      </c>
    </row>
    <row r="2144" spans="1:14" x14ac:dyDescent="0.3">
      <c r="A2144" t="s">
        <v>64</v>
      </c>
      <c r="B2144">
        <f>VLOOKUP(M2144,Sheet9!$I$1:$J$17,2,FALSE)</f>
        <v>5</v>
      </c>
      <c r="C2144">
        <f>VLOOKUP(N2144,Sheet9!$M$1:$N$2,2,FALSE)</f>
        <v>1</v>
      </c>
      <c r="D2144">
        <v>16</v>
      </c>
      <c r="E2144" t="s">
        <v>95</v>
      </c>
      <c r="F2144">
        <v>70</v>
      </c>
      <c r="H2144">
        <v>64</v>
      </c>
      <c r="I2144">
        <v>0.6</v>
      </c>
      <c r="J2144">
        <v>38.4</v>
      </c>
      <c r="K2144">
        <v>2.52</v>
      </c>
      <c r="L2144">
        <v>2.62</v>
      </c>
      <c r="M2144" t="s">
        <v>64</v>
      </c>
      <c r="N2144" t="s">
        <v>162</v>
      </c>
    </row>
    <row r="2145" spans="1:14" x14ac:dyDescent="0.3">
      <c r="A2145" t="s">
        <v>64</v>
      </c>
      <c r="B2145">
        <f>VLOOKUP(M2145,Sheet9!$I$1:$J$17,2,FALSE)</f>
        <v>5</v>
      </c>
      <c r="C2145">
        <f>VLOOKUP(N2145,Sheet9!$M$1:$N$2,2,FALSE)</f>
        <v>1</v>
      </c>
      <c r="D2145">
        <v>16</v>
      </c>
      <c r="E2145" t="s">
        <v>95</v>
      </c>
      <c r="F2145">
        <v>80</v>
      </c>
      <c r="H2145">
        <v>2</v>
      </c>
      <c r="I2145">
        <v>1</v>
      </c>
      <c r="J2145">
        <v>2</v>
      </c>
      <c r="K2145">
        <v>4.12</v>
      </c>
      <c r="L2145">
        <v>4.24</v>
      </c>
      <c r="M2145" t="s">
        <v>64</v>
      </c>
      <c r="N2145" t="s">
        <v>162</v>
      </c>
    </row>
    <row r="2146" spans="1:14" x14ac:dyDescent="0.3">
      <c r="A2146" t="s">
        <v>64</v>
      </c>
      <c r="B2146">
        <f>VLOOKUP(M2146,Sheet9!$I$1:$J$17,2,FALSE)</f>
        <v>5</v>
      </c>
      <c r="C2146">
        <f>VLOOKUP(N2146,Sheet9!$M$1:$N$2,2,FALSE)</f>
        <v>1</v>
      </c>
      <c r="D2146">
        <v>16</v>
      </c>
      <c r="E2146" t="s">
        <v>95</v>
      </c>
      <c r="F2146">
        <v>80</v>
      </c>
      <c r="H2146">
        <v>6</v>
      </c>
      <c r="I2146">
        <v>0.6</v>
      </c>
      <c r="J2146">
        <v>3.6</v>
      </c>
      <c r="K2146">
        <v>6.66</v>
      </c>
      <c r="L2146">
        <v>6.87</v>
      </c>
      <c r="M2146" t="s">
        <v>64</v>
      </c>
      <c r="N2146" t="s">
        <v>162</v>
      </c>
    </row>
    <row r="2147" spans="1:14" x14ac:dyDescent="0.3">
      <c r="A2147" t="s">
        <v>64</v>
      </c>
      <c r="B2147">
        <f>VLOOKUP(M2147,Sheet9!$I$1:$J$17,2,FALSE)</f>
        <v>5</v>
      </c>
      <c r="C2147">
        <f>VLOOKUP(N2147,Sheet9!$M$1:$N$2,2,FALSE)</f>
        <v>1</v>
      </c>
      <c r="D2147">
        <v>16</v>
      </c>
      <c r="E2147" t="s">
        <v>167</v>
      </c>
      <c r="F2147">
        <v>80</v>
      </c>
      <c r="H2147">
        <v>8</v>
      </c>
      <c r="I2147">
        <v>0.6</v>
      </c>
      <c r="J2147">
        <v>4.8</v>
      </c>
      <c r="K2147">
        <v>7.03</v>
      </c>
      <c r="L2147">
        <v>7.21</v>
      </c>
      <c r="M2147" t="s">
        <v>64</v>
      </c>
      <c r="N2147" t="s">
        <v>162</v>
      </c>
    </row>
    <row r="2148" spans="1:14" x14ac:dyDescent="0.3">
      <c r="A2148" t="s">
        <v>64</v>
      </c>
      <c r="B2148">
        <f>VLOOKUP(M2148,Sheet9!$I$1:$J$17,2,FALSE)</f>
        <v>5</v>
      </c>
      <c r="C2148">
        <f>VLOOKUP(N2148,Sheet9!$M$1:$N$2,2,FALSE)</f>
        <v>1</v>
      </c>
      <c r="D2148">
        <v>16</v>
      </c>
      <c r="E2148" t="s">
        <v>95</v>
      </c>
      <c r="F2148">
        <v>80</v>
      </c>
      <c r="H2148">
        <v>1</v>
      </c>
      <c r="I2148">
        <v>5</v>
      </c>
      <c r="J2148">
        <v>5</v>
      </c>
      <c r="K2148">
        <v>3.69</v>
      </c>
      <c r="L2148">
        <v>3.8</v>
      </c>
      <c r="M2148" t="s">
        <v>64</v>
      </c>
      <c r="N2148" t="s">
        <v>162</v>
      </c>
    </row>
    <row r="2149" spans="1:14" x14ac:dyDescent="0.3">
      <c r="A2149" t="s">
        <v>64</v>
      </c>
      <c r="B2149">
        <f>VLOOKUP(M2149,Sheet9!$I$1:$J$17,2,FALSE)</f>
        <v>5</v>
      </c>
      <c r="C2149">
        <f>VLOOKUP(N2149,Sheet9!$M$1:$N$2,2,FALSE)</f>
        <v>1</v>
      </c>
      <c r="D2149">
        <v>16</v>
      </c>
      <c r="E2149" t="s">
        <v>167</v>
      </c>
      <c r="F2149">
        <v>80</v>
      </c>
      <c r="H2149">
        <v>10</v>
      </c>
      <c r="I2149">
        <v>0.6</v>
      </c>
      <c r="J2149">
        <v>6</v>
      </c>
      <c r="K2149">
        <v>4.87</v>
      </c>
      <c r="L2149">
        <v>5</v>
      </c>
      <c r="M2149" t="s">
        <v>64</v>
      </c>
      <c r="N2149" t="s">
        <v>162</v>
      </c>
    </row>
    <row r="2150" spans="1:14" x14ac:dyDescent="0.3">
      <c r="A2150" t="s">
        <v>64</v>
      </c>
      <c r="B2150">
        <f>VLOOKUP(M2150,Sheet9!$I$1:$J$17,2,FALSE)</f>
        <v>5</v>
      </c>
      <c r="C2150">
        <f>VLOOKUP(N2150,Sheet9!$M$1:$N$2,2,FALSE)</f>
        <v>1</v>
      </c>
      <c r="D2150">
        <v>16</v>
      </c>
      <c r="E2150" t="s">
        <v>95</v>
      </c>
      <c r="F2150">
        <v>80</v>
      </c>
      <c r="H2150">
        <v>1</v>
      </c>
      <c r="I2150">
        <v>10</v>
      </c>
      <c r="J2150">
        <v>10</v>
      </c>
      <c r="K2150">
        <v>3.69</v>
      </c>
      <c r="L2150">
        <v>3.8</v>
      </c>
      <c r="M2150" t="s">
        <v>64</v>
      </c>
      <c r="N2150" t="s">
        <v>162</v>
      </c>
    </row>
    <row r="2151" spans="1:14" x14ac:dyDescent="0.3">
      <c r="A2151" t="s">
        <v>64</v>
      </c>
      <c r="B2151">
        <f>VLOOKUP(M2151,Sheet9!$I$1:$J$17,2,FALSE)</f>
        <v>5</v>
      </c>
      <c r="C2151">
        <f>VLOOKUP(N2151,Sheet9!$M$1:$N$2,2,FALSE)</f>
        <v>1</v>
      </c>
      <c r="D2151">
        <v>16</v>
      </c>
      <c r="E2151" t="s">
        <v>95</v>
      </c>
      <c r="F2151">
        <v>80</v>
      </c>
      <c r="H2151">
        <v>12</v>
      </c>
      <c r="I2151">
        <v>1.2</v>
      </c>
      <c r="J2151">
        <v>14.4</v>
      </c>
      <c r="K2151">
        <v>4.74</v>
      </c>
      <c r="L2151">
        <v>4.88</v>
      </c>
      <c r="M2151" t="s">
        <v>64</v>
      </c>
      <c r="N2151" t="s">
        <v>162</v>
      </c>
    </row>
    <row r="2152" spans="1:14" x14ac:dyDescent="0.3">
      <c r="A2152" t="s">
        <v>64</v>
      </c>
      <c r="B2152">
        <f>VLOOKUP(M2152,Sheet9!$I$1:$J$17,2,FALSE)</f>
        <v>5</v>
      </c>
      <c r="C2152">
        <f>VLOOKUP(N2152,Sheet9!$M$1:$N$2,2,FALSE)</f>
        <v>1</v>
      </c>
      <c r="D2152">
        <v>16</v>
      </c>
      <c r="E2152" t="s">
        <v>167</v>
      </c>
      <c r="F2152">
        <v>80</v>
      </c>
      <c r="H2152">
        <v>20</v>
      </c>
      <c r="I2152">
        <v>0.6</v>
      </c>
      <c r="J2152">
        <v>12</v>
      </c>
      <c r="K2152">
        <v>4.97</v>
      </c>
      <c r="L2152">
        <v>5.0999999999999996</v>
      </c>
      <c r="M2152" t="s">
        <v>64</v>
      </c>
      <c r="N2152" t="s">
        <v>162</v>
      </c>
    </row>
    <row r="2153" spans="1:14" x14ac:dyDescent="0.3">
      <c r="A2153" t="s">
        <v>64</v>
      </c>
      <c r="B2153">
        <f>VLOOKUP(M2153,Sheet9!$I$1:$J$17,2,FALSE)</f>
        <v>5</v>
      </c>
      <c r="C2153">
        <f>VLOOKUP(N2153,Sheet9!$M$1:$N$2,2,FALSE)</f>
        <v>1</v>
      </c>
      <c r="D2153">
        <v>16</v>
      </c>
      <c r="E2153" t="s">
        <v>167</v>
      </c>
      <c r="F2153">
        <v>80</v>
      </c>
      <c r="H2153">
        <v>32</v>
      </c>
      <c r="I2153">
        <v>0.6</v>
      </c>
      <c r="J2153">
        <v>19.2</v>
      </c>
      <c r="K2153">
        <v>4.58</v>
      </c>
      <c r="L2153">
        <v>4.71</v>
      </c>
      <c r="M2153" t="s">
        <v>64</v>
      </c>
      <c r="N2153" t="s">
        <v>162</v>
      </c>
    </row>
    <row r="2154" spans="1:14" x14ac:dyDescent="0.3">
      <c r="A2154" t="s">
        <v>64</v>
      </c>
      <c r="B2154">
        <f>VLOOKUP(M2154,Sheet9!$I$1:$J$17,2,FALSE)</f>
        <v>5</v>
      </c>
      <c r="C2154">
        <f>VLOOKUP(N2154,Sheet9!$M$1:$N$2,2,FALSE)</f>
        <v>1</v>
      </c>
      <c r="D2154">
        <v>16</v>
      </c>
      <c r="E2154" t="s">
        <v>95</v>
      </c>
      <c r="F2154">
        <v>80</v>
      </c>
      <c r="H2154">
        <v>12</v>
      </c>
      <c r="I2154">
        <v>1.2</v>
      </c>
      <c r="J2154">
        <v>14.4</v>
      </c>
      <c r="K2154">
        <v>4.13</v>
      </c>
      <c r="L2154">
        <v>4.26</v>
      </c>
      <c r="M2154" t="s">
        <v>64</v>
      </c>
      <c r="N2154" t="s">
        <v>162</v>
      </c>
    </row>
    <row r="2155" spans="1:14" x14ac:dyDescent="0.3">
      <c r="A2155" t="s">
        <v>64</v>
      </c>
      <c r="B2155">
        <f>VLOOKUP(M2155,Sheet9!$I$1:$J$17,2,FALSE)</f>
        <v>5</v>
      </c>
      <c r="C2155">
        <f>VLOOKUP(N2155,Sheet9!$M$1:$N$2,2,FALSE)</f>
        <v>1</v>
      </c>
      <c r="D2155">
        <v>16</v>
      </c>
      <c r="E2155" t="s">
        <v>95</v>
      </c>
      <c r="F2155">
        <v>80</v>
      </c>
      <c r="H2155">
        <v>64</v>
      </c>
      <c r="I2155">
        <v>0.6</v>
      </c>
      <c r="J2155">
        <v>38.4</v>
      </c>
      <c r="K2155">
        <v>4.04</v>
      </c>
      <c r="L2155">
        <v>4.1500000000000004</v>
      </c>
      <c r="M2155" t="s">
        <v>64</v>
      </c>
      <c r="N2155" t="s">
        <v>162</v>
      </c>
    </row>
    <row r="2156" spans="1:14" x14ac:dyDescent="0.3">
      <c r="A2156" t="s">
        <v>64</v>
      </c>
      <c r="B2156">
        <f>VLOOKUP(M2156,Sheet9!$I$1:$J$17,2,FALSE)</f>
        <v>5</v>
      </c>
      <c r="C2156">
        <f>VLOOKUP(N2156,Sheet9!$M$1:$N$2,2,FALSE)</f>
        <v>1</v>
      </c>
      <c r="D2156">
        <v>16</v>
      </c>
      <c r="E2156" t="s">
        <v>95</v>
      </c>
      <c r="F2156">
        <v>90</v>
      </c>
      <c r="H2156">
        <v>2</v>
      </c>
      <c r="I2156">
        <v>1</v>
      </c>
      <c r="J2156">
        <v>2</v>
      </c>
      <c r="K2156">
        <v>6.06</v>
      </c>
      <c r="L2156">
        <v>6.2</v>
      </c>
      <c r="M2156" t="s">
        <v>64</v>
      </c>
      <c r="N2156" t="s">
        <v>162</v>
      </c>
    </row>
    <row r="2157" spans="1:14" x14ac:dyDescent="0.3">
      <c r="A2157" t="s">
        <v>64</v>
      </c>
      <c r="B2157">
        <f>VLOOKUP(M2157,Sheet9!$I$1:$J$17,2,FALSE)</f>
        <v>5</v>
      </c>
      <c r="C2157">
        <f>VLOOKUP(N2157,Sheet9!$M$1:$N$2,2,FALSE)</f>
        <v>1</v>
      </c>
      <c r="D2157">
        <v>16</v>
      </c>
      <c r="E2157" t="s">
        <v>95</v>
      </c>
      <c r="F2157">
        <v>90</v>
      </c>
      <c r="H2157">
        <v>6</v>
      </c>
      <c r="I2157">
        <v>0.6</v>
      </c>
      <c r="J2157">
        <v>3.6</v>
      </c>
      <c r="K2157">
        <v>9.81</v>
      </c>
      <c r="L2157">
        <v>10</v>
      </c>
      <c r="M2157" t="s">
        <v>64</v>
      </c>
      <c r="N2157" t="s">
        <v>162</v>
      </c>
    </row>
    <row r="2158" spans="1:14" x14ac:dyDescent="0.3">
      <c r="A2158" t="s">
        <v>64</v>
      </c>
      <c r="B2158">
        <f>VLOOKUP(M2158,Sheet9!$I$1:$J$17,2,FALSE)</f>
        <v>5</v>
      </c>
      <c r="C2158">
        <f>VLOOKUP(N2158,Sheet9!$M$1:$N$2,2,FALSE)</f>
        <v>1</v>
      </c>
      <c r="D2158">
        <v>16</v>
      </c>
      <c r="E2158" t="s">
        <v>167</v>
      </c>
      <c r="F2158">
        <v>90</v>
      </c>
      <c r="H2158">
        <v>8</v>
      </c>
      <c r="I2158">
        <v>0.6</v>
      </c>
      <c r="J2158">
        <v>4.8</v>
      </c>
      <c r="K2158">
        <v>10.4</v>
      </c>
      <c r="L2158">
        <v>10.6</v>
      </c>
      <c r="M2158" t="s">
        <v>64</v>
      </c>
      <c r="N2158" t="s">
        <v>162</v>
      </c>
    </row>
    <row r="2159" spans="1:14" x14ac:dyDescent="0.3">
      <c r="A2159" t="s">
        <v>64</v>
      </c>
      <c r="B2159">
        <f>VLOOKUP(M2159,Sheet9!$I$1:$J$17,2,FALSE)</f>
        <v>5</v>
      </c>
      <c r="C2159">
        <f>VLOOKUP(N2159,Sheet9!$M$1:$N$2,2,FALSE)</f>
        <v>1</v>
      </c>
      <c r="D2159">
        <v>16</v>
      </c>
      <c r="E2159" t="s">
        <v>95</v>
      </c>
      <c r="F2159">
        <v>90</v>
      </c>
      <c r="H2159">
        <v>1</v>
      </c>
      <c r="I2159">
        <v>5</v>
      </c>
      <c r="J2159">
        <v>5</v>
      </c>
      <c r="K2159">
        <v>5.44</v>
      </c>
      <c r="L2159">
        <v>5.56</v>
      </c>
      <c r="M2159" t="s">
        <v>64</v>
      </c>
      <c r="N2159" t="s">
        <v>162</v>
      </c>
    </row>
    <row r="2160" spans="1:14" x14ac:dyDescent="0.3">
      <c r="A2160" t="s">
        <v>64</v>
      </c>
      <c r="B2160">
        <f>VLOOKUP(M2160,Sheet9!$I$1:$J$17,2,FALSE)</f>
        <v>5</v>
      </c>
      <c r="C2160">
        <f>VLOOKUP(N2160,Sheet9!$M$1:$N$2,2,FALSE)</f>
        <v>1</v>
      </c>
      <c r="D2160">
        <v>16</v>
      </c>
      <c r="E2160" t="s">
        <v>167</v>
      </c>
      <c r="F2160">
        <v>90</v>
      </c>
      <c r="H2160">
        <v>10</v>
      </c>
      <c r="I2160">
        <v>0.6</v>
      </c>
      <c r="J2160">
        <v>6</v>
      </c>
      <c r="K2160">
        <v>7.19</v>
      </c>
      <c r="L2160">
        <v>7.32</v>
      </c>
      <c r="M2160" t="s">
        <v>64</v>
      </c>
      <c r="N2160" t="s">
        <v>162</v>
      </c>
    </row>
    <row r="2161" spans="1:14" x14ac:dyDescent="0.3">
      <c r="A2161" t="s">
        <v>64</v>
      </c>
      <c r="B2161">
        <f>VLOOKUP(M2161,Sheet9!$I$1:$J$17,2,FALSE)</f>
        <v>5</v>
      </c>
      <c r="C2161">
        <f>VLOOKUP(N2161,Sheet9!$M$1:$N$2,2,FALSE)</f>
        <v>1</v>
      </c>
      <c r="D2161">
        <v>16</v>
      </c>
      <c r="E2161" t="s">
        <v>95</v>
      </c>
      <c r="F2161">
        <v>90</v>
      </c>
      <c r="H2161">
        <v>1</v>
      </c>
      <c r="I2161">
        <v>10</v>
      </c>
      <c r="J2161">
        <v>10</v>
      </c>
      <c r="K2161">
        <v>5.44</v>
      </c>
      <c r="L2161">
        <v>5.56</v>
      </c>
      <c r="M2161" t="s">
        <v>64</v>
      </c>
      <c r="N2161" t="s">
        <v>162</v>
      </c>
    </row>
    <row r="2162" spans="1:14" x14ac:dyDescent="0.3">
      <c r="A2162" t="s">
        <v>64</v>
      </c>
      <c r="B2162">
        <f>VLOOKUP(M2162,Sheet9!$I$1:$J$17,2,FALSE)</f>
        <v>5</v>
      </c>
      <c r="C2162">
        <f>VLOOKUP(N2162,Sheet9!$M$1:$N$2,2,FALSE)</f>
        <v>1</v>
      </c>
      <c r="D2162">
        <v>16</v>
      </c>
      <c r="E2162" t="s">
        <v>95</v>
      </c>
      <c r="F2162">
        <v>90</v>
      </c>
      <c r="H2162">
        <v>12</v>
      </c>
      <c r="I2162">
        <v>1.2</v>
      </c>
      <c r="J2162">
        <v>14.4</v>
      </c>
      <c r="K2162">
        <v>6.97</v>
      </c>
      <c r="L2162">
        <v>7.13</v>
      </c>
      <c r="M2162" t="s">
        <v>64</v>
      </c>
      <c r="N2162" t="s">
        <v>162</v>
      </c>
    </row>
    <row r="2163" spans="1:14" x14ac:dyDescent="0.3">
      <c r="A2163" t="s">
        <v>64</v>
      </c>
      <c r="B2163">
        <f>VLOOKUP(M2163,Sheet9!$I$1:$J$17,2,FALSE)</f>
        <v>5</v>
      </c>
      <c r="C2163">
        <f>VLOOKUP(N2163,Sheet9!$M$1:$N$2,2,FALSE)</f>
        <v>1</v>
      </c>
      <c r="D2163">
        <v>16</v>
      </c>
      <c r="E2163" t="s">
        <v>167</v>
      </c>
      <c r="F2163">
        <v>90</v>
      </c>
      <c r="H2163">
        <v>20</v>
      </c>
      <c r="I2163">
        <v>0.6</v>
      </c>
      <c r="J2163">
        <v>12</v>
      </c>
      <c r="K2163">
        <v>7.33</v>
      </c>
      <c r="L2163">
        <v>7.46</v>
      </c>
      <c r="M2163" t="s">
        <v>64</v>
      </c>
      <c r="N2163" t="s">
        <v>162</v>
      </c>
    </row>
    <row r="2164" spans="1:14" x14ac:dyDescent="0.3">
      <c r="A2164" t="s">
        <v>64</v>
      </c>
      <c r="B2164">
        <f>VLOOKUP(M2164,Sheet9!$I$1:$J$17,2,FALSE)</f>
        <v>5</v>
      </c>
      <c r="C2164">
        <f>VLOOKUP(N2164,Sheet9!$M$1:$N$2,2,FALSE)</f>
        <v>1</v>
      </c>
      <c r="D2164">
        <v>16</v>
      </c>
      <c r="E2164" t="s">
        <v>167</v>
      </c>
      <c r="F2164">
        <v>90</v>
      </c>
      <c r="H2164">
        <v>32</v>
      </c>
      <c r="I2164">
        <v>0.6</v>
      </c>
      <c r="J2164">
        <v>19.2</v>
      </c>
      <c r="K2164">
        <v>6.75</v>
      </c>
      <c r="L2164">
        <v>6.89</v>
      </c>
      <c r="M2164" t="s">
        <v>64</v>
      </c>
      <c r="N2164" t="s">
        <v>162</v>
      </c>
    </row>
    <row r="2165" spans="1:14" x14ac:dyDescent="0.3">
      <c r="A2165" t="s">
        <v>64</v>
      </c>
      <c r="B2165">
        <f>VLOOKUP(M2165,Sheet9!$I$1:$J$17,2,FALSE)</f>
        <v>5</v>
      </c>
      <c r="C2165">
        <f>VLOOKUP(N2165,Sheet9!$M$1:$N$2,2,FALSE)</f>
        <v>1</v>
      </c>
      <c r="D2165">
        <v>16</v>
      </c>
      <c r="E2165" t="s">
        <v>95</v>
      </c>
      <c r="F2165">
        <v>90</v>
      </c>
      <c r="H2165">
        <v>12</v>
      </c>
      <c r="I2165">
        <v>1.2</v>
      </c>
      <c r="J2165">
        <v>14.4</v>
      </c>
      <c r="K2165">
        <v>6.09</v>
      </c>
      <c r="L2165">
        <v>6.22</v>
      </c>
      <c r="M2165" t="s">
        <v>64</v>
      </c>
      <c r="N2165" t="s">
        <v>162</v>
      </c>
    </row>
    <row r="2166" spans="1:14" x14ac:dyDescent="0.3">
      <c r="A2166" t="s">
        <v>64</v>
      </c>
      <c r="B2166">
        <f>VLOOKUP(M2166,Sheet9!$I$1:$J$17,2,FALSE)</f>
        <v>5</v>
      </c>
      <c r="C2166">
        <f>VLOOKUP(N2166,Sheet9!$M$1:$N$2,2,FALSE)</f>
        <v>1</v>
      </c>
      <c r="D2166">
        <v>16</v>
      </c>
      <c r="E2166" t="s">
        <v>95</v>
      </c>
      <c r="F2166">
        <v>90</v>
      </c>
      <c r="H2166">
        <v>64</v>
      </c>
      <c r="I2166">
        <v>0.6</v>
      </c>
      <c r="J2166">
        <v>38.4</v>
      </c>
      <c r="K2166">
        <v>5.97</v>
      </c>
      <c r="L2166">
        <v>6.07</v>
      </c>
      <c r="M2166" t="s">
        <v>64</v>
      </c>
      <c r="N2166" t="s">
        <v>162</v>
      </c>
    </row>
    <row r="2167" spans="1:14" x14ac:dyDescent="0.3">
      <c r="A2167" t="s">
        <v>64</v>
      </c>
      <c r="B2167">
        <f>VLOOKUP(M2167,Sheet9!$I$1:$J$17,2,FALSE)</f>
        <v>5</v>
      </c>
      <c r="C2167">
        <f>VLOOKUP(N2167,Sheet9!$M$1:$N$2,2,FALSE)</f>
        <v>1</v>
      </c>
      <c r="D2167">
        <v>16</v>
      </c>
      <c r="E2167" t="s">
        <v>95</v>
      </c>
      <c r="F2167">
        <v>100</v>
      </c>
      <c r="H2167">
        <v>2</v>
      </c>
      <c r="I2167">
        <v>1</v>
      </c>
      <c r="J2167">
        <v>2</v>
      </c>
      <c r="K2167">
        <v>8.35</v>
      </c>
      <c r="L2167">
        <v>8.49</v>
      </c>
      <c r="M2167" t="s">
        <v>64</v>
      </c>
      <c r="N2167" t="s">
        <v>162</v>
      </c>
    </row>
    <row r="2168" spans="1:14" x14ac:dyDescent="0.3">
      <c r="A2168" t="s">
        <v>64</v>
      </c>
      <c r="B2168">
        <f>VLOOKUP(M2168,Sheet9!$I$1:$J$17,2,FALSE)</f>
        <v>5</v>
      </c>
      <c r="C2168">
        <f>VLOOKUP(N2168,Sheet9!$M$1:$N$2,2,FALSE)</f>
        <v>1</v>
      </c>
      <c r="D2168">
        <v>16</v>
      </c>
      <c r="E2168" t="s">
        <v>95</v>
      </c>
      <c r="F2168">
        <v>100</v>
      </c>
      <c r="H2168">
        <v>6</v>
      </c>
      <c r="I2168">
        <v>0.6</v>
      </c>
      <c r="J2168">
        <v>3.6</v>
      </c>
      <c r="K2168">
        <v>13.5</v>
      </c>
      <c r="L2168">
        <v>13.8</v>
      </c>
      <c r="M2168" t="s">
        <v>64</v>
      </c>
      <c r="N2168" t="s">
        <v>162</v>
      </c>
    </row>
    <row r="2169" spans="1:14" x14ac:dyDescent="0.3">
      <c r="A2169" t="s">
        <v>64</v>
      </c>
      <c r="B2169">
        <f>VLOOKUP(M2169,Sheet9!$I$1:$J$17,2,FALSE)</f>
        <v>5</v>
      </c>
      <c r="C2169">
        <f>VLOOKUP(N2169,Sheet9!$M$1:$N$2,2,FALSE)</f>
        <v>1</v>
      </c>
      <c r="D2169">
        <v>16</v>
      </c>
      <c r="E2169" t="s">
        <v>167</v>
      </c>
      <c r="F2169">
        <v>100</v>
      </c>
      <c r="H2169">
        <v>8</v>
      </c>
      <c r="I2169">
        <v>0.6</v>
      </c>
      <c r="J2169">
        <v>4.8</v>
      </c>
      <c r="K2169">
        <v>14.3</v>
      </c>
      <c r="L2169">
        <v>14.5</v>
      </c>
      <c r="M2169" t="s">
        <v>64</v>
      </c>
      <c r="N2169" t="s">
        <v>162</v>
      </c>
    </row>
    <row r="2170" spans="1:14" x14ac:dyDescent="0.3">
      <c r="A2170" t="s">
        <v>64</v>
      </c>
      <c r="B2170">
        <f>VLOOKUP(M2170,Sheet9!$I$1:$J$17,2,FALSE)</f>
        <v>5</v>
      </c>
      <c r="C2170">
        <f>VLOOKUP(N2170,Sheet9!$M$1:$N$2,2,FALSE)</f>
        <v>1</v>
      </c>
      <c r="D2170">
        <v>16</v>
      </c>
      <c r="E2170" t="s">
        <v>95</v>
      </c>
      <c r="F2170">
        <v>100</v>
      </c>
      <c r="H2170">
        <v>1</v>
      </c>
      <c r="I2170">
        <v>5</v>
      </c>
      <c r="J2170">
        <v>5</v>
      </c>
      <c r="K2170">
        <v>7.49</v>
      </c>
      <c r="L2170">
        <v>7.62</v>
      </c>
      <c r="M2170" t="s">
        <v>64</v>
      </c>
      <c r="N2170" t="s">
        <v>162</v>
      </c>
    </row>
    <row r="2171" spans="1:14" x14ac:dyDescent="0.3">
      <c r="A2171" t="s">
        <v>64</v>
      </c>
      <c r="B2171">
        <f>VLOOKUP(M2171,Sheet9!$I$1:$J$17,2,FALSE)</f>
        <v>5</v>
      </c>
      <c r="C2171">
        <f>VLOOKUP(N2171,Sheet9!$M$1:$N$2,2,FALSE)</f>
        <v>1</v>
      </c>
      <c r="D2171">
        <v>16</v>
      </c>
      <c r="E2171" t="s">
        <v>167</v>
      </c>
      <c r="F2171">
        <v>100</v>
      </c>
      <c r="H2171">
        <v>10</v>
      </c>
      <c r="I2171">
        <v>0.6</v>
      </c>
      <c r="J2171">
        <v>6</v>
      </c>
      <c r="K2171">
        <v>9.91</v>
      </c>
      <c r="L2171">
        <v>10</v>
      </c>
      <c r="M2171" t="s">
        <v>64</v>
      </c>
      <c r="N2171" t="s">
        <v>162</v>
      </c>
    </row>
    <row r="2172" spans="1:14" x14ac:dyDescent="0.3">
      <c r="A2172" t="s">
        <v>64</v>
      </c>
      <c r="B2172">
        <f>VLOOKUP(M2172,Sheet9!$I$1:$J$17,2,FALSE)</f>
        <v>5</v>
      </c>
      <c r="C2172">
        <f>VLOOKUP(N2172,Sheet9!$M$1:$N$2,2,FALSE)</f>
        <v>1</v>
      </c>
      <c r="D2172">
        <v>16</v>
      </c>
      <c r="E2172" t="s">
        <v>95</v>
      </c>
      <c r="F2172">
        <v>100</v>
      </c>
      <c r="H2172">
        <v>1</v>
      </c>
      <c r="I2172">
        <v>10</v>
      </c>
      <c r="J2172">
        <v>10</v>
      </c>
      <c r="K2172">
        <v>7.49</v>
      </c>
      <c r="L2172">
        <v>7.62</v>
      </c>
      <c r="M2172" t="s">
        <v>64</v>
      </c>
      <c r="N2172" t="s">
        <v>162</v>
      </c>
    </row>
    <row r="2173" spans="1:14" x14ac:dyDescent="0.3">
      <c r="A2173" t="s">
        <v>64</v>
      </c>
      <c r="B2173">
        <f>VLOOKUP(M2173,Sheet9!$I$1:$J$17,2,FALSE)</f>
        <v>5</v>
      </c>
      <c r="C2173">
        <f>VLOOKUP(N2173,Sheet9!$M$1:$N$2,2,FALSE)</f>
        <v>1</v>
      </c>
      <c r="D2173">
        <v>16</v>
      </c>
      <c r="E2173" t="s">
        <v>95</v>
      </c>
      <c r="F2173">
        <v>100</v>
      </c>
      <c r="H2173">
        <v>12</v>
      </c>
      <c r="I2173">
        <v>1.2</v>
      </c>
      <c r="J2173">
        <v>14.4</v>
      </c>
      <c r="K2173">
        <v>9.6</v>
      </c>
      <c r="L2173">
        <v>9.77</v>
      </c>
      <c r="M2173" t="s">
        <v>64</v>
      </c>
      <c r="N2173" t="s">
        <v>162</v>
      </c>
    </row>
    <row r="2174" spans="1:14" x14ac:dyDescent="0.3">
      <c r="A2174" t="s">
        <v>64</v>
      </c>
      <c r="B2174">
        <f>VLOOKUP(M2174,Sheet9!$I$1:$J$17,2,FALSE)</f>
        <v>5</v>
      </c>
      <c r="C2174">
        <f>VLOOKUP(N2174,Sheet9!$M$1:$N$2,2,FALSE)</f>
        <v>1</v>
      </c>
      <c r="D2174">
        <v>16</v>
      </c>
      <c r="E2174" t="s">
        <v>167</v>
      </c>
      <c r="F2174">
        <v>100</v>
      </c>
      <c r="H2174">
        <v>20</v>
      </c>
      <c r="I2174">
        <v>0.6</v>
      </c>
      <c r="J2174">
        <v>12</v>
      </c>
      <c r="K2174">
        <v>10.1</v>
      </c>
      <c r="L2174">
        <v>10.199999999999999</v>
      </c>
      <c r="M2174" t="s">
        <v>64</v>
      </c>
      <c r="N2174" t="s">
        <v>162</v>
      </c>
    </row>
    <row r="2175" spans="1:14" x14ac:dyDescent="0.3">
      <c r="A2175" t="s">
        <v>64</v>
      </c>
      <c r="B2175">
        <f>VLOOKUP(M2175,Sheet9!$I$1:$J$17,2,FALSE)</f>
        <v>5</v>
      </c>
      <c r="C2175">
        <f>VLOOKUP(N2175,Sheet9!$M$1:$N$2,2,FALSE)</f>
        <v>1</v>
      </c>
      <c r="D2175">
        <v>16</v>
      </c>
      <c r="E2175" t="s">
        <v>167</v>
      </c>
      <c r="F2175">
        <v>100</v>
      </c>
      <c r="H2175">
        <v>32</v>
      </c>
      <c r="I2175">
        <v>0.6</v>
      </c>
      <c r="J2175">
        <v>19.2</v>
      </c>
      <c r="K2175">
        <v>9.3000000000000007</v>
      </c>
      <c r="L2175">
        <v>9.44</v>
      </c>
      <c r="M2175" t="s">
        <v>64</v>
      </c>
      <c r="N2175" t="s">
        <v>162</v>
      </c>
    </row>
    <row r="2176" spans="1:14" x14ac:dyDescent="0.3">
      <c r="A2176" t="s">
        <v>64</v>
      </c>
      <c r="B2176">
        <f>VLOOKUP(M2176,Sheet9!$I$1:$J$17,2,FALSE)</f>
        <v>5</v>
      </c>
      <c r="C2176">
        <f>VLOOKUP(N2176,Sheet9!$M$1:$N$2,2,FALSE)</f>
        <v>1</v>
      </c>
      <c r="D2176">
        <v>16</v>
      </c>
      <c r="E2176" t="s">
        <v>95</v>
      </c>
      <c r="F2176">
        <v>100</v>
      </c>
      <c r="H2176">
        <v>12</v>
      </c>
      <c r="I2176">
        <v>1.2</v>
      </c>
      <c r="J2176">
        <v>14.4</v>
      </c>
      <c r="K2176">
        <v>8.3800000000000008</v>
      </c>
      <c r="L2176">
        <v>8.5299999999999994</v>
      </c>
      <c r="M2176" t="s">
        <v>64</v>
      </c>
      <c r="N2176" t="s">
        <v>162</v>
      </c>
    </row>
    <row r="2177" spans="1:14" x14ac:dyDescent="0.3">
      <c r="A2177" t="s">
        <v>64</v>
      </c>
      <c r="B2177">
        <f>VLOOKUP(M2177,Sheet9!$I$1:$J$17,2,FALSE)</f>
        <v>5</v>
      </c>
      <c r="C2177">
        <f>VLOOKUP(N2177,Sheet9!$M$1:$N$2,2,FALSE)</f>
        <v>1</v>
      </c>
      <c r="D2177">
        <v>16</v>
      </c>
      <c r="E2177" t="s">
        <v>95</v>
      </c>
      <c r="F2177">
        <v>100</v>
      </c>
      <c r="H2177">
        <v>64</v>
      </c>
      <c r="I2177">
        <v>0.6</v>
      </c>
      <c r="J2177">
        <v>38.4</v>
      </c>
      <c r="K2177">
        <v>8.2200000000000006</v>
      </c>
      <c r="L2177">
        <v>8.32</v>
      </c>
      <c r="M2177" t="s">
        <v>64</v>
      </c>
      <c r="N2177" t="s">
        <v>162</v>
      </c>
    </row>
    <row r="2178" spans="1:14" x14ac:dyDescent="0.3">
      <c r="A2178" t="s">
        <v>64</v>
      </c>
      <c r="B2178">
        <f>VLOOKUP(M2178,Sheet9!$I$1:$J$17,2,FALSE)</f>
        <v>5</v>
      </c>
      <c r="C2178">
        <f>VLOOKUP(N2178,Sheet9!$M$1:$N$2,2,FALSE)</f>
        <v>1</v>
      </c>
      <c r="D2178">
        <v>16</v>
      </c>
      <c r="E2178" t="s">
        <v>95</v>
      </c>
      <c r="F2178">
        <v>110</v>
      </c>
      <c r="H2178">
        <v>2</v>
      </c>
      <c r="I2178">
        <v>1</v>
      </c>
      <c r="J2178">
        <v>2</v>
      </c>
      <c r="K2178">
        <v>11.2</v>
      </c>
      <c r="L2178">
        <v>11.4</v>
      </c>
      <c r="M2178" t="s">
        <v>64</v>
      </c>
      <c r="N2178" t="s">
        <v>162</v>
      </c>
    </row>
    <row r="2179" spans="1:14" x14ac:dyDescent="0.3">
      <c r="A2179" t="s">
        <v>64</v>
      </c>
      <c r="B2179">
        <f>VLOOKUP(M2179,Sheet9!$I$1:$J$17,2,FALSE)</f>
        <v>5</v>
      </c>
      <c r="C2179">
        <f>VLOOKUP(N2179,Sheet9!$M$1:$N$2,2,FALSE)</f>
        <v>1</v>
      </c>
      <c r="D2179">
        <v>16</v>
      </c>
      <c r="E2179" t="s">
        <v>95</v>
      </c>
      <c r="F2179">
        <v>110</v>
      </c>
      <c r="H2179">
        <v>6</v>
      </c>
      <c r="I2179">
        <v>0.6</v>
      </c>
      <c r="J2179">
        <v>3.6</v>
      </c>
      <c r="K2179">
        <v>18.100000000000001</v>
      </c>
      <c r="L2179">
        <v>18.399999999999999</v>
      </c>
      <c r="M2179" t="s">
        <v>64</v>
      </c>
      <c r="N2179" t="s">
        <v>162</v>
      </c>
    </row>
    <row r="2180" spans="1:14" x14ac:dyDescent="0.3">
      <c r="A2180" t="s">
        <v>64</v>
      </c>
      <c r="B2180">
        <f>VLOOKUP(M2180,Sheet9!$I$1:$J$17,2,FALSE)</f>
        <v>5</v>
      </c>
      <c r="C2180">
        <f>VLOOKUP(N2180,Sheet9!$M$1:$N$2,2,FALSE)</f>
        <v>1</v>
      </c>
      <c r="D2180">
        <v>16</v>
      </c>
      <c r="E2180" t="s">
        <v>167</v>
      </c>
      <c r="F2180">
        <v>110</v>
      </c>
      <c r="H2180">
        <v>8</v>
      </c>
      <c r="I2180">
        <v>0.6</v>
      </c>
      <c r="J2180">
        <v>4.8</v>
      </c>
      <c r="K2180">
        <v>19.2</v>
      </c>
      <c r="L2180">
        <v>19.399999999999999</v>
      </c>
      <c r="M2180" t="s">
        <v>64</v>
      </c>
      <c r="N2180" t="s">
        <v>162</v>
      </c>
    </row>
    <row r="2181" spans="1:14" x14ac:dyDescent="0.3">
      <c r="A2181" t="s">
        <v>64</v>
      </c>
      <c r="B2181">
        <f>VLOOKUP(M2181,Sheet9!$I$1:$J$17,2,FALSE)</f>
        <v>5</v>
      </c>
      <c r="C2181">
        <f>VLOOKUP(N2181,Sheet9!$M$1:$N$2,2,FALSE)</f>
        <v>1</v>
      </c>
      <c r="D2181">
        <v>16</v>
      </c>
      <c r="E2181" t="s">
        <v>95</v>
      </c>
      <c r="F2181">
        <v>110</v>
      </c>
      <c r="H2181">
        <v>1</v>
      </c>
      <c r="I2181">
        <v>5</v>
      </c>
      <c r="J2181">
        <v>5</v>
      </c>
      <c r="K2181">
        <v>10.1</v>
      </c>
      <c r="L2181">
        <v>10.199999999999999</v>
      </c>
      <c r="M2181" t="s">
        <v>64</v>
      </c>
      <c r="N2181" t="s">
        <v>162</v>
      </c>
    </row>
    <row r="2182" spans="1:14" x14ac:dyDescent="0.3">
      <c r="A2182" t="s">
        <v>64</v>
      </c>
      <c r="B2182">
        <f>VLOOKUP(M2182,Sheet9!$I$1:$J$17,2,FALSE)</f>
        <v>5</v>
      </c>
      <c r="C2182">
        <f>VLOOKUP(N2182,Sheet9!$M$1:$N$2,2,FALSE)</f>
        <v>1</v>
      </c>
      <c r="D2182">
        <v>16</v>
      </c>
      <c r="E2182" t="s">
        <v>167</v>
      </c>
      <c r="F2182">
        <v>110</v>
      </c>
      <c r="H2182">
        <v>10</v>
      </c>
      <c r="I2182">
        <v>0.6</v>
      </c>
      <c r="J2182">
        <v>6</v>
      </c>
      <c r="K2182">
        <v>13.3</v>
      </c>
      <c r="L2182">
        <v>13.4</v>
      </c>
      <c r="M2182" t="s">
        <v>64</v>
      </c>
      <c r="N2182" t="s">
        <v>162</v>
      </c>
    </row>
    <row r="2183" spans="1:14" x14ac:dyDescent="0.3">
      <c r="A2183" t="s">
        <v>64</v>
      </c>
      <c r="B2183">
        <f>VLOOKUP(M2183,Sheet9!$I$1:$J$17,2,FALSE)</f>
        <v>5</v>
      </c>
      <c r="C2183">
        <f>VLOOKUP(N2183,Sheet9!$M$1:$N$2,2,FALSE)</f>
        <v>1</v>
      </c>
      <c r="D2183">
        <v>16</v>
      </c>
      <c r="E2183" t="s">
        <v>95</v>
      </c>
      <c r="F2183">
        <v>110</v>
      </c>
      <c r="H2183">
        <v>1</v>
      </c>
      <c r="I2183">
        <v>10</v>
      </c>
      <c r="J2183">
        <v>10</v>
      </c>
      <c r="K2183">
        <v>10.1</v>
      </c>
      <c r="L2183">
        <v>10.199999999999999</v>
      </c>
      <c r="M2183" t="s">
        <v>64</v>
      </c>
      <c r="N2183" t="s">
        <v>162</v>
      </c>
    </row>
    <row r="2184" spans="1:14" x14ac:dyDescent="0.3">
      <c r="A2184" t="s">
        <v>64</v>
      </c>
      <c r="B2184">
        <f>VLOOKUP(M2184,Sheet9!$I$1:$J$17,2,FALSE)</f>
        <v>5</v>
      </c>
      <c r="C2184">
        <f>VLOOKUP(N2184,Sheet9!$M$1:$N$2,2,FALSE)</f>
        <v>1</v>
      </c>
      <c r="D2184">
        <v>16</v>
      </c>
      <c r="E2184" t="s">
        <v>95</v>
      </c>
      <c r="F2184">
        <v>110</v>
      </c>
      <c r="H2184">
        <v>12</v>
      </c>
      <c r="I2184">
        <v>1.2</v>
      </c>
      <c r="J2184">
        <v>14.4</v>
      </c>
      <c r="K2184">
        <v>12.9</v>
      </c>
      <c r="L2184">
        <v>13.1</v>
      </c>
      <c r="M2184" t="s">
        <v>64</v>
      </c>
      <c r="N2184" t="s">
        <v>162</v>
      </c>
    </row>
    <row r="2185" spans="1:14" x14ac:dyDescent="0.3">
      <c r="A2185" t="s">
        <v>64</v>
      </c>
      <c r="B2185">
        <f>VLOOKUP(M2185,Sheet9!$I$1:$J$17,2,FALSE)</f>
        <v>5</v>
      </c>
      <c r="C2185">
        <f>VLOOKUP(N2185,Sheet9!$M$1:$N$2,2,FALSE)</f>
        <v>1</v>
      </c>
      <c r="D2185">
        <v>16</v>
      </c>
      <c r="E2185" t="s">
        <v>167</v>
      </c>
      <c r="F2185">
        <v>110</v>
      </c>
      <c r="H2185">
        <v>20</v>
      </c>
      <c r="I2185">
        <v>0.6</v>
      </c>
      <c r="J2185">
        <v>12</v>
      </c>
      <c r="K2185">
        <v>13.5</v>
      </c>
      <c r="L2185">
        <v>13.7</v>
      </c>
      <c r="M2185" t="s">
        <v>64</v>
      </c>
      <c r="N2185" t="s">
        <v>162</v>
      </c>
    </row>
    <row r="2186" spans="1:14" x14ac:dyDescent="0.3">
      <c r="A2186" t="s">
        <v>64</v>
      </c>
      <c r="B2186">
        <f>VLOOKUP(M2186,Sheet9!$I$1:$J$17,2,FALSE)</f>
        <v>5</v>
      </c>
      <c r="C2186">
        <f>VLOOKUP(N2186,Sheet9!$M$1:$N$2,2,FALSE)</f>
        <v>1</v>
      </c>
      <c r="D2186">
        <v>16</v>
      </c>
      <c r="E2186" t="s">
        <v>167</v>
      </c>
      <c r="F2186">
        <v>110</v>
      </c>
      <c r="H2186">
        <v>32</v>
      </c>
      <c r="I2186">
        <v>0.6</v>
      </c>
      <c r="J2186">
        <v>19.2</v>
      </c>
      <c r="K2186">
        <v>12.5</v>
      </c>
      <c r="L2186">
        <v>12.6</v>
      </c>
      <c r="M2186" t="s">
        <v>64</v>
      </c>
      <c r="N2186" t="s">
        <v>162</v>
      </c>
    </row>
    <row r="2187" spans="1:14" x14ac:dyDescent="0.3">
      <c r="A2187" t="s">
        <v>64</v>
      </c>
      <c r="B2187">
        <f>VLOOKUP(M2187,Sheet9!$I$1:$J$17,2,FALSE)</f>
        <v>5</v>
      </c>
      <c r="C2187">
        <f>VLOOKUP(N2187,Sheet9!$M$1:$N$2,2,FALSE)</f>
        <v>1</v>
      </c>
      <c r="D2187">
        <v>16</v>
      </c>
      <c r="E2187" t="s">
        <v>95</v>
      </c>
      <c r="F2187">
        <v>110</v>
      </c>
      <c r="H2187">
        <v>12</v>
      </c>
      <c r="I2187">
        <v>1.2</v>
      </c>
      <c r="J2187">
        <v>14.4</v>
      </c>
      <c r="K2187">
        <v>11.3</v>
      </c>
      <c r="L2187">
        <v>11.4</v>
      </c>
      <c r="M2187" t="s">
        <v>64</v>
      </c>
      <c r="N2187" t="s">
        <v>162</v>
      </c>
    </row>
    <row r="2188" spans="1:14" x14ac:dyDescent="0.3">
      <c r="A2188" t="s">
        <v>64</v>
      </c>
      <c r="B2188">
        <f>VLOOKUP(M2188,Sheet9!$I$1:$J$17,2,FALSE)</f>
        <v>5</v>
      </c>
      <c r="C2188">
        <f>VLOOKUP(N2188,Sheet9!$M$1:$N$2,2,FALSE)</f>
        <v>1</v>
      </c>
      <c r="D2188">
        <v>16</v>
      </c>
      <c r="E2188" t="s">
        <v>95</v>
      </c>
      <c r="F2188">
        <v>110</v>
      </c>
      <c r="H2188">
        <v>64</v>
      </c>
      <c r="I2188">
        <v>0.6</v>
      </c>
      <c r="J2188">
        <v>38.4</v>
      </c>
      <c r="K2188">
        <v>11</v>
      </c>
      <c r="L2188">
        <v>11.1</v>
      </c>
      <c r="M2188" t="s">
        <v>64</v>
      </c>
      <c r="N2188" t="s">
        <v>162</v>
      </c>
    </row>
    <row r="2189" spans="1:14" x14ac:dyDescent="0.3">
      <c r="A2189" t="s">
        <v>64</v>
      </c>
      <c r="B2189">
        <f>VLOOKUP(M2189,Sheet9!$I$1:$J$17,2,FALSE)</f>
        <v>5</v>
      </c>
      <c r="C2189">
        <f>VLOOKUP(N2189,Sheet9!$M$1:$N$2,2,FALSE)</f>
        <v>1</v>
      </c>
      <c r="D2189">
        <v>16</v>
      </c>
      <c r="E2189" t="s">
        <v>95</v>
      </c>
      <c r="F2189">
        <v>120</v>
      </c>
      <c r="H2189">
        <v>2</v>
      </c>
      <c r="I2189">
        <v>1</v>
      </c>
      <c r="J2189">
        <v>2</v>
      </c>
      <c r="K2189">
        <v>14</v>
      </c>
      <c r="L2189">
        <v>14.2</v>
      </c>
      <c r="M2189" t="s">
        <v>64</v>
      </c>
      <c r="N2189" t="s">
        <v>162</v>
      </c>
    </row>
    <row r="2190" spans="1:14" x14ac:dyDescent="0.3">
      <c r="A2190" t="s">
        <v>64</v>
      </c>
      <c r="B2190">
        <f>VLOOKUP(M2190,Sheet9!$I$1:$J$17,2,FALSE)</f>
        <v>5</v>
      </c>
      <c r="C2190">
        <f>VLOOKUP(N2190,Sheet9!$M$1:$N$2,2,FALSE)</f>
        <v>1</v>
      </c>
      <c r="D2190">
        <v>16</v>
      </c>
      <c r="E2190" t="s">
        <v>95</v>
      </c>
      <c r="F2190">
        <v>120</v>
      </c>
      <c r="H2190">
        <v>6</v>
      </c>
      <c r="I2190">
        <v>0.6</v>
      </c>
      <c r="J2190">
        <v>3.6</v>
      </c>
      <c r="K2190">
        <v>22.7</v>
      </c>
      <c r="L2190">
        <v>23</v>
      </c>
      <c r="M2190" t="s">
        <v>64</v>
      </c>
      <c r="N2190" t="s">
        <v>162</v>
      </c>
    </row>
    <row r="2191" spans="1:14" x14ac:dyDescent="0.3">
      <c r="A2191" t="s">
        <v>64</v>
      </c>
      <c r="B2191">
        <f>VLOOKUP(M2191,Sheet9!$I$1:$J$17,2,FALSE)</f>
        <v>5</v>
      </c>
      <c r="C2191">
        <f>VLOOKUP(N2191,Sheet9!$M$1:$N$2,2,FALSE)</f>
        <v>1</v>
      </c>
      <c r="D2191">
        <v>16</v>
      </c>
      <c r="E2191" t="s">
        <v>167</v>
      </c>
      <c r="F2191">
        <v>120</v>
      </c>
      <c r="H2191">
        <v>8</v>
      </c>
      <c r="I2191">
        <v>0.6</v>
      </c>
      <c r="J2191">
        <v>4.8</v>
      </c>
      <c r="K2191">
        <v>23.9</v>
      </c>
      <c r="L2191">
        <v>24.1</v>
      </c>
      <c r="M2191" t="s">
        <v>64</v>
      </c>
      <c r="N2191" t="s">
        <v>162</v>
      </c>
    </row>
    <row r="2192" spans="1:14" x14ac:dyDescent="0.3">
      <c r="A2192" t="s">
        <v>64</v>
      </c>
      <c r="B2192">
        <f>VLOOKUP(M2192,Sheet9!$I$1:$J$17,2,FALSE)</f>
        <v>5</v>
      </c>
      <c r="C2192">
        <f>VLOOKUP(N2192,Sheet9!$M$1:$N$2,2,FALSE)</f>
        <v>1</v>
      </c>
      <c r="D2192">
        <v>16</v>
      </c>
      <c r="E2192" t="s">
        <v>95</v>
      </c>
      <c r="F2192">
        <v>120</v>
      </c>
      <c r="H2192">
        <v>1</v>
      </c>
      <c r="I2192">
        <v>5</v>
      </c>
      <c r="J2192">
        <v>5</v>
      </c>
      <c r="K2192">
        <v>12.6</v>
      </c>
      <c r="L2192">
        <v>12.7</v>
      </c>
      <c r="M2192" t="s">
        <v>64</v>
      </c>
      <c r="N2192" t="s">
        <v>162</v>
      </c>
    </row>
    <row r="2193" spans="1:14" x14ac:dyDescent="0.3">
      <c r="A2193" t="s">
        <v>64</v>
      </c>
      <c r="B2193">
        <f>VLOOKUP(M2193,Sheet9!$I$1:$J$17,2,FALSE)</f>
        <v>5</v>
      </c>
      <c r="C2193">
        <f>VLOOKUP(N2193,Sheet9!$M$1:$N$2,2,FALSE)</f>
        <v>1</v>
      </c>
      <c r="D2193">
        <v>16</v>
      </c>
      <c r="E2193" t="s">
        <v>167</v>
      </c>
      <c r="F2193">
        <v>120</v>
      </c>
      <c r="H2193">
        <v>10</v>
      </c>
      <c r="I2193">
        <v>0.6</v>
      </c>
      <c r="J2193">
        <v>6</v>
      </c>
      <c r="K2193">
        <v>16.600000000000001</v>
      </c>
      <c r="L2193">
        <v>16.7</v>
      </c>
      <c r="M2193" t="s">
        <v>64</v>
      </c>
      <c r="N2193" t="s">
        <v>162</v>
      </c>
    </row>
    <row r="2194" spans="1:14" x14ac:dyDescent="0.3">
      <c r="A2194" t="s">
        <v>64</v>
      </c>
      <c r="B2194">
        <f>VLOOKUP(M2194,Sheet9!$I$1:$J$17,2,FALSE)</f>
        <v>5</v>
      </c>
      <c r="C2194">
        <f>VLOOKUP(N2194,Sheet9!$M$1:$N$2,2,FALSE)</f>
        <v>1</v>
      </c>
      <c r="D2194">
        <v>16</v>
      </c>
      <c r="E2194" t="s">
        <v>95</v>
      </c>
      <c r="F2194">
        <v>120</v>
      </c>
      <c r="H2194">
        <v>1</v>
      </c>
      <c r="I2194">
        <v>10</v>
      </c>
      <c r="J2194">
        <v>10</v>
      </c>
      <c r="K2194">
        <v>12.6</v>
      </c>
      <c r="L2194">
        <v>12.7</v>
      </c>
      <c r="M2194" t="s">
        <v>64</v>
      </c>
      <c r="N2194" t="s">
        <v>162</v>
      </c>
    </row>
    <row r="2195" spans="1:14" x14ac:dyDescent="0.3">
      <c r="A2195" t="s">
        <v>64</v>
      </c>
      <c r="B2195">
        <f>VLOOKUP(M2195,Sheet9!$I$1:$J$17,2,FALSE)</f>
        <v>5</v>
      </c>
      <c r="C2195">
        <f>VLOOKUP(N2195,Sheet9!$M$1:$N$2,2,FALSE)</f>
        <v>1</v>
      </c>
      <c r="D2195">
        <v>16</v>
      </c>
      <c r="E2195" t="s">
        <v>95</v>
      </c>
      <c r="F2195">
        <v>120</v>
      </c>
      <c r="H2195">
        <v>12</v>
      </c>
      <c r="I2195">
        <v>1.2</v>
      </c>
      <c r="J2195">
        <v>14.4</v>
      </c>
      <c r="K2195">
        <v>16.100000000000001</v>
      </c>
      <c r="L2195">
        <v>16.3</v>
      </c>
      <c r="M2195" t="s">
        <v>64</v>
      </c>
      <c r="N2195" t="s">
        <v>162</v>
      </c>
    </row>
    <row r="2196" spans="1:14" x14ac:dyDescent="0.3">
      <c r="A2196" t="s">
        <v>64</v>
      </c>
      <c r="B2196">
        <f>VLOOKUP(M2196,Sheet9!$I$1:$J$17,2,FALSE)</f>
        <v>5</v>
      </c>
      <c r="C2196">
        <f>VLOOKUP(N2196,Sheet9!$M$1:$N$2,2,FALSE)</f>
        <v>1</v>
      </c>
      <c r="D2196">
        <v>16</v>
      </c>
      <c r="E2196" t="s">
        <v>167</v>
      </c>
      <c r="F2196">
        <v>120</v>
      </c>
      <c r="H2196">
        <v>20</v>
      </c>
      <c r="I2196">
        <v>0.6</v>
      </c>
      <c r="J2196">
        <v>12</v>
      </c>
      <c r="K2196">
        <v>16.899999999999999</v>
      </c>
      <c r="L2196">
        <v>17.100000000000001</v>
      </c>
      <c r="M2196" t="s">
        <v>64</v>
      </c>
      <c r="N2196" t="s">
        <v>162</v>
      </c>
    </row>
    <row r="2197" spans="1:14" x14ac:dyDescent="0.3">
      <c r="A2197" t="s">
        <v>64</v>
      </c>
      <c r="B2197">
        <f>VLOOKUP(M2197,Sheet9!$I$1:$J$17,2,FALSE)</f>
        <v>5</v>
      </c>
      <c r="C2197">
        <f>VLOOKUP(N2197,Sheet9!$M$1:$N$2,2,FALSE)</f>
        <v>1</v>
      </c>
      <c r="D2197">
        <v>16</v>
      </c>
      <c r="E2197" t="s">
        <v>167</v>
      </c>
      <c r="F2197">
        <v>120</v>
      </c>
      <c r="H2197">
        <v>32</v>
      </c>
      <c r="I2197">
        <v>0.6</v>
      </c>
      <c r="J2197">
        <v>19.2</v>
      </c>
      <c r="K2197">
        <v>15.6</v>
      </c>
      <c r="L2197">
        <v>15.8</v>
      </c>
      <c r="M2197" t="s">
        <v>64</v>
      </c>
      <c r="N2197" t="s">
        <v>162</v>
      </c>
    </row>
    <row r="2198" spans="1:14" x14ac:dyDescent="0.3">
      <c r="A2198" t="s">
        <v>64</v>
      </c>
      <c r="B2198">
        <f>VLOOKUP(M2198,Sheet9!$I$1:$J$17,2,FALSE)</f>
        <v>5</v>
      </c>
      <c r="C2198">
        <f>VLOOKUP(N2198,Sheet9!$M$1:$N$2,2,FALSE)</f>
        <v>1</v>
      </c>
      <c r="D2198">
        <v>16</v>
      </c>
      <c r="E2198" t="s">
        <v>95</v>
      </c>
      <c r="F2198">
        <v>120</v>
      </c>
      <c r="H2198">
        <v>12</v>
      </c>
      <c r="I2198">
        <v>1.2</v>
      </c>
      <c r="J2198">
        <v>14.4</v>
      </c>
      <c r="K2198">
        <v>14.1</v>
      </c>
      <c r="L2198">
        <v>14.2</v>
      </c>
      <c r="M2198" t="s">
        <v>64</v>
      </c>
      <c r="N2198" t="s">
        <v>162</v>
      </c>
    </row>
    <row r="2199" spans="1:14" x14ac:dyDescent="0.3">
      <c r="A2199" t="s">
        <v>64</v>
      </c>
      <c r="B2199">
        <f>VLOOKUP(M2199,Sheet9!$I$1:$J$17,2,FALSE)</f>
        <v>5</v>
      </c>
      <c r="C2199">
        <f>VLOOKUP(N2199,Sheet9!$M$1:$N$2,2,FALSE)</f>
        <v>1</v>
      </c>
      <c r="D2199">
        <v>16</v>
      </c>
      <c r="E2199" t="s">
        <v>95</v>
      </c>
      <c r="F2199">
        <v>120</v>
      </c>
      <c r="H2199">
        <v>64</v>
      </c>
      <c r="I2199">
        <v>0.6</v>
      </c>
      <c r="J2199">
        <v>38.4</v>
      </c>
      <c r="K2199">
        <v>13.8</v>
      </c>
      <c r="L2199">
        <v>13.9</v>
      </c>
      <c r="M2199" t="s">
        <v>64</v>
      </c>
      <c r="N2199" t="s">
        <v>162</v>
      </c>
    </row>
    <row r="2200" spans="1:14" x14ac:dyDescent="0.3">
      <c r="A2200" t="s">
        <v>64</v>
      </c>
      <c r="B2200">
        <f>VLOOKUP(M2200,Sheet9!$I$1:$J$17,2,FALSE)</f>
        <v>5</v>
      </c>
      <c r="C2200">
        <f>VLOOKUP(N2200,Sheet9!$M$1:$N$2,2,FALSE)</f>
        <v>1</v>
      </c>
      <c r="D2200">
        <v>16</v>
      </c>
      <c r="E2200" t="s">
        <v>95</v>
      </c>
      <c r="F2200">
        <v>130</v>
      </c>
      <c r="H2200">
        <v>2</v>
      </c>
      <c r="I2200">
        <v>1</v>
      </c>
      <c r="J2200">
        <v>2</v>
      </c>
      <c r="K2200">
        <v>16.899999999999999</v>
      </c>
      <c r="L2200">
        <v>17.2</v>
      </c>
      <c r="M2200" t="s">
        <v>64</v>
      </c>
      <c r="N2200" t="s">
        <v>162</v>
      </c>
    </row>
    <row r="2201" spans="1:14" x14ac:dyDescent="0.3">
      <c r="A2201" t="s">
        <v>64</v>
      </c>
      <c r="B2201">
        <f>VLOOKUP(M2201,Sheet9!$I$1:$J$17,2,FALSE)</f>
        <v>5</v>
      </c>
      <c r="C2201">
        <f>VLOOKUP(N2201,Sheet9!$M$1:$N$2,2,FALSE)</f>
        <v>1</v>
      </c>
      <c r="D2201">
        <v>16</v>
      </c>
      <c r="E2201" t="s">
        <v>95</v>
      </c>
      <c r="F2201">
        <v>130</v>
      </c>
      <c r="H2201">
        <v>6</v>
      </c>
      <c r="I2201">
        <v>0.6</v>
      </c>
      <c r="J2201">
        <v>3.6</v>
      </c>
      <c r="K2201">
        <v>27.4</v>
      </c>
      <c r="L2201">
        <v>27.8</v>
      </c>
      <c r="M2201" t="s">
        <v>64</v>
      </c>
      <c r="N2201" t="s">
        <v>162</v>
      </c>
    </row>
    <row r="2202" spans="1:14" x14ac:dyDescent="0.3">
      <c r="A2202" t="s">
        <v>64</v>
      </c>
      <c r="B2202">
        <f>VLOOKUP(M2202,Sheet9!$I$1:$J$17,2,FALSE)</f>
        <v>5</v>
      </c>
      <c r="C2202">
        <f>VLOOKUP(N2202,Sheet9!$M$1:$N$2,2,FALSE)</f>
        <v>1</v>
      </c>
      <c r="D2202">
        <v>16</v>
      </c>
      <c r="E2202" t="s">
        <v>167</v>
      </c>
      <c r="F2202">
        <v>130</v>
      </c>
      <c r="H2202">
        <v>8</v>
      </c>
      <c r="I2202">
        <v>0.6</v>
      </c>
      <c r="J2202">
        <v>4.8</v>
      </c>
      <c r="K2202">
        <v>29</v>
      </c>
      <c r="L2202">
        <v>29.3</v>
      </c>
      <c r="M2202" t="s">
        <v>64</v>
      </c>
      <c r="N2202" t="s">
        <v>162</v>
      </c>
    </row>
    <row r="2203" spans="1:14" x14ac:dyDescent="0.3">
      <c r="A2203" t="s">
        <v>64</v>
      </c>
      <c r="B2203">
        <f>VLOOKUP(M2203,Sheet9!$I$1:$J$17,2,FALSE)</f>
        <v>5</v>
      </c>
      <c r="C2203">
        <f>VLOOKUP(N2203,Sheet9!$M$1:$N$2,2,FALSE)</f>
        <v>1</v>
      </c>
      <c r="D2203">
        <v>16</v>
      </c>
      <c r="E2203" t="s">
        <v>95</v>
      </c>
      <c r="F2203">
        <v>130</v>
      </c>
      <c r="H2203">
        <v>1</v>
      </c>
      <c r="I2203">
        <v>5</v>
      </c>
      <c r="J2203">
        <v>5</v>
      </c>
      <c r="K2203">
        <v>15.2</v>
      </c>
      <c r="L2203">
        <v>15.4</v>
      </c>
      <c r="M2203" t="s">
        <v>64</v>
      </c>
      <c r="N2203" t="s">
        <v>162</v>
      </c>
    </row>
    <row r="2204" spans="1:14" x14ac:dyDescent="0.3">
      <c r="A2204" t="s">
        <v>64</v>
      </c>
      <c r="B2204">
        <f>VLOOKUP(M2204,Sheet9!$I$1:$J$17,2,FALSE)</f>
        <v>5</v>
      </c>
      <c r="C2204">
        <f>VLOOKUP(N2204,Sheet9!$M$1:$N$2,2,FALSE)</f>
        <v>1</v>
      </c>
      <c r="D2204">
        <v>16</v>
      </c>
      <c r="E2204" t="s">
        <v>167</v>
      </c>
      <c r="F2204">
        <v>130</v>
      </c>
      <c r="H2204">
        <v>10</v>
      </c>
      <c r="I2204">
        <v>0.6</v>
      </c>
      <c r="J2204">
        <v>6</v>
      </c>
      <c r="K2204">
        <v>20.100000000000001</v>
      </c>
      <c r="L2204">
        <v>20.3</v>
      </c>
      <c r="M2204" t="s">
        <v>64</v>
      </c>
      <c r="N2204" t="s">
        <v>162</v>
      </c>
    </row>
    <row r="2205" spans="1:14" x14ac:dyDescent="0.3">
      <c r="A2205" t="s">
        <v>64</v>
      </c>
      <c r="B2205">
        <f>VLOOKUP(M2205,Sheet9!$I$1:$J$17,2,FALSE)</f>
        <v>5</v>
      </c>
      <c r="C2205">
        <f>VLOOKUP(N2205,Sheet9!$M$1:$N$2,2,FALSE)</f>
        <v>1</v>
      </c>
      <c r="D2205">
        <v>16</v>
      </c>
      <c r="E2205" t="s">
        <v>95</v>
      </c>
      <c r="F2205">
        <v>130</v>
      </c>
      <c r="H2205">
        <v>1</v>
      </c>
      <c r="I2205">
        <v>10</v>
      </c>
      <c r="J2205">
        <v>10</v>
      </c>
      <c r="K2205">
        <v>15.2</v>
      </c>
      <c r="L2205">
        <v>15.4</v>
      </c>
      <c r="M2205" t="s">
        <v>64</v>
      </c>
      <c r="N2205" t="s">
        <v>162</v>
      </c>
    </row>
    <row r="2206" spans="1:14" x14ac:dyDescent="0.3">
      <c r="A2206" t="s">
        <v>64</v>
      </c>
      <c r="B2206">
        <f>VLOOKUP(M2206,Sheet9!$I$1:$J$17,2,FALSE)</f>
        <v>5</v>
      </c>
      <c r="C2206">
        <f>VLOOKUP(N2206,Sheet9!$M$1:$N$2,2,FALSE)</f>
        <v>1</v>
      </c>
      <c r="D2206">
        <v>16</v>
      </c>
      <c r="E2206" t="s">
        <v>95</v>
      </c>
      <c r="F2206">
        <v>130</v>
      </c>
      <c r="H2206">
        <v>12</v>
      </c>
      <c r="I2206">
        <v>1.2</v>
      </c>
      <c r="J2206">
        <v>14.4</v>
      </c>
      <c r="K2206">
        <v>19.5</v>
      </c>
      <c r="L2206">
        <v>19.8</v>
      </c>
      <c r="M2206" t="s">
        <v>64</v>
      </c>
      <c r="N2206" t="s">
        <v>162</v>
      </c>
    </row>
    <row r="2207" spans="1:14" x14ac:dyDescent="0.3">
      <c r="A2207" t="s">
        <v>64</v>
      </c>
      <c r="B2207">
        <f>VLOOKUP(M2207,Sheet9!$I$1:$J$17,2,FALSE)</f>
        <v>5</v>
      </c>
      <c r="C2207">
        <f>VLOOKUP(N2207,Sheet9!$M$1:$N$2,2,FALSE)</f>
        <v>1</v>
      </c>
      <c r="D2207">
        <v>16</v>
      </c>
      <c r="E2207" t="s">
        <v>167</v>
      </c>
      <c r="F2207">
        <v>130</v>
      </c>
      <c r="H2207">
        <v>20</v>
      </c>
      <c r="I2207">
        <v>0.6</v>
      </c>
      <c r="J2207">
        <v>12</v>
      </c>
      <c r="K2207">
        <v>20.5</v>
      </c>
      <c r="L2207">
        <v>20.7</v>
      </c>
      <c r="M2207" t="s">
        <v>64</v>
      </c>
      <c r="N2207" t="s">
        <v>162</v>
      </c>
    </row>
    <row r="2208" spans="1:14" x14ac:dyDescent="0.3">
      <c r="A2208" t="s">
        <v>64</v>
      </c>
      <c r="B2208">
        <f>VLOOKUP(M2208,Sheet9!$I$1:$J$17,2,FALSE)</f>
        <v>5</v>
      </c>
      <c r="C2208">
        <f>VLOOKUP(N2208,Sheet9!$M$1:$N$2,2,FALSE)</f>
        <v>1</v>
      </c>
      <c r="D2208">
        <v>16</v>
      </c>
      <c r="E2208" t="s">
        <v>167</v>
      </c>
      <c r="F2208">
        <v>130</v>
      </c>
      <c r="H2208">
        <v>32</v>
      </c>
      <c r="I2208">
        <v>0.6</v>
      </c>
      <c r="J2208">
        <v>19.2</v>
      </c>
      <c r="K2208">
        <v>18.899999999999999</v>
      </c>
      <c r="L2208">
        <v>19.100000000000001</v>
      </c>
      <c r="M2208" t="s">
        <v>64</v>
      </c>
      <c r="N2208" t="s">
        <v>162</v>
      </c>
    </row>
    <row r="2209" spans="1:14" x14ac:dyDescent="0.3">
      <c r="A2209" t="s">
        <v>64</v>
      </c>
      <c r="B2209">
        <f>VLOOKUP(M2209,Sheet9!$I$1:$J$17,2,FALSE)</f>
        <v>5</v>
      </c>
      <c r="C2209">
        <f>VLOOKUP(N2209,Sheet9!$M$1:$N$2,2,FALSE)</f>
        <v>1</v>
      </c>
      <c r="D2209">
        <v>16</v>
      </c>
      <c r="E2209" t="s">
        <v>95</v>
      </c>
      <c r="F2209">
        <v>130</v>
      </c>
      <c r="H2209">
        <v>12</v>
      </c>
      <c r="I2209">
        <v>1.2</v>
      </c>
      <c r="J2209">
        <v>14.4</v>
      </c>
      <c r="K2209">
        <v>17</v>
      </c>
      <c r="L2209">
        <v>17.3</v>
      </c>
      <c r="M2209" t="s">
        <v>64</v>
      </c>
      <c r="N2209" t="s">
        <v>162</v>
      </c>
    </row>
    <row r="2210" spans="1:14" x14ac:dyDescent="0.3">
      <c r="A2210" t="s">
        <v>64</v>
      </c>
      <c r="B2210">
        <f>VLOOKUP(M2210,Sheet9!$I$1:$J$17,2,FALSE)</f>
        <v>5</v>
      </c>
      <c r="C2210">
        <f>VLOOKUP(N2210,Sheet9!$M$1:$N$2,2,FALSE)</f>
        <v>1</v>
      </c>
      <c r="D2210">
        <v>16</v>
      </c>
      <c r="E2210" t="s">
        <v>95</v>
      </c>
      <c r="F2210">
        <v>130</v>
      </c>
      <c r="H2210">
        <v>64</v>
      </c>
      <c r="I2210">
        <v>0.6</v>
      </c>
      <c r="J2210">
        <v>38.4</v>
      </c>
      <c r="K2210">
        <v>16.7</v>
      </c>
      <c r="L2210">
        <v>16.8</v>
      </c>
      <c r="M2210" t="s">
        <v>64</v>
      </c>
      <c r="N2210" t="s">
        <v>162</v>
      </c>
    </row>
    <row r="2211" spans="1:14" x14ac:dyDescent="0.3">
      <c r="A2211" t="s">
        <v>64</v>
      </c>
      <c r="B2211">
        <f>VLOOKUP(M2211,Sheet9!$I$1:$J$17,2,FALSE)</f>
        <v>5</v>
      </c>
      <c r="C2211">
        <f>VLOOKUP(N2211,Sheet9!$M$1:$N$2,2,FALSE)</f>
        <v>1</v>
      </c>
      <c r="D2211">
        <v>16</v>
      </c>
      <c r="E2211" t="s">
        <v>95</v>
      </c>
      <c r="F2211">
        <v>140</v>
      </c>
      <c r="H2211">
        <v>2</v>
      </c>
      <c r="I2211">
        <v>1</v>
      </c>
      <c r="J2211">
        <v>2</v>
      </c>
      <c r="K2211">
        <v>20.3</v>
      </c>
      <c r="L2211">
        <v>20.5</v>
      </c>
      <c r="M2211" t="s">
        <v>64</v>
      </c>
      <c r="N2211" t="s">
        <v>162</v>
      </c>
    </row>
    <row r="2212" spans="1:14" x14ac:dyDescent="0.3">
      <c r="A2212" t="s">
        <v>64</v>
      </c>
      <c r="B2212">
        <f>VLOOKUP(M2212,Sheet9!$I$1:$J$17,2,FALSE)</f>
        <v>5</v>
      </c>
      <c r="C2212">
        <f>VLOOKUP(N2212,Sheet9!$M$1:$N$2,2,FALSE)</f>
        <v>1</v>
      </c>
      <c r="D2212">
        <v>16</v>
      </c>
      <c r="E2212" t="s">
        <v>95</v>
      </c>
      <c r="F2212">
        <v>140</v>
      </c>
      <c r="H2212">
        <v>6</v>
      </c>
      <c r="I2212">
        <v>0.6</v>
      </c>
      <c r="J2212">
        <v>3.6</v>
      </c>
      <c r="K2212">
        <v>32.9</v>
      </c>
      <c r="L2212">
        <v>33.299999999999997</v>
      </c>
      <c r="M2212" t="s">
        <v>64</v>
      </c>
      <c r="N2212" t="s">
        <v>162</v>
      </c>
    </row>
    <row r="2213" spans="1:14" x14ac:dyDescent="0.3">
      <c r="A2213" t="s">
        <v>64</v>
      </c>
      <c r="B2213">
        <f>VLOOKUP(M2213,Sheet9!$I$1:$J$17,2,FALSE)</f>
        <v>5</v>
      </c>
      <c r="C2213">
        <f>VLOOKUP(N2213,Sheet9!$M$1:$N$2,2,FALSE)</f>
        <v>1</v>
      </c>
      <c r="D2213">
        <v>16</v>
      </c>
      <c r="E2213" t="s">
        <v>167</v>
      </c>
      <c r="F2213">
        <v>140</v>
      </c>
      <c r="H2213">
        <v>8</v>
      </c>
      <c r="I2213">
        <v>0.6</v>
      </c>
      <c r="J2213">
        <v>4.8</v>
      </c>
      <c r="K2213">
        <v>34.799999999999997</v>
      </c>
      <c r="L2213">
        <v>35.1</v>
      </c>
      <c r="M2213" t="s">
        <v>64</v>
      </c>
      <c r="N2213" t="s">
        <v>162</v>
      </c>
    </row>
    <row r="2214" spans="1:14" x14ac:dyDescent="0.3">
      <c r="A2214" t="s">
        <v>64</v>
      </c>
      <c r="B2214">
        <f>VLOOKUP(M2214,Sheet9!$I$1:$J$17,2,FALSE)</f>
        <v>5</v>
      </c>
      <c r="C2214">
        <f>VLOOKUP(N2214,Sheet9!$M$1:$N$2,2,FALSE)</f>
        <v>1</v>
      </c>
      <c r="D2214">
        <v>16</v>
      </c>
      <c r="E2214" t="s">
        <v>95</v>
      </c>
      <c r="F2214">
        <v>140</v>
      </c>
      <c r="H2214">
        <v>1</v>
      </c>
      <c r="I2214">
        <v>5</v>
      </c>
      <c r="J2214">
        <v>5</v>
      </c>
      <c r="K2214">
        <v>18.2</v>
      </c>
      <c r="L2214">
        <v>18.399999999999999</v>
      </c>
      <c r="M2214" t="s">
        <v>64</v>
      </c>
      <c r="N2214" t="s">
        <v>162</v>
      </c>
    </row>
    <row r="2215" spans="1:14" x14ac:dyDescent="0.3">
      <c r="A2215" t="s">
        <v>64</v>
      </c>
      <c r="B2215">
        <f>VLOOKUP(M2215,Sheet9!$I$1:$J$17,2,FALSE)</f>
        <v>5</v>
      </c>
      <c r="C2215">
        <f>VLOOKUP(N2215,Sheet9!$M$1:$N$2,2,FALSE)</f>
        <v>1</v>
      </c>
      <c r="D2215">
        <v>16</v>
      </c>
      <c r="E2215" t="s">
        <v>167</v>
      </c>
      <c r="F2215">
        <v>140</v>
      </c>
      <c r="H2215">
        <v>10</v>
      </c>
      <c r="I2215">
        <v>0.6</v>
      </c>
      <c r="J2215">
        <v>6</v>
      </c>
      <c r="K2215">
        <v>24.1</v>
      </c>
      <c r="L2215">
        <v>24.3</v>
      </c>
      <c r="M2215" t="s">
        <v>64</v>
      </c>
      <c r="N2215" t="s">
        <v>162</v>
      </c>
    </row>
    <row r="2216" spans="1:14" x14ac:dyDescent="0.3">
      <c r="A2216" t="s">
        <v>64</v>
      </c>
      <c r="B2216">
        <f>VLOOKUP(M2216,Sheet9!$I$1:$J$17,2,FALSE)</f>
        <v>5</v>
      </c>
      <c r="C2216">
        <f>VLOOKUP(N2216,Sheet9!$M$1:$N$2,2,FALSE)</f>
        <v>1</v>
      </c>
      <c r="D2216">
        <v>16</v>
      </c>
      <c r="E2216" t="s">
        <v>95</v>
      </c>
      <c r="F2216">
        <v>140</v>
      </c>
      <c r="H2216">
        <v>1</v>
      </c>
      <c r="I2216">
        <v>10</v>
      </c>
      <c r="J2216">
        <v>10</v>
      </c>
      <c r="K2216">
        <v>18.2</v>
      </c>
      <c r="L2216">
        <v>18.399999999999999</v>
      </c>
      <c r="M2216" t="s">
        <v>64</v>
      </c>
      <c r="N2216" t="s">
        <v>162</v>
      </c>
    </row>
    <row r="2217" spans="1:14" x14ac:dyDescent="0.3">
      <c r="A2217" t="s">
        <v>64</v>
      </c>
      <c r="B2217">
        <f>VLOOKUP(M2217,Sheet9!$I$1:$J$17,2,FALSE)</f>
        <v>5</v>
      </c>
      <c r="C2217">
        <f>VLOOKUP(N2217,Sheet9!$M$1:$N$2,2,FALSE)</f>
        <v>1</v>
      </c>
      <c r="D2217">
        <v>16</v>
      </c>
      <c r="E2217" t="s">
        <v>95</v>
      </c>
      <c r="F2217">
        <v>140</v>
      </c>
      <c r="H2217">
        <v>12</v>
      </c>
      <c r="I2217">
        <v>1.2</v>
      </c>
      <c r="J2217">
        <v>14.4</v>
      </c>
      <c r="K2217">
        <v>23.4</v>
      </c>
      <c r="L2217">
        <v>23.6</v>
      </c>
      <c r="M2217" t="s">
        <v>64</v>
      </c>
      <c r="N2217" t="s">
        <v>162</v>
      </c>
    </row>
    <row r="2218" spans="1:14" x14ac:dyDescent="0.3">
      <c r="A2218" t="s">
        <v>64</v>
      </c>
      <c r="B2218">
        <f>VLOOKUP(M2218,Sheet9!$I$1:$J$17,2,FALSE)</f>
        <v>5</v>
      </c>
      <c r="C2218">
        <f>VLOOKUP(N2218,Sheet9!$M$1:$N$2,2,FALSE)</f>
        <v>1</v>
      </c>
      <c r="D2218">
        <v>16</v>
      </c>
      <c r="E2218" t="s">
        <v>167</v>
      </c>
      <c r="F2218">
        <v>140</v>
      </c>
      <c r="H2218">
        <v>20</v>
      </c>
      <c r="I2218">
        <v>0.6</v>
      </c>
      <c r="J2218">
        <v>12</v>
      </c>
      <c r="K2218">
        <v>24.6</v>
      </c>
      <c r="L2218">
        <v>24.8</v>
      </c>
      <c r="M2218" t="s">
        <v>64</v>
      </c>
      <c r="N2218" t="s">
        <v>162</v>
      </c>
    </row>
    <row r="2219" spans="1:14" x14ac:dyDescent="0.3">
      <c r="A2219" t="s">
        <v>64</v>
      </c>
      <c r="B2219">
        <f>VLOOKUP(M2219,Sheet9!$I$1:$J$17,2,FALSE)</f>
        <v>5</v>
      </c>
      <c r="C2219">
        <f>VLOOKUP(N2219,Sheet9!$M$1:$N$2,2,FALSE)</f>
        <v>1</v>
      </c>
      <c r="D2219">
        <v>16</v>
      </c>
      <c r="E2219" t="s">
        <v>167</v>
      </c>
      <c r="F2219">
        <v>140</v>
      </c>
      <c r="H2219">
        <v>32</v>
      </c>
      <c r="I2219">
        <v>0.6</v>
      </c>
      <c r="J2219">
        <v>19.2</v>
      </c>
      <c r="K2219">
        <v>22.6</v>
      </c>
      <c r="L2219">
        <v>22.9</v>
      </c>
      <c r="M2219" t="s">
        <v>64</v>
      </c>
      <c r="N2219" t="s">
        <v>162</v>
      </c>
    </row>
    <row r="2220" spans="1:14" x14ac:dyDescent="0.3">
      <c r="A2220" t="s">
        <v>64</v>
      </c>
      <c r="B2220">
        <f>VLOOKUP(M2220,Sheet9!$I$1:$J$17,2,FALSE)</f>
        <v>5</v>
      </c>
      <c r="C2220">
        <f>VLOOKUP(N2220,Sheet9!$M$1:$N$2,2,FALSE)</f>
        <v>1</v>
      </c>
      <c r="D2220">
        <v>16</v>
      </c>
      <c r="E2220" t="s">
        <v>95</v>
      </c>
      <c r="F2220">
        <v>140</v>
      </c>
      <c r="H2220">
        <v>12</v>
      </c>
      <c r="I2220">
        <v>1.2</v>
      </c>
      <c r="J2220">
        <v>14.4</v>
      </c>
      <c r="K2220">
        <v>20.399999999999999</v>
      </c>
      <c r="L2220">
        <v>20.9</v>
      </c>
      <c r="M2220" t="s">
        <v>64</v>
      </c>
      <c r="N2220" t="s">
        <v>162</v>
      </c>
    </row>
    <row r="2221" spans="1:14" x14ac:dyDescent="0.3">
      <c r="A2221" t="s">
        <v>64</v>
      </c>
      <c r="B2221">
        <f>VLOOKUP(M2221,Sheet9!$I$1:$J$17,2,FALSE)</f>
        <v>5</v>
      </c>
      <c r="C2221">
        <f>VLOOKUP(N2221,Sheet9!$M$1:$N$2,2,FALSE)</f>
        <v>1</v>
      </c>
      <c r="D2221">
        <v>16</v>
      </c>
      <c r="E2221" t="s">
        <v>95</v>
      </c>
      <c r="F2221">
        <v>140</v>
      </c>
      <c r="H2221">
        <v>64</v>
      </c>
      <c r="I2221">
        <v>0.6</v>
      </c>
      <c r="J2221">
        <v>38.4</v>
      </c>
      <c r="K2221">
        <v>20</v>
      </c>
      <c r="L2221">
        <v>20.2</v>
      </c>
      <c r="M2221" t="s">
        <v>64</v>
      </c>
      <c r="N2221" t="s">
        <v>162</v>
      </c>
    </row>
    <row r="2222" spans="1:14" x14ac:dyDescent="0.3">
      <c r="A2222" t="s">
        <v>64</v>
      </c>
      <c r="B2222">
        <f>VLOOKUP(M2222,Sheet9!$I$1:$J$17,2,FALSE)</f>
        <v>5</v>
      </c>
      <c r="C2222">
        <f>VLOOKUP(N2222,Sheet9!$M$1:$N$2,2,FALSE)</f>
        <v>1</v>
      </c>
      <c r="D2222">
        <v>16</v>
      </c>
      <c r="E2222" t="s">
        <v>95</v>
      </c>
      <c r="F2222">
        <v>100</v>
      </c>
      <c r="G2222" t="s">
        <v>139</v>
      </c>
      <c r="H2222">
        <v>2</v>
      </c>
      <c r="I2222">
        <v>1</v>
      </c>
      <c r="J2222">
        <v>2</v>
      </c>
      <c r="K2222">
        <v>1.54</v>
      </c>
      <c r="L2222">
        <v>1.54</v>
      </c>
      <c r="M2222" t="s">
        <v>64</v>
      </c>
      <c r="N2222" t="s">
        <v>162</v>
      </c>
    </row>
    <row r="2223" spans="1:14" x14ac:dyDescent="0.3">
      <c r="A2223" t="s">
        <v>64</v>
      </c>
      <c r="B2223">
        <f>VLOOKUP(M2223,Sheet9!$I$1:$J$17,2,FALSE)</f>
        <v>5</v>
      </c>
      <c r="C2223">
        <f>VLOOKUP(N2223,Sheet9!$M$1:$N$2,2,FALSE)</f>
        <v>1</v>
      </c>
      <c r="D2223">
        <v>16</v>
      </c>
      <c r="E2223" t="s">
        <v>95</v>
      </c>
      <c r="F2223">
        <v>100</v>
      </c>
      <c r="G2223" t="s">
        <v>139</v>
      </c>
      <c r="H2223">
        <v>6</v>
      </c>
      <c r="I2223">
        <v>0.6</v>
      </c>
      <c r="J2223">
        <v>3.6</v>
      </c>
      <c r="K2223">
        <v>2.5</v>
      </c>
      <c r="L2223">
        <v>2.4900000000000002</v>
      </c>
      <c r="M2223" t="s">
        <v>64</v>
      </c>
      <c r="N2223" t="s">
        <v>162</v>
      </c>
    </row>
    <row r="2224" spans="1:14" x14ac:dyDescent="0.3">
      <c r="A2224" t="s">
        <v>64</v>
      </c>
      <c r="B2224">
        <f>VLOOKUP(M2224,Sheet9!$I$1:$J$17,2,FALSE)</f>
        <v>5</v>
      </c>
      <c r="C2224">
        <f>VLOOKUP(N2224,Sheet9!$M$1:$N$2,2,FALSE)</f>
        <v>1</v>
      </c>
      <c r="D2224">
        <v>16</v>
      </c>
      <c r="E2224" t="s">
        <v>167</v>
      </c>
      <c r="F2224">
        <v>100</v>
      </c>
      <c r="G2224" t="s">
        <v>139</v>
      </c>
      <c r="H2224">
        <v>8</v>
      </c>
      <c r="I2224">
        <v>0.6</v>
      </c>
      <c r="J2224">
        <v>4.8</v>
      </c>
      <c r="K2224">
        <v>2.65</v>
      </c>
      <c r="L2224">
        <v>2.63</v>
      </c>
      <c r="M2224" t="s">
        <v>64</v>
      </c>
      <c r="N2224" t="s">
        <v>162</v>
      </c>
    </row>
    <row r="2225" spans="1:14" x14ac:dyDescent="0.3">
      <c r="A2225" t="s">
        <v>64</v>
      </c>
      <c r="B2225">
        <f>VLOOKUP(M2225,Sheet9!$I$1:$J$17,2,FALSE)</f>
        <v>5</v>
      </c>
      <c r="C2225">
        <f>VLOOKUP(N2225,Sheet9!$M$1:$N$2,2,FALSE)</f>
        <v>1</v>
      </c>
      <c r="D2225">
        <v>16</v>
      </c>
      <c r="E2225" t="s">
        <v>95</v>
      </c>
      <c r="F2225">
        <v>100</v>
      </c>
      <c r="G2225" t="s">
        <v>139</v>
      </c>
      <c r="H2225">
        <v>1</v>
      </c>
      <c r="I2225">
        <v>5</v>
      </c>
      <c r="J2225">
        <v>5</v>
      </c>
      <c r="K2225">
        <v>1.38</v>
      </c>
      <c r="L2225">
        <v>1.38</v>
      </c>
      <c r="M2225" t="s">
        <v>64</v>
      </c>
      <c r="N2225" t="s">
        <v>162</v>
      </c>
    </row>
    <row r="2226" spans="1:14" x14ac:dyDescent="0.3">
      <c r="A2226" t="s">
        <v>64</v>
      </c>
      <c r="B2226">
        <f>VLOOKUP(M2226,Sheet9!$I$1:$J$17,2,FALSE)</f>
        <v>5</v>
      </c>
      <c r="C2226">
        <f>VLOOKUP(N2226,Sheet9!$M$1:$N$2,2,FALSE)</f>
        <v>1</v>
      </c>
      <c r="D2226">
        <v>16</v>
      </c>
      <c r="E2226" t="s">
        <v>167</v>
      </c>
      <c r="F2226">
        <v>100</v>
      </c>
      <c r="G2226" t="s">
        <v>139</v>
      </c>
      <c r="H2226">
        <v>10</v>
      </c>
      <c r="I2226">
        <v>0.6</v>
      </c>
      <c r="J2226">
        <v>6</v>
      </c>
      <c r="K2226">
        <v>1.84</v>
      </c>
      <c r="L2226">
        <v>1.82</v>
      </c>
      <c r="M2226" t="s">
        <v>64</v>
      </c>
      <c r="N2226" t="s">
        <v>162</v>
      </c>
    </row>
    <row r="2227" spans="1:14" x14ac:dyDescent="0.3">
      <c r="A2227" t="s">
        <v>64</v>
      </c>
      <c r="B2227">
        <f>VLOOKUP(M2227,Sheet9!$I$1:$J$17,2,FALSE)</f>
        <v>5</v>
      </c>
      <c r="C2227">
        <f>VLOOKUP(N2227,Sheet9!$M$1:$N$2,2,FALSE)</f>
        <v>1</v>
      </c>
      <c r="D2227">
        <v>16</v>
      </c>
      <c r="E2227" t="s">
        <v>95</v>
      </c>
      <c r="F2227">
        <v>100</v>
      </c>
      <c r="G2227" t="s">
        <v>139</v>
      </c>
      <c r="H2227">
        <v>1</v>
      </c>
      <c r="I2227">
        <v>10</v>
      </c>
      <c r="J2227">
        <v>10</v>
      </c>
      <c r="K2227">
        <v>1.38</v>
      </c>
      <c r="L2227">
        <v>1.38</v>
      </c>
      <c r="M2227" t="s">
        <v>64</v>
      </c>
      <c r="N2227" t="s">
        <v>162</v>
      </c>
    </row>
    <row r="2228" spans="1:14" x14ac:dyDescent="0.3">
      <c r="A2228" t="s">
        <v>64</v>
      </c>
      <c r="B2228">
        <f>VLOOKUP(M2228,Sheet9!$I$1:$J$17,2,FALSE)</f>
        <v>5</v>
      </c>
      <c r="C2228">
        <f>VLOOKUP(N2228,Sheet9!$M$1:$N$2,2,FALSE)</f>
        <v>1</v>
      </c>
      <c r="D2228">
        <v>16</v>
      </c>
      <c r="E2228" t="s">
        <v>95</v>
      </c>
      <c r="F2228">
        <v>100</v>
      </c>
      <c r="G2228" t="s">
        <v>139</v>
      </c>
      <c r="H2228">
        <v>12</v>
      </c>
      <c r="I2228">
        <v>1.2</v>
      </c>
      <c r="J2228">
        <v>14.4</v>
      </c>
      <c r="K2228">
        <v>1.77</v>
      </c>
      <c r="L2228">
        <v>1.77</v>
      </c>
      <c r="M2228" t="s">
        <v>64</v>
      </c>
      <c r="N2228" t="s">
        <v>162</v>
      </c>
    </row>
    <row r="2229" spans="1:14" x14ac:dyDescent="0.3">
      <c r="A2229" t="s">
        <v>64</v>
      </c>
      <c r="B2229">
        <f>VLOOKUP(M2229,Sheet9!$I$1:$J$17,2,FALSE)</f>
        <v>5</v>
      </c>
      <c r="C2229">
        <f>VLOOKUP(N2229,Sheet9!$M$1:$N$2,2,FALSE)</f>
        <v>1</v>
      </c>
      <c r="D2229">
        <v>16</v>
      </c>
      <c r="E2229" t="s">
        <v>167</v>
      </c>
      <c r="F2229">
        <v>100</v>
      </c>
      <c r="G2229" t="s">
        <v>139</v>
      </c>
      <c r="H2229">
        <v>20</v>
      </c>
      <c r="I2229">
        <v>0.6</v>
      </c>
      <c r="J2229">
        <v>12</v>
      </c>
      <c r="K2229">
        <v>1.87</v>
      </c>
      <c r="L2229">
        <v>1.86</v>
      </c>
      <c r="M2229" t="s">
        <v>64</v>
      </c>
      <c r="N2229" t="s">
        <v>162</v>
      </c>
    </row>
    <row r="2230" spans="1:14" x14ac:dyDescent="0.3">
      <c r="A2230" t="s">
        <v>64</v>
      </c>
      <c r="B2230">
        <f>VLOOKUP(M2230,Sheet9!$I$1:$J$17,2,FALSE)</f>
        <v>5</v>
      </c>
      <c r="C2230">
        <f>VLOOKUP(N2230,Sheet9!$M$1:$N$2,2,FALSE)</f>
        <v>1</v>
      </c>
      <c r="D2230">
        <v>16</v>
      </c>
      <c r="E2230" t="s">
        <v>167</v>
      </c>
      <c r="F2230">
        <v>100</v>
      </c>
      <c r="G2230" t="s">
        <v>139</v>
      </c>
      <c r="H2230">
        <v>32</v>
      </c>
      <c r="I2230">
        <v>0.6</v>
      </c>
      <c r="J2230">
        <v>19.2</v>
      </c>
      <c r="K2230">
        <v>1.72</v>
      </c>
      <c r="L2230">
        <v>1.71</v>
      </c>
      <c r="M2230" t="s">
        <v>64</v>
      </c>
      <c r="N2230" t="s">
        <v>162</v>
      </c>
    </row>
    <row r="2231" spans="1:14" x14ac:dyDescent="0.3">
      <c r="A2231" t="s">
        <v>64</v>
      </c>
      <c r="B2231">
        <f>VLOOKUP(M2231,Sheet9!$I$1:$J$17,2,FALSE)</f>
        <v>5</v>
      </c>
      <c r="C2231">
        <f>VLOOKUP(N2231,Sheet9!$M$1:$N$2,2,FALSE)</f>
        <v>1</v>
      </c>
      <c r="D2231">
        <v>16</v>
      </c>
      <c r="E2231" t="s">
        <v>95</v>
      </c>
      <c r="F2231">
        <v>100</v>
      </c>
      <c r="G2231" t="s">
        <v>139</v>
      </c>
      <c r="H2231">
        <v>12</v>
      </c>
      <c r="I2231">
        <v>1.2</v>
      </c>
      <c r="J2231">
        <v>14.4</v>
      </c>
      <c r="K2231">
        <v>1.55</v>
      </c>
      <c r="L2231">
        <v>1.54</v>
      </c>
      <c r="M2231" t="s">
        <v>64</v>
      </c>
      <c r="N2231" t="s">
        <v>162</v>
      </c>
    </row>
    <row r="2232" spans="1:14" x14ac:dyDescent="0.3">
      <c r="A2232" t="s">
        <v>64</v>
      </c>
      <c r="B2232">
        <f>VLOOKUP(M2232,Sheet9!$I$1:$J$17,2,FALSE)</f>
        <v>5</v>
      </c>
      <c r="C2232">
        <f>VLOOKUP(N2232,Sheet9!$M$1:$N$2,2,FALSE)</f>
        <v>1</v>
      </c>
      <c r="D2232">
        <v>16</v>
      </c>
      <c r="E2232" t="s">
        <v>95</v>
      </c>
      <c r="F2232">
        <v>100</v>
      </c>
      <c r="G2232" t="s">
        <v>139</v>
      </c>
      <c r="H2232">
        <v>64</v>
      </c>
      <c r="I2232">
        <v>0.6</v>
      </c>
      <c r="J2232">
        <v>38.4</v>
      </c>
      <c r="K2232">
        <v>1.52</v>
      </c>
      <c r="L2232">
        <v>1.51</v>
      </c>
      <c r="M2232" t="s">
        <v>64</v>
      </c>
      <c r="N2232" t="s">
        <v>162</v>
      </c>
    </row>
    <row r="2233" spans="1:14" x14ac:dyDescent="0.3">
      <c r="A2233" t="s">
        <v>64</v>
      </c>
      <c r="B2233">
        <f>VLOOKUP(M2233,Sheet9!$I$1:$J$17,2,FALSE)</f>
        <v>5</v>
      </c>
      <c r="C2233">
        <f>VLOOKUP(N2233,Sheet9!$M$1:$N$2,2,FALSE)</f>
        <v>1</v>
      </c>
      <c r="D2233">
        <v>16</v>
      </c>
      <c r="E2233" t="s">
        <v>95</v>
      </c>
      <c r="F2233">
        <v>140</v>
      </c>
      <c r="G2233" t="s">
        <v>139</v>
      </c>
      <c r="H2233">
        <v>2</v>
      </c>
      <c r="I2233">
        <v>1</v>
      </c>
      <c r="J2233">
        <v>2</v>
      </c>
      <c r="K2233">
        <v>6.49</v>
      </c>
      <c r="L2233">
        <v>6.55</v>
      </c>
      <c r="M2233" t="s">
        <v>64</v>
      </c>
      <c r="N2233" t="s">
        <v>162</v>
      </c>
    </row>
    <row r="2234" spans="1:14" x14ac:dyDescent="0.3">
      <c r="A2234" t="s">
        <v>64</v>
      </c>
      <c r="B2234">
        <f>VLOOKUP(M2234,Sheet9!$I$1:$J$17,2,FALSE)</f>
        <v>5</v>
      </c>
      <c r="C2234">
        <f>VLOOKUP(N2234,Sheet9!$M$1:$N$2,2,FALSE)</f>
        <v>1</v>
      </c>
      <c r="D2234">
        <v>16</v>
      </c>
      <c r="E2234" t="s">
        <v>95</v>
      </c>
      <c r="F2234">
        <v>140</v>
      </c>
      <c r="G2234" t="s">
        <v>139</v>
      </c>
      <c r="H2234">
        <v>6</v>
      </c>
      <c r="I2234">
        <v>0.6</v>
      </c>
      <c r="J2234">
        <v>3.6</v>
      </c>
      <c r="K2234">
        <v>10.5</v>
      </c>
      <c r="L2234">
        <v>10.6</v>
      </c>
      <c r="M2234" t="s">
        <v>64</v>
      </c>
      <c r="N2234" t="s">
        <v>162</v>
      </c>
    </row>
    <row r="2235" spans="1:14" x14ac:dyDescent="0.3">
      <c r="A2235" t="s">
        <v>64</v>
      </c>
      <c r="B2235">
        <f>VLOOKUP(M2235,Sheet9!$I$1:$J$17,2,FALSE)</f>
        <v>5</v>
      </c>
      <c r="C2235">
        <f>VLOOKUP(N2235,Sheet9!$M$1:$N$2,2,FALSE)</f>
        <v>1</v>
      </c>
      <c r="D2235">
        <v>16</v>
      </c>
      <c r="E2235" t="s">
        <v>167</v>
      </c>
      <c r="F2235">
        <v>140</v>
      </c>
      <c r="G2235" t="s">
        <v>139</v>
      </c>
      <c r="H2235">
        <v>8</v>
      </c>
      <c r="I2235">
        <v>0.6</v>
      </c>
      <c r="J2235">
        <v>4.8</v>
      </c>
      <c r="K2235">
        <v>11.2</v>
      </c>
      <c r="L2235">
        <v>11.2</v>
      </c>
      <c r="M2235" t="s">
        <v>64</v>
      </c>
      <c r="N2235" t="s">
        <v>162</v>
      </c>
    </row>
    <row r="2236" spans="1:14" x14ac:dyDescent="0.3">
      <c r="A2236" t="s">
        <v>64</v>
      </c>
      <c r="B2236">
        <f>VLOOKUP(M2236,Sheet9!$I$1:$J$17,2,FALSE)</f>
        <v>5</v>
      </c>
      <c r="C2236">
        <f>VLOOKUP(N2236,Sheet9!$M$1:$N$2,2,FALSE)</f>
        <v>1</v>
      </c>
      <c r="D2236">
        <v>16</v>
      </c>
      <c r="E2236" t="s">
        <v>95</v>
      </c>
      <c r="F2236">
        <v>140</v>
      </c>
      <c r="G2236" t="s">
        <v>139</v>
      </c>
      <c r="H2236">
        <v>1</v>
      </c>
      <c r="I2236">
        <v>5</v>
      </c>
      <c r="J2236">
        <v>5</v>
      </c>
      <c r="K2236">
        <v>5.82</v>
      </c>
      <c r="L2236">
        <v>5.87</v>
      </c>
      <c r="M2236" t="s">
        <v>64</v>
      </c>
      <c r="N2236" t="s">
        <v>162</v>
      </c>
    </row>
    <row r="2237" spans="1:14" x14ac:dyDescent="0.3">
      <c r="A2237" t="s">
        <v>64</v>
      </c>
      <c r="B2237">
        <f>VLOOKUP(M2237,Sheet9!$I$1:$J$17,2,FALSE)</f>
        <v>5</v>
      </c>
      <c r="C2237">
        <f>VLOOKUP(N2237,Sheet9!$M$1:$N$2,2,FALSE)</f>
        <v>1</v>
      </c>
      <c r="D2237">
        <v>16</v>
      </c>
      <c r="E2237" t="s">
        <v>167</v>
      </c>
      <c r="F2237">
        <v>140</v>
      </c>
      <c r="G2237" t="s">
        <v>139</v>
      </c>
      <c r="H2237">
        <v>10</v>
      </c>
      <c r="I2237">
        <v>0.6</v>
      </c>
      <c r="J2237">
        <v>6</v>
      </c>
      <c r="K2237">
        <v>7.74</v>
      </c>
      <c r="L2237">
        <v>7.79</v>
      </c>
      <c r="M2237" t="s">
        <v>64</v>
      </c>
      <c r="N2237" t="s">
        <v>162</v>
      </c>
    </row>
    <row r="2238" spans="1:14" x14ac:dyDescent="0.3">
      <c r="A2238" t="s">
        <v>64</v>
      </c>
      <c r="B2238">
        <f>VLOOKUP(M2238,Sheet9!$I$1:$J$17,2,FALSE)</f>
        <v>5</v>
      </c>
      <c r="C2238">
        <f>VLOOKUP(N2238,Sheet9!$M$1:$N$2,2,FALSE)</f>
        <v>1</v>
      </c>
      <c r="D2238">
        <v>16</v>
      </c>
      <c r="E2238" t="s">
        <v>95</v>
      </c>
      <c r="F2238">
        <v>140</v>
      </c>
      <c r="G2238" t="s">
        <v>139</v>
      </c>
      <c r="H2238">
        <v>1</v>
      </c>
      <c r="I2238">
        <v>10</v>
      </c>
      <c r="J2238">
        <v>10</v>
      </c>
      <c r="K2238">
        <v>5.82</v>
      </c>
      <c r="L2238">
        <v>5.87</v>
      </c>
      <c r="M2238" t="s">
        <v>64</v>
      </c>
      <c r="N2238" t="s">
        <v>162</v>
      </c>
    </row>
    <row r="2239" spans="1:14" x14ac:dyDescent="0.3">
      <c r="A2239" t="s">
        <v>64</v>
      </c>
      <c r="B2239">
        <f>VLOOKUP(M2239,Sheet9!$I$1:$J$17,2,FALSE)</f>
        <v>5</v>
      </c>
      <c r="C2239">
        <f>VLOOKUP(N2239,Sheet9!$M$1:$N$2,2,FALSE)</f>
        <v>1</v>
      </c>
      <c r="D2239">
        <v>16</v>
      </c>
      <c r="E2239" t="s">
        <v>95</v>
      </c>
      <c r="F2239">
        <v>140</v>
      </c>
      <c r="G2239" t="s">
        <v>139</v>
      </c>
      <c r="H2239">
        <v>12</v>
      </c>
      <c r="I2239">
        <v>1.2</v>
      </c>
      <c r="J2239">
        <v>14.4</v>
      </c>
      <c r="K2239">
        <v>7.47</v>
      </c>
      <c r="L2239">
        <v>7.54</v>
      </c>
      <c r="M2239" t="s">
        <v>64</v>
      </c>
      <c r="N2239" t="s">
        <v>162</v>
      </c>
    </row>
    <row r="2240" spans="1:14" x14ac:dyDescent="0.3">
      <c r="A2240" t="s">
        <v>64</v>
      </c>
      <c r="B2240">
        <f>VLOOKUP(M2240,Sheet9!$I$1:$J$17,2,FALSE)</f>
        <v>5</v>
      </c>
      <c r="C2240">
        <f>VLOOKUP(N2240,Sheet9!$M$1:$N$2,2,FALSE)</f>
        <v>1</v>
      </c>
      <c r="D2240">
        <v>16</v>
      </c>
      <c r="E2240" t="s">
        <v>167</v>
      </c>
      <c r="F2240">
        <v>140</v>
      </c>
      <c r="G2240" t="s">
        <v>139</v>
      </c>
      <c r="H2240">
        <v>20</v>
      </c>
      <c r="I2240">
        <v>0.6</v>
      </c>
      <c r="J2240">
        <v>12</v>
      </c>
      <c r="K2240">
        <v>7.88</v>
      </c>
      <c r="L2240">
        <v>7.94</v>
      </c>
      <c r="M2240" t="s">
        <v>64</v>
      </c>
      <c r="N2240" t="s">
        <v>162</v>
      </c>
    </row>
    <row r="2241" spans="1:14" x14ac:dyDescent="0.3">
      <c r="A2241" t="s">
        <v>64</v>
      </c>
      <c r="B2241">
        <f>VLOOKUP(M2241,Sheet9!$I$1:$J$17,2,FALSE)</f>
        <v>5</v>
      </c>
      <c r="C2241">
        <f>VLOOKUP(N2241,Sheet9!$M$1:$N$2,2,FALSE)</f>
        <v>1</v>
      </c>
      <c r="D2241">
        <v>16</v>
      </c>
      <c r="E2241" t="s">
        <v>167</v>
      </c>
      <c r="F2241">
        <v>140</v>
      </c>
      <c r="G2241" t="s">
        <v>139</v>
      </c>
      <c r="H2241">
        <v>32</v>
      </c>
      <c r="I2241">
        <v>0.6</v>
      </c>
      <c r="J2241">
        <v>19.2</v>
      </c>
      <c r="K2241">
        <v>7.25</v>
      </c>
      <c r="L2241">
        <v>7.3</v>
      </c>
      <c r="M2241" t="s">
        <v>64</v>
      </c>
      <c r="N2241" t="s">
        <v>162</v>
      </c>
    </row>
    <row r="2242" spans="1:14" x14ac:dyDescent="0.3">
      <c r="A2242" t="s">
        <v>64</v>
      </c>
      <c r="B2242">
        <f>VLOOKUP(M2242,Sheet9!$I$1:$J$17,2,FALSE)</f>
        <v>5</v>
      </c>
      <c r="C2242">
        <f>VLOOKUP(N2242,Sheet9!$M$1:$N$2,2,FALSE)</f>
        <v>1</v>
      </c>
      <c r="D2242">
        <v>16</v>
      </c>
      <c r="E2242" t="s">
        <v>95</v>
      </c>
      <c r="F2242">
        <v>140</v>
      </c>
      <c r="G2242" t="s">
        <v>139</v>
      </c>
      <c r="H2242">
        <v>12</v>
      </c>
      <c r="I2242">
        <v>1.2</v>
      </c>
      <c r="J2242">
        <v>14.4</v>
      </c>
      <c r="K2242">
        <v>6.52</v>
      </c>
      <c r="L2242">
        <v>6.58</v>
      </c>
      <c r="M2242" t="s">
        <v>64</v>
      </c>
      <c r="N2242" t="s">
        <v>162</v>
      </c>
    </row>
    <row r="2243" spans="1:14" x14ac:dyDescent="0.3">
      <c r="A2243" t="s">
        <v>64</v>
      </c>
      <c r="B2243">
        <f>VLOOKUP(M2243,Sheet9!$I$1:$J$17,2,FALSE)</f>
        <v>5</v>
      </c>
      <c r="C2243">
        <f>VLOOKUP(N2243,Sheet9!$M$1:$N$2,2,FALSE)</f>
        <v>1</v>
      </c>
      <c r="D2243">
        <v>16</v>
      </c>
      <c r="E2243" t="s">
        <v>95</v>
      </c>
      <c r="F2243">
        <v>140</v>
      </c>
      <c r="G2243" t="s">
        <v>139</v>
      </c>
      <c r="H2243">
        <v>64</v>
      </c>
      <c r="I2243">
        <v>0.6</v>
      </c>
      <c r="J2243">
        <v>38.4</v>
      </c>
      <c r="K2243">
        <v>6.42</v>
      </c>
      <c r="L2243">
        <v>6.46</v>
      </c>
      <c r="M2243" t="s">
        <v>64</v>
      </c>
      <c r="N2243" t="s">
        <v>162</v>
      </c>
    </row>
    <row r="2244" spans="1:14" x14ac:dyDescent="0.3">
      <c r="A2244" t="s">
        <v>64</v>
      </c>
      <c r="B2244">
        <f>VLOOKUP(M2244,Sheet9!$I$1:$J$17,2,FALSE)</f>
        <v>5</v>
      </c>
      <c r="C2244">
        <f>VLOOKUP(N2244,Sheet9!$M$1:$N$2,2,FALSE)</f>
        <v>1</v>
      </c>
      <c r="D2244">
        <v>16</v>
      </c>
      <c r="E2244" t="s">
        <v>96</v>
      </c>
      <c r="F2244">
        <v>70</v>
      </c>
      <c r="H2244">
        <v>2</v>
      </c>
      <c r="I2244">
        <v>1</v>
      </c>
      <c r="J2244">
        <v>2</v>
      </c>
      <c r="K2244">
        <v>2.3199999999999998</v>
      </c>
      <c r="L2244">
        <v>2.29</v>
      </c>
      <c r="M2244" t="s">
        <v>64</v>
      </c>
      <c r="N2244" t="s">
        <v>162</v>
      </c>
    </row>
    <row r="2245" spans="1:14" x14ac:dyDescent="0.3">
      <c r="A2245" t="s">
        <v>64</v>
      </c>
      <c r="B2245">
        <f>VLOOKUP(M2245,Sheet9!$I$1:$J$17,2,FALSE)</f>
        <v>5</v>
      </c>
      <c r="C2245">
        <f>VLOOKUP(N2245,Sheet9!$M$1:$N$2,2,FALSE)</f>
        <v>1</v>
      </c>
      <c r="D2245">
        <v>16</v>
      </c>
      <c r="E2245" t="s">
        <v>96</v>
      </c>
      <c r="F2245">
        <v>70</v>
      </c>
      <c r="H2245">
        <v>6</v>
      </c>
      <c r="I2245">
        <v>0.6</v>
      </c>
      <c r="J2245">
        <v>3.6</v>
      </c>
      <c r="K2245">
        <v>3.75</v>
      </c>
      <c r="L2245">
        <v>3.71</v>
      </c>
      <c r="M2245" t="s">
        <v>64</v>
      </c>
      <c r="N2245" t="s">
        <v>162</v>
      </c>
    </row>
    <row r="2246" spans="1:14" x14ac:dyDescent="0.3">
      <c r="A2246" t="s">
        <v>64</v>
      </c>
      <c r="B2246">
        <f>VLOOKUP(M2246,Sheet9!$I$1:$J$17,2,FALSE)</f>
        <v>5</v>
      </c>
      <c r="C2246">
        <f>VLOOKUP(N2246,Sheet9!$M$1:$N$2,2,FALSE)</f>
        <v>1</v>
      </c>
      <c r="D2246">
        <v>16</v>
      </c>
      <c r="E2246" t="s">
        <v>168</v>
      </c>
      <c r="F2246">
        <v>70</v>
      </c>
      <c r="H2246">
        <v>8</v>
      </c>
      <c r="I2246">
        <v>0.6</v>
      </c>
      <c r="J2246">
        <v>4.8</v>
      </c>
      <c r="K2246">
        <v>3.95</v>
      </c>
      <c r="L2246">
        <v>3.88</v>
      </c>
      <c r="M2246" t="s">
        <v>64</v>
      </c>
      <c r="N2246" t="s">
        <v>162</v>
      </c>
    </row>
    <row r="2247" spans="1:14" x14ac:dyDescent="0.3">
      <c r="A2247" t="s">
        <v>64</v>
      </c>
      <c r="B2247">
        <f>VLOOKUP(M2247,Sheet9!$I$1:$J$17,2,FALSE)</f>
        <v>5</v>
      </c>
      <c r="C2247">
        <f>VLOOKUP(N2247,Sheet9!$M$1:$N$2,2,FALSE)</f>
        <v>1</v>
      </c>
      <c r="D2247">
        <v>16</v>
      </c>
      <c r="E2247" t="s">
        <v>96</v>
      </c>
      <c r="F2247">
        <v>70</v>
      </c>
      <c r="H2247">
        <v>1</v>
      </c>
      <c r="I2247">
        <v>5</v>
      </c>
      <c r="J2247">
        <v>5</v>
      </c>
      <c r="K2247">
        <v>2.08</v>
      </c>
      <c r="L2247">
        <v>20.6</v>
      </c>
      <c r="M2247" t="s">
        <v>64</v>
      </c>
      <c r="N2247" t="s">
        <v>162</v>
      </c>
    </row>
    <row r="2248" spans="1:14" x14ac:dyDescent="0.3">
      <c r="A2248" t="s">
        <v>64</v>
      </c>
      <c r="B2248">
        <f>VLOOKUP(M2248,Sheet9!$I$1:$J$17,2,FALSE)</f>
        <v>5</v>
      </c>
      <c r="C2248">
        <f>VLOOKUP(N2248,Sheet9!$M$1:$N$2,2,FALSE)</f>
        <v>1</v>
      </c>
      <c r="D2248">
        <v>16</v>
      </c>
      <c r="E2248" t="s">
        <v>168</v>
      </c>
      <c r="F2248">
        <v>70</v>
      </c>
      <c r="H2248">
        <v>10</v>
      </c>
      <c r="I2248">
        <v>0.6</v>
      </c>
      <c r="J2248">
        <v>6</v>
      </c>
      <c r="K2248">
        <v>2.74</v>
      </c>
      <c r="L2248">
        <v>2.69</v>
      </c>
      <c r="M2248" t="s">
        <v>64</v>
      </c>
      <c r="N2248" t="s">
        <v>162</v>
      </c>
    </row>
    <row r="2249" spans="1:14" x14ac:dyDescent="0.3">
      <c r="A2249" t="s">
        <v>64</v>
      </c>
      <c r="B2249">
        <f>VLOOKUP(M2249,Sheet9!$I$1:$J$17,2,FALSE)</f>
        <v>5</v>
      </c>
      <c r="C2249">
        <f>VLOOKUP(N2249,Sheet9!$M$1:$N$2,2,FALSE)</f>
        <v>1</v>
      </c>
      <c r="D2249">
        <v>16</v>
      </c>
      <c r="E2249" t="s">
        <v>96</v>
      </c>
      <c r="F2249">
        <v>70</v>
      </c>
      <c r="H2249">
        <v>1</v>
      </c>
      <c r="I2249">
        <v>10</v>
      </c>
      <c r="J2249">
        <v>10</v>
      </c>
      <c r="K2249">
        <v>2.08</v>
      </c>
      <c r="L2249">
        <v>20.6</v>
      </c>
      <c r="M2249" t="s">
        <v>64</v>
      </c>
      <c r="N2249" t="s">
        <v>162</v>
      </c>
    </row>
    <row r="2250" spans="1:14" x14ac:dyDescent="0.3">
      <c r="A2250" t="s">
        <v>64</v>
      </c>
      <c r="B2250">
        <f>VLOOKUP(M2250,Sheet9!$I$1:$J$17,2,FALSE)</f>
        <v>5</v>
      </c>
      <c r="C2250">
        <f>VLOOKUP(N2250,Sheet9!$M$1:$N$2,2,FALSE)</f>
        <v>1</v>
      </c>
      <c r="D2250">
        <v>16</v>
      </c>
      <c r="E2250" t="s">
        <v>96</v>
      </c>
      <c r="F2250">
        <v>70</v>
      </c>
      <c r="H2250">
        <v>12</v>
      </c>
      <c r="I2250">
        <v>1.2</v>
      </c>
      <c r="J2250">
        <v>14.4</v>
      </c>
      <c r="K2250">
        <v>2.67</v>
      </c>
      <c r="L2250">
        <v>2.64</v>
      </c>
      <c r="M2250" t="s">
        <v>64</v>
      </c>
      <c r="N2250" t="s">
        <v>162</v>
      </c>
    </row>
    <row r="2251" spans="1:14" x14ac:dyDescent="0.3">
      <c r="A2251" t="s">
        <v>64</v>
      </c>
      <c r="B2251">
        <f>VLOOKUP(M2251,Sheet9!$I$1:$J$17,2,FALSE)</f>
        <v>5</v>
      </c>
      <c r="C2251">
        <f>VLOOKUP(N2251,Sheet9!$M$1:$N$2,2,FALSE)</f>
        <v>1</v>
      </c>
      <c r="D2251">
        <v>16</v>
      </c>
      <c r="E2251" t="s">
        <v>168</v>
      </c>
      <c r="F2251">
        <v>70</v>
      </c>
      <c r="H2251">
        <v>20</v>
      </c>
      <c r="I2251">
        <v>0.6</v>
      </c>
      <c r="J2251">
        <v>12</v>
      </c>
      <c r="K2251">
        <v>2.79</v>
      </c>
      <c r="L2251">
        <v>2.74</v>
      </c>
      <c r="M2251" t="s">
        <v>64</v>
      </c>
      <c r="N2251" t="s">
        <v>162</v>
      </c>
    </row>
    <row r="2252" spans="1:14" x14ac:dyDescent="0.3">
      <c r="A2252" t="s">
        <v>64</v>
      </c>
      <c r="B2252">
        <f>VLOOKUP(M2252,Sheet9!$I$1:$J$17,2,FALSE)</f>
        <v>5</v>
      </c>
      <c r="C2252">
        <f>VLOOKUP(N2252,Sheet9!$M$1:$N$2,2,FALSE)</f>
        <v>1</v>
      </c>
      <c r="D2252">
        <v>16</v>
      </c>
      <c r="E2252" t="s">
        <v>168</v>
      </c>
      <c r="F2252">
        <v>70</v>
      </c>
      <c r="H2252">
        <v>32</v>
      </c>
      <c r="I2252">
        <v>0.6</v>
      </c>
      <c r="J2252">
        <v>19.2</v>
      </c>
      <c r="K2252">
        <v>2.58</v>
      </c>
      <c r="L2252">
        <v>2.54</v>
      </c>
      <c r="M2252" t="s">
        <v>64</v>
      </c>
      <c r="N2252" t="s">
        <v>162</v>
      </c>
    </row>
    <row r="2253" spans="1:14" x14ac:dyDescent="0.3">
      <c r="A2253" t="s">
        <v>64</v>
      </c>
      <c r="B2253">
        <f>VLOOKUP(M2253,Sheet9!$I$1:$J$17,2,FALSE)</f>
        <v>5</v>
      </c>
      <c r="C2253">
        <f>VLOOKUP(N2253,Sheet9!$M$1:$N$2,2,FALSE)</f>
        <v>1</v>
      </c>
      <c r="D2253">
        <v>16</v>
      </c>
      <c r="E2253" t="s">
        <v>96</v>
      </c>
      <c r="F2253">
        <v>70</v>
      </c>
      <c r="H2253">
        <v>12</v>
      </c>
      <c r="I2253">
        <v>1.2</v>
      </c>
      <c r="J2253">
        <v>14.4</v>
      </c>
      <c r="K2253">
        <v>2.33</v>
      </c>
      <c r="L2253">
        <v>2.2999999999999998</v>
      </c>
      <c r="M2253" t="s">
        <v>64</v>
      </c>
      <c r="N2253" t="s">
        <v>162</v>
      </c>
    </row>
    <row r="2254" spans="1:14" x14ac:dyDescent="0.3">
      <c r="A2254" t="s">
        <v>64</v>
      </c>
      <c r="B2254">
        <f>VLOOKUP(M2254,Sheet9!$I$1:$J$17,2,FALSE)</f>
        <v>5</v>
      </c>
      <c r="C2254">
        <f>VLOOKUP(N2254,Sheet9!$M$1:$N$2,2,FALSE)</f>
        <v>1</v>
      </c>
      <c r="D2254">
        <v>16</v>
      </c>
      <c r="E2254" t="s">
        <v>96</v>
      </c>
      <c r="F2254">
        <v>70</v>
      </c>
      <c r="H2254">
        <v>64</v>
      </c>
      <c r="I2254">
        <v>0.6</v>
      </c>
      <c r="J2254">
        <v>38.4</v>
      </c>
      <c r="K2254">
        <v>2.27</v>
      </c>
      <c r="L2254">
        <v>2.23</v>
      </c>
      <c r="M2254" t="s">
        <v>64</v>
      </c>
      <c r="N2254" t="s">
        <v>162</v>
      </c>
    </row>
    <row r="2255" spans="1:14" x14ac:dyDescent="0.3">
      <c r="A2255" t="s">
        <v>64</v>
      </c>
      <c r="B2255">
        <f>VLOOKUP(M2255,Sheet9!$I$1:$J$17,2,FALSE)</f>
        <v>5</v>
      </c>
      <c r="C2255">
        <f>VLOOKUP(N2255,Sheet9!$M$1:$N$2,2,FALSE)</f>
        <v>1</v>
      </c>
      <c r="D2255">
        <v>16</v>
      </c>
      <c r="E2255" t="s">
        <v>96</v>
      </c>
      <c r="F2255">
        <v>80</v>
      </c>
      <c r="H2255">
        <v>2</v>
      </c>
      <c r="I2255">
        <v>1</v>
      </c>
      <c r="J2255">
        <v>2</v>
      </c>
      <c r="K2255">
        <v>3.74</v>
      </c>
      <c r="L2255">
        <v>3.67</v>
      </c>
      <c r="M2255" t="s">
        <v>64</v>
      </c>
      <c r="N2255" t="s">
        <v>162</v>
      </c>
    </row>
    <row r="2256" spans="1:14" x14ac:dyDescent="0.3">
      <c r="A2256" t="s">
        <v>64</v>
      </c>
      <c r="B2256">
        <f>VLOOKUP(M2256,Sheet9!$I$1:$J$17,2,FALSE)</f>
        <v>5</v>
      </c>
      <c r="C2256">
        <f>VLOOKUP(N2256,Sheet9!$M$1:$N$2,2,FALSE)</f>
        <v>1</v>
      </c>
      <c r="D2256">
        <v>16</v>
      </c>
      <c r="E2256" t="s">
        <v>96</v>
      </c>
      <c r="F2256">
        <v>80</v>
      </c>
      <c r="H2256">
        <v>6</v>
      </c>
      <c r="I2256">
        <v>0.6</v>
      </c>
      <c r="J2256">
        <v>3.6</v>
      </c>
      <c r="K2256">
        <v>6.05</v>
      </c>
      <c r="L2256">
        <v>5.94</v>
      </c>
      <c r="M2256" t="s">
        <v>64</v>
      </c>
      <c r="N2256" t="s">
        <v>162</v>
      </c>
    </row>
    <row r="2257" spans="1:14" x14ac:dyDescent="0.3">
      <c r="A2257" t="s">
        <v>64</v>
      </c>
      <c r="B2257">
        <f>VLOOKUP(M2257,Sheet9!$I$1:$J$17,2,FALSE)</f>
        <v>5</v>
      </c>
      <c r="C2257">
        <f>VLOOKUP(N2257,Sheet9!$M$1:$N$2,2,FALSE)</f>
        <v>1</v>
      </c>
      <c r="D2257">
        <v>16</v>
      </c>
      <c r="E2257" t="s">
        <v>168</v>
      </c>
      <c r="F2257">
        <v>80</v>
      </c>
      <c r="H2257">
        <v>8</v>
      </c>
      <c r="I2257">
        <v>0.6</v>
      </c>
      <c r="J2257">
        <v>4.8</v>
      </c>
      <c r="K2257">
        <v>6.38</v>
      </c>
      <c r="L2257">
        <v>6.23</v>
      </c>
      <c r="M2257" t="s">
        <v>64</v>
      </c>
      <c r="N2257" t="s">
        <v>162</v>
      </c>
    </row>
    <row r="2258" spans="1:14" x14ac:dyDescent="0.3">
      <c r="A2258" t="s">
        <v>64</v>
      </c>
      <c r="B2258">
        <f>VLOOKUP(M2258,Sheet9!$I$1:$J$17,2,FALSE)</f>
        <v>5</v>
      </c>
      <c r="C2258">
        <f>VLOOKUP(N2258,Sheet9!$M$1:$N$2,2,FALSE)</f>
        <v>1</v>
      </c>
      <c r="D2258">
        <v>16</v>
      </c>
      <c r="E2258" t="s">
        <v>96</v>
      </c>
      <c r="F2258">
        <v>80</v>
      </c>
      <c r="H2258">
        <v>1</v>
      </c>
      <c r="I2258">
        <v>5</v>
      </c>
      <c r="J2258">
        <v>5</v>
      </c>
      <c r="K2258">
        <v>3.35</v>
      </c>
      <c r="L2258">
        <v>3.29</v>
      </c>
      <c r="M2258" t="s">
        <v>64</v>
      </c>
      <c r="N2258" t="s">
        <v>162</v>
      </c>
    </row>
    <row r="2259" spans="1:14" x14ac:dyDescent="0.3">
      <c r="A2259" t="s">
        <v>64</v>
      </c>
      <c r="B2259">
        <f>VLOOKUP(M2259,Sheet9!$I$1:$J$17,2,FALSE)</f>
        <v>5</v>
      </c>
      <c r="C2259">
        <f>VLOOKUP(N2259,Sheet9!$M$1:$N$2,2,FALSE)</f>
        <v>1</v>
      </c>
      <c r="D2259">
        <v>16</v>
      </c>
      <c r="E2259" t="s">
        <v>168</v>
      </c>
      <c r="F2259">
        <v>80</v>
      </c>
      <c r="H2259">
        <v>10</v>
      </c>
      <c r="I2259">
        <v>0.6</v>
      </c>
      <c r="J2259">
        <v>6</v>
      </c>
      <c r="K2259">
        <v>4.43</v>
      </c>
      <c r="L2259">
        <v>4.32</v>
      </c>
      <c r="M2259" t="s">
        <v>64</v>
      </c>
      <c r="N2259" t="s">
        <v>162</v>
      </c>
    </row>
    <row r="2260" spans="1:14" x14ac:dyDescent="0.3">
      <c r="A2260" t="s">
        <v>64</v>
      </c>
      <c r="B2260">
        <f>VLOOKUP(M2260,Sheet9!$I$1:$J$17,2,FALSE)</f>
        <v>5</v>
      </c>
      <c r="C2260">
        <f>VLOOKUP(N2260,Sheet9!$M$1:$N$2,2,FALSE)</f>
        <v>1</v>
      </c>
      <c r="D2260">
        <v>16</v>
      </c>
      <c r="E2260" t="s">
        <v>96</v>
      </c>
      <c r="F2260">
        <v>80</v>
      </c>
      <c r="H2260">
        <v>1</v>
      </c>
      <c r="I2260">
        <v>10</v>
      </c>
      <c r="J2260">
        <v>10</v>
      </c>
      <c r="K2260">
        <v>3.35</v>
      </c>
      <c r="L2260">
        <v>3.29</v>
      </c>
      <c r="M2260" t="s">
        <v>64</v>
      </c>
      <c r="N2260" t="s">
        <v>162</v>
      </c>
    </row>
    <row r="2261" spans="1:14" x14ac:dyDescent="0.3">
      <c r="A2261" t="s">
        <v>64</v>
      </c>
      <c r="B2261">
        <f>VLOOKUP(M2261,Sheet9!$I$1:$J$17,2,FALSE)</f>
        <v>5</v>
      </c>
      <c r="C2261">
        <f>VLOOKUP(N2261,Sheet9!$M$1:$N$2,2,FALSE)</f>
        <v>1</v>
      </c>
      <c r="D2261">
        <v>16</v>
      </c>
      <c r="E2261" t="s">
        <v>96</v>
      </c>
      <c r="F2261">
        <v>80</v>
      </c>
      <c r="H2261">
        <v>12</v>
      </c>
      <c r="I2261">
        <v>1.2</v>
      </c>
      <c r="J2261">
        <v>14.4</v>
      </c>
      <c r="K2261">
        <v>4.3</v>
      </c>
      <c r="L2261">
        <v>4.22</v>
      </c>
      <c r="M2261" t="s">
        <v>64</v>
      </c>
      <c r="N2261" t="s">
        <v>162</v>
      </c>
    </row>
    <row r="2262" spans="1:14" x14ac:dyDescent="0.3">
      <c r="A2262" t="s">
        <v>64</v>
      </c>
      <c r="B2262">
        <f>VLOOKUP(M2262,Sheet9!$I$1:$J$17,2,FALSE)</f>
        <v>5</v>
      </c>
      <c r="C2262">
        <f>VLOOKUP(N2262,Sheet9!$M$1:$N$2,2,FALSE)</f>
        <v>1</v>
      </c>
      <c r="D2262">
        <v>16</v>
      </c>
      <c r="E2262" t="s">
        <v>168</v>
      </c>
      <c r="F2262">
        <v>80</v>
      </c>
      <c r="H2262">
        <v>20</v>
      </c>
      <c r="I2262">
        <v>0.6</v>
      </c>
      <c r="J2262">
        <v>12</v>
      </c>
      <c r="K2262">
        <v>4.51</v>
      </c>
      <c r="L2262">
        <v>4.4000000000000004</v>
      </c>
      <c r="M2262" t="s">
        <v>64</v>
      </c>
      <c r="N2262" t="s">
        <v>162</v>
      </c>
    </row>
    <row r="2263" spans="1:14" x14ac:dyDescent="0.3">
      <c r="A2263" t="s">
        <v>64</v>
      </c>
      <c r="B2263">
        <f>VLOOKUP(M2263,Sheet9!$I$1:$J$17,2,FALSE)</f>
        <v>5</v>
      </c>
      <c r="C2263">
        <f>VLOOKUP(N2263,Sheet9!$M$1:$N$2,2,FALSE)</f>
        <v>1</v>
      </c>
      <c r="D2263">
        <v>16</v>
      </c>
      <c r="E2263" t="s">
        <v>168</v>
      </c>
      <c r="F2263">
        <v>80</v>
      </c>
      <c r="H2263">
        <v>32</v>
      </c>
      <c r="I2263">
        <v>0.6</v>
      </c>
      <c r="J2263">
        <v>19.2</v>
      </c>
      <c r="K2263">
        <v>4.16</v>
      </c>
      <c r="L2263">
        <v>4.07</v>
      </c>
      <c r="M2263" t="s">
        <v>64</v>
      </c>
      <c r="N2263" t="s">
        <v>162</v>
      </c>
    </row>
    <row r="2264" spans="1:14" x14ac:dyDescent="0.3">
      <c r="A2264" t="s">
        <v>64</v>
      </c>
      <c r="B2264">
        <f>VLOOKUP(M2264,Sheet9!$I$1:$J$17,2,FALSE)</f>
        <v>5</v>
      </c>
      <c r="C2264">
        <f>VLOOKUP(N2264,Sheet9!$M$1:$N$2,2,FALSE)</f>
        <v>1</v>
      </c>
      <c r="D2264">
        <v>16</v>
      </c>
      <c r="E2264" t="s">
        <v>96</v>
      </c>
      <c r="F2264">
        <v>80</v>
      </c>
      <c r="H2264">
        <v>12</v>
      </c>
      <c r="I2264">
        <v>1.2</v>
      </c>
      <c r="J2264">
        <v>14.4</v>
      </c>
      <c r="K2264">
        <v>3.76</v>
      </c>
      <c r="L2264">
        <v>3.68</v>
      </c>
      <c r="M2264" t="s">
        <v>64</v>
      </c>
      <c r="N2264" t="s">
        <v>162</v>
      </c>
    </row>
    <row r="2265" spans="1:14" x14ac:dyDescent="0.3">
      <c r="A2265" t="s">
        <v>64</v>
      </c>
      <c r="B2265">
        <f>VLOOKUP(M2265,Sheet9!$I$1:$J$17,2,FALSE)</f>
        <v>5</v>
      </c>
      <c r="C2265">
        <f>VLOOKUP(N2265,Sheet9!$M$1:$N$2,2,FALSE)</f>
        <v>1</v>
      </c>
      <c r="D2265">
        <v>16</v>
      </c>
      <c r="E2265" t="s">
        <v>96</v>
      </c>
      <c r="F2265">
        <v>80</v>
      </c>
      <c r="H2265">
        <v>64</v>
      </c>
      <c r="I2265">
        <v>0.6</v>
      </c>
      <c r="J2265">
        <v>38.4</v>
      </c>
      <c r="K2265">
        <v>3.67</v>
      </c>
      <c r="L2265">
        <v>3.58</v>
      </c>
      <c r="M2265" t="s">
        <v>64</v>
      </c>
      <c r="N2265" t="s">
        <v>162</v>
      </c>
    </row>
    <row r="2266" spans="1:14" x14ac:dyDescent="0.3">
      <c r="A2266" t="s">
        <v>64</v>
      </c>
      <c r="B2266">
        <f>VLOOKUP(M2266,Sheet9!$I$1:$J$17,2,FALSE)</f>
        <v>5</v>
      </c>
      <c r="C2266">
        <f>VLOOKUP(N2266,Sheet9!$M$1:$N$2,2,FALSE)</f>
        <v>1</v>
      </c>
      <c r="D2266">
        <v>16</v>
      </c>
      <c r="E2266" t="s">
        <v>96</v>
      </c>
      <c r="F2266">
        <v>90</v>
      </c>
      <c r="H2266">
        <v>2</v>
      </c>
      <c r="I2266">
        <v>1</v>
      </c>
      <c r="J2266">
        <v>2</v>
      </c>
      <c r="K2266">
        <v>5.54</v>
      </c>
      <c r="L2266">
        <v>5.42</v>
      </c>
      <c r="M2266" t="s">
        <v>64</v>
      </c>
      <c r="N2266" t="s">
        <v>162</v>
      </c>
    </row>
    <row r="2267" spans="1:14" x14ac:dyDescent="0.3">
      <c r="A2267" t="s">
        <v>64</v>
      </c>
      <c r="B2267">
        <f>VLOOKUP(M2267,Sheet9!$I$1:$J$17,2,FALSE)</f>
        <v>5</v>
      </c>
      <c r="C2267">
        <f>VLOOKUP(N2267,Sheet9!$M$1:$N$2,2,FALSE)</f>
        <v>1</v>
      </c>
      <c r="D2267">
        <v>16</v>
      </c>
      <c r="E2267" t="s">
        <v>96</v>
      </c>
      <c r="F2267">
        <v>90</v>
      </c>
      <c r="H2267">
        <v>6</v>
      </c>
      <c r="I2267">
        <v>0.6</v>
      </c>
      <c r="J2267">
        <v>3.6</v>
      </c>
      <c r="K2267">
        <v>8.9700000000000006</v>
      </c>
      <c r="L2267">
        <v>8.77</v>
      </c>
      <c r="M2267" t="s">
        <v>64</v>
      </c>
      <c r="N2267" t="s">
        <v>162</v>
      </c>
    </row>
    <row r="2268" spans="1:14" x14ac:dyDescent="0.3">
      <c r="A2268" t="s">
        <v>64</v>
      </c>
      <c r="B2268">
        <f>VLOOKUP(M2268,Sheet9!$I$1:$J$17,2,FALSE)</f>
        <v>5</v>
      </c>
      <c r="C2268">
        <f>VLOOKUP(N2268,Sheet9!$M$1:$N$2,2,FALSE)</f>
        <v>1</v>
      </c>
      <c r="D2268">
        <v>16</v>
      </c>
      <c r="E2268" t="s">
        <v>168</v>
      </c>
      <c r="F2268">
        <v>90</v>
      </c>
      <c r="H2268">
        <v>8</v>
      </c>
      <c r="I2268">
        <v>0.6</v>
      </c>
      <c r="J2268">
        <v>4.8</v>
      </c>
      <c r="K2268">
        <v>9.4700000000000006</v>
      </c>
      <c r="L2268">
        <v>9.1999999999999993</v>
      </c>
      <c r="M2268" t="s">
        <v>64</v>
      </c>
      <c r="N2268" t="s">
        <v>162</v>
      </c>
    </row>
    <row r="2269" spans="1:14" x14ac:dyDescent="0.3">
      <c r="A2269" t="s">
        <v>64</v>
      </c>
      <c r="B2269">
        <f>VLOOKUP(M2269,Sheet9!$I$1:$J$17,2,FALSE)</f>
        <v>5</v>
      </c>
      <c r="C2269">
        <f>VLOOKUP(N2269,Sheet9!$M$1:$N$2,2,FALSE)</f>
        <v>1</v>
      </c>
      <c r="D2269">
        <v>16</v>
      </c>
      <c r="E2269" t="s">
        <v>96</v>
      </c>
      <c r="F2269">
        <v>90</v>
      </c>
      <c r="H2269">
        <v>1</v>
      </c>
      <c r="I2269">
        <v>5</v>
      </c>
      <c r="J2269">
        <v>5</v>
      </c>
      <c r="K2269">
        <v>4.97</v>
      </c>
      <c r="L2269">
        <v>4.8600000000000003</v>
      </c>
      <c r="M2269" t="s">
        <v>64</v>
      </c>
      <c r="N2269" t="s">
        <v>162</v>
      </c>
    </row>
    <row r="2270" spans="1:14" x14ac:dyDescent="0.3">
      <c r="A2270" t="s">
        <v>64</v>
      </c>
      <c r="B2270">
        <f>VLOOKUP(M2270,Sheet9!$I$1:$J$17,2,FALSE)</f>
        <v>5</v>
      </c>
      <c r="C2270">
        <f>VLOOKUP(N2270,Sheet9!$M$1:$N$2,2,FALSE)</f>
        <v>1</v>
      </c>
      <c r="D2270">
        <v>16</v>
      </c>
      <c r="E2270" t="s">
        <v>168</v>
      </c>
      <c r="F2270">
        <v>90</v>
      </c>
      <c r="H2270">
        <v>10</v>
      </c>
      <c r="I2270">
        <v>0.6</v>
      </c>
      <c r="J2270">
        <v>6</v>
      </c>
      <c r="K2270">
        <v>6.57</v>
      </c>
      <c r="L2270">
        <v>6.38</v>
      </c>
      <c r="M2270" t="s">
        <v>64</v>
      </c>
      <c r="N2270" t="s">
        <v>162</v>
      </c>
    </row>
    <row r="2271" spans="1:14" x14ac:dyDescent="0.3">
      <c r="A2271" t="s">
        <v>64</v>
      </c>
      <c r="B2271">
        <f>VLOOKUP(M2271,Sheet9!$I$1:$J$17,2,FALSE)</f>
        <v>5</v>
      </c>
      <c r="C2271">
        <f>VLOOKUP(N2271,Sheet9!$M$1:$N$2,2,FALSE)</f>
        <v>1</v>
      </c>
      <c r="D2271">
        <v>16</v>
      </c>
      <c r="E2271" t="s">
        <v>96</v>
      </c>
      <c r="F2271">
        <v>90</v>
      </c>
      <c r="H2271">
        <v>1</v>
      </c>
      <c r="I2271">
        <v>10</v>
      </c>
      <c r="J2271">
        <v>10</v>
      </c>
      <c r="K2271">
        <v>4.97</v>
      </c>
      <c r="L2271">
        <v>4.8600000000000003</v>
      </c>
      <c r="M2271" t="s">
        <v>64</v>
      </c>
      <c r="N2271" t="s">
        <v>162</v>
      </c>
    </row>
    <row r="2272" spans="1:14" x14ac:dyDescent="0.3">
      <c r="A2272" t="s">
        <v>64</v>
      </c>
      <c r="B2272">
        <f>VLOOKUP(M2272,Sheet9!$I$1:$J$17,2,FALSE)</f>
        <v>5</v>
      </c>
      <c r="C2272">
        <f>VLOOKUP(N2272,Sheet9!$M$1:$N$2,2,FALSE)</f>
        <v>1</v>
      </c>
      <c r="D2272">
        <v>16</v>
      </c>
      <c r="E2272" t="s">
        <v>96</v>
      </c>
      <c r="F2272">
        <v>90</v>
      </c>
      <c r="H2272">
        <v>12</v>
      </c>
      <c r="I2272">
        <v>1.2</v>
      </c>
      <c r="J2272">
        <v>14.4</v>
      </c>
      <c r="K2272">
        <v>6.38</v>
      </c>
      <c r="L2272">
        <v>6.24</v>
      </c>
      <c r="M2272" t="s">
        <v>64</v>
      </c>
      <c r="N2272" t="s">
        <v>162</v>
      </c>
    </row>
    <row r="2273" spans="1:14" x14ac:dyDescent="0.3">
      <c r="A2273" t="s">
        <v>64</v>
      </c>
      <c r="B2273">
        <f>VLOOKUP(M2273,Sheet9!$I$1:$J$17,2,FALSE)</f>
        <v>5</v>
      </c>
      <c r="C2273">
        <f>VLOOKUP(N2273,Sheet9!$M$1:$N$2,2,FALSE)</f>
        <v>1</v>
      </c>
      <c r="D2273">
        <v>16</v>
      </c>
      <c r="E2273" t="s">
        <v>168</v>
      </c>
      <c r="F2273">
        <v>90</v>
      </c>
      <c r="H2273">
        <v>20</v>
      </c>
      <c r="I2273">
        <v>0.6</v>
      </c>
      <c r="J2273">
        <v>12</v>
      </c>
      <c r="K2273">
        <v>6.69</v>
      </c>
      <c r="L2273">
        <v>6.5</v>
      </c>
      <c r="M2273" t="s">
        <v>64</v>
      </c>
      <c r="N2273" t="s">
        <v>162</v>
      </c>
    </row>
    <row r="2274" spans="1:14" x14ac:dyDescent="0.3">
      <c r="A2274" t="s">
        <v>64</v>
      </c>
      <c r="B2274">
        <f>VLOOKUP(M2274,Sheet9!$I$1:$J$17,2,FALSE)</f>
        <v>5</v>
      </c>
      <c r="C2274">
        <f>VLOOKUP(N2274,Sheet9!$M$1:$N$2,2,FALSE)</f>
        <v>1</v>
      </c>
      <c r="D2274">
        <v>16</v>
      </c>
      <c r="E2274" t="s">
        <v>168</v>
      </c>
      <c r="F2274">
        <v>90</v>
      </c>
      <c r="H2274">
        <v>32</v>
      </c>
      <c r="I2274">
        <v>0.6</v>
      </c>
      <c r="J2274">
        <v>19.2</v>
      </c>
      <c r="K2274">
        <v>6.17</v>
      </c>
      <c r="L2274">
        <v>6.01</v>
      </c>
      <c r="M2274" t="s">
        <v>64</v>
      </c>
      <c r="N2274" t="s">
        <v>162</v>
      </c>
    </row>
    <row r="2275" spans="1:14" x14ac:dyDescent="0.3">
      <c r="A2275" t="s">
        <v>64</v>
      </c>
      <c r="B2275">
        <f>VLOOKUP(M2275,Sheet9!$I$1:$J$17,2,FALSE)</f>
        <v>5</v>
      </c>
      <c r="C2275">
        <f>VLOOKUP(N2275,Sheet9!$M$1:$N$2,2,FALSE)</f>
        <v>1</v>
      </c>
      <c r="D2275">
        <v>16</v>
      </c>
      <c r="E2275" t="s">
        <v>96</v>
      </c>
      <c r="F2275">
        <v>90</v>
      </c>
      <c r="H2275">
        <v>12</v>
      </c>
      <c r="I2275">
        <v>1.2</v>
      </c>
      <c r="J2275">
        <v>14.4</v>
      </c>
      <c r="K2275">
        <v>5.56</v>
      </c>
      <c r="L2275">
        <v>5.44</v>
      </c>
      <c r="M2275" t="s">
        <v>64</v>
      </c>
      <c r="N2275" t="s">
        <v>162</v>
      </c>
    </row>
    <row r="2276" spans="1:14" x14ac:dyDescent="0.3">
      <c r="A2276" t="s">
        <v>64</v>
      </c>
      <c r="B2276">
        <f>VLOOKUP(M2276,Sheet9!$I$1:$J$17,2,FALSE)</f>
        <v>5</v>
      </c>
      <c r="C2276">
        <f>VLOOKUP(N2276,Sheet9!$M$1:$N$2,2,FALSE)</f>
        <v>1</v>
      </c>
      <c r="D2276">
        <v>16</v>
      </c>
      <c r="E2276" t="s">
        <v>96</v>
      </c>
      <c r="F2276">
        <v>90</v>
      </c>
      <c r="H2276">
        <v>64</v>
      </c>
      <c r="I2276">
        <v>0.6</v>
      </c>
      <c r="J2276">
        <v>38.4</v>
      </c>
      <c r="K2276">
        <v>5.45</v>
      </c>
      <c r="L2276">
        <v>5.29</v>
      </c>
      <c r="M2276" t="s">
        <v>64</v>
      </c>
      <c r="N2276" t="s">
        <v>162</v>
      </c>
    </row>
    <row r="2277" spans="1:14" x14ac:dyDescent="0.3">
      <c r="A2277" t="s">
        <v>64</v>
      </c>
      <c r="B2277">
        <f>VLOOKUP(M2277,Sheet9!$I$1:$J$17,2,FALSE)</f>
        <v>5</v>
      </c>
      <c r="C2277">
        <f>VLOOKUP(N2277,Sheet9!$M$1:$N$2,2,FALSE)</f>
        <v>1</v>
      </c>
      <c r="D2277">
        <v>16</v>
      </c>
      <c r="E2277" t="s">
        <v>96</v>
      </c>
      <c r="F2277">
        <v>100</v>
      </c>
      <c r="H2277">
        <v>2</v>
      </c>
      <c r="I2277">
        <v>1</v>
      </c>
      <c r="J2277">
        <v>2</v>
      </c>
      <c r="K2277">
        <v>7.66</v>
      </c>
      <c r="L2277">
        <v>7.48</v>
      </c>
      <c r="M2277" t="s">
        <v>64</v>
      </c>
      <c r="N2277" t="s">
        <v>162</v>
      </c>
    </row>
    <row r="2278" spans="1:14" x14ac:dyDescent="0.3">
      <c r="A2278" t="s">
        <v>64</v>
      </c>
      <c r="B2278">
        <f>VLOOKUP(M2278,Sheet9!$I$1:$J$17,2,FALSE)</f>
        <v>5</v>
      </c>
      <c r="C2278">
        <f>VLOOKUP(N2278,Sheet9!$M$1:$N$2,2,FALSE)</f>
        <v>1</v>
      </c>
      <c r="D2278">
        <v>16</v>
      </c>
      <c r="E2278" t="s">
        <v>96</v>
      </c>
      <c r="F2278">
        <v>100</v>
      </c>
      <c r="H2278">
        <v>6</v>
      </c>
      <c r="I2278">
        <v>0.6</v>
      </c>
      <c r="J2278">
        <v>3.6</v>
      </c>
      <c r="K2278">
        <v>12.4</v>
      </c>
      <c r="L2278">
        <v>12.1</v>
      </c>
      <c r="M2278" t="s">
        <v>64</v>
      </c>
      <c r="N2278" t="s">
        <v>162</v>
      </c>
    </row>
    <row r="2279" spans="1:14" x14ac:dyDescent="0.3">
      <c r="A2279" t="s">
        <v>64</v>
      </c>
      <c r="B2279">
        <f>VLOOKUP(M2279,Sheet9!$I$1:$J$17,2,FALSE)</f>
        <v>5</v>
      </c>
      <c r="C2279">
        <f>VLOOKUP(N2279,Sheet9!$M$1:$N$2,2,FALSE)</f>
        <v>1</v>
      </c>
      <c r="D2279">
        <v>16</v>
      </c>
      <c r="E2279" t="s">
        <v>168</v>
      </c>
      <c r="F2279">
        <v>100</v>
      </c>
      <c r="H2279">
        <v>8</v>
      </c>
      <c r="I2279">
        <v>0.6</v>
      </c>
      <c r="J2279">
        <v>4.8</v>
      </c>
      <c r="K2279">
        <v>13.1</v>
      </c>
      <c r="L2279">
        <v>12.7</v>
      </c>
      <c r="M2279" t="s">
        <v>64</v>
      </c>
      <c r="N2279" t="s">
        <v>162</v>
      </c>
    </row>
    <row r="2280" spans="1:14" x14ac:dyDescent="0.3">
      <c r="A2280" t="s">
        <v>64</v>
      </c>
      <c r="B2280">
        <f>VLOOKUP(M2280,Sheet9!$I$1:$J$17,2,FALSE)</f>
        <v>5</v>
      </c>
      <c r="C2280">
        <f>VLOOKUP(N2280,Sheet9!$M$1:$N$2,2,FALSE)</f>
        <v>1</v>
      </c>
      <c r="D2280">
        <v>16</v>
      </c>
      <c r="E2280" t="s">
        <v>96</v>
      </c>
      <c r="F2280">
        <v>100</v>
      </c>
      <c r="H2280">
        <v>1</v>
      </c>
      <c r="I2280">
        <v>5</v>
      </c>
      <c r="J2280">
        <v>5</v>
      </c>
      <c r="K2280">
        <v>6.87</v>
      </c>
      <c r="L2280">
        <v>6.71</v>
      </c>
      <c r="M2280" t="s">
        <v>64</v>
      </c>
      <c r="N2280" t="s">
        <v>162</v>
      </c>
    </row>
    <row r="2281" spans="1:14" x14ac:dyDescent="0.3">
      <c r="A2281" t="s">
        <v>64</v>
      </c>
      <c r="B2281">
        <f>VLOOKUP(M2281,Sheet9!$I$1:$J$17,2,FALSE)</f>
        <v>5</v>
      </c>
      <c r="C2281">
        <f>VLOOKUP(N2281,Sheet9!$M$1:$N$2,2,FALSE)</f>
        <v>1</v>
      </c>
      <c r="D2281">
        <v>16</v>
      </c>
      <c r="E2281" t="s">
        <v>168</v>
      </c>
      <c r="F2281">
        <v>100</v>
      </c>
      <c r="H2281">
        <v>10</v>
      </c>
      <c r="I2281">
        <v>0.6</v>
      </c>
      <c r="J2281">
        <v>6</v>
      </c>
      <c r="K2281">
        <v>9.08</v>
      </c>
      <c r="L2281">
        <v>8.81</v>
      </c>
      <c r="M2281" t="s">
        <v>64</v>
      </c>
      <c r="N2281" t="s">
        <v>162</v>
      </c>
    </row>
    <row r="2282" spans="1:14" x14ac:dyDescent="0.3">
      <c r="A2282" t="s">
        <v>64</v>
      </c>
      <c r="B2282">
        <f>VLOOKUP(M2282,Sheet9!$I$1:$J$17,2,FALSE)</f>
        <v>5</v>
      </c>
      <c r="C2282">
        <f>VLOOKUP(N2282,Sheet9!$M$1:$N$2,2,FALSE)</f>
        <v>1</v>
      </c>
      <c r="D2282">
        <v>16</v>
      </c>
      <c r="E2282" t="s">
        <v>96</v>
      </c>
      <c r="F2282">
        <v>100</v>
      </c>
      <c r="H2282">
        <v>1</v>
      </c>
      <c r="I2282">
        <v>10</v>
      </c>
      <c r="J2282">
        <v>10</v>
      </c>
      <c r="K2282">
        <v>6.87</v>
      </c>
      <c r="L2282">
        <v>6.71</v>
      </c>
      <c r="M2282" t="s">
        <v>64</v>
      </c>
      <c r="N2282" t="s">
        <v>162</v>
      </c>
    </row>
    <row r="2283" spans="1:14" x14ac:dyDescent="0.3">
      <c r="A2283" t="s">
        <v>64</v>
      </c>
      <c r="B2283">
        <f>VLOOKUP(M2283,Sheet9!$I$1:$J$17,2,FALSE)</f>
        <v>5</v>
      </c>
      <c r="C2283">
        <f>VLOOKUP(N2283,Sheet9!$M$1:$N$2,2,FALSE)</f>
        <v>1</v>
      </c>
      <c r="D2283">
        <v>16</v>
      </c>
      <c r="E2283" t="s">
        <v>96</v>
      </c>
      <c r="F2283">
        <v>100</v>
      </c>
      <c r="H2283">
        <v>12</v>
      </c>
      <c r="I2283">
        <v>1.2</v>
      </c>
      <c r="J2283">
        <v>14.4</v>
      </c>
      <c r="K2283">
        <v>8.81</v>
      </c>
      <c r="L2283">
        <v>8.6</v>
      </c>
      <c r="M2283" t="s">
        <v>64</v>
      </c>
      <c r="N2283" t="s">
        <v>162</v>
      </c>
    </row>
    <row r="2284" spans="1:14" x14ac:dyDescent="0.3">
      <c r="A2284" t="s">
        <v>64</v>
      </c>
      <c r="B2284">
        <f>VLOOKUP(M2284,Sheet9!$I$1:$J$17,2,FALSE)</f>
        <v>5</v>
      </c>
      <c r="C2284">
        <f>VLOOKUP(N2284,Sheet9!$M$1:$N$2,2,FALSE)</f>
        <v>1</v>
      </c>
      <c r="D2284">
        <v>16</v>
      </c>
      <c r="E2284" t="s">
        <v>168</v>
      </c>
      <c r="F2284">
        <v>100</v>
      </c>
      <c r="H2284">
        <v>20</v>
      </c>
      <c r="I2284">
        <v>0.6</v>
      </c>
      <c r="J2284">
        <v>12</v>
      </c>
      <c r="K2284">
        <v>9.25</v>
      </c>
      <c r="L2284">
        <v>8.98</v>
      </c>
      <c r="M2284" t="s">
        <v>64</v>
      </c>
      <c r="N2284" t="s">
        <v>162</v>
      </c>
    </row>
    <row r="2285" spans="1:14" x14ac:dyDescent="0.3">
      <c r="A2285" t="s">
        <v>64</v>
      </c>
      <c r="B2285">
        <f>VLOOKUP(M2285,Sheet9!$I$1:$J$17,2,FALSE)</f>
        <v>5</v>
      </c>
      <c r="C2285">
        <f>VLOOKUP(N2285,Sheet9!$M$1:$N$2,2,FALSE)</f>
        <v>1</v>
      </c>
      <c r="D2285">
        <v>16</v>
      </c>
      <c r="E2285" t="s">
        <v>168</v>
      </c>
      <c r="F2285">
        <v>100</v>
      </c>
      <c r="H2285">
        <v>32</v>
      </c>
      <c r="I2285">
        <v>0.6</v>
      </c>
      <c r="J2285">
        <v>19.2</v>
      </c>
      <c r="K2285">
        <v>8.5299999999999994</v>
      </c>
      <c r="L2285">
        <v>8.3000000000000007</v>
      </c>
      <c r="M2285" t="s">
        <v>64</v>
      </c>
      <c r="N2285" t="s">
        <v>162</v>
      </c>
    </row>
    <row r="2286" spans="1:14" x14ac:dyDescent="0.3">
      <c r="A2286" t="s">
        <v>64</v>
      </c>
      <c r="B2286">
        <f>VLOOKUP(M2286,Sheet9!$I$1:$J$17,2,FALSE)</f>
        <v>5</v>
      </c>
      <c r="C2286">
        <f>VLOOKUP(N2286,Sheet9!$M$1:$N$2,2,FALSE)</f>
        <v>1</v>
      </c>
      <c r="D2286">
        <v>16</v>
      </c>
      <c r="E2286" t="s">
        <v>96</v>
      </c>
      <c r="F2286">
        <v>100</v>
      </c>
      <c r="H2286">
        <v>12</v>
      </c>
      <c r="I2286">
        <v>1.2</v>
      </c>
      <c r="J2286">
        <v>14.4</v>
      </c>
      <c r="K2286">
        <v>7.69</v>
      </c>
      <c r="L2286">
        <v>7.51</v>
      </c>
      <c r="M2286" t="s">
        <v>64</v>
      </c>
      <c r="N2286" t="s">
        <v>162</v>
      </c>
    </row>
    <row r="2287" spans="1:14" x14ac:dyDescent="0.3">
      <c r="A2287" t="s">
        <v>64</v>
      </c>
      <c r="B2287">
        <f>VLOOKUP(M2287,Sheet9!$I$1:$J$17,2,FALSE)</f>
        <v>5</v>
      </c>
      <c r="C2287">
        <f>VLOOKUP(N2287,Sheet9!$M$1:$N$2,2,FALSE)</f>
        <v>1</v>
      </c>
      <c r="D2287">
        <v>16</v>
      </c>
      <c r="E2287" t="s">
        <v>96</v>
      </c>
      <c r="F2287">
        <v>100</v>
      </c>
      <c r="H2287">
        <v>64</v>
      </c>
      <c r="I2287">
        <v>0.6</v>
      </c>
      <c r="J2287">
        <v>38.4</v>
      </c>
      <c r="K2287">
        <v>7.53</v>
      </c>
      <c r="L2287">
        <v>7.31</v>
      </c>
      <c r="M2287" t="s">
        <v>64</v>
      </c>
      <c r="N2287" t="s">
        <v>162</v>
      </c>
    </row>
    <row r="2288" spans="1:14" x14ac:dyDescent="0.3">
      <c r="A2288" t="s">
        <v>64</v>
      </c>
      <c r="B2288">
        <f>VLOOKUP(M2288,Sheet9!$I$1:$J$17,2,FALSE)</f>
        <v>5</v>
      </c>
      <c r="C2288">
        <f>VLOOKUP(N2288,Sheet9!$M$1:$N$2,2,FALSE)</f>
        <v>1</v>
      </c>
      <c r="D2288">
        <v>16</v>
      </c>
      <c r="E2288" t="s">
        <v>96</v>
      </c>
      <c r="F2288">
        <v>110</v>
      </c>
      <c r="H2288">
        <v>2</v>
      </c>
      <c r="I2288">
        <v>1</v>
      </c>
      <c r="J2288">
        <v>2</v>
      </c>
      <c r="K2288">
        <v>10.3</v>
      </c>
      <c r="L2288">
        <v>10.1</v>
      </c>
      <c r="M2288" t="s">
        <v>64</v>
      </c>
      <c r="N2288" t="s">
        <v>162</v>
      </c>
    </row>
    <row r="2289" spans="1:14" x14ac:dyDescent="0.3">
      <c r="A2289" t="s">
        <v>64</v>
      </c>
      <c r="B2289">
        <f>VLOOKUP(M2289,Sheet9!$I$1:$J$17,2,FALSE)</f>
        <v>5</v>
      </c>
      <c r="C2289">
        <f>VLOOKUP(N2289,Sheet9!$M$1:$N$2,2,FALSE)</f>
        <v>1</v>
      </c>
      <c r="D2289">
        <v>16</v>
      </c>
      <c r="E2289" t="s">
        <v>96</v>
      </c>
      <c r="F2289">
        <v>110</v>
      </c>
      <c r="H2289">
        <v>6</v>
      </c>
      <c r="I2289">
        <v>0.6</v>
      </c>
      <c r="J2289">
        <v>3.6</v>
      </c>
      <c r="K2289">
        <v>16.7</v>
      </c>
      <c r="L2289">
        <v>16.3</v>
      </c>
      <c r="M2289" t="s">
        <v>64</v>
      </c>
      <c r="N2289" t="s">
        <v>162</v>
      </c>
    </row>
    <row r="2290" spans="1:14" x14ac:dyDescent="0.3">
      <c r="A2290" t="s">
        <v>64</v>
      </c>
      <c r="B2290">
        <f>VLOOKUP(M2290,Sheet9!$I$1:$J$17,2,FALSE)</f>
        <v>5</v>
      </c>
      <c r="C2290">
        <f>VLOOKUP(N2290,Sheet9!$M$1:$N$2,2,FALSE)</f>
        <v>1</v>
      </c>
      <c r="D2290">
        <v>16</v>
      </c>
      <c r="E2290" t="s">
        <v>168</v>
      </c>
      <c r="F2290">
        <v>110</v>
      </c>
      <c r="H2290">
        <v>8</v>
      </c>
      <c r="I2290">
        <v>0.6</v>
      </c>
      <c r="J2290">
        <v>4.8</v>
      </c>
      <c r="K2290">
        <v>17.600000000000001</v>
      </c>
      <c r="L2290">
        <v>17.100000000000001</v>
      </c>
      <c r="M2290" t="s">
        <v>64</v>
      </c>
      <c r="N2290" t="s">
        <v>162</v>
      </c>
    </row>
    <row r="2291" spans="1:14" x14ac:dyDescent="0.3">
      <c r="A2291" t="s">
        <v>64</v>
      </c>
      <c r="B2291">
        <f>VLOOKUP(M2291,Sheet9!$I$1:$J$17,2,FALSE)</f>
        <v>5</v>
      </c>
      <c r="C2291">
        <f>VLOOKUP(N2291,Sheet9!$M$1:$N$2,2,FALSE)</f>
        <v>1</v>
      </c>
      <c r="D2291">
        <v>16</v>
      </c>
      <c r="E2291" t="s">
        <v>96</v>
      </c>
      <c r="F2291">
        <v>110</v>
      </c>
      <c r="H2291">
        <v>1</v>
      </c>
      <c r="I2291">
        <v>5</v>
      </c>
      <c r="J2291">
        <v>5</v>
      </c>
      <c r="K2291">
        <v>9.26</v>
      </c>
      <c r="L2291">
        <v>9.0299999999999994</v>
      </c>
      <c r="M2291" t="s">
        <v>64</v>
      </c>
      <c r="N2291" t="s">
        <v>162</v>
      </c>
    </row>
    <row r="2292" spans="1:14" x14ac:dyDescent="0.3">
      <c r="A2292" t="s">
        <v>64</v>
      </c>
      <c r="B2292">
        <f>VLOOKUP(M2292,Sheet9!$I$1:$J$17,2,FALSE)</f>
        <v>5</v>
      </c>
      <c r="C2292">
        <f>VLOOKUP(N2292,Sheet9!$M$1:$N$2,2,FALSE)</f>
        <v>1</v>
      </c>
      <c r="D2292">
        <v>16</v>
      </c>
      <c r="E2292" t="s">
        <v>168</v>
      </c>
      <c r="F2292">
        <v>110</v>
      </c>
      <c r="H2292">
        <v>10</v>
      </c>
      <c r="I2292">
        <v>0.6</v>
      </c>
      <c r="J2292">
        <v>6</v>
      </c>
      <c r="K2292">
        <v>12.2</v>
      </c>
      <c r="L2292">
        <v>11.9</v>
      </c>
      <c r="M2292" t="s">
        <v>64</v>
      </c>
      <c r="N2292" t="s">
        <v>162</v>
      </c>
    </row>
    <row r="2293" spans="1:14" x14ac:dyDescent="0.3">
      <c r="A2293" t="s">
        <v>64</v>
      </c>
      <c r="B2293">
        <f>VLOOKUP(M2293,Sheet9!$I$1:$J$17,2,FALSE)</f>
        <v>5</v>
      </c>
      <c r="C2293">
        <f>VLOOKUP(N2293,Sheet9!$M$1:$N$2,2,FALSE)</f>
        <v>1</v>
      </c>
      <c r="D2293">
        <v>16</v>
      </c>
      <c r="E2293" t="s">
        <v>96</v>
      </c>
      <c r="F2293">
        <v>110</v>
      </c>
      <c r="H2293">
        <v>1</v>
      </c>
      <c r="I2293">
        <v>10</v>
      </c>
      <c r="J2293">
        <v>10</v>
      </c>
      <c r="K2293">
        <v>9.26</v>
      </c>
      <c r="L2293">
        <v>9.0299999999999994</v>
      </c>
      <c r="M2293" t="s">
        <v>64</v>
      </c>
      <c r="N2293" t="s">
        <v>162</v>
      </c>
    </row>
    <row r="2294" spans="1:14" x14ac:dyDescent="0.3">
      <c r="A2294" t="s">
        <v>64</v>
      </c>
      <c r="B2294">
        <f>VLOOKUP(M2294,Sheet9!$I$1:$J$17,2,FALSE)</f>
        <v>5</v>
      </c>
      <c r="C2294">
        <f>VLOOKUP(N2294,Sheet9!$M$1:$N$2,2,FALSE)</f>
        <v>1</v>
      </c>
      <c r="D2294">
        <v>16</v>
      </c>
      <c r="E2294" t="s">
        <v>96</v>
      </c>
      <c r="F2294">
        <v>110</v>
      </c>
      <c r="H2294">
        <v>12</v>
      </c>
      <c r="I2294">
        <v>1.2</v>
      </c>
      <c r="J2294">
        <v>14.4</v>
      </c>
      <c r="K2294">
        <v>11.9</v>
      </c>
      <c r="L2294">
        <v>11.6</v>
      </c>
      <c r="M2294" t="s">
        <v>64</v>
      </c>
      <c r="N2294" t="s">
        <v>162</v>
      </c>
    </row>
    <row r="2295" spans="1:14" x14ac:dyDescent="0.3">
      <c r="A2295" t="s">
        <v>64</v>
      </c>
      <c r="B2295">
        <f>VLOOKUP(M2295,Sheet9!$I$1:$J$17,2,FALSE)</f>
        <v>5</v>
      </c>
      <c r="C2295">
        <f>VLOOKUP(N2295,Sheet9!$M$1:$N$2,2,FALSE)</f>
        <v>1</v>
      </c>
      <c r="D2295">
        <v>16</v>
      </c>
      <c r="E2295" t="s">
        <v>168</v>
      </c>
      <c r="F2295">
        <v>110</v>
      </c>
      <c r="H2295">
        <v>20</v>
      </c>
      <c r="I2295">
        <v>0.6</v>
      </c>
      <c r="J2295">
        <v>12</v>
      </c>
      <c r="K2295">
        <v>12.5</v>
      </c>
      <c r="L2295">
        <v>12.1</v>
      </c>
      <c r="M2295" t="s">
        <v>64</v>
      </c>
      <c r="N2295" t="s">
        <v>162</v>
      </c>
    </row>
    <row r="2296" spans="1:14" x14ac:dyDescent="0.3">
      <c r="A2296" t="s">
        <v>64</v>
      </c>
      <c r="B2296">
        <f>VLOOKUP(M2296,Sheet9!$I$1:$J$17,2,FALSE)</f>
        <v>5</v>
      </c>
      <c r="C2296">
        <f>VLOOKUP(N2296,Sheet9!$M$1:$N$2,2,FALSE)</f>
        <v>1</v>
      </c>
      <c r="D2296">
        <v>16</v>
      </c>
      <c r="E2296" t="s">
        <v>168</v>
      </c>
      <c r="F2296">
        <v>110</v>
      </c>
      <c r="H2296">
        <v>32</v>
      </c>
      <c r="I2296">
        <v>0.6</v>
      </c>
      <c r="J2296">
        <v>19.2</v>
      </c>
      <c r="K2296">
        <v>11.5</v>
      </c>
      <c r="L2296">
        <v>11.2</v>
      </c>
      <c r="M2296" t="s">
        <v>64</v>
      </c>
      <c r="N2296" t="s">
        <v>162</v>
      </c>
    </row>
    <row r="2297" spans="1:14" x14ac:dyDescent="0.3">
      <c r="A2297" t="s">
        <v>64</v>
      </c>
      <c r="B2297">
        <f>VLOOKUP(M2297,Sheet9!$I$1:$J$17,2,FALSE)</f>
        <v>5</v>
      </c>
      <c r="C2297">
        <f>VLOOKUP(N2297,Sheet9!$M$1:$N$2,2,FALSE)</f>
        <v>1</v>
      </c>
      <c r="D2297">
        <v>16</v>
      </c>
      <c r="E2297" t="s">
        <v>96</v>
      </c>
      <c r="F2297">
        <v>110</v>
      </c>
      <c r="H2297">
        <v>12</v>
      </c>
      <c r="I2297">
        <v>1.2</v>
      </c>
      <c r="J2297">
        <v>14.4</v>
      </c>
      <c r="K2297">
        <v>10.4</v>
      </c>
      <c r="L2297">
        <v>10.1</v>
      </c>
      <c r="M2297" t="s">
        <v>64</v>
      </c>
      <c r="N2297" t="s">
        <v>162</v>
      </c>
    </row>
    <row r="2298" spans="1:14" x14ac:dyDescent="0.3">
      <c r="A2298" t="s">
        <v>64</v>
      </c>
      <c r="B2298">
        <f>VLOOKUP(M2298,Sheet9!$I$1:$J$17,2,FALSE)</f>
        <v>5</v>
      </c>
      <c r="C2298">
        <f>VLOOKUP(N2298,Sheet9!$M$1:$N$2,2,FALSE)</f>
        <v>1</v>
      </c>
      <c r="D2298">
        <v>16</v>
      </c>
      <c r="E2298" t="s">
        <v>96</v>
      </c>
      <c r="F2298">
        <v>110</v>
      </c>
      <c r="H2298">
        <v>64</v>
      </c>
      <c r="I2298">
        <v>0.6</v>
      </c>
      <c r="J2298">
        <v>38.4</v>
      </c>
      <c r="K2298">
        <v>10.1</v>
      </c>
      <c r="L2298">
        <v>9.83</v>
      </c>
      <c r="M2298" t="s">
        <v>64</v>
      </c>
      <c r="N2298" t="s">
        <v>162</v>
      </c>
    </row>
    <row r="2299" spans="1:14" x14ac:dyDescent="0.3">
      <c r="A2299" t="s">
        <v>64</v>
      </c>
      <c r="B2299">
        <f>VLOOKUP(M2299,Sheet9!$I$1:$J$17,2,FALSE)</f>
        <v>5</v>
      </c>
      <c r="C2299">
        <f>VLOOKUP(N2299,Sheet9!$M$1:$N$2,2,FALSE)</f>
        <v>1</v>
      </c>
      <c r="D2299">
        <v>16</v>
      </c>
      <c r="E2299" t="s">
        <v>96</v>
      </c>
      <c r="F2299">
        <v>120</v>
      </c>
      <c r="H2299">
        <v>2</v>
      </c>
      <c r="I2299">
        <v>1</v>
      </c>
      <c r="J2299">
        <v>2</v>
      </c>
      <c r="K2299">
        <v>12.9</v>
      </c>
      <c r="L2299">
        <v>12.6</v>
      </c>
      <c r="M2299" t="s">
        <v>64</v>
      </c>
      <c r="N2299" t="s">
        <v>162</v>
      </c>
    </row>
    <row r="2300" spans="1:14" x14ac:dyDescent="0.3">
      <c r="A2300" t="s">
        <v>64</v>
      </c>
      <c r="B2300">
        <f>VLOOKUP(M2300,Sheet9!$I$1:$J$17,2,FALSE)</f>
        <v>5</v>
      </c>
      <c r="C2300">
        <f>VLOOKUP(N2300,Sheet9!$M$1:$N$2,2,FALSE)</f>
        <v>1</v>
      </c>
      <c r="D2300">
        <v>16</v>
      </c>
      <c r="E2300" t="s">
        <v>96</v>
      </c>
      <c r="F2300">
        <v>120</v>
      </c>
      <c r="H2300">
        <v>6</v>
      </c>
      <c r="I2300">
        <v>0.6</v>
      </c>
      <c r="J2300">
        <v>3.6</v>
      </c>
      <c r="K2300">
        <v>20.9</v>
      </c>
      <c r="L2300">
        <v>20.399999999999999</v>
      </c>
      <c r="M2300" t="s">
        <v>64</v>
      </c>
      <c r="N2300" t="s">
        <v>162</v>
      </c>
    </row>
    <row r="2301" spans="1:14" x14ac:dyDescent="0.3">
      <c r="A2301" t="s">
        <v>64</v>
      </c>
      <c r="B2301">
        <f>VLOOKUP(M2301,Sheet9!$I$1:$J$17,2,FALSE)</f>
        <v>5</v>
      </c>
      <c r="C2301">
        <f>VLOOKUP(N2301,Sheet9!$M$1:$N$2,2,FALSE)</f>
        <v>1</v>
      </c>
      <c r="D2301">
        <v>16</v>
      </c>
      <c r="E2301" t="s">
        <v>168</v>
      </c>
      <c r="F2301">
        <v>120</v>
      </c>
      <c r="H2301">
        <v>8</v>
      </c>
      <c r="I2301">
        <v>0.6</v>
      </c>
      <c r="J2301">
        <v>4.8</v>
      </c>
      <c r="K2301">
        <v>22.1</v>
      </c>
      <c r="L2301">
        <v>21.4</v>
      </c>
      <c r="M2301" t="s">
        <v>64</v>
      </c>
      <c r="N2301" t="s">
        <v>162</v>
      </c>
    </row>
    <row r="2302" spans="1:14" x14ac:dyDescent="0.3">
      <c r="A2302" t="s">
        <v>64</v>
      </c>
      <c r="B2302">
        <f>VLOOKUP(M2302,Sheet9!$I$1:$J$17,2,FALSE)</f>
        <v>5</v>
      </c>
      <c r="C2302">
        <f>VLOOKUP(N2302,Sheet9!$M$1:$N$2,2,FALSE)</f>
        <v>1</v>
      </c>
      <c r="D2302">
        <v>16</v>
      </c>
      <c r="E2302" t="s">
        <v>96</v>
      </c>
      <c r="F2302">
        <v>120</v>
      </c>
      <c r="H2302">
        <v>1</v>
      </c>
      <c r="I2302">
        <v>5</v>
      </c>
      <c r="J2302">
        <v>5</v>
      </c>
      <c r="K2302">
        <v>11.6</v>
      </c>
      <c r="L2302">
        <v>11.3</v>
      </c>
      <c r="M2302" t="s">
        <v>64</v>
      </c>
      <c r="N2302" t="s">
        <v>162</v>
      </c>
    </row>
    <row r="2303" spans="1:14" x14ac:dyDescent="0.3">
      <c r="A2303" t="s">
        <v>64</v>
      </c>
      <c r="B2303">
        <f>VLOOKUP(M2303,Sheet9!$I$1:$J$17,2,FALSE)</f>
        <v>5</v>
      </c>
      <c r="C2303">
        <f>VLOOKUP(N2303,Sheet9!$M$1:$N$2,2,FALSE)</f>
        <v>1</v>
      </c>
      <c r="D2303">
        <v>16</v>
      </c>
      <c r="E2303" t="s">
        <v>168</v>
      </c>
      <c r="F2303">
        <v>120</v>
      </c>
      <c r="H2303">
        <v>10</v>
      </c>
      <c r="I2303">
        <v>0.6</v>
      </c>
      <c r="J2303">
        <v>6</v>
      </c>
      <c r="K2303">
        <v>15.3</v>
      </c>
      <c r="L2303">
        <v>14.9</v>
      </c>
      <c r="M2303" t="s">
        <v>64</v>
      </c>
      <c r="N2303" t="s">
        <v>162</v>
      </c>
    </row>
    <row r="2304" spans="1:14" x14ac:dyDescent="0.3">
      <c r="A2304" t="s">
        <v>64</v>
      </c>
      <c r="B2304">
        <f>VLOOKUP(M2304,Sheet9!$I$1:$J$17,2,FALSE)</f>
        <v>5</v>
      </c>
      <c r="C2304">
        <f>VLOOKUP(N2304,Sheet9!$M$1:$N$2,2,FALSE)</f>
        <v>1</v>
      </c>
      <c r="D2304">
        <v>16</v>
      </c>
      <c r="E2304" t="s">
        <v>96</v>
      </c>
      <c r="F2304">
        <v>120</v>
      </c>
      <c r="H2304">
        <v>1</v>
      </c>
      <c r="I2304">
        <v>10</v>
      </c>
      <c r="J2304">
        <v>10</v>
      </c>
      <c r="K2304">
        <v>11.6</v>
      </c>
      <c r="L2304">
        <v>11.3</v>
      </c>
      <c r="M2304" t="s">
        <v>64</v>
      </c>
      <c r="N2304" t="s">
        <v>162</v>
      </c>
    </row>
    <row r="2305" spans="1:14" x14ac:dyDescent="0.3">
      <c r="A2305" t="s">
        <v>64</v>
      </c>
      <c r="B2305">
        <f>VLOOKUP(M2305,Sheet9!$I$1:$J$17,2,FALSE)</f>
        <v>5</v>
      </c>
      <c r="C2305">
        <f>VLOOKUP(N2305,Sheet9!$M$1:$N$2,2,FALSE)</f>
        <v>1</v>
      </c>
      <c r="D2305">
        <v>16</v>
      </c>
      <c r="E2305" t="s">
        <v>96</v>
      </c>
      <c r="F2305">
        <v>120</v>
      </c>
      <c r="H2305">
        <v>12</v>
      </c>
      <c r="I2305">
        <v>1.2</v>
      </c>
      <c r="J2305">
        <v>14.4</v>
      </c>
      <c r="K2305">
        <v>14.9</v>
      </c>
      <c r="L2305">
        <v>14.5</v>
      </c>
      <c r="M2305" t="s">
        <v>64</v>
      </c>
      <c r="N2305" t="s">
        <v>162</v>
      </c>
    </row>
    <row r="2306" spans="1:14" x14ac:dyDescent="0.3">
      <c r="A2306" t="s">
        <v>64</v>
      </c>
      <c r="B2306">
        <f>VLOOKUP(M2306,Sheet9!$I$1:$J$17,2,FALSE)</f>
        <v>5</v>
      </c>
      <c r="C2306">
        <f>VLOOKUP(N2306,Sheet9!$M$1:$N$2,2,FALSE)</f>
        <v>1</v>
      </c>
      <c r="D2306">
        <v>16</v>
      </c>
      <c r="E2306" t="s">
        <v>168</v>
      </c>
      <c r="F2306">
        <v>120</v>
      </c>
      <c r="H2306">
        <v>20</v>
      </c>
      <c r="I2306">
        <v>0.6</v>
      </c>
      <c r="J2306">
        <v>12</v>
      </c>
      <c r="K2306">
        <v>15.6</v>
      </c>
      <c r="L2306">
        <v>15.1</v>
      </c>
      <c r="M2306" t="s">
        <v>64</v>
      </c>
      <c r="N2306" t="s">
        <v>162</v>
      </c>
    </row>
    <row r="2307" spans="1:14" x14ac:dyDescent="0.3">
      <c r="A2307" t="s">
        <v>64</v>
      </c>
      <c r="B2307">
        <f>VLOOKUP(M2307,Sheet9!$I$1:$J$17,2,FALSE)</f>
        <v>5</v>
      </c>
      <c r="C2307">
        <f>VLOOKUP(N2307,Sheet9!$M$1:$N$2,2,FALSE)</f>
        <v>1</v>
      </c>
      <c r="D2307">
        <v>16</v>
      </c>
      <c r="E2307" t="s">
        <v>168</v>
      </c>
      <c r="F2307">
        <v>120</v>
      </c>
      <c r="H2307">
        <v>32</v>
      </c>
      <c r="I2307">
        <v>0.6</v>
      </c>
      <c r="J2307">
        <v>19.2</v>
      </c>
      <c r="K2307">
        <v>14.4</v>
      </c>
      <c r="L2307">
        <v>14</v>
      </c>
      <c r="M2307" t="s">
        <v>64</v>
      </c>
      <c r="N2307" t="s">
        <v>162</v>
      </c>
    </row>
    <row r="2308" spans="1:14" x14ac:dyDescent="0.3">
      <c r="A2308" t="s">
        <v>64</v>
      </c>
      <c r="B2308">
        <f>VLOOKUP(M2308,Sheet9!$I$1:$J$17,2,FALSE)</f>
        <v>5</v>
      </c>
      <c r="C2308">
        <f>VLOOKUP(N2308,Sheet9!$M$1:$N$2,2,FALSE)</f>
        <v>1</v>
      </c>
      <c r="D2308">
        <v>16</v>
      </c>
      <c r="E2308" t="s">
        <v>96</v>
      </c>
      <c r="F2308">
        <v>120</v>
      </c>
      <c r="H2308">
        <v>12</v>
      </c>
      <c r="I2308">
        <v>1.2</v>
      </c>
      <c r="J2308">
        <v>14.4</v>
      </c>
      <c r="K2308">
        <v>13</v>
      </c>
      <c r="L2308">
        <v>12.7</v>
      </c>
      <c r="M2308" t="s">
        <v>64</v>
      </c>
      <c r="N2308" t="s">
        <v>162</v>
      </c>
    </row>
    <row r="2309" spans="1:14" x14ac:dyDescent="0.3">
      <c r="A2309" t="s">
        <v>64</v>
      </c>
      <c r="B2309">
        <f>VLOOKUP(M2309,Sheet9!$I$1:$J$17,2,FALSE)</f>
        <v>5</v>
      </c>
      <c r="C2309">
        <f>VLOOKUP(N2309,Sheet9!$M$1:$N$2,2,FALSE)</f>
        <v>1</v>
      </c>
      <c r="D2309">
        <v>16</v>
      </c>
      <c r="E2309" t="s">
        <v>96</v>
      </c>
      <c r="F2309">
        <v>120</v>
      </c>
      <c r="H2309">
        <v>64</v>
      </c>
      <c r="I2309">
        <v>0.6</v>
      </c>
      <c r="J2309">
        <v>38.4</v>
      </c>
      <c r="K2309">
        <v>12.7</v>
      </c>
      <c r="L2309">
        <v>12.3</v>
      </c>
      <c r="M2309" t="s">
        <v>64</v>
      </c>
      <c r="N2309" t="s">
        <v>162</v>
      </c>
    </row>
    <row r="2310" spans="1:14" x14ac:dyDescent="0.3">
      <c r="A2310" t="s">
        <v>64</v>
      </c>
      <c r="B2310">
        <f>VLOOKUP(M2310,Sheet9!$I$1:$J$17,2,FALSE)</f>
        <v>5</v>
      </c>
      <c r="C2310">
        <f>VLOOKUP(N2310,Sheet9!$M$1:$N$2,2,FALSE)</f>
        <v>1</v>
      </c>
      <c r="D2310">
        <v>16</v>
      </c>
      <c r="E2310" t="s">
        <v>96</v>
      </c>
      <c r="F2310">
        <v>130</v>
      </c>
      <c r="H2310">
        <v>2</v>
      </c>
      <c r="I2310">
        <v>1</v>
      </c>
      <c r="J2310">
        <v>2</v>
      </c>
      <c r="K2310">
        <v>15.7</v>
      </c>
      <c r="L2310">
        <v>15.4</v>
      </c>
      <c r="M2310" t="s">
        <v>64</v>
      </c>
      <c r="N2310" t="s">
        <v>162</v>
      </c>
    </row>
    <row r="2311" spans="1:14" x14ac:dyDescent="0.3">
      <c r="A2311" t="s">
        <v>64</v>
      </c>
      <c r="B2311">
        <f>VLOOKUP(M2311,Sheet9!$I$1:$J$17,2,FALSE)</f>
        <v>5</v>
      </c>
      <c r="C2311">
        <f>VLOOKUP(N2311,Sheet9!$M$1:$N$2,2,FALSE)</f>
        <v>1</v>
      </c>
      <c r="D2311">
        <v>16</v>
      </c>
      <c r="E2311" t="s">
        <v>96</v>
      </c>
      <c r="F2311">
        <v>130</v>
      </c>
      <c r="H2311">
        <v>6</v>
      </c>
      <c r="I2311">
        <v>0.6</v>
      </c>
      <c r="J2311">
        <v>3.6</v>
      </c>
      <c r="K2311">
        <v>25.4</v>
      </c>
      <c r="L2311">
        <v>24.9</v>
      </c>
      <c r="M2311" t="s">
        <v>64</v>
      </c>
      <c r="N2311" t="s">
        <v>162</v>
      </c>
    </row>
    <row r="2312" spans="1:14" x14ac:dyDescent="0.3">
      <c r="A2312" t="s">
        <v>64</v>
      </c>
      <c r="B2312">
        <f>VLOOKUP(M2312,Sheet9!$I$1:$J$17,2,FALSE)</f>
        <v>5</v>
      </c>
      <c r="C2312">
        <f>VLOOKUP(N2312,Sheet9!$M$1:$N$2,2,FALSE)</f>
        <v>1</v>
      </c>
      <c r="D2312">
        <v>16</v>
      </c>
      <c r="E2312" t="s">
        <v>168</v>
      </c>
      <c r="F2312">
        <v>130</v>
      </c>
      <c r="H2312">
        <v>8</v>
      </c>
      <c r="I2312">
        <v>0.6</v>
      </c>
      <c r="J2312">
        <v>4.8</v>
      </c>
      <c r="K2312">
        <v>26.8</v>
      </c>
      <c r="L2312">
        <v>26.1</v>
      </c>
      <c r="M2312" t="s">
        <v>64</v>
      </c>
      <c r="N2312" t="s">
        <v>162</v>
      </c>
    </row>
    <row r="2313" spans="1:14" x14ac:dyDescent="0.3">
      <c r="A2313" t="s">
        <v>64</v>
      </c>
      <c r="B2313">
        <f>VLOOKUP(M2313,Sheet9!$I$1:$J$17,2,FALSE)</f>
        <v>5</v>
      </c>
      <c r="C2313">
        <f>VLOOKUP(N2313,Sheet9!$M$1:$N$2,2,FALSE)</f>
        <v>1</v>
      </c>
      <c r="D2313">
        <v>16</v>
      </c>
      <c r="E2313" t="s">
        <v>96</v>
      </c>
      <c r="F2313">
        <v>130</v>
      </c>
      <c r="H2313">
        <v>1</v>
      </c>
      <c r="I2313">
        <v>5</v>
      </c>
      <c r="J2313">
        <v>5</v>
      </c>
      <c r="K2313">
        <v>14.1</v>
      </c>
      <c r="L2313">
        <v>13.8</v>
      </c>
      <c r="M2313" t="s">
        <v>64</v>
      </c>
      <c r="N2313" t="s">
        <v>162</v>
      </c>
    </row>
    <row r="2314" spans="1:14" x14ac:dyDescent="0.3">
      <c r="A2314" t="s">
        <v>64</v>
      </c>
      <c r="B2314">
        <f>VLOOKUP(M2314,Sheet9!$I$1:$J$17,2,FALSE)</f>
        <v>5</v>
      </c>
      <c r="C2314">
        <f>VLOOKUP(N2314,Sheet9!$M$1:$N$2,2,FALSE)</f>
        <v>1</v>
      </c>
      <c r="D2314">
        <v>16</v>
      </c>
      <c r="E2314" t="s">
        <v>168</v>
      </c>
      <c r="F2314">
        <v>130</v>
      </c>
      <c r="H2314">
        <v>10</v>
      </c>
      <c r="I2314">
        <v>0.6</v>
      </c>
      <c r="J2314">
        <v>6</v>
      </c>
      <c r="K2314">
        <v>18.600000000000001</v>
      </c>
      <c r="L2314">
        <v>18.100000000000001</v>
      </c>
      <c r="M2314" t="s">
        <v>64</v>
      </c>
      <c r="N2314" t="s">
        <v>162</v>
      </c>
    </row>
    <row r="2315" spans="1:14" x14ac:dyDescent="0.3">
      <c r="A2315" t="s">
        <v>64</v>
      </c>
      <c r="B2315">
        <f>VLOOKUP(M2315,Sheet9!$I$1:$J$17,2,FALSE)</f>
        <v>5</v>
      </c>
      <c r="C2315">
        <f>VLOOKUP(N2315,Sheet9!$M$1:$N$2,2,FALSE)</f>
        <v>1</v>
      </c>
      <c r="D2315">
        <v>16</v>
      </c>
      <c r="E2315" t="s">
        <v>96</v>
      </c>
      <c r="F2315">
        <v>130</v>
      </c>
      <c r="H2315">
        <v>1</v>
      </c>
      <c r="I2315">
        <v>10</v>
      </c>
      <c r="J2315">
        <v>10</v>
      </c>
      <c r="K2315">
        <v>14.1</v>
      </c>
      <c r="L2315">
        <v>13.8</v>
      </c>
      <c r="M2315" t="s">
        <v>64</v>
      </c>
      <c r="N2315" t="s">
        <v>162</v>
      </c>
    </row>
    <row r="2316" spans="1:14" x14ac:dyDescent="0.3">
      <c r="A2316" t="s">
        <v>64</v>
      </c>
      <c r="B2316">
        <f>VLOOKUP(M2316,Sheet9!$I$1:$J$17,2,FALSE)</f>
        <v>5</v>
      </c>
      <c r="C2316">
        <f>VLOOKUP(N2316,Sheet9!$M$1:$N$2,2,FALSE)</f>
        <v>1</v>
      </c>
      <c r="D2316">
        <v>16</v>
      </c>
      <c r="E2316" t="s">
        <v>96</v>
      </c>
      <c r="F2316">
        <v>130</v>
      </c>
      <c r="H2316">
        <v>12</v>
      </c>
      <c r="I2316">
        <v>1.2</v>
      </c>
      <c r="J2316">
        <v>14.4</v>
      </c>
      <c r="K2316">
        <v>18.100000000000001</v>
      </c>
      <c r="L2316">
        <v>17.7</v>
      </c>
      <c r="M2316" t="s">
        <v>64</v>
      </c>
      <c r="N2316" t="s">
        <v>162</v>
      </c>
    </row>
    <row r="2317" spans="1:14" x14ac:dyDescent="0.3">
      <c r="A2317" t="s">
        <v>64</v>
      </c>
      <c r="B2317">
        <f>VLOOKUP(M2317,Sheet9!$I$1:$J$17,2,FALSE)</f>
        <v>5</v>
      </c>
      <c r="C2317">
        <f>VLOOKUP(N2317,Sheet9!$M$1:$N$2,2,FALSE)</f>
        <v>1</v>
      </c>
      <c r="D2317">
        <v>16</v>
      </c>
      <c r="E2317" t="s">
        <v>168</v>
      </c>
      <c r="F2317">
        <v>130</v>
      </c>
      <c r="H2317">
        <v>20</v>
      </c>
      <c r="I2317">
        <v>0.6</v>
      </c>
      <c r="J2317">
        <v>12</v>
      </c>
      <c r="K2317">
        <v>19</v>
      </c>
      <c r="L2317">
        <v>18.5</v>
      </c>
      <c r="M2317" t="s">
        <v>64</v>
      </c>
      <c r="N2317" t="s">
        <v>162</v>
      </c>
    </row>
    <row r="2318" spans="1:14" x14ac:dyDescent="0.3">
      <c r="A2318" t="s">
        <v>64</v>
      </c>
      <c r="B2318">
        <f>VLOOKUP(M2318,Sheet9!$I$1:$J$17,2,FALSE)</f>
        <v>5</v>
      </c>
      <c r="C2318">
        <f>VLOOKUP(N2318,Sheet9!$M$1:$N$2,2,FALSE)</f>
        <v>1</v>
      </c>
      <c r="D2318">
        <v>16</v>
      </c>
      <c r="E2318" t="s">
        <v>168</v>
      </c>
      <c r="F2318">
        <v>130</v>
      </c>
      <c r="H2318">
        <v>32</v>
      </c>
      <c r="I2318">
        <v>0.6</v>
      </c>
      <c r="J2318">
        <v>19.2</v>
      </c>
      <c r="K2318">
        <v>17.5</v>
      </c>
      <c r="L2318">
        <v>17.100000000000001</v>
      </c>
      <c r="M2318" t="s">
        <v>64</v>
      </c>
      <c r="N2318" t="s">
        <v>162</v>
      </c>
    </row>
    <row r="2319" spans="1:14" x14ac:dyDescent="0.3">
      <c r="A2319" t="s">
        <v>64</v>
      </c>
      <c r="B2319">
        <f>VLOOKUP(M2319,Sheet9!$I$1:$J$17,2,FALSE)</f>
        <v>5</v>
      </c>
      <c r="C2319">
        <f>VLOOKUP(N2319,Sheet9!$M$1:$N$2,2,FALSE)</f>
        <v>1</v>
      </c>
      <c r="D2319">
        <v>16</v>
      </c>
      <c r="E2319" t="s">
        <v>96</v>
      </c>
      <c r="F2319">
        <v>130</v>
      </c>
      <c r="H2319">
        <v>12</v>
      </c>
      <c r="I2319">
        <v>1.2</v>
      </c>
      <c r="J2319">
        <v>14.4</v>
      </c>
      <c r="K2319">
        <v>15.8</v>
      </c>
      <c r="L2319">
        <v>15.4</v>
      </c>
      <c r="M2319" t="s">
        <v>64</v>
      </c>
      <c r="N2319" t="s">
        <v>162</v>
      </c>
    </row>
    <row r="2320" spans="1:14" x14ac:dyDescent="0.3">
      <c r="A2320" t="s">
        <v>64</v>
      </c>
      <c r="B2320">
        <f>VLOOKUP(M2320,Sheet9!$I$1:$J$17,2,FALSE)</f>
        <v>5</v>
      </c>
      <c r="C2320">
        <f>VLOOKUP(N2320,Sheet9!$M$1:$N$2,2,FALSE)</f>
        <v>1</v>
      </c>
      <c r="D2320">
        <v>16</v>
      </c>
      <c r="E2320" t="s">
        <v>96</v>
      </c>
      <c r="F2320">
        <v>130</v>
      </c>
      <c r="H2320">
        <v>64</v>
      </c>
      <c r="I2320">
        <v>0.6</v>
      </c>
      <c r="J2320">
        <v>38.4</v>
      </c>
      <c r="K2320">
        <v>15.4</v>
      </c>
      <c r="L2320">
        <v>15</v>
      </c>
      <c r="M2320" t="s">
        <v>64</v>
      </c>
      <c r="N2320" t="s">
        <v>162</v>
      </c>
    </row>
    <row r="2321" spans="1:14" x14ac:dyDescent="0.3">
      <c r="A2321" t="s">
        <v>64</v>
      </c>
      <c r="B2321">
        <f>VLOOKUP(M2321,Sheet9!$I$1:$J$17,2,FALSE)</f>
        <v>5</v>
      </c>
      <c r="C2321">
        <f>VLOOKUP(N2321,Sheet9!$M$1:$N$2,2,FALSE)</f>
        <v>1</v>
      </c>
      <c r="D2321">
        <v>16</v>
      </c>
      <c r="E2321" t="s">
        <v>96</v>
      </c>
      <c r="F2321">
        <v>140</v>
      </c>
      <c r="H2321">
        <v>2</v>
      </c>
      <c r="I2321">
        <v>1</v>
      </c>
      <c r="J2321">
        <v>2</v>
      </c>
      <c r="K2321">
        <v>18.8</v>
      </c>
      <c r="L2321">
        <v>18.399999999999999</v>
      </c>
      <c r="M2321" t="s">
        <v>64</v>
      </c>
      <c r="N2321" t="s">
        <v>162</v>
      </c>
    </row>
    <row r="2322" spans="1:14" x14ac:dyDescent="0.3">
      <c r="A2322" t="s">
        <v>64</v>
      </c>
      <c r="B2322">
        <f>VLOOKUP(M2322,Sheet9!$I$1:$J$17,2,FALSE)</f>
        <v>5</v>
      </c>
      <c r="C2322">
        <f>VLOOKUP(N2322,Sheet9!$M$1:$N$2,2,FALSE)</f>
        <v>1</v>
      </c>
      <c r="D2322">
        <v>16</v>
      </c>
      <c r="E2322" t="s">
        <v>96</v>
      </c>
      <c r="F2322">
        <v>140</v>
      </c>
      <c r="H2322">
        <v>6</v>
      </c>
      <c r="I2322">
        <v>0.6</v>
      </c>
      <c r="J2322">
        <v>3.6</v>
      </c>
      <c r="K2322">
        <v>30.5</v>
      </c>
      <c r="L2322">
        <v>29.8</v>
      </c>
      <c r="M2322" t="s">
        <v>64</v>
      </c>
      <c r="N2322" t="s">
        <v>162</v>
      </c>
    </row>
    <row r="2323" spans="1:14" x14ac:dyDescent="0.3">
      <c r="A2323" t="s">
        <v>64</v>
      </c>
      <c r="B2323">
        <f>VLOOKUP(M2323,Sheet9!$I$1:$J$17,2,FALSE)</f>
        <v>5</v>
      </c>
      <c r="C2323">
        <f>VLOOKUP(N2323,Sheet9!$M$1:$N$2,2,FALSE)</f>
        <v>1</v>
      </c>
      <c r="D2323">
        <v>16</v>
      </c>
      <c r="E2323" t="s">
        <v>168</v>
      </c>
      <c r="F2323">
        <v>140</v>
      </c>
      <c r="H2323">
        <v>8</v>
      </c>
      <c r="I2323">
        <v>0.6</v>
      </c>
      <c r="J2323">
        <v>4.8</v>
      </c>
      <c r="K2323">
        <v>32.299999999999997</v>
      </c>
      <c r="L2323">
        <v>31.4</v>
      </c>
      <c r="M2323" t="s">
        <v>64</v>
      </c>
      <c r="N2323" t="s">
        <v>162</v>
      </c>
    </row>
    <row r="2324" spans="1:14" x14ac:dyDescent="0.3">
      <c r="A2324" t="s">
        <v>64</v>
      </c>
      <c r="B2324">
        <f>VLOOKUP(M2324,Sheet9!$I$1:$J$17,2,FALSE)</f>
        <v>5</v>
      </c>
      <c r="C2324">
        <f>VLOOKUP(N2324,Sheet9!$M$1:$N$2,2,FALSE)</f>
        <v>1</v>
      </c>
      <c r="D2324">
        <v>16</v>
      </c>
      <c r="E2324" t="s">
        <v>96</v>
      </c>
      <c r="F2324">
        <v>140</v>
      </c>
      <c r="H2324">
        <v>1</v>
      </c>
      <c r="I2324">
        <v>5</v>
      </c>
      <c r="J2324">
        <v>5</v>
      </c>
      <c r="K2324">
        <v>16.899999999999999</v>
      </c>
      <c r="L2324">
        <v>16.5</v>
      </c>
      <c r="M2324" t="s">
        <v>64</v>
      </c>
      <c r="N2324" t="s">
        <v>162</v>
      </c>
    </row>
    <row r="2325" spans="1:14" x14ac:dyDescent="0.3">
      <c r="A2325" t="s">
        <v>64</v>
      </c>
      <c r="B2325">
        <f>VLOOKUP(M2325,Sheet9!$I$1:$J$17,2,FALSE)</f>
        <v>5</v>
      </c>
      <c r="C2325">
        <f>VLOOKUP(N2325,Sheet9!$M$1:$N$2,2,FALSE)</f>
        <v>1</v>
      </c>
      <c r="D2325">
        <v>16</v>
      </c>
      <c r="E2325" t="s">
        <v>168</v>
      </c>
      <c r="F2325">
        <v>140</v>
      </c>
      <c r="H2325">
        <v>10</v>
      </c>
      <c r="I2325">
        <v>0.6</v>
      </c>
      <c r="J2325">
        <v>6</v>
      </c>
      <c r="K2325">
        <v>22.4</v>
      </c>
      <c r="L2325">
        <v>21.8</v>
      </c>
      <c r="M2325" t="s">
        <v>64</v>
      </c>
      <c r="N2325" t="s">
        <v>162</v>
      </c>
    </row>
    <row r="2326" spans="1:14" x14ac:dyDescent="0.3">
      <c r="A2326" t="s">
        <v>64</v>
      </c>
      <c r="B2326">
        <f>VLOOKUP(M2326,Sheet9!$I$1:$J$17,2,FALSE)</f>
        <v>5</v>
      </c>
      <c r="C2326">
        <f>VLOOKUP(N2326,Sheet9!$M$1:$N$2,2,FALSE)</f>
        <v>1</v>
      </c>
      <c r="D2326">
        <v>16</v>
      </c>
      <c r="E2326" t="s">
        <v>96</v>
      </c>
      <c r="F2326">
        <v>140</v>
      </c>
      <c r="H2326">
        <v>1</v>
      </c>
      <c r="I2326">
        <v>10</v>
      </c>
      <c r="J2326">
        <v>10</v>
      </c>
      <c r="K2326">
        <v>16.899999999999999</v>
      </c>
      <c r="L2326">
        <v>16.5</v>
      </c>
      <c r="M2326" t="s">
        <v>64</v>
      </c>
      <c r="N2326" t="s">
        <v>162</v>
      </c>
    </row>
    <row r="2327" spans="1:14" x14ac:dyDescent="0.3">
      <c r="A2327" t="s">
        <v>64</v>
      </c>
      <c r="B2327">
        <f>VLOOKUP(M2327,Sheet9!$I$1:$J$17,2,FALSE)</f>
        <v>5</v>
      </c>
      <c r="C2327">
        <f>VLOOKUP(N2327,Sheet9!$M$1:$N$2,2,FALSE)</f>
        <v>1</v>
      </c>
      <c r="D2327">
        <v>16</v>
      </c>
      <c r="E2327" t="s">
        <v>96</v>
      </c>
      <c r="F2327">
        <v>140</v>
      </c>
      <c r="H2327">
        <v>12</v>
      </c>
      <c r="I2327">
        <v>1.2</v>
      </c>
      <c r="J2327">
        <v>14.4</v>
      </c>
      <c r="K2327">
        <v>21.7</v>
      </c>
      <c r="L2327">
        <v>21.2</v>
      </c>
      <c r="M2327" t="s">
        <v>64</v>
      </c>
      <c r="N2327" t="s">
        <v>162</v>
      </c>
    </row>
    <row r="2328" spans="1:14" x14ac:dyDescent="0.3">
      <c r="A2328" t="s">
        <v>64</v>
      </c>
      <c r="B2328">
        <f>VLOOKUP(M2328,Sheet9!$I$1:$J$17,2,FALSE)</f>
        <v>5</v>
      </c>
      <c r="C2328">
        <f>VLOOKUP(N2328,Sheet9!$M$1:$N$2,2,FALSE)</f>
        <v>1</v>
      </c>
      <c r="D2328">
        <v>16</v>
      </c>
      <c r="E2328" t="s">
        <v>168</v>
      </c>
      <c r="F2328">
        <v>140</v>
      </c>
      <c r="H2328">
        <v>20</v>
      </c>
      <c r="I2328">
        <v>0.6</v>
      </c>
      <c r="J2328">
        <v>12</v>
      </c>
      <c r="K2328">
        <v>22.8</v>
      </c>
      <c r="L2328">
        <v>22.2</v>
      </c>
      <c r="M2328" t="s">
        <v>64</v>
      </c>
      <c r="N2328" t="s">
        <v>162</v>
      </c>
    </row>
    <row r="2329" spans="1:14" x14ac:dyDescent="0.3">
      <c r="A2329" t="s">
        <v>64</v>
      </c>
      <c r="B2329">
        <f>VLOOKUP(M2329,Sheet9!$I$1:$J$17,2,FALSE)</f>
        <v>5</v>
      </c>
      <c r="C2329">
        <f>VLOOKUP(N2329,Sheet9!$M$1:$N$2,2,FALSE)</f>
        <v>1</v>
      </c>
      <c r="D2329">
        <v>16</v>
      </c>
      <c r="E2329" t="s">
        <v>168</v>
      </c>
      <c r="F2329">
        <v>140</v>
      </c>
      <c r="H2329">
        <v>32</v>
      </c>
      <c r="I2329">
        <v>0.6</v>
      </c>
      <c r="J2329">
        <v>19.2</v>
      </c>
      <c r="K2329">
        <v>21</v>
      </c>
      <c r="L2329">
        <v>20.5</v>
      </c>
      <c r="M2329" t="s">
        <v>64</v>
      </c>
      <c r="N2329" t="s">
        <v>162</v>
      </c>
    </row>
    <row r="2330" spans="1:14" x14ac:dyDescent="0.3">
      <c r="A2330" t="s">
        <v>64</v>
      </c>
      <c r="B2330">
        <f>VLOOKUP(M2330,Sheet9!$I$1:$J$17,2,FALSE)</f>
        <v>5</v>
      </c>
      <c r="C2330">
        <f>VLOOKUP(N2330,Sheet9!$M$1:$N$2,2,FALSE)</f>
        <v>1</v>
      </c>
      <c r="D2330">
        <v>16</v>
      </c>
      <c r="E2330" t="s">
        <v>96</v>
      </c>
      <c r="F2330">
        <v>140</v>
      </c>
      <c r="H2330">
        <v>12</v>
      </c>
      <c r="I2330">
        <v>1.2</v>
      </c>
      <c r="J2330">
        <v>14.4</v>
      </c>
      <c r="K2330">
        <v>18.899999999999999</v>
      </c>
      <c r="L2330">
        <v>18.5</v>
      </c>
      <c r="M2330" t="s">
        <v>64</v>
      </c>
      <c r="N2330" t="s">
        <v>162</v>
      </c>
    </row>
    <row r="2331" spans="1:14" x14ac:dyDescent="0.3">
      <c r="A2331" t="s">
        <v>64</v>
      </c>
      <c r="B2331">
        <f>VLOOKUP(M2331,Sheet9!$I$1:$J$17,2,FALSE)</f>
        <v>5</v>
      </c>
      <c r="C2331">
        <f>VLOOKUP(N2331,Sheet9!$M$1:$N$2,2,FALSE)</f>
        <v>1</v>
      </c>
      <c r="D2331">
        <v>16</v>
      </c>
      <c r="E2331" t="s">
        <v>96</v>
      </c>
      <c r="F2331">
        <v>140</v>
      </c>
      <c r="H2331">
        <v>64</v>
      </c>
      <c r="I2331">
        <v>0.6</v>
      </c>
      <c r="J2331">
        <v>38.4</v>
      </c>
      <c r="K2331">
        <v>18.5</v>
      </c>
      <c r="L2331">
        <v>18</v>
      </c>
      <c r="M2331" t="s">
        <v>64</v>
      </c>
      <c r="N2331" t="s">
        <v>162</v>
      </c>
    </row>
    <row r="2332" spans="1:14" x14ac:dyDescent="0.3">
      <c r="A2332" t="s">
        <v>64</v>
      </c>
      <c r="B2332">
        <f>VLOOKUP(M2332,Sheet9!$I$1:$J$17,2,FALSE)</f>
        <v>5</v>
      </c>
      <c r="C2332">
        <f>VLOOKUP(N2332,Sheet9!$M$1:$N$2,2,FALSE)</f>
        <v>1</v>
      </c>
      <c r="D2332">
        <v>16</v>
      </c>
      <c r="E2332" t="s">
        <v>96</v>
      </c>
      <c r="F2332">
        <v>100</v>
      </c>
      <c r="G2332" t="s">
        <v>139</v>
      </c>
      <c r="H2332">
        <v>2</v>
      </c>
      <c r="I2332">
        <v>1</v>
      </c>
      <c r="J2332">
        <v>2</v>
      </c>
      <c r="K2332">
        <v>1.45</v>
      </c>
      <c r="L2332">
        <v>1.4</v>
      </c>
      <c r="M2332" t="s">
        <v>64</v>
      </c>
      <c r="N2332" t="s">
        <v>162</v>
      </c>
    </row>
    <row r="2333" spans="1:14" x14ac:dyDescent="0.3">
      <c r="A2333" t="s">
        <v>64</v>
      </c>
      <c r="B2333">
        <f>VLOOKUP(M2333,Sheet9!$I$1:$J$17,2,FALSE)</f>
        <v>5</v>
      </c>
      <c r="C2333">
        <f>VLOOKUP(N2333,Sheet9!$M$1:$N$2,2,FALSE)</f>
        <v>1</v>
      </c>
      <c r="D2333">
        <v>16</v>
      </c>
      <c r="E2333" t="s">
        <v>96</v>
      </c>
      <c r="F2333">
        <v>100</v>
      </c>
      <c r="G2333" t="s">
        <v>139</v>
      </c>
      <c r="H2333">
        <v>6</v>
      </c>
      <c r="I2333">
        <v>0.6</v>
      </c>
      <c r="J2333">
        <v>3.6</v>
      </c>
      <c r="K2333">
        <v>2.35</v>
      </c>
      <c r="L2333">
        <v>2.27</v>
      </c>
      <c r="M2333" t="s">
        <v>64</v>
      </c>
      <c r="N2333" t="s">
        <v>162</v>
      </c>
    </row>
    <row r="2334" spans="1:14" x14ac:dyDescent="0.3">
      <c r="A2334" t="s">
        <v>64</v>
      </c>
      <c r="B2334">
        <f>VLOOKUP(M2334,Sheet9!$I$1:$J$17,2,FALSE)</f>
        <v>5</v>
      </c>
      <c r="C2334">
        <f>VLOOKUP(N2334,Sheet9!$M$1:$N$2,2,FALSE)</f>
        <v>1</v>
      </c>
      <c r="D2334">
        <v>16</v>
      </c>
      <c r="E2334" t="s">
        <v>168</v>
      </c>
      <c r="F2334">
        <v>100</v>
      </c>
      <c r="G2334" t="s">
        <v>139</v>
      </c>
      <c r="H2334">
        <v>8</v>
      </c>
      <c r="I2334">
        <v>0.6</v>
      </c>
      <c r="J2334">
        <v>4.8</v>
      </c>
      <c r="K2334">
        <v>2.4900000000000002</v>
      </c>
      <c r="L2334">
        <v>2.4</v>
      </c>
      <c r="M2334" t="s">
        <v>64</v>
      </c>
      <c r="N2334" t="s">
        <v>162</v>
      </c>
    </row>
    <row r="2335" spans="1:14" x14ac:dyDescent="0.3">
      <c r="A2335" t="s">
        <v>64</v>
      </c>
      <c r="B2335">
        <f>VLOOKUP(M2335,Sheet9!$I$1:$J$17,2,FALSE)</f>
        <v>5</v>
      </c>
      <c r="C2335">
        <f>VLOOKUP(N2335,Sheet9!$M$1:$N$2,2,FALSE)</f>
        <v>1</v>
      </c>
      <c r="D2335">
        <v>16</v>
      </c>
      <c r="E2335" t="s">
        <v>96</v>
      </c>
      <c r="F2335">
        <v>100</v>
      </c>
      <c r="G2335" t="s">
        <v>139</v>
      </c>
      <c r="H2335">
        <v>1</v>
      </c>
      <c r="I2335">
        <v>5</v>
      </c>
      <c r="J2335">
        <v>5</v>
      </c>
      <c r="K2335">
        <v>1.3</v>
      </c>
      <c r="L2335">
        <v>1.26</v>
      </c>
      <c r="M2335" t="s">
        <v>64</v>
      </c>
      <c r="N2335" t="s">
        <v>162</v>
      </c>
    </row>
    <row r="2336" spans="1:14" x14ac:dyDescent="0.3">
      <c r="A2336" t="s">
        <v>64</v>
      </c>
      <c r="B2336">
        <f>VLOOKUP(M2336,Sheet9!$I$1:$J$17,2,FALSE)</f>
        <v>5</v>
      </c>
      <c r="C2336">
        <f>VLOOKUP(N2336,Sheet9!$M$1:$N$2,2,FALSE)</f>
        <v>1</v>
      </c>
      <c r="D2336">
        <v>16</v>
      </c>
      <c r="E2336" t="s">
        <v>168</v>
      </c>
      <c r="F2336">
        <v>100</v>
      </c>
      <c r="G2336" t="s">
        <v>139</v>
      </c>
      <c r="H2336">
        <v>10</v>
      </c>
      <c r="I2336">
        <v>0.6</v>
      </c>
      <c r="J2336">
        <v>6</v>
      </c>
      <c r="K2336">
        <v>1.73</v>
      </c>
      <c r="L2336">
        <v>1.66</v>
      </c>
      <c r="M2336" t="s">
        <v>64</v>
      </c>
      <c r="N2336" t="s">
        <v>162</v>
      </c>
    </row>
    <row r="2337" spans="1:14" x14ac:dyDescent="0.3">
      <c r="A2337" t="s">
        <v>64</v>
      </c>
      <c r="B2337">
        <f>VLOOKUP(M2337,Sheet9!$I$1:$J$17,2,FALSE)</f>
        <v>5</v>
      </c>
      <c r="C2337">
        <f>VLOOKUP(N2337,Sheet9!$M$1:$N$2,2,FALSE)</f>
        <v>1</v>
      </c>
      <c r="D2337">
        <v>16</v>
      </c>
      <c r="E2337" t="s">
        <v>96</v>
      </c>
      <c r="F2337">
        <v>100</v>
      </c>
      <c r="G2337" t="s">
        <v>139</v>
      </c>
      <c r="H2337">
        <v>1</v>
      </c>
      <c r="I2337">
        <v>10</v>
      </c>
      <c r="J2337">
        <v>10</v>
      </c>
      <c r="K2337">
        <v>1.3</v>
      </c>
      <c r="L2337">
        <v>1.26</v>
      </c>
      <c r="M2337" t="s">
        <v>64</v>
      </c>
      <c r="N2337" t="s">
        <v>162</v>
      </c>
    </row>
    <row r="2338" spans="1:14" x14ac:dyDescent="0.3">
      <c r="A2338" t="s">
        <v>64</v>
      </c>
      <c r="B2338">
        <f>VLOOKUP(M2338,Sheet9!$I$1:$J$17,2,FALSE)</f>
        <v>5</v>
      </c>
      <c r="C2338">
        <f>VLOOKUP(N2338,Sheet9!$M$1:$N$2,2,FALSE)</f>
        <v>1</v>
      </c>
      <c r="D2338">
        <v>16</v>
      </c>
      <c r="E2338" t="s">
        <v>96</v>
      </c>
      <c r="F2338">
        <v>100</v>
      </c>
      <c r="G2338" t="s">
        <v>139</v>
      </c>
      <c r="H2338">
        <v>12</v>
      </c>
      <c r="I2338">
        <v>1.2</v>
      </c>
      <c r="J2338">
        <v>14.4</v>
      </c>
      <c r="K2338">
        <v>1.67</v>
      </c>
      <c r="L2338">
        <v>1.61</v>
      </c>
      <c r="M2338" t="s">
        <v>64</v>
      </c>
      <c r="N2338" t="s">
        <v>162</v>
      </c>
    </row>
    <row r="2339" spans="1:14" x14ac:dyDescent="0.3">
      <c r="A2339" t="s">
        <v>64</v>
      </c>
      <c r="B2339">
        <f>VLOOKUP(M2339,Sheet9!$I$1:$J$17,2,FALSE)</f>
        <v>5</v>
      </c>
      <c r="C2339">
        <f>VLOOKUP(N2339,Sheet9!$M$1:$N$2,2,FALSE)</f>
        <v>1</v>
      </c>
      <c r="D2339">
        <v>16</v>
      </c>
      <c r="E2339" t="s">
        <v>168</v>
      </c>
      <c r="F2339">
        <v>100</v>
      </c>
      <c r="G2339" t="s">
        <v>139</v>
      </c>
      <c r="H2339">
        <v>20</v>
      </c>
      <c r="I2339">
        <v>0.6</v>
      </c>
      <c r="J2339">
        <v>12</v>
      </c>
      <c r="K2339">
        <v>1.76</v>
      </c>
      <c r="L2339">
        <v>1.69</v>
      </c>
      <c r="M2339" t="s">
        <v>64</v>
      </c>
      <c r="N2339" t="s">
        <v>162</v>
      </c>
    </row>
    <row r="2340" spans="1:14" x14ac:dyDescent="0.3">
      <c r="A2340" t="s">
        <v>64</v>
      </c>
      <c r="B2340">
        <f>VLOOKUP(M2340,Sheet9!$I$1:$J$17,2,FALSE)</f>
        <v>5</v>
      </c>
      <c r="C2340">
        <f>VLOOKUP(N2340,Sheet9!$M$1:$N$2,2,FALSE)</f>
        <v>1</v>
      </c>
      <c r="D2340">
        <v>16</v>
      </c>
      <c r="E2340" t="s">
        <v>168</v>
      </c>
      <c r="F2340">
        <v>100</v>
      </c>
      <c r="G2340" t="s">
        <v>139</v>
      </c>
      <c r="H2340">
        <v>32</v>
      </c>
      <c r="I2340">
        <v>0.6</v>
      </c>
      <c r="J2340">
        <v>19.2</v>
      </c>
      <c r="K2340">
        <v>1.62</v>
      </c>
      <c r="L2340">
        <v>1.56</v>
      </c>
      <c r="M2340" t="s">
        <v>64</v>
      </c>
      <c r="N2340" t="s">
        <v>162</v>
      </c>
    </row>
    <row r="2341" spans="1:14" x14ac:dyDescent="0.3">
      <c r="A2341" t="s">
        <v>64</v>
      </c>
      <c r="B2341">
        <f>VLOOKUP(M2341,Sheet9!$I$1:$J$17,2,FALSE)</f>
        <v>5</v>
      </c>
      <c r="C2341">
        <f>VLOOKUP(N2341,Sheet9!$M$1:$N$2,2,FALSE)</f>
        <v>1</v>
      </c>
      <c r="D2341">
        <v>16</v>
      </c>
      <c r="E2341" t="s">
        <v>96</v>
      </c>
      <c r="F2341">
        <v>100</v>
      </c>
      <c r="G2341" t="s">
        <v>139</v>
      </c>
      <c r="H2341">
        <v>12</v>
      </c>
      <c r="I2341">
        <v>1.2</v>
      </c>
      <c r="J2341">
        <v>14.4</v>
      </c>
      <c r="K2341">
        <v>1.46</v>
      </c>
      <c r="L2341">
        <v>1.41</v>
      </c>
      <c r="M2341" t="s">
        <v>64</v>
      </c>
      <c r="N2341" t="s">
        <v>162</v>
      </c>
    </row>
    <row r="2342" spans="1:14" x14ac:dyDescent="0.3">
      <c r="A2342" t="s">
        <v>64</v>
      </c>
      <c r="B2342">
        <f>VLOOKUP(M2342,Sheet9!$I$1:$J$17,2,FALSE)</f>
        <v>5</v>
      </c>
      <c r="C2342">
        <f>VLOOKUP(N2342,Sheet9!$M$1:$N$2,2,FALSE)</f>
        <v>1</v>
      </c>
      <c r="D2342">
        <v>16</v>
      </c>
      <c r="E2342" t="s">
        <v>96</v>
      </c>
      <c r="F2342">
        <v>100</v>
      </c>
      <c r="G2342" t="s">
        <v>139</v>
      </c>
      <c r="H2342">
        <v>64</v>
      </c>
      <c r="I2342">
        <v>0.6</v>
      </c>
      <c r="J2342">
        <v>38.4</v>
      </c>
      <c r="K2342">
        <v>1.43</v>
      </c>
      <c r="L2342">
        <v>1.38</v>
      </c>
      <c r="M2342" t="s">
        <v>64</v>
      </c>
      <c r="N2342" t="s">
        <v>162</v>
      </c>
    </row>
    <row r="2343" spans="1:14" x14ac:dyDescent="0.3">
      <c r="A2343" t="s">
        <v>64</v>
      </c>
      <c r="B2343">
        <f>VLOOKUP(M2343,Sheet9!$I$1:$J$17,2,FALSE)</f>
        <v>5</v>
      </c>
      <c r="C2343">
        <f>VLOOKUP(N2343,Sheet9!$M$1:$N$2,2,FALSE)</f>
        <v>1</v>
      </c>
      <c r="D2343">
        <v>16</v>
      </c>
      <c r="E2343" t="s">
        <v>96</v>
      </c>
      <c r="F2343">
        <v>140</v>
      </c>
      <c r="G2343" t="s">
        <v>139</v>
      </c>
      <c r="H2343">
        <v>2</v>
      </c>
      <c r="I2343">
        <v>1</v>
      </c>
      <c r="J2343">
        <v>2</v>
      </c>
      <c r="K2343">
        <v>6.16</v>
      </c>
      <c r="L2343">
        <v>6.06</v>
      </c>
      <c r="M2343" t="s">
        <v>64</v>
      </c>
      <c r="N2343" t="s">
        <v>162</v>
      </c>
    </row>
    <row r="2344" spans="1:14" x14ac:dyDescent="0.3">
      <c r="A2344" t="s">
        <v>64</v>
      </c>
      <c r="B2344">
        <f>VLOOKUP(M2344,Sheet9!$I$1:$J$17,2,FALSE)</f>
        <v>5</v>
      </c>
      <c r="C2344">
        <f>VLOOKUP(N2344,Sheet9!$M$1:$N$2,2,FALSE)</f>
        <v>1</v>
      </c>
      <c r="D2344">
        <v>16</v>
      </c>
      <c r="E2344" t="s">
        <v>96</v>
      </c>
      <c r="F2344">
        <v>140</v>
      </c>
      <c r="G2344" t="s">
        <v>139</v>
      </c>
      <c r="H2344">
        <v>6</v>
      </c>
      <c r="I2344">
        <v>0.6</v>
      </c>
      <c r="J2344">
        <v>3.6</v>
      </c>
      <c r="K2344">
        <v>9.9700000000000006</v>
      </c>
      <c r="L2344">
        <v>9.8000000000000007</v>
      </c>
      <c r="M2344" t="s">
        <v>64</v>
      </c>
      <c r="N2344" t="s">
        <v>162</v>
      </c>
    </row>
    <row r="2345" spans="1:14" x14ac:dyDescent="0.3">
      <c r="A2345" t="s">
        <v>64</v>
      </c>
      <c r="B2345">
        <f>VLOOKUP(M2345,Sheet9!$I$1:$J$17,2,FALSE)</f>
        <v>5</v>
      </c>
      <c r="C2345">
        <f>VLOOKUP(N2345,Sheet9!$M$1:$N$2,2,FALSE)</f>
        <v>1</v>
      </c>
      <c r="D2345">
        <v>16</v>
      </c>
      <c r="E2345" t="s">
        <v>168</v>
      </c>
      <c r="F2345">
        <v>140</v>
      </c>
      <c r="G2345" t="s">
        <v>139</v>
      </c>
      <c r="H2345">
        <v>8</v>
      </c>
      <c r="I2345">
        <v>0.6</v>
      </c>
      <c r="J2345">
        <v>4.8</v>
      </c>
      <c r="K2345">
        <v>10.6</v>
      </c>
      <c r="L2345">
        <v>10.4</v>
      </c>
      <c r="M2345" t="s">
        <v>64</v>
      </c>
      <c r="N2345" t="s">
        <v>162</v>
      </c>
    </row>
    <row r="2346" spans="1:14" x14ac:dyDescent="0.3">
      <c r="A2346" t="s">
        <v>64</v>
      </c>
      <c r="B2346">
        <f>VLOOKUP(M2346,Sheet9!$I$1:$J$17,2,FALSE)</f>
        <v>5</v>
      </c>
      <c r="C2346">
        <f>VLOOKUP(N2346,Sheet9!$M$1:$N$2,2,FALSE)</f>
        <v>1</v>
      </c>
      <c r="D2346">
        <v>16</v>
      </c>
      <c r="E2346" t="s">
        <v>96</v>
      </c>
      <c r="F2346">
        <v>140</v>
      </c>
      <c r="G2346" t="s">
        <v>139</v>
      </c>
      <c r="H2346">
        <v>1</v>
      </c>
      <c r="I2346">
        <v>5</v>
      </c>
      <c r="J2346">
        <v>5</v>
      </c>
      <c r="K2346">
        <v>5.52</v>
      </c>
      <c r="L2346">
        <v>5.43</v>
      </c>
      <c r="M2346" t="s">
        <v>64</v>
      </c>
      <c r="N2346" t="s">
        <v>162</v>
      </c>
    </row>
    <row r="2347" spans="1:14" x14ac:dyDescent="0.3">
      <c r="A2347" t="s">
        <v>64</v>
      </c>
      <c r="B2347">
        <f>VLOOKUP(M2347,Sheet9!$I$1:$J$17,2,FALSE)</f>
        <v>5</v>
      </c>
      <c r="C2347">
        <f>VLOOKUP(N2347,Sheet9!$M$1:$N$2,2,FALSE)</f>
        <v>1</v>
      </c>
      <c r="D2347">
        <v>16</v>
      </c>
      <c r="E2347" t="s">
        <v>168</v>
      </c>
      <c r="F2347">
        <v>140</v>
      </c>
      <c r="G2347" t="s">
        <v>139</v>
      </c>
      <c r="H2347">
        <v>10</v>
      </c>
      <c r="I2347">
        <v>0.6</v>
      </c>
      <c r="J2347">
        <v>6</v>
      </c>
      <c r="K2347">
        <v>7.35</v>
      </c>
      <c r="L2347">
        <v>7.2</v>
      </c>
      <c r="M2347" t="s">
        <v>64</v>
      </c>
      <c r="N2347" t="s">
        <v>162</v>
      </c>
    </row>
    <row r="2348" spans="1:14" x14ac:dyDescent="0.3">
      <c r="A2348" t="s">
        <v>64</v>
      </c>
      <c r="B2348">
        <f>VLOOKUP(M2348,Sheet9!$I$1:$J$17,2,FALSE)</f>
        <v>5</v>
      </c>
      <c r="C2348">
        <f>VLOOKUP(N2348,Sheet9!$M$1:$N$2,2,FALSE)</f>
        <v>1</v>
      </c>
      <c r="D2348">
        <v>16</v>
      </c>
      <c r="E2348" t="s">
        <v>96</v>
      </c>
      <c r="F2348">
        <v>140</v>
      </c>
      <c r="G2348" t="s">
        <v>139</v>
      </c>
      <c r="H2348">
        <v>1</v>
      </c>
      <c r="I2348">
        <v>10</v>
      </c>
      <c r="J2348">
        <v>10</v>
      </c>
      <c r="K2348">
        <v>5.52</v>
      </c>
      <c r="L2348">
        <v>5.43</v>
      </c>
      <c r="M2348" t="s">
        <v>64</v>
      </c>
      <c r="N2348" t="s">
        <v>162</v>
      </c>
    </row>
    <row r="2349" spans="1:14" x14ac:dyDescent="0.3">
      <c r="A2349" t="s">
        <v>64</v>
      </c>
      <c r="B2349">
        <f>VLOOKUP(M2349,Sheet9!$I$1:$J$17,2,FALSE)</f>
        <v>5</v>
      </c>
      <c r="C2349">
        <f>VLOOKUP(N2349,Sheet9!$M$1:$N$2,2,FALSE)</f>
        <v>1</v>
      </c>
      <c r="D2349">
        <v>16</v>
      </c>
      <c r="E2349" t="s">
        <v>96</v>
      </c>
      <c r="F2349">
        <v>140</v>
      </c>
      <c r="G2349" t="s">
        <v>139</v>
      </c>
      <c r="H2349">
        <v>12</v>
      </c>
      <c r="I2349">
        <v>1.2</v>
      </c>
      <c r="J2349">
        <v>14.4</v>
      </c>
      <c r="K2349">
        <v>7.09</v>
      </c>
      <c r="L2349">
        <v>6.97</v>
      </c>
      <c r="M2349" t="s">
        <v>64</v>
      </c>
      <c r="N2349" t="s">
        <v>162</v>
      </c>
    </row>
    <row r="2350" spans="1:14" x14ac:dyDescent="0.3">
      <c r="A2350" t="s">
        <v>64</v>
      </c>
      <c r="B2350">
        <f>VLOOKUP(M2350,Sheet9!$I$1:$J$17,2,FALSE)</f>
        <v>5</v>
      </c>
      <c r="C2350">
        <f>VLOOKUP(N2350,Sheet9!$M$1:$N$2,2,FALSE)</f>
        <v>1</v>
      </c>
      <c r="D2350">
        <v>16</v>
      </c>
      <c r="E2350" t="s">
        <v>168</v>
      </c>
      <c r="F2350">
        <v>140</v>
      </c>
      <c r="G2350" t="s">
        <v>139</v>
      </c>
      <c r="H2350">
        <v>20</v>
      </c>
      <c r="I2350">
        <v>0.6</v>
      </c>
      <c r="J2350">
        <v>12</v>
      </c>
      <c r="K2350">
        <v>7.49</v>
      </c>
      <c r="L2350">
        <v>7.34</v>
      </c>
      <c r="M2350" t="s">
        <v>64</v>
      </c>
      <c r="N2350" t="s">
        <v>162</v>
      </c>
    </row>
    <row r="2351" spans="1:14" x14ac:dyDescent="0.3">
      <c r="A2351" t="s">
        <v>64</v>
      </c>
      <c r="B2351">
        <f>VLOOKUP(M2351,Sheet9!$I$1:$J$17,2,FALSE)</f>
        <v>5</v>
      </c>
      <c r="C2351">
        <f>VLOOKUP(N2351,Sheet9!$M$1:$N$2,2,FALSE)</f>
        <v>1</v>
      </c>
      <c r="D2351">
        <v>16</v>
      </c>
      <c r="E2351" t="s">
        <v>168</v>
      </c>
      <c r="F2351">
        <v>140</v>
      </c>
      <c r="G2351" t="s">
        <v>139</v>
      </c>
      <c r="H2351">
        <v>32</v>
      </c>
      <c r="I2351">
        <v>0.6</v>
      </c>
      <c r="J2351">
        <v>19.2</v>
      </c>
      <c r="K2351">
        <v>6.88</v>
      </c>
      <c r="L2351">
        <v>6.75</v>
      </c>
      <c r="M2351" t="s">
        <v>64</v>
      </c>
      <c r="N2351" t="s">
        <v>162</v>
      </c>
    </row>
    <row r="2352" spans="1:14" x14ac:dyDescent="0.3">
      <c r="A2352" t="s">
        <v>64</v>
      </c>
      <c r="B2352">
        <f>VLOOKUP(M2352,Sheet9!$I$1:$J$17,2,FALSE)</f>
        <v>5</v>
      </c>
      <c r="C2352">
        <f>VLOOKUP(N2352,Sheet9!$M$1:$N$2,2,FALSE)</f>
        <v>1</v>
      </c>
      <c r="D2352">
        <v>16</v>
      </c>
      <c r="E2352" t="s">
        <v>96</v>
      </c>
      <c r="F2352">
        <v>140</v>
      </c>
      <c r="G2352" t="s">
        <v>139</v>
      </c>
      <c r="H2352">
        <v>12</v>
      </c>
      <c r="I2352">
        <v>1.2</v>
      </c>
      <c r="J2352">
        <v>14.4</v>
      </c>
      <c r="K2352">
        <v>6.19</v>
      </c>
      <c r="L2352">
        <v>6.08</v>
      </c>
      <c r="M2352" t="s">
        <v>64</v>
      </c>
      <c r="N2352" t="s">
        <v>162</v>
      </c>
    </row>
    <row r="2353" spans="1:14" x14ac:dyDescent="0.3">
      <c r="A2353" t="s">
        <v>64</v>
      </c>
      <c r="B2353">
        <f>VLOOKUP(M2353,Sheet9!$I$1:$J$17,2,FALSE)</f>
        <v>5</v>
      </c>
      <c r="C2353">
        <f>VLOOKUP(N2353,Sheet9!$M$1:$N$2,2,FALSE)</f>
        <v>1</v>
      </c>
      <c r="D2353">
        <v>16</v>
      </c>
      <c r="E2353" t="s">
        <v>96</v>
      </c>
      <c r="F2353">
        <v>140</v>
      </c>
      <c r="G2353" t="s">
        <v>139</v>
      </c>
      <c r="H2353">
        <v>64</v>
      </c>
      <c r="I2353">
        <v>0.6</v>
      </c>
      <c r="J2353">
        <v>38.4</v>
      </c>
      <c r="K2353">
        <v>6.09</v>
      </c>
      <c r="L2353">
        <v>5.97</v>
      </c>
      <c r="M2353" t="s">
        <v>64</v>
      </c>
      <c r="N2353" t="s">
        <v>162</v>
      </c>
    </row>
    <row r="2354" spans="1:14" x14ac:dyDescent="0.3">
      <c r="A2354" t="s">
        <v>64</v>
      </c>
      <c r="B2354">
        <f>VLOOKUP(M2354,Sheet9!$I$1:$J$17,2,FALSE)</f>
        <v>5</v>
      </c>
      <c r="C2354">
        <f>VLOOKUP(N2354,Sheet9!$M$1:$N$2,2,FALSE)</f>
        <v>1</v>
      </c>
      <c r="D2354">
        <v>32</v>
      </c>
      <c r="E2354" t="s">
        <v>96</v>
      </c>
      <c r="F2354">
        <v>70</v>
      </c>
      <c r="H2354">
        <v>2</v>
      </c>
      <c r="I2354">
        <v>1</v>
      </c>
      <c r="J2354">
        <v>2</v>
      </c>
      <c r="K2354">
        <v>0.5</v>
      </c>
      <c r="L2354">
        <v>0.82</v>
      </c>
      <c r="M2354" t="s">
        <v>64</v>
      </c>
      <c r="N2354" t="s">
        <v>162</v>
      </c>
    </row>
    <row r="2355" spans="1:14" x14ac:dyDescent="0.3">
      <c r="A2355" t="s">
        <v>64</v>
      </c>
      <c r="B2355">
        <f>VLOOKUP(M2355,Sheet9!$I$1:$J$17,2,FALSE)</f>
        <v>5</v>
      </c>
      <c r="C2355">
        <f>VLOOKUP(N2355,Sheet9!$M$1:$N$2,2,FALSE)</f>
        <v>1</v>
      </c>
      <c r="D2355">
        <v>32</v>
      </c>
      <c r="E2355" t="s">
        <v>96</v>
      </c>
      <c r="F2355">
        <v>70</v>
      </c>
      <c r="H2355">
        <v>6</v>
      </c>
      <c r="I2355">
        <v>0.6</v>
      </c>
      <c r="J2355">
        <v>3.6</v>
      </c>
      <c r="K2355">
        <v>0.81</v>
      </c>
      <c r="L2355">
        <v>1.33</v>
      </c>
      <c r="M2355" t="s">
        <v>64</v>
      </c>
      <c r="N2355" t="s">
        <v>162</v>
      </c>
    </row>
    <row r="2356" spans="1:14" x14ac:dyDescent="0.3">
      <c r="A2356" t="s">
        <v>64</v>
      </c>
      <c r="B2356">
        <f>VLOOKUP(M2356,Sheet9!$I$1:$J$17,2,FALSE)</f>
        <v>5</v>
      </c>
      <c r="C2356">
        <f>VLOOKUP(N2356,Sheet9!$M$1:$N$2,2,FALSE)</f>
        <v>1</v>
      </c>
      <c r="D2356">
        <v>32</v>
      </c>
      <c r="E2356" t="s">
        <v>168</v>
      </c>
      <c r="F2356">
        <v>70</v>
      </c>
      <c r="H2356">
        <v>8</v>
      </c>
      <c r="I2356">
        <v>0.6</v>
      </c>
      <c r="J2356">
        <v>4.8</v>
      </c>
      <c r="K2356">
        <v>0.86</v>
      </c>
      <c r="L2356">
        <v>1.39</v>
      </c>
      <c r="M2356" t="s">
        <v>64</v>
      </c>
      <c r="N2356" t="s">
        <v>162</v>
      </c>
    </row>
    <row r="2357" spans="1:14" x14ac:dyDescent="0.3">
      <c r="A2357" t="s">
        <v>64</v>
      </c>
      <c r="B2357">
        <f>VLOOKUP(M2357,Sheet9!$I$1:$J$17,2,FALSE)</f>
        <v>5</v>
      </c>
      <c r="C2357">
        <f>VLOOKUP(N2357,Sheet9!$M$1:$N$2,2,FALSE)</f>
        <v>1</v>
      </c>
      <c r="D2357">
        <v>32</v>
      </c>
      <c r="E2357" t="s">
        <v>96</v>
      </c>
      <c r="F2357">
        <v>70</v>
      </c>
      <c r="H2357">
        <v>1</v>
      </c>
      <c r="I2357">
        <v>5</v>
      </c>
      <c r="J2357">
        <v>5</v>
      </c>
      <c r="K2357">
        <v>0.45</v>
      </c>
      <c r="L2357">
        <v>0.74</v>
      </c>
      <c r="M2357" t="s">
        <v>64</v>
      </c>
      <c r="N2357" t="s">
        <v>162</v>
      </c>
    </row>
    <row r="2358" spans="1:14" x14ac:dyDescent="0.3">
      <c r="A2358" t="s">
        <v>64</v>
      </c>
      <c r="B2358">
        <f>VLOOKUP(M2358,Sheet9!$I$1:$J$17,2,FALSE)</f>
        <v>5</v>
      </c>
      <c r="C2358">
        <f>VLOOKUP(N2358,Sheet9!$M$1:$N$2,2,FALSE)</f>
        <v>1</v>
      </c>
      <c r="D2358">
        <v>32</v>
      </c>
      <c r="E2358" t="s">
        <v>168</v>
      </c>
      <c r="F2358">
        <v>70</v>
      </c>
      <c r="H2358">
        <v>10</v>
      </c>
      <c r="I2358">
        <v>0.6</v>
      </c>
      <c r="J2358">
        <v>6</v>
      </c>
      <c r="K2358">
        <v>0.6</v>
      </c>
      <c r="L2358">
        <v>0.97</v>
      </c>
      <c r="M2358" t="s">
        <v>64</v>
      </c>
      <c r="N2358" t="s">
        <v>162</v>
      </c>
    </row>
    <row r="2359" spans="1:14" x14ac:dyDescent="0.3">
      <c r="A2359" t="s">
        <v>64</v>
      </c>
      <c r="B2359">
        <f>VLOOKUP(M2359,Sheet9!$I$1:$J$17,2,FALSE)</f>
        <v>5</v>
      </c>
      <c r="C2359">
        <f>VLOOKUP(N2359,Sheet9!$M$1:$N$2,2,FALSE)</f>
        <v>1</v>
      </c>
      <c r="D2359">
        <v>32</v>
      </c>
      <c r="E2359" t="s">
        <v>96</v>
      </c>
      <c r="F2359">
        <v>70</v>
      </c>
      <c r="H2359">
        <v>1</v>
      </c>
      <c r="I2359">
        <v>10</v>
      </c>
      <c r="J2359">
        <v>10</v>
      </c>
      <c r="K2359">
        <v>0.45</v>
      </c>
      <c r="L2359">
        <v>0.74</v>
      </c>
      <c r="M2359" t="s">
        <v>64</v>
      </c>
      <c r="N2359" t="s">
        <v>162</v>
      </c>
    </row>
    <row r="2360" spans="1:14" x14ac:dyDescent="0.3">
      <c r="A2360" t="s">
        <v>64</v>
      </c>
      <c r="B2360">
        <f>VLOOKUP(M2360,Sheet9!$I$1:$J$17,2,FALSE)</f>
        <v>5</v>
      </c>
      <c r="C2360">
        <f>VLOOKUP(N2360,Sheet9!$M$1:$N$2,2,FALSE)</f>
        <v>1</v>
      </c>
      <c r="D2360">
        <v>32</v>
      </c>
      <c r="E2360" t="s">
        <v>96</v>
      </c>
      <c r="F2360">
        <v>70</v>
      </c>
      <c r="H2360">
        <v>12</v>
      </c>
      <c r="I2360">
        <v>1.2</v>
      </c>
      <c r="J2360">
        <v>14.4</v>
      </c>
      <c r="K2360">
        <v>0.57999999999999996</v>
      </c>
      <c r="L2360">
        <v>0.94</v>
      </c>
      <c r="M2360" t="s">
        <v>64</v>
      </c>
      <c r="N2360" t="s">
        <v>162</v>
      </c>
    </row>
    <row r="2361" spans="1:14" x14ac:dyDescent="0.3">
      <c r="A2361" t="s">
        <v>64</v>
      </c>
      <c r="B2361">
        <f>VLOOKUP(M2361,Sheet9!$I$1:$J$17,2,FALSE)</f>
        <v>5</v>
      </c>
      <c r="C2361">
        <f>VLOOKUP(N2361,Sheet9!$M$1:$N$2,2,FALSE)</f>
        <v>1</v>
      </c>
      <c r="D2361">
        <v>32</v>
      </c>
      <c r="E2361" t="s">
        <v>168</v>
      </c>
      <c r="F2361">
        <v>70</v>
      </c>
      <c r="H2361">
        <v>20</v>
      </c>
      <c r="I2361">
        <v>0.6</v>
      </c>
      <c r="J2361">
        <v>12</v>
      </c>
      <c r="K2361">
        <v>0.61</v>
      </c>
      <c r="L2361">
        <v>0.98</v>
      </c>
      <c r="M2361" t="s">
        <v>64</v>
      </c>
      <c r="N2361" t="s">
        <v>162</v>
      </c>
    </row>
    <row r="2362" spans="1:14" x14ac:dyDescent="0.3">
      <c r="A2362" t="s">
        <v>64</v>
      </c>
      <c r="B2362">
        <f>VLOOKUP(M2362,Sheet9!$I$1:$J$17,2,FALSE)</f>
        <v>5</v>
      </c>
      <c r="C2362">
        <f>VLOOKUP(N2362,Sheet9!$M$1:$N$2,2,FALSE)</f>
        <v>1</v>
      </c>
      <c r="D2362">
        <v>32</v>
      </c>
      <c r="E2362" t="s">
        <v>168</v>
      </c>
      <c r="F2362">
        <v>70</v>
      </c>
      <c r="H2362">
        <v>32</v>
      </c>
      <c r="I2362">
        <v>0.6</v>
      </c>
      <c r="J2362">
        <v>19.2</v>
      </c>
      <c r="K2362">
        <v>0.56000000000000005</v>
      </c>
      <c r="L2362">
        <v>0.91</v>
      </c>
      <c r="M2362" t="s">
        <v>64</v>
      </c>
      <c r="N2362" t="s">
        <v>162</v>
      </c>
    </row>
    <row r="2363" spans="1:14" x14ac:dyDescent="0.3">
      <c r="A2363" t="s">
        <v>64</v>
      </c>
      <c r="B2363">
        <f>VLOOKUP(M2363,Sheet9!$I$1:$J$17,2,FALSE)</f>
        <v>5</v>
      </c>
      <c r="C2363">
        <f>VLOOKUP(N2363,Sheet9!$M$1:$N$2,2,FALSE)</f>
        <v>1</v>
      </c>
      <c r="D2363">
        <v>32</v>
      </c>
      <c r="E2363" t="s">
        <v>96</v>
      </c>
      <c r="F2363">
        <v>70</v>
      </c>
      <c r="H2363">
        <v>12</v>
      </c>
      <c r="I2363">
        <v>1.2</v>
      </c>
      <c r="J2363">
        <v>14.4</v>
      </c>
      <c r="K2363">
        <v>0.5</v>
      </c>
      <c r="L2363">
        <v>0.82</v>
      </c>
      <c r="M2363" t="s">
        <v>64</v>
      </c>
      <c r="N2363" t="s">
        <v>162</v>
      </c>
    </row>
    <row r="2364" spans="1:14" x14ac:dyDescent="0.3">
      <c r="A2364" t="s">
        <v>64</v>
      </c>
      <c r="B2364">
        <f>VLOOKUP(M2364,Sheet9!$I$1:$J$17,2,FALSE)</f>
        <v>5</v>
      </c>
      <c r="C2364">
        <f>VLOOKUP(N2364,Sheet9!$M$1:$N$2,2,FALSE)</f>
        <v>1</v>
      </c>
      <c r="D2364">
        <v>32</v>
      </c>
      <c r="E2364" t="s">
        <v>96</v>
      </c>
      <c r="F2364">
        <v>70</v>
      </c>
      <c r="H2364">
        <v>64</v>
      </c>
      <c r="I2364">
        <v>0.6</v>
      </c>
      <c r="J2364">
        <v>38.4</v>
      </c>
      <c r="K2364">
        <v>0.49</v>
      </c>
      <c r="L2364">
        <v>0.8</v>
      </c>
      <c r="M2364" t="s">
        <v>64</v>
      </c>
      <c r="N2364" t="s">
        <v>162</v>
      </c>
    </row>
    <row r="2365" spans="1:14" x14ac:dyDescent="0.3">
      <c r="A2365" t="s">
        <v>64</v>
      </c>
      <c r="B2365">
        <f>VLOOKUP(M2365,Sheet9!$I$1:$J$17,2,FALSE)</f>
        <v>5</v>
      </c>
      <c r="C2365">
        <f>VLOOKUP(N2365,Sheet9!$M$1:$N$2,2,FALSE)</f>
        <v>1</v>
      </c>
      <c r="D2365">
        <v>32</v>
      </c>
      <c r="E2365" t="s">
        <v>96</v>
      </c>
      <c r="F2365">
        <v>80</v>
      </c>
      <c r="H2365">
        <v>2</v>
      </c>
      <c r="I2365">
        <v>1</v>
      </c>
      <c r="J2365">
        <v>2</v>
      </c>
      <c r="K2365">
        <v>0.91</v>
      </c>
      <c r="L2365">
        <v>1.41</v>
      </c>
      <c r="M2365" t="s">
        <v>64</v>
      </c>
      <c r="N2365" t="s">
        <v>162</v>
      </c>
    </row>
    <row r="2366" spans="1:14" x14ac:dyDescent="0.3">
      <c r="A2366" t="s">
        <v>64</v>
      </c>
      <c r="B2366">
        <f>VLOOKUP(M2366,Sheet9!$I$1:$J$17,2,FALSE)</f>
        <v>5</v>
      </c>
      <c r="C2366">
        <f>VLOOKUP(N2366,Sheet9!$M$1:$N$2,2,FALSE)</f>
        <v>1</v>
      </c>
      <c r="D2366">
        <v>32</v>
      </c>
      <c r="E2366" t="s">
        <v>96</v>
      </c>
      <c r="F2366">
        <v>80</v>
      </c>
      <c r="H2366">
        <v>6</v>
      </c>
      <c r="I2366">
        <v>0.6</v>
      </c>
      <c r="J2366">
        <v>3.6</v>
      </c>
      <c r="K2366">
        <v>1.48</v>
      </c>
      <c r="L2366">
        <v>2.2799999999999998</v>
      </c>
      <c r="M2366" t="s">
        <v>64</v>
      </c>
      <c r="N2366" t="s">
        <v>162</v>
      </c>
    </row>
    <row r="2367" spans="1:14" x14ac:dyDescent="0.3">
      <c r="A2367" t="s">
        <v>64</v>
      </c>
      <c r="B2367">
        <f>VLOOKUP(M2367,Sheet9!$I$1:$J$17,2,FALSE)</f>
        <v>5</v>
      </c>
      <c r="C2367">
        <f>VLOOKUP(N2367,Sheet9!$M$1:$N$2,2,FALSE)</f>
        <v>1</v>
      </c>
      <c r="D2367">
        <v>32</v>
      </c>
      <c r="E2367" t="s">
        <v>168</v>
      </c>
      <c r="F2367">
        <v>80</v>
      </c>
      <c r="H2367">
        <v>8</v>
      </c>
      <c r="I2367">
        <v>0.6</v>
      </c>
      <c r="J2367">
        <v>4.8</v>
      </c>
      <c r="K2367">
        <v>1.56</v>
      </c>
      <c r="L2367">
        <v>2.38</v>
      </c>
      <c r="M2367" t="s">
        <v>64</v>
      </c>
      <c r="N2367" t="s">
        <v>162</v>
      </c>
    </row>
    <row r="2368" spans="1:14" x14ac:dyDescent="0.3">
      <c r="A2368" t="s">
        <v>64</v>
      </c>
      <c r="B2368">
        <f>VLOOKUP(M2368,Sheet9!$I$1:$J$17,2,FALSE)</f>
        <v>5</v>
      </c>
      <c r="C2368">
        <f>VLOOKUP(N2368,Sheet9!$M$1:$N$2,2,FALSE)</f>
        <v>1</v>
      </c>
      <c r="D2368">
        <v>32</v>
      </c>
      <c r="E2368" t="s">
        <v>96</v>
      </c>
      <c r="F2368">
        <v>80</v>
      </c>
      <c r="H2368">
        <v>1</v>
      </c>
      <c r="I2368">
        <v>5</v>
      </c>
      <c r="J2368">
        <v>5</v>
      </c>
      <c r="K2368">
        <v>0.82</v>
      </c>
      <c r="L2368">
        <v>1.26</v>
      </c>
      <c r="M2368" t="s">
        <v>64</v>
      </c>
      <c r="N2368" t="s">
        <v>162</v>
      </c>
    </row>
    <row r="2369" spans="1:14" x14ac:dyDescent="0.3">
      <c r="A2369" t="s">
        <v>64</v>
      </c>
      <c r="B2369">
        <f>VLOOKUP(M2369,Sheet9!$I$1:$J$17,2,FALSE)</f>
        <v>5</v>
      </c>
      <c r="C2369">
        <f>VLOOKUP(N2369,Sheet9!$M$1:$N$2,2,FALSE)</f>
        <v>1</v>
      </c>
      <c r="D2369">
        <v>32</v>
      </c>
      <c r="E2369" t="s">
        <v>168</v>
      </c>
      <c r="F2369">
        <v>80</v>
      </c>
      <c r="H2369">
        <v>10</v>
      </c>
      <c r="I2369">
        <v>0.6</v>
      </c>
      <c r="J2369">
        <v>6</v>
      </c>
      <c r="K2369">
        <v>1.08</v>
      </c>
      <c r="L2369">
        <v>1.65</v>
      </c>
      <c r="M2369" t="s">
        <v>64</v>
      </c>
      <c r="N2369" t="s">
        <v>162</v>
      </c>
    </row>
    <row r="2370" spans="1:14" x14ac:dyDescent="0.3">
      <c r="A2370" t="s">
        <v>64</v>
      </c>
      <c r="B2370">
        <f>VLOOKUP(M2370,Sheet9!$I$1:$J$17,2,FALSE)</f>
        <v>5</v>
      </c>
      <c r="C2370">
        <f>VLOOKUP(N2370,Sheet9!$M$1:$N$2,2,FALSE)</f>
        <v>1</v>
      </c>
      <c r="D2370">
        <v>32</v>
      </c>
      <c r="E2370" t="s">
        <v>96</v>
      </c>
      <c r="F2370">
        <v>80</v>
      </c>
      <c r="H2370">
        <v>1</v>
      </c>
      <c r="I2370">
        <v>10</v>
      </c>
      <c r="J2370">
        <v>10</v>
      </c>
      <c r="K2370">
        <v>0.82</v>
      </c>
      <c r="L2370">
        <v>1.26</v>
      </c>
      <c r="M2370" t="s">
        <v>64</v>
      </c>
      <c r="N2370" t="s">
        <v>162</v>
      </c>
    </row>
    <row r="2371" spans="1:14" x14ac:dyDescent="0.3">
      <c r="A2371" t="s">
        <v>64</v>
      </c>
      <c r="B2371">
        <f>VLOOKUP(M2371,Sheet9!$I$1:$J$17,2,FALSE)</f>
        <v>5</v>
      </c>
      <c r="C2371">
        <f>VLOOKUP(N2371,Sheet9!$M$1:$N$2,2,FALSE)</f>
        <v>1</v>
      </c>
      <c r="D2371">
        <v>32</v>
      </c>
      <c r="E2371" t="s">
        <v>96</v>
      </c>
      <c r="F2371">
        <v>80</v>
      </c>
      <c r="H2371">
        <v>12</v>
      </c>
      <c r="I2371">
        <v>1.2</v>
      </c>
      <c r="J2371">
        <v>14.4</v>
      </c>
      <c r="K2371">
        <v>1.05</v>
      </c>
      <c r="L2371">
        <v>1.62</v>
      </c>
      <c r="M2371" t="s">
        <v>64</v>
      </c>
      <c r="N2371" t="s">
        <v>162</v>
      </c>
    </row>
    <row r="2372" spans="1:14" x14ac:dyDescent="0.3">
      <c r="A2372" t="s">
        <v>64</v>
      </c>
      <c r="B2372">
        <f>VLOOKUP(M2372,Sheet9!$I$1:$J$17,2,FALSE)</f>
        <v>5</v>
      </c>
      <c r="C2372">
        <f>VLOOKUP(N2372,Sheet9!$M$1:$N$2,2,FALSE)</f>
        <v>1</v>
      </c>
      <c r="D2372">
        <v>32</v>
      </c>
      <c r="E2372" t="s">
        <v>168</v>
      </c>
      <c r="F2372">
        <v>80</v>
      </c>
      <c r="H2372">
        <v>20</v>
      </c>
      <c r="I2372">
        <v>0.6</v>
      </c>
      <c r="J2372">
        <v>12</v>
      </c>
      <c r="K2372">
        <v>1.1100000000000001</v>
      </c>
      <c r="L2372">
        <v>1.68</v>
      </c>
      <c r="M2372" t="s">
        <v>64</v>
      </c>
      <c r="N2372" t="s">
        <v>162</v>
      </c>
    </row>
    <row r="2373" spans="1:14" x14ac:dyDescent="0.3">
      <c r="A2373" t="s">
        <v>64</v>
      </c>
      <c r="B2373">
        <f>VLOOKUP(M2373,Sheet9!$I$1:$J$17,2,FALSE)</f>
        <v>5</v>
      </c>
      <c r="C2373">
        <f>VLOOKUP(N2373,Sheet9!$M$1:$N$2,2,FALSE)</f>
        <v>1</v>
      </c>
      <c r="D2373">
        <v>32</v>
      </c>
      <c r="E2373" t="s">
        <v>168</v>
      </c>
      <c r="F2373">
        <v>80</v>
      </c>
      <c r="H2373">
        <v>32</v>
      </c>
      <c r="I2373">
        <v>0.6</v>
      </c>
      <c r="J2373">
        <v>19.2</v>
      </c>
      <c r="K2373">
        <v>1.02</v>
      </c>
      <c r="L2373">
        <v>1.56</v>
      </c>
      <c r="M2373" t="s">
        <v>64</v>
      </c>
      <c r="N2373" t="s">
        <v>162</v>
      </c>
    </row>
    <row r="2374" spans="1:14" x14ac:dyDescent="0.3">
      <c r="A2374" t="s">
        <v>64</v>
      </c>
      <c r="B2374">
        <f>VLOOKUP(M2374,Sheet9!$I$1:$J$17,2,FALSE)</f>
        <v>5</v>
      </c>
      <c r="C2374">
        <f>VLOOKUP(N2374,Sheet9!$M$1:$N$2,2,FALSE)</f>
        <v>1</v>
      </c>
      <c r="D2374">
        <v>32</v>
      </c>
      <c r="E2374" t="s">
        <v>96</v>
      </c>
      <c r="F2374">
        <v>80</v>
      </c>
      <c r="H2374">
        <v>12</v>
      </c>
      <c r="I2374">
        <v>1.2</v>
      </c>
      <c r="J2374">
        <v>14.4</v>
      </c>
      <c r="K2374">
        <v>0.92</v>
      </c>
      <c r="L2374">
        <v>1.41</v>
      </c>
      <c r="M2374" t="s">
        <v>64</v>
      </c>
      <c r="N2374" t="s">
        <v>162</v>
      </c>
    </row>
    <row r="2375" spans="1:14" x14ac:dyDescent="0.3">
      <c r="A2375" t="s">
        <v>64</v>
      </c>
      <c r="B2375">
        <f>VLOOKUP(M2375,Sheet9!$I$1:$J$17,2,FALSE)</f>
        <v>5</v>
      </c>
      <c r="C2375">
        <f>VLOOKUP(N2375,Sheet9!$M$1:$N$2,2,FALSE)</f>
        <v>1</v>
      </c>
      <c r="D2375">
        <v>32</v>
      </c>
      <c r="E2375" t="s">
        <v>96</v>
      </c>
      <c r="F2375">
        <v>80</v>
      </c>
      <c r="H2375">
        <v>64</v>
      </c>
      <c r="I2375">
        <v>0.6</v>
      </c>
      <c r="J2375">
        <v>38.4</v>
      </c>
      <c r="K2375">
        <v>0.9</v>
      </c>
      <c r="L2375">
        <v>1.37</v>
      </c>
      <c r="M2375" t="s">
        <v>64</v>
      </c>
      <c r="N2375" t="s">
        <v>162</v>
      </c>
    </row>
    <row r="2376" spans="1:14" x14ac:dyDescent="0.3">
      <c r="A2376" t="s">
        <v>64</v>
      </c>
      <c r="B2376">
        <f>VLOOKUP(M2376,Sheet9!$I$1:$J$17,2,FALSE)</f>
        <v>5</v>
      </c>
      <c r="C2376">
        <f>VLOOKUP(N2376,Sheet9!$M$1:$N$2,2,FALSE)</f>
        <v>1</v>
      </c>
      <c r="D2376">
        <v>32</v>
      </c>
      <c r="E2376" t="s">
        <v>96</v>
      </c>
      <c r="F2376">
        <v>90</v>
      </c>
      <c r="H2376">
        <v>2</v>
      </c>
      <c r="I2376">
        <v>1</v>
      </c>
      <c r="J2376">
        <v>2</v>
      </c>
      <c r="K2376">
        <v>1.46</v>
      </c>
      <c r="L2376">
        <v>2.17</v>
      </c>
      <c r="M2376" t="s">
        <v>64</v>
      </c>
      <c r="N2376" t="s">
        <v>162</v>
      </c>
    </row>
    <row r="2377" spans="1:14" x14ac:dyDescent="0.3">
      <c r="A2377" t="s">
        <v>64</v>
      </c>
      <c r="B2377">
        <f>VLOOKUP(M2377,Sheet9!$I$1:$J$17,2,FALSE)</f>
        <v>5</v>
      </c>
      <c r="C2377">
        <f>VLOOKUP(N2377,Sheet9!$M$1:$N$2,2,FALSE)</f>
        <v>1</v>
      </c>
      <c r="D2377">
        <v>32</v>
      </c>
      <c r="E2377" t="s">
        <v>96</v>
      </c>
      <c r="F2377">
        <v>90</v>
      </c>
      <c r="H2377">
        <v>6</v>
      </c>
      <c r="I2377">
        <v>0.6</v>
      </c>
      <c r="J2377">
        <v>3.6</v>
      </c>
      <c r="K2377">
        <v>2.36</v>
      </c>
      <c r="L2377">
        <v>3.51</v>
      </c>
      <c r="M2377" t="s">
        <v>64</v>
      </c>
      <c r="N2377" t="s">
        <v>162</v>
      </c>
    </row>
    <row r="2378" spans="1:14" x14ac:dyDescent="0.3">
      <c r="A2378" t="s">
        <v>64</v>
      </c>
      <c r="B2378">
        <f>VLOOKUP(M2378,Sheet9!$I$1:$J$17,2,FALSE)</f>
        <v>5</v>
      </c>
      <c r="C2378">
        <f>VLOOKUP(N2378,Sheet9!$M$1:$N$2,2,FALSE)</f>
        <v>1</v>
      </c>
      <c r="D2378">
        <v>32</v>
      </c>
      <c r="E2378" t="s">
        <v>168</v>
      </c>
      <c r="F2378">
        <v>90</v>
      </c>
      <c r="H2378">
        <v>8</v>
      </c>
      <c r="I2378">
        <v>0.6</v>
      </c>
      <c r="J2378">
        <v>4.8</v>
      </c>
      <c r="K2378">
        <v>2.4900000000000002</v>
      </c>
      <c r="L2378">
        <v>3.67</v>
      </c>
      <c r="M2378" t="s">
        <v>64</v>
      </c>
      <c r="N2378" t="s">
        <v>162</v>
      </c>
    </row>
    <row r="2379" spans="1:14" x14ac:dyDescent="0.3">
      <c r="A2379" t="s">
        <v>64</v>
      </c>
      <c r="B2379">
        <f>VLOOKUP(M2379,Sheet9!$I$1:$J$17,2,FALSE)</f>
        <v>5</v>
      </c>
      <c r="C2379">
        <f>VLOOKUP(N2379,Sheet9!$M$1:$N$2,2,FALSE)</f>
        <v>1</v>
      </c>
      <c r="D2379">
        <v>32</v>
      </c>
      <c r="E2379" t="s">
        <v>96</v>
      </c>
      <c r="F2379">
        <v>90</v>
      </c>
      <c r="H2379">
        <v>1</v>
      </c>
      <c r="I2379">
        <v>5</v>
      </c>
      <c r="J2379">
        <v>5</v>
      </c>
      <c r="K2379">
        <v>1.31</v>
      </c>
      <c r="L2379">
        <v>1.95</v>
      </c>
      <c r="M2379" t="s">
        <v>64</v>
      </c>
      <c r="N2379" t="s">
        <v>162</v>
      </c>
    </row>
    <row r="2380" spans="1:14" x14ac:dyDescent="0.3">
      <c r="A2380" t="s">
        <v>64</v>
      </c>
      <c r="B2380">
        <f>VLOOKUP(M2380,Sheet9!$I$1:$J$17,2,FALSE)</f>
        <v>5</v>
      </c>
      <c r="C2380">
        <f>VLOOKUP(N2380,Sheet9!$M$1:$N$2,2,FALSE)</f>
        <v>1</v>
      </c>
      <c r="D2380">
        <v>32</v>
      </c>
      <c r="E2380" t="s">
        <v>168</v>
      </c>
      <c r="F2380">
        <v>90</v>
      </c>
      <c r="H2380">
        <v>10</v>
      </c>
      <c r="I2380">
        <v>0.6</v>
      </c>
      <c r="J2380">
        <v>6</v>
      </c>
      <c r="K2380">
        <v>1.73</v>
      </c>
      <c r="L2380">
        <v>2.54</v>
      </c>
      <c r="M2380" t="s">
        <v>64</v>
      </c>
      <c r="N2380" t="s">
        <v>162</v>
      </c>
    </row>
    <row r="2381" spans="1:14" x14ac:dyDescent="0.3">
      <c r="A2381" t="s">
        <v>64</v>
      </c>
      <c r="B2381">
        <f>VLOOKUP(M2381,Sheet9!$I$1:$J$17,2,FALSE)</f>
        <v>5</v>
      </c>
      <c r="C2381">
        <f>VLOOKUP(N2381,Sheet9!$M$1:$N$2,2,FALSE)</f>
        <v>1</v>
      </c>
      <c r="D2381">
        <v>32</v>
      </c>
      <c r="E2381" t="s">
        <v>96</v>
      </c>
      <c r="F2381">
        <v>90</v>
      </c>
      <c r="H2381">
        <v>1</v>
      </c>
      <c r="I2381">
        <v>10</v>
      </c>
      <c r="J2381">
        <v>10</v>
      </c>
      <c r="K2381">
        <v>1.31</v>
      </c>
      <c r="L2381">
        <v>1.95</v>
      </c>
      <c r="M2381" t="s">
        <v>64</v>
      </c>
      <c r="N2381" t="s">
        <v>162</v>
      </c>
    </row>
    <row r="2382" spans="1:14" x14ac:dyDescent="0.3">
      <c r="A2382" t="s">
        <v>64</v>
      </c>
      <c r="B2382">
        <f>VLOOKUP(M2382,Sheet9!$I$1:$J$17,2,FALSE)</f>
        <v>5</v>
      </c>
      <c r="C2382">
        <f>VLOOKUP(N2382,Sheet9!$M$1:$N$2,2,FALSE)</f>
        <v>1</v>
      </c>
      <c r="D2382">
        <v>32</v>
      </c>
      <c r="E2382" t="s">
        <v>96</v>
      </c>
      <c r="F2382">
        <v>90</v>
      </c>
      <c r="H2382">
        <v>12</v>
      </c>
      <c r="I2382">
        <v>1.2</v>
      </c>
      <c r="J2382">
        <v>14.4</v>
      </c>
      <c r="K2382">
        <v>1.68</v>
      </c>
      <c r="L2382">
        <v>2.5</v>
      </c>
      <c r="M2382" t="s">
        <v>64</v>
      </c>
      <c r="N2382" t="s">
        <v>162</v>
      </c>
    </row>
    <row r="2383" spans="1:14" x14ac:dyDescent="0.3">
      <c r="A2383" t="s">
        <v>64</v>
      </c>
      <c r="B2383">
        <f>VLOOKUP(M2383,Sheet9!$I$1:$J$17,2,FALSE)</f>
        <v>5</v>
      </c>
      <c r="C2383">
        <f>VLOOKUP(N2383,Sheet9!$M$1:$N$2,2,FALSE)</f>
        <v>1</v>
      </c>
      <c r="D2383">
        <v>32</v>
      </c>
      <c r="E2383" t="s">
        <v>168</v>
      </c>
      <c r="F2383">
        <v>90</v>
      </c>
      <c r="H2383">
        <v>20</v>
      </c>
      <c r="I2383">
        <v>0.6</v>
      </c>
      <c r="J2383">
        <v>12</v>
      </c>
      <c r="K2383">
        <v>1.76</v>
      </c>
      <c r="L2383">
        <v>2.59</v>
      </c>
      <c r="M2383" t="s">
        <v>64</v>
      </c>
      <c r="N2383" t="s">
        <v>162</v>
      </c>
    </row>
    <row r="2384" spans="1:14" x14ac:dyDescent="0.3">
      <c r="A2384" t="s">
        <v>64</v>
      </c>
      <c r="B2384">
        <f>VLOOKUP(M2384,Sheet9!$I$1:$J$17,2,FALSE)</f>
        <v>5</v>
      </c>
      <c r="C2384">
        <f>VLOOKUP(N2384,Sheet9!$M$1:$N$2,2,FALSE)</f>
        <v>1</v>
      </c>
      <c r="D2384">
        <v>32</v>
      </c>
      <c r="E2384" t="s">
        <v>168</v>
      </c>
      <c r="F2384">
        <v>90</v>
      </c>
      <c r="H2384">
        <v>32</v>
      </c>
      <c r="I2384">
        <v>0.6</v>
      </c>
      <c r="J2384">
        <v>19.2</v>
      </c>
      <c r="K2384">
        <v>1.62</v>
      </c>
      <c r="L2384">
        <v>2.4</v>
      </c>
      <c r="M2384" t="s">
        <v>64</v>
      </c>
      <c r="N2384" t="s">
        <v>162</v>
      </c>
    </row>
    <row r="2385" spans="1:14" x14ac:dyDescent="0.3">
      <c r="A2385" t="s">
        <v>64</v>
      </c>
      <c r="B2385">
        <f>VLOOKUP(M2385,Sheet9!$I$1:$J$17,2,FALSE)</f>
        <v>5</v>
      </c>
      <c r="C2385">
        <f>VLOOKUP(N2385,Sheet9!$M$1:$N$2,2,FALSE)</f>
        <v>1</v>
      </c>
      <c r="D2385">
        <v>32</v>
      </c>
      <c r="E2385" t="s">
        <v>96</v>
      </c>
      <c r="F2385">
        <v>90</v>
      </c>
      <c r="H2385">
        <v>12</v>
      </c>
      <c r="I2385">
        <v>1.2</v>
      </c>
      <c r="J2385">
        <v>14.4</v>
      </c>
      <c r="K2385">
        <v>1.47</v>
      </c>
      <c r="L2385">
        <v>2.1800000000000002</v>
      </c>
      <c r="M2385" t="s">
        <v>64</v>
      </c>
      <c r="N2385" t="s">
        <v>162</v>
      </c>
    </row>
    <row r="2386" spans="1:14" x14ac:dyDescent="0.3">
      <c r="A2386" t="s">
        <v>64</v>
      </c>
      <c r="B2386">
        <f>VLOOKUP(M2386,Sheet9!$I$1:$J$17,2,FALSE)</f>
        <v>5</v>
      </c>
      <c r="C2386">
        <f>VLOOKUP(N2386,Sheet9!$M$1:$N$2,2,FALSE)</f>
        <v>1</v>
      </c>
      <c r="D2386">
        <v>32</v>
      </c>
      <c r="E2386" t="s">
        <v>96</v>
      </c>
      <c r="F2386">
        <v>90</v>
      </c>
      <c r="H2386">
        <v>64</v>
      </c>
      <c r="I2386">
        <v>0.6</v>
      </c>
      <c r="J2386">
        <v>38.4</v>
      </c>
      <c r="K2386">
        <v>1.43</v>
      </c>
      <c r="L2386">
        <v>2.11</v>
      </c>
      <c r="M2386" t="s">
        <v>64</v>
      </c>
      <c r="N2386" t="s">
        <v>162</v>
      </c>
    </row>
    <row r="2387" spans="1:14" x14ac:dyDescent="0.3">
      <c r="A2387" t="s">
        <v>64</v>
      </c>
      <c r="B2387">
        <f>VLOOKUP(M2387,Sheet9!$I$1:$J$17,2,FALSE)</f>
        <v>5</v>
      </c>
      <c r="C2387">
        <f>VLOOKUP(N2387,Sheet9!$M$1:$N$2,2,FALSE)</f>
        <v>1</v>
      </c>
      <c r="D2387">
        <v>32</v>
      </c>
      <c r="E2387" t="s">
        <v>96</v>
      </c>
      <c r="F2387">
        <v>100</v>
      </c>
      <c r="H2387">
        <v>2</v>
      </c>
      <c r="I2387">
        <v>1</v>
      </c>
      <c r="J2387">
        <v>2</v>
      </c>
      <c r="K2387">
        <v>2.1</v>
      </c>
      <c r="L2387">
        <v>3.04</v>
      </c>
      <c r="M2387" t="s">
        <v>64</v>
      </c>
      <c r="N2387" t="s">
        <v>162</v>
      </c>
    </row>
    <row r="2388" spans="1:14" x14ac:dyDescent="0.3">
      <c r="A2388" t="s">
        <v>64</v>
      </c>
      <c r="B2388">
        <f>VLOOKUP(M2388,Sheet9!$I$1:$J$17,2,FALSE)</f>
        <v>5</v>
      </c>
      <c r="C2388">
        <f>VLOOKUP(N2388,Sheet9!$M$1:$N$2,2,FALSE)</f>
        <v>1</v>
      </c>
      <c r="D2388">
        <v>32</v>
      </c>
      <c r="E2388" t="s">
        <v>96</v>
      </c>
      <c r="F2388">
        <v>100</v>
      </c>
      <c r="H2388">
        <v>6</v>
      </c>
      <c r="I2388">
        <v>0.6</v>
      </c>
      <c r="J2388">
        <v>3.6</v>
      </c>
      <c r="K2388">
        <v>3.4</v>
      </c>
      <c r="L2388">
        <v>4.93</v>
      </c>
      <c r="M2388" t="s">
        <v>64</v>
      </c>
      <c r="N2388" t="s">
        <v>162</v>
      </c>
    </row>
    <row r="2389" spans="1:14" x14ac:dyDescent="0.3">
      <c r="A2389" t="s">
        <v>64</v>
      </c>
      <c r="B2389">
        <f>VLOOKUP(M2389,Sheet9!$I$1:$J$17,2,FALSE)</f>
        <v>5</v>
      </c>
      <c r="C2389">
        <f>VLOOKUP(N2389,Sheet9!$M$1:$N$2,2,FALSE)</f>
        <v>1</v>
      </c>
      <c r="D2389">
        <v>32</v>
      </c>
      <c r="E2389" t="s">
        <v>168</v>
      </c>
      <c r="F2389">
        <v>100</v>
      </c>
      <c r="H2389">
        <v>8</v>
      </c>
      <c r="I2389">
        <v>0.6</v>
      </c>
      <c r="J2389">
        <v>4.8</v>
      </c>
      <c r="K2389">
        <v>3.57</v>
      </c>
      <c r="L2389">
        <v>5.15</v>
      </c>
      <c r="M2389" t="s">
        <v>64</v>
      </c>
      <c r="N2389" t="s">
        <v>162</v>
      </c>
    </row>
    <row r="2390" spans="1:14" x14ac:dyDescent="0.3">
      <c r="A2390" t="s">
        <v>64</v>
      </c>
      <c r="B2390">
        <f>VLOOKUP(M2390,Sheet9!$I$1:$J$17,2,FALSE)</f>
        <v>5</v>
      </c>
      <c r="C2390">
        <f>VLOOKUP(N2390,Sheet9!$M$1:$N$2,2,FALSE)</f>
        <v>1</v>
      </c>
      <c r="D2390">
        <v>32</v>
      </c>
      <c r="E2390" t="s">
        <v>96</v>
      </c>
      <c r="F2390">
        <v>100</v>
      </c>
      <c r="H2390">
        <v>1</v>
      </c>
      <c r="I2390">
        <v>5</v>
      </c>
      <c r="J2390">
        <v>5</v>
      </c>
      <c r="K2390">
        <v>1.89</v>
      </c>
      <c r="L2390">
        <v>2.73</v>
      </c>
      <c r="M2390" t="s">
        <v>64</v>
      </c>
      <c r="N2390" t="s">
        <v>162</v>
      </c>
    </row>
    <row r="2391" spans="1:14" x14ac:dyDescent="0.3">
      <c r="A2391" t="s">
        <v>64</v>
      </c>
      <c r="B2391">
        <f>VLOOKUP(M2391,Sheet9!$I$1:$J$17,2,FALSE)</f>
        <v>5</v>
      </c>
      <c r="C2391">
        <f>VLOOKUP(N2391,Sheet9!$M$1:$N$2,2,FALSE)</f>
        <v>1</v>
      </c>
      <c r="D2391">
        <v>32</v>
      </c>
      <c r="E2391" t="s">
        <v>168</v>
      </c>
      <c r="F2391">
        <v>100</v>
      </c>
      <c r="H2391">
        <v>10</v>
      </c>
      <c r="I2391">
        <v>0.6</v>
      </c>
      <c r="J2391">
        <v>6</v>
      </c>
      <c r="K2391">
        <v>2.4900000000000002</v>
      </c>
      <c r="L2391">
        <v>3.57</v>
      </c>
      <c r="M2391" t="s">
        <v>64</v>
      </c>
      <c r="N2391" t="s">
        <v>162</v>
      </c>
    </row>
    <row r="2392" spans="1:14" x14ac:dyDescent="0.3">
      <c r="A2392" t="s">
        <v>64</v>
      </c>
      <c r="B2392">
        <f>VLOOKUP(M2392,Sheet9!$I$1:$J$17,2,FALSE)</f>
        <v>5</v>
      </c>
      <c r="C2392">
        <f>VLOOKUP(N2392,Sheet9!$M$1:$N$2,2,FALSE)</f>
        <v>1</v>
      </c>
      <c r="D2392">
        <v>32</v>
      </c>
      <c r="E2392" t="s">
        <v>96</v>
      </c>
      <c r="F2392">
        <v>100</v>
      </c>
      <c r="H2392">
        <v>1</v>
      </c>
      <c r="I2392">
        <v>10</v>
      </c>
      <c r="J2392">
        <v>10</v>
      </c>
      <c r="K2392">
        <v>1.89</v>
      </c>
      <c r="L2392">
        <v>2.73</v>
      </c>
      <c r="M2392" t="s">
        <v>64</v>
      </c>
      <c r="N2392" t="s">
        <v>162</v>
      </c>
    </row>
    <row r="2393" spans="1:14" x14ac:dyDescent="0.3">
      <c r="A2393" t="s">
        <v>64</v>
      </c>
      <c r="B2393">
        <f>VLOOKUP(M2393,Sheet9!$I$1:$J$17,2,FALSE)</f>
        <v>5</v>
      </c>
      <c r="C2393">
        <f>VLOOKUP(N2393,Sheet9!$M$1:$N$2,2,FALSE)</f>
        <v>1</v>
      </c>
      <c r="D2393">
        <v>32</v>
      </c>
      <c r="E2393" t="s">
        <v>96</v>
      </c>
      <c r="F2393">
        <v>100</v>
      </c>
      <c r="H2393">
        <v>12</v>
      </c>
      <c r="I2393">
        <v>1.2</v>
      </c>
      <c r="J2393">
        <v>14.4</v>
      </c>
      <c r="K2393">
        <v>2.42</v>
      </c>
      <c r="L2393">
        <v>3.5</v>
      </c>
      <c r="M2393" t="s">
        <v>64</v>
      </c>
      <c r="N2393" t="s">
        <v>162</v>
      </c>
    </row>
    <row r="2394" spans="1:14" x14ac:dyDescent="0.3">
      <c r="A2394" t="s">
        <v>64</v>
      </c>
      <c r="B2394">
        <f>VLOOKUP(M2394,Sheet9!$I$1:$J$17,2,FALSE)</f>
        <v>5</v>
      </c>
      <c r="C2394">
        <f>VLOOKUP(N2394,Sheet9!$M$1:$N$2,2,FALSE)</f>
        <v>1</v>
      </c>
      <c r="D2394">
        <v>32</v>
      </c>
      <c r="E2394" t="s">
        <v>168</v>
      </c>
      <c r="F2394">
        <v>100</v>
      </c>
      <c r="H2394">
        <v>20</v>
      </c>
      <c r="I2394">
        <v>0.6</v>
      </c>
      <c r="J2394">
        <v>12</v>
      </c>
      <c r="K2394">
        <v>2.54</v>
      </c>
      <c r="L2394">
        <v>3.64</v>
      </c>
      <c r="M2394" t="s">
        <v>64</v>
      </c>
      <c r="N2394" t="s">
        <v>162</v>
      </c>
    </row>
    <row r="2395" spans="1:14" x14ac:dyDescent="0.3">
      <c r="A2395" t="s">
        <v>64</v>
      </c>
      <c r="B2395">
        <f>VLOOKUP(M2395,Sheet9!$I$1:$J$17,2,FALSE)</f>
        <v>5</v>
      </c>
      <c r="C2395">
        <f>VLOOKUP(N2395,Sheet9!$M$1:$N$2,2,FALSE)</f>
        <v>1</v>
      </c>
      <c r="D2395">
        <v>32</v>
      </c>
      <c r="E2395" t="s">
        <v>168</v>
      </c>
      <c r="F2395">
        <v>100</v>
      </c>
      <c r="H2395">
        <v>32</v>
      </c>
      <c r="I2395">
        <v>0.6</v>
      </c>
      <c r="J2395">
        <v>19.2</v>
      </c>
      <c r="K2395">
        <v>2.34</v>
      </c>
      <c r="L2395">
        <v>3.37</v>
      </c>
      <c r="M2395" t="s">
        <v>64</v>
      </c>
      <c r="N2395" t="s">
        <v>162</v>
      </c>
    </row>
    <row r="2396" spans="1:14" x14ac:dyDescent="0.3">
      <c r="A2396" t="s">
        <v>64</v>
      </c>
      <c r="B2396">
        <f>VLOOKUP(M2396,Sheet9!$I$1:$J$17,2,FALSE)</f>
        <v>5</v>
      </c>
      <c r="C2396">
        <f>VLOOKUP(N2396,Sheet9!$M$1:$N$2,2,FALSE)</f>
        <v>1</v>
      </c>
      <c r="D2396">
        <v>32</v>
      </c>
      <c r="E2396" t="s">
        <v>96</v>
      </c>
      <c r="F2396">
        <v>100</v>
      </c>
      <c r="H2396">
        <v>12</v>
      </c>
      <c r="I2396">
        <v>1.2</v>
      </c>
      <c r="J2396">
        <v>14.4</v>
      </c>
      <c r="K2396">
        <v>2.11</v>
      </c>
      <c r="L2396">
        <v>3.06</v>
      </c>
      <c r="M2396" t="s">
        <v>64</v>
      </c>
      <c r="N2396" t="s">
        <v>162</v>
      </c>
    </row>
    <row r="2397" spans="1:14" x14ac:dyDescent="0.3">
      <c r="A2397" t="s">
        <v>64</v>
      </c>
      <c r="B2397">
        <f>VLOOKUP(M2397,Sheet9!$I$1:$J$17,2,FALSE)</f>
        <v>5</v>
      </c>
      <c r="C2397">
        <f>VLOOKUP(N2397,Sheet9!$M$1:$N$2,2,FALSE)</f>
        <v>1</v>
      </c>
      <c r="D2397">
        <v>32</v>
      </c>
      <c r="E2397" t="s">
        <v>96</v>
      </c>
      <c r="F2397">
        <v>100</v>
      </c>
      <c r="H2397">
        <v>64</v>
      </c>
      <c r="I2397">
        <v>0.6</v>
      </c>
      <c r="J2397">
        <v>38.4</v>
      </c>
      <c r="K2397">
        <v>2.0699999999999998</v>
      </c>
      <c r="L2397">
        <v>2.96</v>
      </c>
      <c r="M2397" t="s">
        <v>64</v>
      </c>
      <c r="N2397" t="s">
        <v>162</v>
      </c>
    </row>
    <row r="2398" spans="1:14" x14ac:dyDescent="0.3">
      <c r="A2398" t="s">
        <v>64</v>
      </c>
      <c r="B2398">
        <f>VLOOKUP(M2398,Sheet9!$I$1:$J$17,2,FALSE)</f>
        <v>5</v>
      </c>
      <c r="C2398">
        <f>VLOOKUP(N2398,Sheet9!$M$1:$N$2,2,FALSE)</f>
        <v>1</v>
      </c>
      <c r="D2398">
        <v>32</v>
      </c>
      <c r="E2398" t="s">
        <v>96</v>
      </c>
      <c r="F2398">
        <v>110</v>
      </c>
      <c r="H2398">
        <v>2</v>
      </c>
      <c r="I2398">
        <v>1</v>
      </c>
      <c r="J2398">
        <v>2</v>
      </c>
      <c r="K2398">
        <v>2.91</v>
      </c>
      <c r="L2398">
        <v>4.1399999999999997</v>
      </c>
      <c r="M2398" t="s">
        <v>64</v>
      </c>
      <c r="N2398" t="s">
        <v>162</v>
      </c>
    </row>
    <row r="2399" spans="1:14" x14ac:dyDescent="0.3">
      <c r="A2399" t="s">
        <v>64</v>
      </c>
      <c r="B2399">
        <f>VLOOKUP(M2399,Sheet9!$I$1:$J$17,2,FALSE)</f>
        <v>5</v>
      </c>
      <c r="C2399">
        <f>VLOOKUP(N2399,Sheet9!$M$1:$N$2,2,FALSE)</f>
        <v>1</v>
      </c>
      <c r="D2399">
        <v>32</v>
      </c>
      <c r="E2399" t="s">
        <v>96</v>
      </c>
      <c r="F2399">
        <v>110</v>
      </c>
      <c r="H2399">
        <v>6</v>
      </c>
      <c r="I2399">
        <v>0.6</v>
      </c>
      <c r="J2399">
        <v>3.6</v>
      </c>
      <c r="K2399">
        <v>4.72</v>
      </c>
      <c r="L2399">
        <v>6.7</v>
      </c>
      <c r="M2399" t="s">
        <v>64</v>
      </c>
      <c r="N2399" t="s">
        <v>162</v>
      </c>
    </row>
    <row r="2400" spans="1:14" x14ac:dyDescent="0.3">
      <c r="A2400" t="s">
        <v>64</v>
      </c>
      <c r="B2400">
        <f>VLOOKUP(M2400,Sheet9!$I$1:$J$17,2,FALSE)</f>
        <v>5</v>
      </c>
      <c r="C2400">
        <f>VLOOKUP(N2400,Sheet9!$M$1:$N$2,2,FALSE)</f>
        <v>1</v>
      </c>
      <c r="D2400">
        <v>32</v>
      </c>
      <c r="E2400" t="s">
        <v>168</v>
      </c>
      <c r="F2400">
        <v>110</v>
      </c>
      <c r="H2400">
        <v>8</v>
      </c>
      <c r="I2400">
        <v>0.6</v>
      </c>
      <c r="J2400">
        <v>4.8</v>
      </c>
      <c r="K2400">
        <v>4.9800000000000004</v>
      </c>
      <c r="L2400">
        <v>7.01</v>
      </c>
      <c r="M2400" t="s">
        <v>64</v>
      </c>
      <c r="N2400" t="s">
        <v>162</v>
      </c>
    </row>
    <row r="2401" spans="1:14" x14ac:dyDescent="0.3">
      <c r="A2401" t="s">
        <v>64</v>
      </c>
      <c r="B2401">
        <f>VLOOKUP(M2401,Sheet9!$I$1:$J$17,2,FALSE)</f>
        <v>5</v>
      </c>
      <c r="C2401">
        <f>VLOOKUP(N2401,Sheet9!$M$1:$N$2,2,FALSE)</f>
        <v>1</v>
      </c>
      <c r="D2401">
        <v>32</v>
      </c>
      <c r="E2401" t="s">
        <v>96</v>
      </c>
      <c r="F2401">
        <v>110</v>
      </c>
      <c r="H2401">
        <v>1</v>
      </c>
      <c r="I2401">
        <v>5</v>
      </c>
      <c r="J2401">
        <v>5</v>
      </c>
      <c r="K2401">
        <v>2.61</v>
      </c>
      <c r="L2401">
        <v>3.71</v>
      </c>
      <c r="M2401" t="s">
        <v>64</v>
      </c>
      <c r="N2401" t="s">
        <v>162</v>
      </c>
    </row>
    <row r="2402" spans="1:14" x14ac:dyDescent="0.3">
      <c r="A2402" t="s">
        <v>64</v>
      </c>
      <c r="B2402">
        <f>VLOOKUP(M2402,Sheet9!$I$1:$J$17,2,FALSE)</f>
        <v>5</v>
      </c>
      <c r="C2402">
        <f>VLOOKUP(N2402,Sheet9!$M$1:$N$2,2,FALSE)</f>
        <v>1</v>
      </c>
      <c r="D2402">
        <v>32</v>
      </c>
      <c r="E2402" t="s">
        <v>168</v>
      </c>
      <c r="F2402">
        <v>110</v>
      </c>
      <c r="H2402">
        <v>10</v>
      </c>
      <c r="I2402">
        <v>0.6</v>
      </c>
      <c r="J2402">
        <v>6</v>
      </c>
      <c r="K2402">
        <v>3.45</v>
      </c>
      <c r="L2402">
        <v>7.86</v>
      </c>
      <c r="M2402" t="s">
        <v>64</v>
      </c>
      <c r="N2402" t="s">
        <v>162</v>
      </c>
    </row>
    <row r="2403" spans="1:14" x14ac:dyDescent="0.3">
      <c r="A2403" t="s">
        <v>64</v>
      </c>
      <c r="B2403">
        <f>VLOOKUP(M2403,Sheet9!$I$1:$J$17,2,FALSE)</f>
        <v>5</v>
      </c>
      <c r="C2403">
        <f>VLOOKUP(N2403,Sheet9!$M$1:$N$2,2,FALSE)</f>
        <v>1</v>
      </c>
      <c r="D2403">
        <v>32</v>
      </c>
      <c r="E2403" t="s">
        <v>96</v>
      </c>
      <c r="F2403">
        <v>110</v>
      </c>
      <c r="H2403">
        <v>1</v>
      </c>
      <c r="I2403">
        <v>10</v>
      </c>
      <c r="J2403">
        <v>10</v>
      </c>
      <c r="K2403">
        <v>2.61</v>
      </c>
      <c r="L2403">
        <v>3.71</v>
      </c>
      <c r="M2403" t="s">
        <v>64</v>
      </c>
      <c r="N2403" t="s">
        <v>162</v>
      </c>
    </row>
    <row r="2404" spans="1:14" x14ac:dyDescent="0.3">
      <c r="A2404" t="s">
        <v>64</v>
      </c>
      <c r="B2404">
        <f>VLOOKUP(M2404,Sheet9!$I$1:$J$17,2,FALSE)</f>
        <v>5</v>
      </c>
      <c r="C2404">
        <f>VLOOKUP(N2404,Sheet9!$M$1:$N$2,2,FALSE)</f>
        <v>1</v>
      </c>
      <c r="D2404">
        <v>32</v>
      </c>
      <c r="E2404" t="s">
        <v>96</v>
      </c>
      <c r="F2404">
        <v>110</v>
      </c>
      <c r="H2404">
        <v>12</v>
      </c>
      <c r="I2404">
        <v>1.2</v>
      </c>
      <c r="J2404">
        <v>14.4</v>
      </c>
      <c r="K2404">
        <v>3.35</v>
      </c>
      <c r="L2404">
        <v>4.76</v>
      </c>
      <c r="M2404" t="s">
        <v>64</v>
      </c>
      <c r="N2404" t="s">
        <v>162</v>
      </c>
    </row>
    <row r="2405" spans="1:14" x14ac:dyDescent="0.3">
      <c r="A2405" t="s">
        <v>64</v>
      </c>
      <c r="B2405">
        <f>VLOOKUP(M2405,Sheet9!$I$1:$J$17,2,FALSE)</f>
        <v>5</v>
      </c>
      <c r="C2405">
        <f>VLOOKUP(N2405,Sheet9!$M$1:$N$2,2,FALSE)</f>
        <v>1</v>
      </c>
      <c r="D2405">
        <v>32</v>
      </c>
      <c r="E2405" t="s">
        <v>168</v>
      </c>
      <c r="F2405">
        <v>110</v>
      </c>
      <c r="H2405">
        <v>20</v>
      </c>
      <c r="I2405">
        <v>0.6</v>
      </c>
      <c r="J2405">
        <v>12</v>
      </c>
      <c r="K2405">
        <v>3.52</v>
      </c>
      <c r="L2405">
        <v>4.95</v>
      </c>
      <c r="M2405" t="s">
        <v>64</v>
      </c>
      <c r="N2405" t="s">
        <v>162</v>
      </c>
    </row>
    <row r="2406" spans="1:14" x14ac:dyDescent="0.3">
      <c r="A2406" t="s">
        <v>64</v>
      </c>
      <c r="B2406">
        <f>VLOOKUP(M2406,Sheet9!$I$1:$J$17,2,FALSE)</f>
        <v>5</v>
      </c>
      <c r="C2406">
        <f>VLOOKUP(N2406,Sheet9!$M$1:$N$2,2,FALSE)</f>
        <v>1</v>
      </c>
      <c r="D2406">
        <v>32</v>
      </c>
      <c r="E2406" t="s">
        <v>168</v>
      </c>
      <c r="F2406">
        <v>110</v>
      </c>
      <c r="H2406">
        <v>32</v>
      </c>
      <c r="I2406">
        <v>0.6</v>
      </c>
      <c r="J2406">
        <v>19.2</v>
      </c>
      <c r="K2406">
        <v>3.24</v>
      </c>
      <c r="L2406">
        <v>4.55</v>
      </c>
      <c r="M2406" t="s">
        <v>64</v>
      </c>
      <c r="N2406" t="s">
        <v>162</v>
      </c>
    </row>
    <row r="2407" spans="1:14" x14ac:dyDescent="0.3">
      <c r="A2407" t="s">
        <v>64</v>
      </c>
      <c r="B2407">
        <f>VLOOKUP(M2407,Sheet9!$I$1:$J$17,2,FALSE)</f>
        <v>5</v>
      </c>
      <c r="C2407">
        <f>VLOOKUP(N2407,Sheet9!$M$1:$N$2,2,FALSE)</f>
        <v>1</v>
      </c>
      <c r="D2407">
        <v>32</v>
      </c>
      <c r="E2407" t="s">
        <v>96</v>
      </c>
      <c r="F2407">
        <v>110</v>
      </c>
      <c r="H2407">
        <v>12</v>
      </c>
      <c r="I2407">
        <v>1.2</v>
      </c>
      <c r="J2407">
        <v>14.4</v>
      </c>
      <c r="K2407">
        <v>2.93</v>
      </c>
      <c r="L2407">
        <v>4.0999999999999996</v>
      </c>
      <c r="M2407" t="s">
        <v>64</v>
      </c>
      <c r="N2407" t="s">
        <v>162</v>
      </c>
    </row>
    <row r="2408" spans="1:14" x14ac:dyDescent="0.3">
      <c r="A2408" t="s">
        <v>64</v>
      </c>
      <c r="B2408">
        <f>VLOOKUP(M2408,Sheet9!$I$1:$J$17,2,FALSE)</f>
        <v>5</v>
      </c>
      <c r="C2408">
        <f>VLOOKUP(N2408,Sheet9!$M$1:$N$2,2,FALSE)</f>
        <v>1</v>
      </c>
      <c r="D2408">
        <v>32</v>
      </c>
      <c r="E2408" t="s">
        <v>96</v>
      </c>
      <c r="F2408">
        <v>110</v>
      </c>
      <c r="H2408">
        <v>64</v>
      </c>
      <c r="I2408">
        <v>0.6</v>
      </c>
      <c r="J2408">
        <v>38.4</v>
      </c>
      <c r="K2408">
        <v>2.86</v>
      </c>
      <c r="L2408">
        <v>4.03</v>
      </c>
      <c r="M2408" t="s">
        <v>64</v>
      </c>
      <c r="N2408" t="s">
        <v>162</v>
      </c>
    </row>
    <row r="2409" spans="1:14" x14ac:dyDescent="0.3">
      <c r="A2409" t="s">
        <v>64</v>
      </c>
      <c r="B2409">
        <f>VLOOKUP(M2409,Sheet9!$I$1:$J$17,2,FALSE)</f>
        <v>5</v>
      </c>
      <c r="C2409">
        <f>VLOOKUP(N2409,Sheet9!$M$1:$N$2,2,FALSE)</f>
        <v>1</v>
      </c>
      <c r="D2409">
        <v>32</v>
      </c>
      <c r="E2409" t="s">
        <v>96</v>
      </c>
      <c r="F2409">
        <v>120</v>
      </c>
      <c r="H2409">
        <v>2</v>
      </c>
      <c r="I2409">
        <v>1</v>
      </c>
      <c r="J2409">
        <v>2</v>
      </c>
      <c r="K2409">
        <v>3.76</v>
      </c>
      <c r="L2409">
        <v>5.27</v>
      </c>
      <c r="M2409" t="s">
        <v>64</v>
      </c>
      <c r="N2409" t="s">
        <v>162</v>
      </c>
    </row>
    <row r="2410" spans="1:14" x14ac:dyDescent="0.3">
      <c r="A2410" t="s">
        <v>64</v>
      </c>
      <c r="B2410">
        <f>VLOOKUP(M2410,Sheet9!$I$1:$J$17,2,FALSE)</f>
        <v>5</v>
      </c>
      <c r="C2410">
        <f>VLOOKUP(N2410,Sheet9!$M$1:$N$2,2,FALSE)</f>
        <v>1</v>
      </c>
      <c r="D2410">
        <v>32</v>
      </c>
      <c r="E2410" t="s">
        <v>96</v>
      </c>
      <c r="F2410">
        <v>120</v>
      </c>
      <c r="H2410">
        <v>6</v>
      </c>
      <c r="I2410">
        <v>0.6</v>
      </c>
      <c r="J2410">
        <v>3.6</v>
      </c>
      <c r="K2410">
        <v>6.09</v>
      </c>
      <c r="L2410">
        <v>8.5299999999999994</v>
      </c>
      <c r="M2410" t="s">
        <v>64</v>
      </c>
      <c r="N2410" t="s">
        <v>162</v>
      </c>
    </row>
    <row r="2411" spans="1:14" x14ac:dyDescent="0.3">
      <c r="A2411" t="s">
        <v>64</v>
      </c>
      <c r="B2411">
        <f>VLOOKUP(M2411,Sheet9!$I$1:$J$17,2,FALSE)</f>
        <v>5</v>
      </c>
      <c r="C2411">
        <f>VLOOKUP(N2411,Sheet9!$M$1:$N$2,2,FALSE)</f>
        <v>1</v>
      </c>
      <c r="D2411">
        <v>32</v>
      </c>
      <c r="E2411" t="s">
        <v>168</v>
      </c>
      <c r="F2411">
        <v>120</v>
      </c>
      <c r="H2411">
        <v>8</v>
      </c>
      <c r="I2411">
        <v>0.6</v>
      </c>
      <c r="J2411">
        <v>4.8</v>
      </c>
      <c r="K2411">
        <v>6.42</v>
      </c>
      <c r="L2411">
        <v>8.92</v>
      </c>
      <c r="M2411" t="s">
        <v>64</v>
      </c>
      <c r="N2411" t="s">
        <v>162</v>
      </c>
    </row>
    <row r="2412" spans="1:14" x14ac:dyDescent="0.3">
      <c r="A2412" t="s">
        <v>64</v>
      </c>
      <c r="B2412">
        <f>VLOOKUP(M2412,Sheet9!$I$1:$J$17,2,FALSE)</f>
        <v>5</v>
      </c>
      <c r="C2412">
        <f>VLOOKUP(N2412,Sheet9!$M$1:$N$2,2,FALSE)</f>
        <v>1</v>
      </c>
      <c r="D2412">
        <v>32</v>
      </c>
      <c r="E2412" t="s">
        <v>96</v>
      </c>
      <c r="F2412">
        <v>120</v>
      </c>
      <c r="H2412">
        <v>1</v>
      </c>
      <c r="I2412">
        <v>5</v>
      </c>
      <c r="J2412">
        <v>5</v>
      </c>
      <c r="K2412">
        <v>3.37</v>
      </c>
      <c r="L2412">
        <v>4.7300000000000004</v>
      </c>
      <c r="M2412" t="s">
        <v>64</v>
      </c>
      <c r="N2412" t="s">
        <v>162</v>
      </c>
    </row>
    <row r="2413" spans="1:14" x14ac:dyDescent="0.3">
      <c r="A2413" t="s">
        <v>64</v>
      </c>
      <c r="B2413">
        <f>VLOOKUP(M2413,Sheet9!$I$1:$J$17,2,FALSE)</f>
        <v>5</v>
      </c>
      <c r="C2413">
        <f>VLOOKUP(N2413,Sheet9!$M$1:$N$2,2,FALSE)</f>
        <v>1</v>
      </c>
      <c r="D2413">
        <v>32</v>
      </c>
      <c r="E2413" t="s">
        <v>168</v>
      </c>
      <c r="F2413">
        <v>120</v>
      </c>
      <c r="H2413">
        <v>10</v>
      </c>
      <c r="I2413">
        <v>0.6</v>
      </c>
      <c r="J2413">
        <v>6</v>
      </c>
      <c r="K2413">
        <v>4.45</v>
      </c>
      <c r="L2413">
        <v>6.18</v>
      </c>
      <c r="M2413" t="s">
        <v>64</v>
      </c>
      <c r="N2413" t="s">
        <v>162</v>
      </c>
    </row>
    <row r="2414" spans="1:14" x14ac:dyDescent="0.3">
      <c r="A2414" t="s">
        <v>64</v>
      </c>
      <c r="B2414">
        <f>VLOOKUP(M2414,Sheet9!$I$1:$J$17,2,FALSE)</f>
        <v>5</v>
      </c>
      <c r="C2414">
        <f>VLOOKUP(N2414,Sheet9!$M$1:$N$2,2,FALSE)</f>
        <v>1</v>
      </c>
      <c r="D2414">
        <v>32</v>
      </c>
      <c r="E2414" t="s">
        <v>96</v>
      </c>
      <c r="F2414">
        <v>120</v>
      </c>
      <c r="H2414">
        <v>1</v>
      </c>
      <c r="I2414">
        <v>10</v>
      </c>
      <c r="J2414">
        <v>10</v>
      </c>
      <c r="K2414">
        <v>3.37</v>
      </c>
      <c r="L2414">
        <v>4.7300000000000004</v>
      </c>
      <c r="M2414" t="s">
        <v>64</v>
      </c>
      <c r="N2414" t="s">
        <v>162</v>
      </c>
    </row>
    <row r="2415" spans="1:14" x14ac:dyDescent="0.3">
      <c r="A2415" t="s">
        <v>64</v>
      </c>
      <c r="B2415">
        <f>VLOOKUP(M2415,Sheet9!$I$1:$J$17,2,FALSE)</f>
        <v>5</v>
      </c>
      <c r="C2415">
        <f>VLOOKUP(N2415,Sheet9!$M$1:$N$2,2,FALSE)</f>
        <v>1</v>
      </c>
      <c r="D2415">
        <v>32</v>
      </c>
      <c r="E2415" t="s">
        <v>96</v>
      </c>
      <c r="F2415">
        <v>120</v>
      </c>
      <c r="H2415">
        <v>12</v>
      </c>
      <c r="I2415">
        <v>1.2</v>
      </c>
      <c r="J2415">
        <v>14.4</v>
      </c>
      <c r="K2415">
        <v>4.33</v>
      </c>
      <c r="L2415">
        <v>6.06</v>
      </c>
      <c r="M2415" t="s">
        <v>64</v>
      </c>
      <c r="N2415" t="s">
        <v>162</v>
      </c>
    </row>
    <row r="2416" spans="1:14" x14ac:dyDescent="0.3">
      <c r="A2416" t="s">
        <v>64</v>
      </c>
      <c r="B2416">
        <f>VLOOKUP(M2416,Sheet9!$I$1:$J$17,2,FALSE)</f>
        <v>5</v>
      </c>
      <c r="C2416">
        <f>VLOOKUP(N2416,Sheet9!$M$1:$N$2,2,FALSE)</f>
        <v>1</v>
      </c>
      <c r="D2416">
        <v>32</v>
      </c>
      <c r="E2416" t="s">
        <v>168</v>
      </c>
      <c r="F2416">
        <v>120</v>
      </c>
      <c r="H2416">
        <v>20</v>
      </c>
      <c r="I2416">
        <v>0.6</v>
      </c>
      <c r="J2416">
        <v>12</v>
      </c>
      <c r="K2416">
        <v>4.54</v>
      </c>
      <c r="L2416">
        <v>6.3</v>
      </c>
      <c r="M2416" t="s">
        <v>64</v>
      </c>
      <c r="N2416" t="s">
        <v>162</v>
      </c>
    </row>
    <row r="2417" spans="1:14" x14ac:dyDescent="0.3">
      <c r="A2417" t="s">
        <v>64</v>
      </c>
      <c r="B2417">
        <f>VLOOKUP(M2417,Sheet9!$I$1:$J$17,2,FALSE)</f>
        <v>5</v>
      </c>
      <c r="C2417">
        <f>VLOOKUP(N2417,Sheet9!$M$1:$N$2,2,FALSE)</f>
        <v>1</v>
      </c>
      <c r="D2417">
        <v>32</v>
      </c>
      <c r="E2417" t="s">
        <v>168</v>
      </c>
      <c r="F2417">
        <v>120</v>
      </c>
      <c r="H2417">
        <v>32</v>
      </c>
      <c r="I2417">
        <v>0.6</v>
      </c>
      <c r="J2417">
        <v>19.2</v>
      </c>
      <c r="K2417">
        <v>4.18</v>
      </c>
      <c r="L2417">
        <v>5.84</v>
      </c>
      <c r="M2417" t="s">
        <v>64</v>
      </c>
      <c r="N2417" t="s">
        <v>162</v>
      </c>
    </row>
    <row r="2418" spans="1:14" x14ac:dyDescent="0.3">
      <c r="A2418" t="s">
        <v>64</v>
      </c>
      <c r="B2418">
        <f>VLOOKUP(M2418,Sheet9!$I$1:$J$17,2,FALSE)</f>
        <v>5</v>
      </c>
      <c r="C2418">
        <f>VLOOKUP(N2418,Sheet9!$M$1:$N$2,2,FALSE)</f>
        <v>1</v>
      </c>
      <c r="D2418">
        <v>32</v>
      </c>
      <c r="E2418" t="s">
        <v>96</v>
      </c>
      <c r="F2418">
        <v>120</v>
      </c>
      <c r="H2418">
        <v>12</v>
      </c>
      <c r="I2418">
        <v>1.2</v>
      </c>
      <c r="J2418">
        <v>14.4</v>
      </c>
      <c r="K2418">
        <v>3.78</v>
      </c>
      <c r="L2418">
        <v>5.29</v>
      </c>
      <c r="M2418" t="s">
        <v>64</v>
      </c>
      <c r="N2418" t="s">
        <v>162</v>
      </c>
    </row>
    <row r="2419" spans="1:14" x14ac:dyDescent="0.3">
      <c r="A2419" t="s">
        <v>64</v>
      </c>
      <c r="B2419">
        <f>VLOOKUP(M2419,Sheet9!$I$1:$J$17,2,FALSE)</f>
        <v>5</v>
      </c>
      <c r="C2419">
        <f>VLOOKUP(N2419,Sheet9!$M$1:$N$2,2,FALSE)</f>
        <v>1</v>
      </c>
      <c r="D2419">
        <v>32</v>
      </c>
      <c r="E2419" t="s">
        <v>96</v>
      </c>
      <c r="F2419">
        <v>120</v>
      </c>
      <c r="H2419">
        <v>64</v>
      </c>
      <c r="I2419">
        <v>0.6</v>
      </c>
      <c r="J2419">
        <v>38.4</v>
      </c>
      <c r="K2419">
        <v>3.67</v>
      </c>
      <c r="L2419">
        <v>5.13</v>
      </c>
      <c r="M2419" t="s">
        <v>64</v>
      </c>
      <c r="N2419" t="s">
        <v>162</v>
      </c>
    </row>
    <row r="2420" spans="1:14" x14ac:dyDescent="0.3">
      <c r="A2420" t="s">
        <v>64</v>
      </c>
      <c r="B2420">
        <f>VLOOKUP(M2420,Sheet9!$I$1:$J$17,2,FALSE)</f>
        <v>5</v>
      </c>
      <c r="C2420">
        <f>VLOOKUP(N2420,Sheet9!$M$1:$N$2,2,FALSE)</f>
        <v>1</v>
      </c>
      <c r="D2420">
        <v>32</v>
      </c>
      <c r="E2420" t="s">
        <v>96</v>
      </c>
      <c r="F2420">
        <v>130</v>
      </c>
      <c r="H2420">
        <v>2</v>
      </c>
      <c r="I2420">
        <v>1</v>
      </c>
      <c r="J2420">
        <v>2</v>
      </c>
      <c r="K2420">
        <v>4.7300000000000004</v>
      </c>
      <c r="L2420">
        <v>6.56</v>
      </c>
      <c r="M2420" t="s">
        <v>64</v>
      </c>
      <c r="N2420" t="s">
        <v>162</v>
      </c>
    </row>
    <row r="2421" spans="1:14" x14ac:dyDescent="0.3">
      <c r="A2421" t="s">
        <v>64</v>
      </c>
      <c r="B2421">
        <f>VLOOKUP(M2421,Sheet9!$I$1:$J$17,2,FALSE)</f>
        <v>5</v>
      </c>
      <c r="C2421">
        <f>VLOOKUP(N2421,Sheet9!$M$1:$N$2,2,FALSE)</f>
        <v>1</v>
      </c>
      <c r="D2421">
        <v>32</v>
      </c>
      <c r="E2421" t="s">
        <v>96</v>
      </c>
      <c r="F2421">
        <v>130</v>
      </c>
      <c r="H2421">
        <v>6</v>
      </c>
      <c r="I2421">
        <v>0.6</v>
      </c>
      <c r="J2421">
        <v>3.6</v>
      </c>
      <c r="K2421">
        <v>7.65</v>
      </c>
      <c r="L2421">
        <v>10.6</v>
      </c>
      <c r="M2421" t="s">
        <v>64</v>
      </c>
      <c r="N2421" t="s">
        <v>162</v>
      </c>
    </row>
    <row r="2422" spans="1:14" x14ac:dyDescent="0.3">
      <c r="A2422" t="s">
        <v>64</v>
      </c>
      <c r="B2422">
        <f>VLOOKUP(M2422,Sheet9!$I$1:$J$17,2,FALSE)</f>
        <v>5</v>
      </c>
      <c r="C2422">
        <f>VLOOKUP(N2422,Sheet9!$M$1:$N$2,2,FALSE)</f>
        <v>1</v>
      </c>
      <c r="D2422">
        <v>32</v>
      </c>
      <c r="E2422" t="s">
        <v>168</v>
      </c>
      <c r="F2422">
        <v>130</v>
      </c>
      <c r="H2422">
        <v>8</v>
      </c>
      <c r="I2422">
        <v>0.6</v>
      </c>
      <c r="J2422">
        <v>4.8</v>
      </c>
      <c r="K2422">
        <v>8.08</v>
      </c>
      <c r="L2422">
        <v>11.1</v>
      </c>
      <c r="M2422" t="s">
        <v>64</v>
      </c>
      <c r="N2422" t="s">
        <v>162</v>
      </c>
    </row>
    <row r="2423" spans="1:14" x14ac:dyDescent="0.3">
      <c r="A2423" t="s">
        <v>64</v>
      </c>
      <c r="B2423">
        <f>VLOOKUP(M2423,Sheet9!$I$1:$J$17,2,FALSE)</f>
        <v>5</v>
      </c>
      <c r="C2423">
        <f>VLOOKUP(N2423,Sheet9!$M$1:$N$2,2,FALSE)</f>
        <v>1</v>
      </c>
      <c r="D2423">
        <v>32</v>
      </c>
      <c r="E2423" t="s">
        <v>96</v>
      </c>
      <c r="F2423">
        <v>130</v>
      </c>
      <c r="H2423">
        <v>1</v>
      </c>
      <c r="I2423">
        <v>5</v>
      </c>
      <c r="J2423">
        <v>5</v>
      </c>
      <c r="K2423">
        <v>4.24</v>
      </c>
      <c r="L2423">
        <v>5.88</v>
      </c>
      <c r="M2423" t="s">
        <v>64</v>
      </c>
      <c r="N2423" t="s">
        <v>162</v>
      </c>
    </row>
    <row r="2424" spans="1:14" x14ac:dyDescent="0.3">
      <c r="A2424" t="s">
        <v>64</v>
      </c>
      <c r="B2424">
        <f>VLOOKUP(M2424,Sheet9!$I$1:$J$17,2,FALSE)</f>
        <v>5</v>
      </c>
      <c r="C2424">
        <f>VLOOKUP(N2424,Sheet9!$M$1:$N$2,2,FALSE)</f>
        <v>1</v>
      </c>
      <c r="D2424">
        <v>32</v>
      </c>
      <c r="E2424" t="s">
        <v>168</v>
      </c>
      <c r="F2424">
        <v>130</v>
      </c>
      <c r="H2424">
        <v>10</v>
      </c>
      <c r="I2424">
        <v>0.6</v>
      </c>
      <c r="J2424">
        <v>6</v>
      </c>
      <c r="K2424">
        <v>5.6</v>
      </c>
      <c r="L2424">
        <v>7.71</v>
      </c>
      <c r="M2424" t="s">
        <v>64</v>
      </c>
      <c r="N2424" t="s">
        <v>162</v>
      </c>
    </row>
    <row r="2425" spans="1:14" x14ac:dyDescent="0.3">
      <c r="A2425" t="s">
        <v>64</v>
      </c>
      <c r="B2425">
        <f>VLOOKUP(M2425,Sheet9!$I$1:$J$17,2,FALSE)</f>
        <v>5</v>
      </c>
      <c r="C2425">
        <f>VLOOKUP(N2425,Sheet9!$M$1:$N$2,2,FALSE)</f>
        <v>1</v>
      </c>
      <c r="D2425">
        <v>32</v>
      </c>
      <c r="E2425" t="s">
        <v>96</v>
      </c>
      <c r="F2425">
        <v>130</v>
      </c>
      <c r="H2425">
        <v>1</v>
      </c>
      <c r="I2425">
        <v>10</v>
      </c>
      <c r="J2425">
        <v>10</v>
      </c>
      <c r="K2425">
        <v>4.24</v>
      </c>
      <c r="L2425">
        <v>5.88</v>
      </c>
      <c r="M2425" t="s">
        <v>64</v>
      </c>
      <c r="N2425" t="s">
        <v>162</v>
      </c>
    </row>
    <row r="2426" spans="1:14" x14ac:dyDescent="0.3">
      <c r="A2426" t="s">
        <v>64</v>
      </c>
      <c r="B2426">
        <f>VLOOKUP(M2426,Sheet9!$I$1:$J$17,2,FALSE)</f>
        <v>5</v>
      </c>
      <c r="C2426">
        <f>VLOOKUP(N2426,Sheet9!$M$1:$N$2,2,FALSE)</f>
        <v>1</v>
      </c>
      <c r="D2426">
        <v>32</v>
      </c>
      <c r="E2426" t="s">
        <v>96</v>
      </c>
      <c r="F2426">
        <v>130</v>
      </c>
      <c r="H2426">
        <v>12</v>
      </c>
      <c r="I2426">
        <v>1.2</v>
      </c>
      <c r="J2426">
        <v>14.4</v>
      </c>
      <c r="K2426">
        <v>5.44</v>
      </c>
      <c r="L2426">
        <v>7.55</v>
      </c>
      <c r="M2426" t="s">
        <v>64</v>
      </c>
      <c r="N2426" t="s">
        <v>162</v>
      </c>
    </row>
    <row r="2427" spans="1:14" x14ac:dyDescent="0.3">
      <c r="A2427" t="s">
        <v>64</v>
      </c>
      <c r="B2427">
        <f>VLOOKUP(M2427,Sheet9!$I$1:$J$17,2,FALSE)</f>
        <v>5</v>
      </c>
      <c r="C2427">
        <f>VLOOKUP(N2427,Sheet9!$M$1:$N$2,2,FALSE)</f>
        <v>1</v>
      </c>
      <c r="D2427">
        <v>32</v>
      </c>
      <c r="E2427" t="s">
        <v>168</v>
      </c>
      <c r="F2427">
        <v>130</v>
      </c>
      <c r="H2427">
        <v>20</v>
      </c>
      <c r="I2427">
        <v>0.6</v>
      </c>
      <c r="J2427">
        <v>12</v>
      </c>
      <c r="K2427">
        <v>5.71</v>
      </c>
      <c r="L2427">
        <v>7.86</v>
      </c>
      <c r="M2427" t="s">
        <v>64</v>
      </c>
      <c r="N2427" t="s">
        <v>162</v>
      </c>
    </row>
    <row r="2428" spans="1:14" x14ac:dyDescent="0.3">
      <c r="A2428" t="s">
        <v>64</v>
      </c>
      <c r="B2428">
        <f>VLOOKUP(M2428,Sheet9!$I$1:$J$17,2,FALSE)</f>
        <v>5</v>
      </c>
      <c r="C2428">
        <f>VLOOKUP(N2428,Sheet9!$M$1:$N$2,2,FALSE)</f>
        <v>1</v>
      </c>
      <c r="D2428">
        <v>32</v>
      </c>
      <c r="E2428" t="s">
        <v>168</v>
      </c>
      <c r="F2428">
        <v>130</v>
      </c>
      <c r="H2428">
        <v>32</v>
      </c>
      <c r="I2428">
        <v>0.6</v>
      </c>
      <c r="J2428">
        <v>19.2</v>
      </c>
      <c r="K2428">
        <v>5.26</v>
      </c>
      <c r="L2428">
        <v>7.27</v>
      </c>
      <c r="M2428" t="s">
        <v>64</v>
      </c>
      <c r="N2428" t="s">
        <v>162</v>
      </c>
    </row>
    <row r="2429" spans="1:14" x14ac:dyDescent="0.3">
      <c r="A2429" t="s">
        <v>64</v>
      </c>
      <c r="B2429">
        <f>VLOOKUP(M2429,Sheet9!$I$1:$J$17,2,FALSE)</f>
        <v>5</v>
      </c>
      <c r="C2429">
        <f>VLOOKUP(N2429,Sheet9!$M$1:$N$2,2,FALSE)</f>
        <v>1</v>
      </c>
      <c r="D2429">
        <v>32</v>
      </c>
      <c r="E2429" t="s">
        <v>96</v>
      </c>
      <c r="F2429">
        <v>130</v>
      </c>
      <c r="H2429">
        <v>12</v>
      </c>
      <c r="I2429">
        <v>1.2</v>
      </c>
      <c r="J2429">
        <v>14.4</v>
      </c>
      <c r="K2429">
        <v>4.75</v>
      </c>
      <c r="L2429">
        <v>6.59</v>
      </c>
      <c r="M2429" t="s">
        <v>64</v>
      </c>
      <c r="N2429" t="s">
        <v>162</v>
      </c>
    </row>
    <row r="2430" spans="1:14" x14ac:dyDescent="0.3">
      <c r="A2430" t="s">
        <v>64</v>
      </c>
      <c r="B2430">
        <f>VLOOKUP(M2430,Sheet9!$I$1:$J$17,2,FALSE)</f>
        <v>5</v>
      </c>
      <c r="C2430">
        <f>VLOOKUP(N2430,Sheet9!$M$1:$N$2,2,FALSE)</f>
        <v>1</v>
      </c>
      <c r="D2430">
        <v>32</v>
      </c>
      <c r="E2430" t="s">
        <v>96</v>
      </c>
      <c r="F2430">
        <v>130</v>
      </c>
      <c r="H2430">
        <v>64</v>
      </c>
      <c r="I2430">
        <v>0.6</v>
      </c>
      <c r="J2430">
        <v>38.4</v>
      </c>
      <c r="K2430">
        <v>4.6500000000000004</v>
      </c>
      <c r="L2430">
        <v>6.39</v>
      </c>
      <c r="M2430" t="s">
        <v>64</v>
      </c>
      <c r="N2430" t="s">
        <v>162</v>
      </c>
    </row>
    <row r="2431" spans="1:14" x14ac:dyDescent="0.3">
      <c r="A2431" t="s">
        <v>64</v>
      </c>
      <c r="B2431">
        <f>VLOOKUP(M2431,Sheet9!$I$1:$J$17,2,FALSE)</f>
        <v>5</v>
      </c>
      <c r="C2431">
        <f>VLOOKUP(N2431,Sheet9!$M$1:$N$2,2,FALSE)</f>
        <v>1</v>
      </c>
      <c r="D2431">
        <v>32</v>
      </c>
      <c r="E2431" t="s">
        <v>96</v>
      </c>
      <c r="F2431">
        <v>140</v>
      </c>
      <c r="H2431">
        <v>2</v>
      </c>
      <c r="I2431">
        <v>1</v>
      </c>
      <c r="J2431">
        <v>2</v>
      </c>
      <c r="K2431">
        <v>5.81</v>
      </c>
      <c r="L2431">
        <v>8</v>
      </c>
      <c r="M2431" t="s">
        <v>64</v>
      </c>
      <c r="N2431" t="s">
        <v>162</v>
      </c>
    </row>
    <row r="2432" spans="1:14" x14ac:dyDescent="0.3">
      <c r="A2432" t="s">
        <v>64</v>
      </c>
      <c r="B2432">
        <f>VLOOKUP(M2432,Sheet9!$I$1:$J$17,2,FALSE)</f>
        <v>5</v>
      </c>
      <c r="C2432">
        <f>VLOOKUP(N2432,Sheet9!$M$1:$N$2,2,FALSE)</f>
        <v>1</v>
      </c>
      <c r="D2432">
        <v>32</v>
      </c>
      <c r="E2432" t="s">
        <v>96</v>
      </c>
      <c r="F2432">
        <v>140</v>
      </c>
      <c r="H2432">
        <v>6</v>
      </c>
      <c r="I2432">
        <v>0.6</v>
      </c>
      <c r="J2432">
        <v>3.6</v>
      </c>
      <c r="K2432">
        <v>9.41</v>
      </c>
      <c r="L2432">
        <v>13</v>
      </c>
      <c r="M2432" t="s">
        <v>64</v>
      </c>
      <c r="N2432" t="s">
        <v>162</v>
      </c>
    </row>
    <row r="2433" spans="1:14" x14ac:dyDescent="0.3">
      <c r="A2433" t="s">
        <v>64</v>
      </c>
      <c r="B2433">
        <f>VLOOKUP(M2433,Sheet9!$I$1:$J$17,2,FALSE)</f>
        <v>5</v>
      </c>
      <c r="C2433">
        <f>VLOOKUP(N2433,Sheet9!$M$1:$N$2,2,FALSE)</f>
        <v>1</v>
      </c>
      <c r="D2433">
        <v>32</v>
      </c>
      <c r="E2433" t="s">
        <v>168</v>
      </c>
      <c r="F2433">
        <v>140</v>
      </c>
      <c r="H2433">
        <v>8</v>
      </c>
      <c r="I2433">
        <v>0.6</v>
      </c>
      <c r="J2433">
        <v>4.8</v>
      </c>
      <c r="K2433">
        <v>9.9600000000000009</v>
      </c>
      <c r="L2433">
        <v>13.6</v>
      </c>
      <c r="M2433" t="s">
        <v>64</v>
      </c>
      <c r="N2433" t="s">
        <v>162</v>
      </c>
    </row>
    <row r="2434" spans="1:14" x14ac:dyDescent="0.3">
      <c r="A2434" t="s">
        <v>64</v>
      </c>
      <c r="B2434">
        <f>VLOOKUP(M2434,Sheet9!$I$1:$J$17,2,FALSE)</f>
        <v>5</v>
      </c>
      <c r="C2434">
        <f>VLOOKUP(N2434,Sheet9!$M$1:$N$2,2,FALSE)</f>
        <v>1</v>
      </c>
      <c r="D2434">
        <v>32</v>
      </c>
      <c r="E2434" t="s">
        <v>96</v>
      </c>
      <c r="F2434">
        <v>140</v>
      </c>
      <c r="H2434">
        <v>1</v>
      </c>
      <c r="I2434">
        <v>5</v>
      </c>
      <c r="J2434">
        <v>5</v>
      </c>
      <c r="K2434">
        <v>5.21</v>
      </c>
      <c r="L2434">
        <v>7.18</v>
      </c>
      <c r="M2434" t="s">
        <v>64</v>
      </c>
      <c r="N2434" t="s">
        <v>162</v>
      </c>
    </row>
    <row r="2435" spans="1:14" x14ac:dyDescent="0.3">
      <c r="A2435" t="s">
        <v>64</v>
      </c>
      <c r="B2435">
        <f>VLOOKUP(M2435,Sheet9!$I$1:$J$17,2,FALSE)</f>
        <v>5</v>
      </c>
      <c r="C2435">
        <f>VLOOKUP(N2435,Sheet9!$M$1:$N$2,2,FALSE)</f>
        <v>1</v>
      </c>
      <c r="D2435">
        <v>32</v>
      </c>
      <c r="E2435" t="s">
        <v>168</v>
      </c>
      <c r="F2435">
        <v>140</v>
      </c>
      <c r="H2435">
        <v>10</v>
      </c>
      <c r="I2435">
        <v>0.6</v>
      </c>
      <c r="J2435">
        <v>6</v>
      </c>
      <c r="K2435">
        <v>6.9</v>
      </c>
      <c r="L2435">
        <v>9.4</v>
      </c>
      <c r="M2435" t="s">
        <v>64</v>
      </c>
      <c r="N2435" t="s">
        <v>162</v>
      </c>
    </row>
    <row r="2436" spans="1:14" x14ac:dyDescent="0.3">
      <c r="A2436" t="s">
        <v>64</v>
      </c>
      <c r="B2436">
        <f>VLOOKUP(M2436,Sheet9!$I$1:$J$17,2,FALSE)</f>
        <v>5</v>
      </c>
      <c r="C2436">
        <f>VLOOKUP(N2436,Sheet9!$M$1:$N$2,2,FALSE)</f>
        <v>1</v>
      </c>
      <c r="D2436">
        <v>32</v>
      </c>
      <c r="E2436" t="s">
        <v>96</v>
      </c>
      <c r="F2436">
        <v>140</v>
      </c>
      <c r="H2436">
        <v>1</v>
      </c>
      <c r="I2436">
        <v>10</v>
      </c>
      <c r="J2436">
        <v>10</v>
      </c>
      <c r="K2436">
        <v>5.21</v>
      </c>
      <c r="L2436">
        <v>7.18</v>
      </c>
      <c r="M2436" t="s">
        <v>64</v>
      </c>
      <c r="N2436" t="s">
        <v>162</v>
      </c>
    </row>
    <row r="2437" spans="1:14" x14ac:dyDescent="0.3">
      <c r="A2437" t="s">
        <v>64</v>
      </c>
      <c r="B2437">
        <f>VLOOKUP(M2437,Sheet9!$I$1:$J$17,2,FALSE)</f>
        <v>5</v>
      </c>
      <c r="C2437">
        <f>VLOOKUP(N2437,Sheet9!$M$1:$N$2,2,FALSE)</f>
        <v>1</v>
      </c>
      <c r="D2437">
        <v>32</v>
      </c>
      <c r="E2437" t="s">
        <v>96</v>
      </c>
      <c r="F2437">
        <v>140</v>
      </c>
      <c r="H2437">
        <v>12</v>
      </c>
      <c r="I2437">
        <v>1.2</v>
      </c>
      <c r="J2437">
        <v>14.4</v>
      </c>
      <c r="K2437">
        <v>6.69</v>
      </c>
      <c r="L2437">
        <v>9.2100000000000009</v>
      </c>
      <c r="M2437" t="s">
        <v>64</v>
      </c>
      <c r="N2437" t="s">
        <v>162</v>
      </c>
    </row>
    <row r="2438" spans="1:14" x14ac:dyDescent="0.3">
      <c r="A2438" t="s">
        <v>64</v>
      </c>
      <c r="B2438">
        <f>VLOOKUP(M2438,Sheet9!$I$1:$J$17,2,FALSE)</f>
        <v>5</v>
      </c>
      <c r="C2438">
        <f>VLOOKUP(N2438,Sheet9!$M$1:$N$2,2,FALSE)</f>
        <v>1</v>
      </c>
      <c r="D2438">
        <v>32</v>
      </c>
      <c r="E2438" t="s">
        <v>168</v>
      </c>
      <c r="F2438">
        <v>140</v>
      </c>
      <c r="H2438">
        <v>20</v>
      </c>
      <c r="I2438">
        <v>0.6</v>
      </c>
      <c r="J2438">
        <v>12</v>
      </c>
      <c r="K2438">
        <v>7.04</v>
      </c>
      <c r="L2438">
        <v>9.58</v>
      </c>
      <c r="M2438" t="s">
        <v>64</v>
      </c>
      <c r="N2438" t="s">
        <v>162</v>
      </c>
    </row>
    <row r="2439" spans="1:14" x14ac:dyDescent="0.3">
      <c r="A2439" t="s">
        <v>64</v>
      </c>
      <c r="B2439">
        <f>VLOOKUP(M2439,Sheet9!$I$1:$J$17,2,FALSE)</f>
        <v>5</v>
      </c>
      <c r="C2439">
        <f>VLOOKUP(N2439,Sheet9!$M$1:$N$2,2,FALSE)</f>
        <v>1</v>
      </c>
      <c r="D2439">
        <v>32</v>
      </c>
      <c r="E2439" t="s">
        <v>168</v>
      </c>
      <c r="F2439">
        <v>140</v>
      </c>
      <c r="H2439">
        <v>32</v>
      </c>
      <c r="I2439">
        <v>0.6</v>
      </c>
      <c r="J2439">
        <v>19.2</v>
      </c>
      <c r="K2439">
        <v>6.48</v>
      </c>
      <c r="L2439">
        <v>8.8699999999999992</v>
      </c>
      <c r="M2439" t="s">
        <v>64</v>
      </c>
      <c r="N2439" t="s">
        <v>162</v>
      </c>
    </row>
    <row r="2440" spans="1:14" x14ac:dyDescent="0.3">
      <c r="A2440" t="s">
        <v>64</v>
      </c>
      <c r="B2440">
        <f>VLOOKUP(M2440,Sheet9!$I$1:$J$17,2,FALSE)</f>
        <v>5</v>
      </c>
      <c r="C2440">
        <f>VLOOKUP(N2440,Sheet9!$M$1:$N$2,2,FALSE)</f>
        <v>1</v>
      </c>
      <c r="D2440">
        <v>32</v>
      </c>
      <c r="E2440" t="s">
        <v>96</v>
      </c>
      <c r="F2440">
        <v>140</v>
      </c>
      <c r="H2440">
        <v>12</v>
      </c>
      <c r="I2440">
        <v>1.2</v>
      </c>
      <c r="J2440">
        <v>14.4</v>
      </c>
      <c r="K2440">
        <v>5.84</v>
      </c>
      <c r="L2440">
        <v>8.0399999999999991</v>
      </c>
      <c r="M2440" t="s">
        <v>64</v>
      </c>
      <c r="N2440" t="s">
        <v>162</v>
      </c>
    </row>
    <row r="2441" spans="1:14" x14ac:dyDescent="0.3">
      <c r="A2441" t="s">
        <v>64</v>
      </c>
      <c r="B2441">
        <f>VLOOKUP(M2441,Sheet9!$I$1:$J$17,2,FALSE)</f>
        <v>5</v>
      </c>
      <c r="C2441">
        <f>VLOOKUP(N2441,Sheet9!$M$1:$N$2,2,FALSE)</f>
        <v>1</v>
      </c>
      <c r="D2441">
        <v>32</v>
      </c>
      <c r="E2441" t="s">
        <v>96</v>
      </c>
      <c r="F2441">
        <v>140</v>
      </c>
      <c r="H2441">
        <v>64</v>
      </c>
      <c r="I2441">
        <v>0.6</v>
      </c>
      <c r="J2441">
        <v>38.4</v>
      </c>
      <c r="K2441">
        <v>5.72</v>
      </c>
      <c r="L2441">
        <v>7.8</v>
      </c>
      <c r="M2441" t="s">
        <v>64</v>
      </c>
      <c r="N2441" t="s">
        <v>162</v>
      </c>
    </row>
    <row r="2442" spans="1:14" x14ac:dyDescent="0.3">
      <c r="A2442" t="s">
        <v>64</v>
      </c>
      <c r="B2442">
        <f>VLOOKUP(M2442,Sheet9!$I$1:$J$17,2,FALSE)</f>
        <v>5</v>
      </c>
      <c r="C2442">
        <f>VLOOKUP(N2442,Sheet9!$M$1:$N$2,2,FALSE)</f>
        <v>1</v>
      </c>
      <c r="D2442">
        <v>32</v>
      </c>
      <c r="E2442" t="s">
        <v>96</v>
      </c>
      <c r="F2442">
        <v>100</v>
      </c>
      <c r="G2442" t="s">
        <v>139</v>
      </c>
      <c r="H2442">
        <v>2</v>
      </c>
      <c r="I2442">
        <v>1</v>
      </c>
      <c r="J2442">
        <v>2</v>
      </c>
      <c r="K2442">
        <v>0.48</v>
      </c>
      <c r="L2442">
        <v>0.63</v>
      </c>
      <c r="M2442" t="s">
        <v>64</v>
      </c>
      <c r="N2442" t="s">
        <v>162</v>
      </c>
    </row>
    <row r="2443" spans="1:14" x14ac:dyDescent="0.3">
      <c r="A2443" t="s">
        <v>64</v>
      </c>
      <c r="B2443">
        <f>VLOOKUP(M2443,Sheet9!$I$1:$J$17,2,FALSE)</f>
        <v>5</v>
      </c>
      <c r="C2443">
        <f>VLOOKUP(N2443,Sheet9!$M$1:$N$2,2,FALSE)</f>
        <v>1</v>
      </c>
      <c r="D2443">
        <v>32</v>
      </c>
      <c r="E2443" t="s">
        <v>96</v>
      </c>
      <c r="F2443">
        <v>100</v>
      </c>
      <c r="G2443" t="s">
        <v>139</v>
      </c>
      <c r="H2443">
        <v>6</v>
      </c>
      <c r="I2443">
        <v>0.6</v>
      </c>
      <c r="J2443">
        <v>3.6</v>
      </c>
      <c r="K2443">
        <v>0.78</v>
      </c>
      <c r="L2443">
        <v>1.02</v>
      </c>
      <c r="M2443" t="s">
        <v>64</v>
      </c>
      <c r="N2443" t="s">
        <v>162</v>
      </c>
    </row>
    <row r="2444" spans="1:14" x14ac:dyDescent="0.3">
      <c r="A2444" t="s">
        <v>64</v>
      </c>
      <c r="B2444">
        <f>VLOOKUP(M2444,Sheet9!$I$1:$J$17,2,FALSE)</f>
        <v>5</v>
      </c>
      <c r="C2444">
        <f>VLOOKUP(N2444,Sheet9!$M$1:$N$2,2,FALSE)</f>
        <v>1</v>
      </c>
      <c r="D2444">
        <v>32</v>
      </c>
      <c r="E2444" t="s">
        <v>168</v>
      </c>
      <c r="F2444">
        <v>100</v>
      </c>
      <c r="G2444" t="s">
        <v>139</v>
      </c>
      <c r="H2444">
        <v>8</v>
      </c>
      <c r="I2444">
        <v>0.6</v>
      </c>
      <c r="J2444">
        <v>4.8</v>
      </c>
      <c r="K2444">
        <v>0.82</v>
      </c>
      <c r="L2444">
        <v>1.08</v>
      </c>
      <c r="M2444" t="s">
        <v>64</v>
      </c>
      <c r="N2444" t="s">
        <v>162</v>
      </c>
    </row>
    <row r="2445" spans="1:14" x14ac:dyDescent="0.3">
      <c r="A2445" t="s">
        <v>64</v>
      </c>
      <c r="B2445">
        <f>VLOOKUP(M2445,Sheet9!$I$1:$J$17,2,FALSE)</f>
        <v>5</v>
      </c>
      <c r="C2445">
        <f>VLOOKUP(N2445,Sheet9!$M$1:$N$2,2,FALSE)</f>
        <v>1</v>
      </c>
      <c r="D2445">
        <v>32</v>
      </c>
      <c r="E2445" t="s">
        <v>96</v>
      </c>
      <c r="F2445">
        <v>100</v>
      </c>
      <c r="G2445" t="s">
        <v>139</v>
      </c>
      <c r="H2445">
        <v>1</v>
      </c>
      <c r="I2445">
        <v>5</v>
      </c>
      <c r="J2445">
        <v>5</v>
      </c>
      <c r="K2445">
        <v>0.43</v>
      </c>
      <c r="L2445">
        <v>0.56999999999999995</v>
      </c>
      <c r="M2445" t="s">
        <v>64</v>
      </c>
      <c r="N2445" t="s">
        <v>162</v>
      </c>
    </row>
    <row r="2446" spans="1:14" x14ac:dyDescent="0.3">
      <c r="A2446" t="s">
        <v>64</v>
      </c>
      <c r="B2446">
        <f>VLOOKUP(M2446,Sheet9!$I$1:$J$17,2,FALSE)</f>
        <v>5</v>
      </c>
      <c r="C2446">
        <f>VLOOKUP(N2446,Sheet9!$M$1:$N$2,2,FALSE)</f>
        <v>1</v>
      </c>
      <c r="D2446">
        <v>32</v>
      </c>
      <c r="E2446" t="s">
        <v>168</v>
      </c>
      <c r="F2446">
        <v>100</v>
      </c>
      <c r="G2446" t="s">
        <v>139</v>
      </c>
      <c r="H2446">
        <v>10</v>
      </c>
      <c r="I2446">
        <v>0.6</v>
      </c>
      <c r="J2446">
        <v>6</v>
      </c>
      <c r="K2446">
        <v>0.56999999999999995</v>
      </c>
      <c r="L2446">
        <v>0.75</v>
      </c>
      <c r="M2446" t="s">
        <v>64</v>
      </c>
      <c r="N2446" t="s">
        <v>162</v>
      </c>
    </row>
    <row r="2447" spans="1:14" x14ac:dyDescent="0.3">
      <c r="A2447" t="s">
        <v>64</v>
      </c>
      <c r="B2447">
        <f>VLOOKUP(M2447,Sheet9!$I$1:$J$17,2,FALSE)</f>
        <v>5</v>
      </c>
      <c r="C2447">
        <f>VLOOKUP(N2447,Sheet9!$M$1:$N$2,2,FALSE)</f>
        <v>1</v>
      </c>
      <c r="D2447">
        <v>32</v>
      </c>
      <c r="E2447" t="s">
        <v>96</v>
      </c>
      <c r="F2447">
        <v>100</v>
      </c>
      <c r="G2447" t="s">
        <v>139</v>
      </c>
      <c r="H2447">
        <v>1</v>
      </c>
      <c r="I2447">
        <v>10</v>
      </c>
      <c r="J2447">
        <v>10</v>
      </c>
      <c r="K2447">
        <v>0.43</v>
      </c>
      <c r="L2447">
        <v>0.56999999999999995</v>
      </c>
      <c r="M2447" t="s">
        <v>64</v>
      </c>
      <c r="N2447" t="s">
        <v>162</v>
      </c>
    </row>
    <row r="2448" spans="1:14" x14ac:dyDescent="0.3">
      <c r="A2448" t="s">
        <v>64</v>
      </c>
      <c r="B2448">
        <f>VLOOKUP(M2448,Sheet9!$I$1:$J$17,2,FALSE)</f>
        <v>5</v>
      </c>
      <c r="C2448">
        <f>VLOOKUP(N2448,Sheet9!$M$1:$N$2,2,FALSE)</f>
        <v>1</v>
      </c>
      <c r="D2448">
        <v>32</v>
      </c>
      <c r="E2448" t="s">
        <v>96</v>
      </c>
      <c r="F2448">
        <v>100</v>
      </c>
      <c r="G2448" t="s">
        <v>139</v>
      </c>
      <c r="H2448">
        <v>12</v>
      </c>
      <c r="I2448">
        <v>1.2</v>
      </c>
      <c r="J2448">
        <v>14.4</v>
      </c>
      <c r="K2448">
        <v>0.55000000000000004</v>
      </c>
      <c r="L2448">
        <v>0.73</v>
      </c>
      <c r="M2448" t="s">
        <v>64</v>
      </c>
      <c r="N2448" t="s">
        <v>162</v>
      </c>
    </row>
    <row r="2449" spans="1:14" x14ac:dyDescent="0.3">
      <c r="A2449" t="s">
        <v>64</v>
      </c>
      <c r="B2449">
        <f>VLOOKUP(M2449,Sheet9!$I$1:$J$17,2,FALSE)</f>
        <v>5</v>
      </c>
      <c r="C2449">
        <f>VLOOKUP(N2449,Sheet9!$M$1:$N$2,2,FALSE)</f>
        <v>1</v>
      </c>
      <c r="D2449">
        <v>32</v>
      </c>
      <c r="E2449" t="s">
        <v>168</v>
      </c>
      <c r="F2449">
        <v>100</v>
      </c>
      <c r="G2449" t="s">
        <v>139</v>
      </c>
      <c r="H2449">
        <v>20</v>
      </c>
      <c r="I2449">
        <v>0.6</v>
      </c>
      <c r="J2449">
        <v>12</v>
      </c>
      <c r="K2449">
        <v>0.57999999999999996</v>
      </c>
      <c r="L2449">
        <v>0.76</v>
      </c>
      <c r="M2449" t="s">
        <v>64</v>
      </c>
      <c r="N2449" t="s">
        <v>162</v>
      </c>
    </row>
    <row r="2450" spans="1:14" x14ac:dyDescent="0.3">
      <c r="A2450" t="s">
        <v>64</v>
      </c>
      <c r="B2450">
        <f>VLOOKUP(M2450,Sheet9!$I$1:$J$17,2,FALSE)</f>
        <v>5</v>
      </c>
      <c r="C2450">
        <f>VLOOKUP(N2450,Sheet9!$M$1:$N$2,2,FALSE)</f>
        <v>1</v>
      </c>
      <c r="D2450">
        <v>32</v>
      </c>
      <c r="E2450" t="s">
        <v>168</v>
      </c>
      <c r="F2450">
        <v>100</v>
      </c>
      <c r="G2450" t="s">
        <v>139</v>
      </c>
      <c r="H2450">
        <v>32</v>
      </c>
      <c r="I2450">
        <v>0.6</v>
      </c>
      <c r="J2450">
        <v>19.2</v>
      </c>
      <c r="K2450">
        <v>0.54</v>
      </c>
      <c r="L2450">
        <v>0.7</v>
      </c>
      <c r="M2450" t="s">
        <v>64</v>
      </c>
      <c r="N2450" t="s">
        <v>162</v>
      </c>
    </row>
    <row r="2451" spans="1:14" x14ac:dyDescent="0.3">
      <c r="A2451" t="s">
        <v>64</v>
      </c>
      <c r="B2451">
        <f>VLOOKUP(M2451,Sheet9!$I$1:$J$17,2,FALSE)</f>
        <v>5</v>
      </c>
      <c r="C2451">
        <f>VLOOKUP(N2451,Sheet9!$M$1:$N$2,2,FALSE)</f>
        <v>1</v>
      </c>
      <c r="D2451">
        <v>32</v>
      </c>
      <c r="E2451" t="s">
        <v>96</v>
      </c>
      <c r="F2451">
        <v>100</v>
      </c>
      <c r="G2451" t="s">
        <v>139</v>
      </c>
      <c r="H2451">
        <v>12</v>
      </c>
      <c r="I2451">
        <v>1.2</v>
      </c>
      <c r="J2451">
        <v>14.4</v>
      </c>
      <c r="K2451">
        <v>0.48</v>
      </c>
      <c r="L2451">
        <v>0.64</v>
      </c>
      <c r="M2451" t="s">
        <v>64</v>
      </c>
      <c r="N2451" t="s">
        <v>162</v>
      </c>
    </row>
    <row r="2452" spans="1:14" x14ac:dyDescent="0.3">
      <c r="A2452" t="s">
        <v>64</v>
      </c>
      <c r="B2452">
        <f>VLOOKUP(M2452,Sheet9!$I$1:$J$17,2,FALSE)</f>
        <v>5</v>
      </c>
      <c r="C2452">
        <f>VLOOKUP(N2452,Sheet9!$M$1:$N$2,2,FALSE)</f>
        <v>1</v>
      </c>
      <c r="D2452">
        <v>32</v>
      </c>
      <c r="E2452" t="s">
        <v>96</v>
      </c>
      <c r="F2452">
        <v>100</v>
      </c>
      <c r="G2452" t="s">
        <v>139</v>
      </c>
      <c r="H2452">
        <v>64</v>
      </c>
      <c r="I2452">
        <v>0.6</v>
      </c>
      <c r="J2452">
        <v>38.4</v>
      </c>
      <c r="K2452">
        <v>0.47</v>
      </c>
      <c r="L2452">
        <v>0.62</v>
      </c>
      <c r="M2452" t="s">
        <v>64</v>
      </c>
      <c r="N2452" t="s">
        <v>162</v>
      </c>
    </row>
    <row r="2453" spans="1:14" x14ac:dyDescent="0.3">
      <c r="A2453" t="s">
        <v>64</v>
      </c>
      <c r="B2453">
        <f>VLOOKUP(M2453,Sheet9!$I$1:$J$17,2,FALSE)</f>
        <v>5</v>
      </c>
      <c r="C2453">
        <f>VLOOKUP(N2453,Sheet9!$M$1:$N$2,2,FALSE)</f>
        <v>1</v>
      </c>
      <c r="D2453">
        <v>32</v>
      </c>
      <c r="E2453" t="s">
        <v>96</v>
      </c>
      <c r="F2453">
        <v>140</v>
      </c>
      <c r="G2453" t="s">
        <v>139</v>
      </c>
      <c r="H2453">
        <v>2</v>
      </c>
      <c r="I2453">
        <v>1</v>
      </c>
      <c r="J2453">
        <v>2</v>
      </c>
      <c r="K2453">
        <v>2.23</v>
      </c>
      <c r="L2453">
        <v>2.9</v>
      </c>
      <c r="M2453" t="s">
        <v>64</v>
      </c>
      <c r="N2453" t="s">
        <v>162</v>
      </c>
    </row>
    <row r="2454" spans="1:14" x14ac:dyDescent="0.3">
      <c r="A2454" t="s">
        <v>64</v>
      </c>
      <c r="B2454">
        <f>VLOOKUP(M2454,Sheet9!$I$1:$J$17,2,FALSE)</f>
        <v>5</v>
      </c>
      <c r="C2454">
        <f>VLOOKUP(N2454,Sheet9!$M$1:$N$2,2,FALSE)</f>
        <v>1</v>
      </c>
      <c r="D2454">
        <v>32</v>
      </c>
      <c r="E2454" t="s">
        <v>96</v>
      </c>
      <c r="F2454">
        <v>140</v>
      </c>
      <c r="G2454" t="s">
        <v>139</v>
      </c>
      <c r="H2454">
        <v>6</v>
      </c>
      <c r="I2454">
        <v>0.6</v>
      </c>
      <c r="J2454">
        <v>3.6</v>
      </c>
      <c r="K2454">
        <v>3.61</v>
      </c>
      <c r="L2454">
        <v>4.7</v>
      </c>
      <c r="M2454" t="s">
        <v>64</v>
      </c>
      <c r="N2454" t="s">
        <v>162</v>
      </c>
    </row>
    <row r="2455" spans="1:14" x14ac:dyDescent="0.3">
      <c r="A2455" t="s">
        <v>64</v>
      </c>
      <c r="B2455">
        <f>VLOOKUP(M2455,Sheet9!$I$1:$J$17,2,FALSE)</f>
        <v>5</v>
      </c>
      <c r="C2455">
        <f>VLOOKUP(N2455,Sheet9!$M$1:$N$2,2,FALSE)</f>
        <v>1</v>
      </c>
      <c r="D2455">
        <v>32</v>
      </c>
      <c r="E2455" t="s">
        <v>168</v>
      </c>
      <c r="F2455">
        <v>140</v>
      </c>
      <c r="G2455" t="s">
        <v>139</v>
      </c>
      <c r="H2455">
        <v>8</v>
      </c>
      <c r="I2455">
        <v>0.6</v>
      </c>
      <c r="J2455">
        <v>4.8</v>
      </c>
      <c r="K2455">
        <v>3.83</v>
      </c>
      <c r="L2455">
        <v>4.9400000000000004</v>
      </c>
      <c r="M2455" t="s">
        <v>64</v>
      </c>
      <c r="N2455" t="s">
        <v>162</v>
      </c>
    </row>
    <row r="2456" spans="1:14" x14ac:dyDescent="0.3">
      <c r="A2456" t="s">
        <v>64</v>
      </c>
      <c r="B2456">
        <f>VLOOKUP(M2456,Sheet9!$I$1:$J$17,2,FALSE)</f>
        <v>5</v>
      </c>
      <c r="C2456">
        <f>VLOOKUP(N2456,Sheet9!$M$1:$N$2,2,FALSE)</f>
        <v>1</v>
      </c>
      <c r="D2456">
        <v>32</v>
      </c>
      <c r="E2456" t="s">
        <v>96</v>
      </c>
      <c r="F2456">
        <v>140</v>
      </c>
      <c r="G2456" t="s">
        <v>139</v>
      </c>
      <c r="H2456">
        <v>1</v>
      </c>
      <c r="I2456">
        <v>5</v>
      </c>
      <c r="J2456">
        <v>5</v>
      </c>
      <c r="K2456">
        <v>2</v>
      </c>
      <c r="L2456">
        <v>2.6</v>
      </c>
      <c r="M2456" t="s">
        <v>64</v>
      </c>
      <c r="N2456" t="s">
        <v>162</v>
      </c>
    </row>
    <row r="2457" spans="1:14" x14ac:dyDescent="0.3">
      <c r="A2457" t="s">
        <v>64</v>
      </c>
      <c r="B2457">
        <f>VLOOKUP(M2457,Sheet9!$I$1:$J$17,2,FALSE)</f>
        <v>5</v>
      </c>
      <c r="C2457">
        <f>VLOOKUP(N2457,Sheet9!$M$1:$N$2,2,FALSE)</f>
        <v>1</v>
      </c>
      <c r="D2457">
        <v>32</v>
      </c>
      <c r="E2457" t="s">
        <v>168</v>
      </c>
      <c r="F2457">
        <v>140</v>
      </c>
      <c r="G2457" t="s">
        <v>139</v>
      </c>
      <c r="H2457">
        <v>10</v>
      </c>
      <c r="I2457">
        <v>0.6</v>
      </c>
      <c r="J2457">
        <v>6</v>
      </c>
      <c r="K2457">
        <v>2.66</v>
      </c>
      <c r="L2457">
        <v>3.43</v>
      </c>
      <c r="M2457" t="s">
        <v>64</v>
      </c>
      <c r="N2457" t="s">
        <v>162</v>
      </c>
    </row>
    <row r="2458" spans="1:14" x14ac:dyDescent="0.3">
      <c r="A2458" t="s">
        <v>64</v>
      </c>
      <c r="B2458">
        <f>VLOOKUP(M2458,Sheet9!$I$1:$J$17,2,FALSE)</f>
        <v>5</v>
      </c>
      <c r="C2458">
        <f>VLOOKUP(N2458,Sheet9!$M$1:$N$2,2,FALSE)</f>
        <v>1</v>
      </c>
      <c r="D2458">
        <v>32</v>
      </c>
      <c r="E2458" t="s">
        <v>96</v>
      </c>
      <c r="F2458">
        <v>140</v>
      </c>
      <c r="G2458" t="s">
        <v>139</v>
      </c>
      <c r="H2458">
        <v>1</v>
      </c>
      <c r="I2458">
        <v>10</v>
      </c>
      <c r="J2458">
        <v>10</v>
      </c>
      <c r="K2458">
        <v>2</v>
      </c>
      <c r="L2458">
        <v>2.6</v>
      </c>
      <c r="M2458" t="s">
        <v>64</v>
      </c>
      <c r="N2458" t="s">
        <v>162</v>
      </c>
    </row>
    <row r="2459" spans="1:14" x14ac:dyDescent="0.3">
      <c r="A2459" t="s">
        <v>64</v>
      </c>
      <c r="B2459">
        <f>VLOOKUP(M2459,Sheet9!$I$1:$J$17,2,FALSE)</f>
        <v>5</v>
      </c>
      <c r="C2459">
        <f>VLOOKUP(N2459,Sheet9!$M$1:$N$2,2,FALSE)</f>
        <v>1</v>
      </c>
      <c r="D2459">
        <v>32</v>
      </c>
      <c r="E2459" t="s">
        <v>96</v>
      </c>
      <c r="F2459">
        <v>140</v>
      </c>
      <c r="G2459" t="s">
        <v>139</v>
      </c>
      <c r="H2459">
        <v>12</v>
      </c>
      <c r="I2459">
        <v>1.2</v>
      </c>
      <c r="J2459">
        <v>14.4</v>
      </c>
      <c r="K2459">
        <v>2.57</v>
      </c>
      <c r="L2459">
        <v>3.34</v>
      </c>
      <c r="M2459" t="s">
        <v>64</v>
      </c>
      <c r="N2459" t="s">
        <v>162</v>
      </c>
    </row>
    <row r="2460" spans="1:14" x14ac:dyDescent="0.3">
      <c r="A2460" t="s">
        <v>64</v>
      </c>
      <c r="B2460">
        <f>VLOOKUP(M2460,Sheet9!$I$1:$J$17,2,FALSE)</f>
        <v>5</v>
      </c>
      <c r="C2460">
        <f>VLOOKUP(N2460,Sheet9!$M$1:$N$2,2,FALSE)</f>
        <v>1</v>
      </c>
      <c r="D2460">
        <v>32</v>
      </c>
      <c r="E2460" t="s">
        <v>168</v>
      </c>
      <c r="F2460">
        <v>140</v>
      </c>
      <c r="G2460" t="s">
        <v>139</v>
      </c>
      <c r="H2460">
        <v>20</v>
      </c>
      <c r="I2460">
        <v>0.6</v>
      </c>
      <c r="J2460">
        <v>12</v>
      </c>
      <c r="K2460">
        <v>2.71</v>
      </c>
      <c r="L2460">
        <v>3.49</v>
      </c>
      <c r="M2460" t="s">
        <v>64</v>
      </c>
      <c r="N2460" t="s">
        <v>162</v>
      </c>
    </row>
    <row r="2461" spans="1:14" x14ac:dyDescent="0.3">
      <c r="A2461" t="s">
        <v>64</v>
      </c>
      <c r="B2461">
        <f>VLOOKUP(M2461,Sheet9!$I$1:$J$17,2,FALSE)</f>
        <v>5</v>
      </c>
      <c r="C2461">
        <f>VLOOKUP(N2461,Sheet9!$M$1:$N$2,2,FALSE)</f>
        <v>1</v>
      </c>
      <c r="D2461">
        <v>32</v>
      </c>
      <c r="E2461" t="s">
        <v>168</v>
      </c>
      <c r="F2461">
        <v>140</v>
      </c>
      <c r="G2461" t="s">
        <v>139</v>
      </c>
      <c r="H2461">
        <v>32</v>
      </c>
      <c r="I2461">
        <v>0.6</v>
      </c>
      <c r="J2461">
        <v>19.2</v>
      </c>
      <c r="K2461">
        <v>2.4900000000000002</v>
      </c>
      <c r="L2461">
        <v>3.22</v>
      </c>
      <c r="M2461" t="s">
        <v>64</v>
      </c>
      <c r="N2461" t="s">
        <v>162</v>
      </c>
    </row>
    <row r="2462" spans="1:14" x14ac:dyDescent="0.3">
      <c r="A2462" t="s">
        <v>64</v>
      </c>
      <c r="B2462">
        <f>VLOOKUP(M2462,Sheet9!$I$1:$J$17,2,FALSE)</f>
        <v>5</v>
      </c>
      <c r="C2462">
        <f>VLOOKUP(N2462,Sheet9!$M$1:$N$2,2,FALSE)</f>
        <v>1</v>
      </c>
      <c r="D2462">
        <v>32</v>
      </c>
      <c r="E2462" t="s">
        <v>96</v>
      </c>
      <c r="F2462">
        <v>140</v>
      </c>
      <c r="G2462" t="s">
        <v>139</v>
      </c>
      <c r="H2462">
        <v>12</v>
      </c>
      <c r="I2462">
        <v>1.2</v>
      </c>
      <c r="J2462">
        <v>14.4</v>
      </c>
      <c r="K2462">
        <v>2.2400000000000002</v>
      </c>
      <c r="L2462">
        <v>2.92</v>
      </c>
      <c r="M2462" t="s">
        <v>64</v>
      </c>
      <c r="N2462" t="s">
        <v>162</v>
      </c>
    </row>
    <row r="2463" spans="1:14" x14ac:dyDescent="0.3">
      <c r="A2463" t="s">
        <v>64</v>
      </c>
      <c r="B2463">
        <f>VLOOKUP(M2463,Sheet9!$I$1:$J$17,2,FALSE)</f>
        <v>5</v>
      </c>
      <c r="C2463">
        <f>VLOOKUP(N2463,Sheet9!$M$1:$N$2,2,FALSE)</f>
        <v>1</v>
      </c>
      <c r="D2463">
        <v>32</v>
      </c>
      <c r="E2463" t="s">
        <v>96</v>
      </c>
      <c r="F2463">
        <v>140</v>
      </c>
      <c r="G2463" t="s">
        <v>139</v>
      </c>
      <c r="H2463">
        <v>64</v>
      </c>
      <c r="I2463">
        <v>0.6</v>
      </c>
      <c r="J2463">
        <v>38.4</v>
      </c>
      <c r="K2463">
        <v>2.2000000000000002</v>
      </c>
      <c r="L2463">
        <v>2.84</v>
      </c>
      <c r="M2463" t="s">
        <v>64</v>
      </c>
      <c r="N2463" t="s">
        <v>162</v>
      </c>
    </row>
    <row r="2464" spans="1:14" x14ac:dyDescent="0.3">
      <c r="A2464" t="s">
        <v>64</v>
      </c>
      <c r="B2464">
        <f>VLOOKUP(M2464,Sheet9!$I$1:$J$17,2,FALSE)</f>
        <v>5</v>
      </c>
      <c r="C2464">
        <f>VLOOKUP(N2464,Sheet9!$M$1:$N$2,2,FALSE)</f>
        <v>1</v>
      </c>
      <c r="D2464">
        <v>32</v>
      </c>
      <c r="E2464" t="s">
        <v>95</v>
      </c>
      <c r="F2464">
        <v>70</v>
      </c>
      <c r="H2464">
        <v>2</v>
      </c>
      <c r="I2464">
        <v>1</v>
      </c>
      <c r="J2464">
        <v>2</v>
      </c>
      <c r="K2464">
        <v>0.57999999999999996</v>
      </c>
      <c r="L2464">
        <v>1.05</v>
      </c>
      <c r="M2464" t="s">
        <v>64</v>
      </c>
      <c r="N2464" t="s">
        <v>162</v>
      </c>
    </row>
    <row r="2465" spans="1:14" x14ac:dyDescent="0.3">
      <c r="A2465" t="s">
        <v>64</v>
      </c>
      <c r="B2465">
        <f>VLOOKUP(M2465,Sheet9!$I$1:$J$17,2,FALSE)</f>
        <v>5</v>
      </c>
      <c r="C2465">
        <f>VLOOKUP(N2465,Sheet9!$M$1:$N$2,2,FALSE)</f>
        <v>1</v>
      </c>
      <c r="D2465">
        <v>32</v>
      </c>
      <c r="E2465" t="s">
        <v>95</v>
      </c>
      <c r="F2465">
        <v>70</v>
      </c>
      <c r="H2465">
        <v>6</v>
      </c>
      <c r="I2465">
        <v>0.6</v>
      </c>
      <c r="J2465">
        <v>3.6</v>
      </c>
      <c r="K2465">
        <v>0.94</v>
      </c>
      <c r="L2465">
        <v>1.7</v>
      </c>
      <c r="M2465" t="s">
        <v>64</v>
      </c>
      <c r="N2465" t="s">
        <v>162</v>
      </c>
    </row>
    <row r="2466" spans="1:14" x14ac:dyDescent="0.3">
      <c r="A2466" t="s">
        <v>64</v>
      </c>
      <c r="B2466">
        <f>VLOOKUP(M2466,Sheet9!$I$1:$J$17,2,FALSE)</f>
        <v>5</v>
      </c>
      <c r="C2466">
        <f>VLOOKUP(N2466,Sheet9!$M$1:$N$2,2,FALSE)</f>
        <v>1</v>
      </c>
      <c r="D2466">
        <v>32</v>
      </c>
      <c r="E2466" t="s">
        <v>167</v>
      </c>
      <c r="F2466">
        <v>70</v>
      </c>
      <c r="H2466">
        <v>8</v>
      </c>
      <c r="I2466">
        <v>0.6</v>
      </c>
      <c r="J2466">
        <v>4.8</v>
      </c>
      <c r="K2466">
        <v>0.99</v>
      </c>
      <c r="L2466">
        <v>1.79</v>
      </c>
      <c r="M2466" t="s">
        <v>64</v>
      </c>
      <c r="N2466" t="s">
        <v>162</v>
      </c>
    </row>
    <row r="2467" spans="1:14" x14ac:dyDescent="0.3">
      <c r="A2467" t="s">
        <v>64</v>
      </c>
      <c r="B2467">
        <f>VLOOKUP(M2467,Sheet9!$I$1:$J$17,2,FALSE)</f>
        <v>5</v>
      </c>
      <c r="C2467">
        <f>VLOOKUP(N2467,Sheet9!$M$1:$N$2,2,FALSE)</f>
        <v>1</v>
      </c>
      <c r="D2467">
        <v>32</v>
      </c>
      <c r="E2467" t="s">
        <v>95</v>
      </c>
      <c r="F2467">
        <v>70</v>
      </c>
      <c r="H2467">
        <v>1</v>
      </c>
      <c r="I2467">
        <v>5</v>
      </c>
      <c r="J2467">
        <v>5</v>
      </c>
      <c r="K2467">
        <v>0.52</v>
      </c>
      <c r="L2467">
        <v>0.94</v>
      </c>
      <c r="M2467" t="s">
        <v>64</v>
      </c>
      <c r="N2467" t="s">
        <v>162</v>
      </c>
    </row>
    <row r="2468" spans="1:14" x14ac:dyDescent="0.3">
      <c r="A2468" t="s">
        <v>64</v>
      </c>
      <c r="B2468">
        <f>VLOOKUP(M2468,Sheet9!$I$1:$J$17,2,FALSE)</f>
        <v>5</v>
      </c>
      <c r="C2468">
        <f>VLOOKUP(N2468,Sheet9!$M$1:$N$2,2,FALSE)</f>
        <v>1</v>
      </c>
      <c r="D2468">
        <v>32</v>
      </c>
      <c r="E2468" t="s">
        <v>167</v>
      </c>
      <c r="F2468">
        <v>70</v>
      </c>
      <c r="H2468">
        <v>10</v>
      </c>
      <c r="I2468">
        <v>0.6</v>
      </c>
      <c r="J2468">
        <v>6</v>
      </c>
      <c r="K2468">
        <v>0.69</v>
      </c>
      <c r="L2468">
        <v>1.24</v>
      </c>
      <c r="M2468" t="s">
        <v>64</v>
      </c>
      <c r="N2468" t="s">
        <v>162</v>
      </c>
    </row>
    <row r="2469" spans="1:14" x14ac:dyDescent="0.3">
      <c r="A2469" t="s">
        <v>64</v>
      </c>
      <c r="B2469">
        <f>VLOOKUP(M2469,Sheet9!$I$1:$J$17,2,FALSE)</f>
        <v>5</v>
      </c>
      <c r="C2469">
        <f>VLOOKUP(N2469,Sheet9!$M$1:$N$2,2,FALSE)</f>
        <v>1</v>
      </c>
      <c r="D2469">
        <v>32</v>
      </c>
      <c r="E2469" t="s">
        <v>95</v>
      </c>
      <c r="F2469">
        <v>70</v>
      </c>
      <c r="H2469">
        <v>1</v>
      </c>
      <c r="I2469">
        <v>10</v>
      </c>
      <c r="J2469">
        <v>10</v>
      </c>
      <c r="K2469">
        <v>0.52</v>
      </c>
      <c r="L2469">
        <v>0.94</v>
      </c>
      <c r="M2469" t="s">
        <v>64</v>
      </c>
      <c r="N2469" t="s">
        <v>162</v>
      </c>
    </row>
    <row r="2470" spans="1:14" x14ac:dyDescent="0.3">
      <c r="A2470" t="s">
        <v>64</v>
      </c>
      <c r="B2470">
        <f>VLOOKUP(M2470,Sheet9!$I$1:$J$17,2,FALSE)</f>
        <v>5</v>
      </c>
      <c r="C2470">
        <f>VLOOKUP(N2470,Sheet9!$M$1:$N$2,2,FALSE)</f>
        <v>1</v>
      </c>
      <c r="D2470">
        <v>32</v>
      </c>
      <c r="E2470" t="s">
        <v>95</v>
      </c>
      <c r="F2470">
        <v>70</v>
      </c>
      <c r="H2470">
        <v>12</v>
      </c>
      <c r="I2470">
        <v>1.2</v>
      </c>
      <c r="J2470">
        <v>14.4</v>
      </c>
      <c r="K2470">
        <v>0.66</v>
      </c>
      <c r="L2470">
        <v>1.21</v>
      </c>
      <c r="M2470" t="s">
        <v>64</v>
      </c>
      <c r="N2470" t="s">
        <v>162</v>
      </c>
    </row>
    <row r="2471" spans="1:14" x14ac:dyDescent="0.3">
      <c r="A2471" t="s">
        <v>64</v>
      </c>
      <c r="B2471">
        <f>VLOOKUP(M2471,Sheet9!$I$1:$J$17,2,FALSE)</f>
        <v>5</v>
      </c>
      <c r="C2471">
        <f>VLOOKUP(N2471,Sheet9!$M$1:$N$2,2,FALSE)</f>
        <v>1</v>
      </c>
      <c r="D2471">
        <v>32</v>
      </c>
      <c r="E2471" t="s">
        <v>167</v>
      </c>
      <c r="F2471">
        <v>70</v>
      </c>
      <c r="H2471">
        <v>20</v>
      </c>
      <c r="I2471">
        <v>0.6</v>
      </c>
      <c r="J2471">
        <v>12</v>
      </c>
      <c r="K2471">
        <v>0.7</v>
      </c>
      <c r="L2471">
        <v>1.27</v>
      </c>
      <c r="M2471" t="s">
        <v>64</v>
      </c>
      <c r="N2471" t="s">
        <v>162</v>
      </c>
    </row>
    <row r="2472" spans="1:14" x14ac:dyDescent="0.3">
      <c r="A2472" t="s">
        <v>64</v>
      </c>
      <c r="B2472">
        <f>VLOOKUP(M2472,Sheet9!$I$1:$J$17,2,FALSE)</f>
        <v>5</v>
      </c>
      <c r="C2472">
        <f>VLOOKUP(N2472,Sheet9!$M$1:$N$2,2,FALSE)</f>
        <v>1</v>
      </c>
      <c r="D2472">
        <v>32</v>
      </c>
      <c r="E2472" t="s">
        <v>167</v>
      </c>
      <c r="F2472">
        <v>70</v>
      </c>
      <c r="H2472">
        <v>32</v>
      </c>
      <c r="I2472">
        <v>0.6</v>
      </c>
      <c r="J2472">
        <v>19.2</v>
      </c>
      <c r="K2472">
        <v>0.64</v>
      </c>
      <c r="L2472">
        <v>1.17</v>
      </c>
      <c r="M2472" t="s">
        <v>64</v>
      </c>
      <c r="N2472" t="s">
        <v>162</v>
      </c>
    </row>
    <row r="2473" spans="1:14" x14ac:dyDescent="0.3">
      <c r="A2473" t="s">
        <v>64</v>
      </c>
      <c r="B2473">
        <f>VLOOKUP(M2473,Sheet9!$I$1:$J$17,2,FALSE)</f>
        <v>5</v>
      </c>
      <c r="C2473">
        <f>VLOOKUP(N2473,Sheet9!$M$1:$N$2,2,FALSE)</f>
        <v>1</v>
      </c>
      <c r="D2473">
        <v>32</v>
      </c>
      <c r="E2473" t="s">
        <v>95</v>
      </c>
      <c r="F2473">
        <v>70</v>
      </c>
      <c r="H2473">
        <v>12</v>
      </c>
      <c r="I2473">
        <v>1.2</v>
      </c>
      <c r="J2473">
        <v>14.4</v>
      </c>
      <c r="K2473">
        <v>0.57999999999999996</v>
      </c>
      <c r="L2473">
        <v>1.05</v>
      </c>
      <c r="M2473" t="s">
        <v>64</v>
      </c>
      <c r="N2473" t="s">
        <v>162</v>
      </c>
    </row>
    <row r="2474" spans="1:14" x14ac:dyDescent="0.3">
      <c r="A2474" t="s">
        <v>64</v>
      </c>
      <c r="B2474">
        <f>VLOOKUP(M2474,Sheet9!$I$1:$J$17,2,FALSE)</f>
        <v>5</v>
      </c>
      <c r="C2474">
        <f>VLOOKUP(N2474,Sheet9!$M$1:$N$2,2,FALSE)</f>
        <v>1</v>
      </c>
      <c r="D2474">
        <v>32</v>
      </c>
      <c r="E2474" t="s">
        <v>95</v>
      </c>
      <c r="F2474">
        <v>70</v>
      </c>
      <c r="H2474">
        <v>64</v>
      </c>
      <c r="I2474">
        <v>0.6</v>
      </c>
      <c r="J2474">
        <v>38.4</v>
      </c>
      <c r="K2474">
        <v>0.56999999999999995</v>
      </c>
      <c r="L2474">
        <v>1.03</v>
      </c>
      <c r="M2474" t="s">
        <v>64</v>
      </c>
      <c r="N2474" t="s">
        <v>162</v>
      </c>
    </row>
    <row r="2475" spans="1:14" x14ac:dyDescent="0.3">
      <c r="A2475" t="s">
        <v>64</v>
      </c>
      <c r="B2475">
        <f>VLOOKUP(M2475,Sheet9!$I$1:$J$17,2,FALSE)</f>
        <v>5</v>
      </c>
      <c r="C2475">
        <f>VLOOKUP(N2475,Sheet9!$M$1:$N$2,2,FALSE)</f>
        <v>1</v>
      </c>
      <c r="D2475">
        <v>32</v>
      </c>
      <c r="E2475" t="s">
        <v>95</v>
      </c>
      <c r="F2475">
        <v>80</v>
      </c>
      <c r="H2475">
        <v>2</v>
      </c>
      <c r="I2475">
        <v>1</v>
      </c>
      <c r="J2475">
        <v>2</v>
      </c>
      <c r="K2475">
        <v>1.04</v>
      </c>
      <c r="L2475">
        <v>1.79</v>
      </c>
      <c r="M2475" t="s">
        <v>64</v>
      </c>
      <c r="N2475" t="s">
        <v>162</v>
      </c>
    </row>
    <row r="2476" spans="1:14" x14ac:dyDescent="0.3">
      <c r="A2476" t="s">
        <v>64</v>
      </c>
      <c r="B2476">
        <f>VLOOKUP(M2476,Sheet9!$I$1:$J$17,2,FALSE)</f>
        <v>5</v>
      </c>
      <c r="C2476">
        <f>VLOOKUP(N2476,Sheet9!$M$1:$N$2,2,FALSE)</f>
        <v>1</v>
      </c>
      <c r="D2476">
        <v>32</v>
      </c>
      <c r="E2476" t="s">
        <v>95</v>
      </c>
      <c r="F2476">
        <v>80</v>
      </c>
      <c r="H2476">
        <v>6</v>
      </c>
      <c r="I2476">
        <v>0.6</v>
      </c>
      <c r="J2476">
        <v>3.6</v>
      </c>
      <c r="K2476">
        <v>1.69</v>
      </c>
      <c r="L2476">
        <v>2.9</v>
      </c>
      <c r="M2476" t="s">
        <v>64</v>
      </c>
      <c r="N2476" t="s">
        <v>162</v>
      </c>
    </row>
    <row r="2477" spans="1:14" x14ac:dyDescent="0.3">
      <c r="A2477" t="s">
        <v>64</v>
      </c>
      <c r="B2477">
        <f>VLOOKUP(M2477,Sheet9!$I$1:$J$17,2,FALSE)</f>
        <v>5</v>
      </c>
      <c r="C2477">
        <f>VLOOKUP(N2477,Sheet9!$M$1:$N$2,2,FALSE)</f>
        <v>1</v>
      </c>
      <c r="D2477">
        <v>32</v>
      </c>
      <c r="E2477" t="s">
        <v>167</v>
      </c>
      <c r="F2477">
        <v>80</v>
      </c>
      <c r="H2477">
        <v>8</v>
      </c>
      <c r="I2477">
        <v>0.6</v>
      </c>
      <c r="J2477">
        <v>4.8</v>
      </c>
      <c r="K2477">
        <v>1.79</v>
      </c>
      <c r="L2477">
        <v>3.04</v>
      </c>
      <c r="M2477" t="s">
        <v>64</v>
      </c>
      <c r="N2477" t="s">
        <v>162</v>
      </c>
    </row>
    <row r="2478" spans="1:14" x14ac:dyDescent="0.3">
      <c r="A2478" t="s">
        <v>64</v>
      </c>
      <c r="B2478">
        <f>VLOOKUP(M2478,Sheet9!$I$1:$J$17,2,FALSE)</f>
        <v>5</v>
      </c>
      <c r="C2478">
        <f>VLOOKUP(N2478,Sheet9!$M$1:$N$2,2,FALSE)</f>
        <v>1</v>
      </c>
      <c r="D2478">
        <v>32</v>
      </c>
      <c r="E2478" t="s">
        <v>95</v>
      </c>
      <c r="F2478">
        <v>80</v>
      </c>
      <c r="H2478">
        <v>1</v>
      </c>
      <c r="I2478">
        <v>5</v>
      </c>
      <c r="J2478">
        <v>5</v>
      </c>
      <c r="K2478">
        <v>0.94</v>
      </c>
      <c r="L2478">
        <v>1.6</v>
      </c>
      <c r="M2478" t="s">
        <v>64</v>
      </c>
      <c r="N2478" t="s">
        <v>162</v>
      </c>
    </row>
    <row r="2479" spans="1:14" x14ac:dyDescent="0.3">
      <c r="A2479" t="s">
        <v>64</v>
      </c>
      <c r="B2479">
        <f>VLOOKUP(M2479,Sheet9!$I$1:$J$17,2,FALSE)</f>
        <v>5</v>
      </c>
      <c r="C2479">
        <f>VLOOKUP(N2479,Sheet9!$M$1:$N$2,2,FALSE)</f>
        <v>1</v>
      </c>
      <c r="D2479">
        <v>32</v>
      </c>
      <c r="E2479" t="s">
        <v>167</v>
      </c>
      <c r="F2479">
        <v>80</v>
      </c>
      <c r="H2479">
        <v>10</v>
      </c>
      <c r="I2479">
        <v>0.6</v>
      </c>
      <c r="J2479">
        <v>6</v>
      </c>
      <c r="K2479">
        <v>1.24</v>
      </c>
      <c r="L2479">
        <v>2.11</v>
      </c>
      <c r="M2479" t="s">
        <v>64</v>
      </c>
      <c r="N2479" t="s">
        <v>162</v>
      </c>
    </row>
    <row r="2480" spans="1:14" x14ac:dyDescent="0.3">
      <c r="A2480" t="s">
        <v>64</v>
      </c>
      <c r="B2480">
        <f>VLOOKUP(M2480,Sheet9!$I$1:$J$17,2,FALSE)</f>
        <v>5</v>
      </c>
      <c r="C2480">
        <f>VLOOKUP(N2480,Sheet9!$M$1:$N$2,2,FALSE)</f>
        <v>1</v>
      </c>
      <c r="D2480">
        <v>32</v>
      </c>
      <c r="E2480" t="s">
        <v>95</v>
      </c>
      <c r="F2480">
        <v>80</v>
      </c>
      <c r="H2480">
        <v>1</v>
      </c>
      <c r="I2480">
        <v>10</v>
      </c>
      <c r="J2480">
        <v>10</v>
      </c>
      <c r="K2480">
        <v>0.94</v>
      </c>
      <c r="L2480">
        <v>1.6</v>
      </c>
      <c r="M2480" t="s">
        <v>64</v>
      </c>
      <c r="N2480" t="s">
        <v>162</v>
      </c>
    </row>
    <row r="2481" spans="1:14" x14ac:dyDescent="0.3">
      <c r="A2481" t="s">
        <v>64</v>
      </c>
      <c r="B2481">
        <f>VLOOKUP(M2481,Sheet9!$I$1:$J$17,2,FALSE)</f>
        <v>5</v>
      </c>
      <c r="C2481">
        <f>VLOOKUP(N2481,Sheet9!$M$1:$N$2,2,FALSE)</f>
        <v>1</v>
      </c>
      <c r="D2481">
        <v>32</v>
      </c>
      <c r="E2481" t="s">
        <v>95</v>
      </c>
      <c r="F2481">
        <v>80</v>
      </c>
      <c r="H2481">
        <v>12</v>
      </c>
      <c r="I2481">
        <v>1.2</v>
      </c>
      <c r="J2481">
        <v>14.4</v>
      </c>
      <c r="K2481">
        <v>1.2</v>
      </c>
      <c r="L2481">
        <v>2.06</v>
      </c>
      <c r="M2481" t="s">
        <v>64</v>
      </c>
      <c r="N2481" t="s">
        <v>162</v>
      </c>
    </row>
    <row r="2482" spans="1:14" x14ac:dyDescent="0.3">
      <c r="A2482" t="s">
        <v>64</v>
      </c>
      <c r="B2482">
        <f>VLOOKUP(M2482,Sheet9!$I$1:$J$17,2,FALSE)</f>
        <v>5</v>
      </c>
      <c r="C2482">
        <f>VLOOKUP(N2482,Sheet9!$M$1:$N$2,2,FALSE)</f>
        <v>1</v>
      </c>
      <c r="D2482">
        <v>32</v>
      </c>
      <c r="E2482" t="s">
        <v>167</v>
      </c>
      <c r="F2482">
        <v>80</v>
      </c>
      <c r="H2482">
        <v>20</v>
      </c>
      <c r="I2482">
        <v>0.6</v>
      </c>
      <c r="J2482">
        <v>12</v>
      </c>
      <c r="K2482">
        <v>1.26</v>
      </c>
      <c r="L2482">
        <v>2.15</v>
      </c>
      <c r="M2482" t="s">
        <v>64</v>
      </c>
      <c r="N2482" t="s">
        <v>162</v>
      </c>
    </row>
    <row r="2483" spans="1:14" x14ac:dyDescent="0.3">
      <c r="A2483" t="s">
        <v>64</v>
      </c>
      <c r="B2483">
        <f>VLOOKUP(M2483,Sheet9!$I$1:$J$17,2,FALSE)</f>
        <v>5</v>
      </c>
      <c r="C2483">
        <f>VLOOKUP(N2483,Sheet9!$M$1:$N$2,2,FALSE)</f>
        <v>1</v>
      </c>
      <c r="D2483">
        <v>32</v>
      </c>
      <c r="E2483" t="s">
        <v>167</v>
      </c>
      <c r="F2483">
        <v>80</v>
      </c>
      <c r="H2483">
        <v>32</v>
      </c>
      <c r="I2483">
        <v>0.6</v>
      </c>
      <c r="J2483">
        <v>19.2</v>
      </c>
      <c r="K2483">
        <v>1.1599999999999999</v>
      </c>
      <c r="L2483">
        <v>1.99</v>
      </c>
      <c r="M2483" t="s">
        <v>64</v>
      </c>
      <c r="N2483" t="s">
        <v>162</v>
      </c>
    </row>
    <row r="2484" spans="1:14" x14ac:dyDescent="0.3">
      <c r="A2484" t="s">
        <v>64</v>
      </c>
      <c r="B2484">
        <f>VLOOKUP(M2484,Sheet9!$I$1:$J$17,2,FALSE)</f>
        <v>5</v>
      </c>
      <c r="C2484">
        <f>VLOOKUP(N2484,Sheet9!$M$1:$N$2,2,FALSE)</f>
        <v>1</v>
      </c>
      <c r="D2484">
        <v>32</v>
      </c>
      <c r="E2484" t="s">
        <v>95</v>
      </c>
      <c r="F2484">
        <v>80</v>
      </c>
      <c r="H2484">
        <v>12</v>
      </c>
      <c r="I2484">
        <v>1.2</v>
      </c>
      <c r="J2484">
        <v>14.4</v>
      </c>
      <c r="K2484">
        <v>1.05</v>
      </c>
      <c r="L2484">
        <v>1.8</v>
      </c>
      <c r="M2484" t="s">
        <v>64</v>
      </c>
      <c r="N2484" t="s">
        <v>162</v>
      </c>
    </row>
    <row r="2485" spans="1:14" x14ac:dyDescent="0.3">
      <c r="A2485" t="s">
        <v>64</v>
      </c>
      <c r="B2485">
        <f>VLOOKUP(M2485,Sheet9!$I$1:$J$17,2,FALSE)</f>
        <v>5</v>
      </c>
      <c r="C2485">
        <f>VLOOKUP(N2485,Sheet9!$M$1:$N$2,2,FALSE)</f>
        <v>1</v>
      </c>
      <c r="D2485">
        <v>32</v>
      </c>
      <c r="E2485" t="s">
        <v>95</v>
      </c>
      <c r="F2485">
        <v>80</v>
      </c>
      <c r="H2485">
        <v>64</v>
      </c>
      <c r="I2485">
        <v>0.6</v>
      </c>
      <c r="J2485">
        <v>38.4</v>
      </c>
      <c r="K2485">
        <v>1.03</v>
      </c>
      <c r="L2485">
        <v>1.75</v>
      </c>
      <c r="M2485" t="s">
        <v>64</v>
      </c>
      <c r="N2485" t="s">
        <v>162</v>
      </c>
    </row>
    <row r="2486" spans="1:14" x14ac:dyDescent="0.3">
      <c r="A2486" t="s">
        <v>64</v>
      </c>
      <c r="B2486">
        <f>VLOOKUP(M2486,Sheet9!$I$1:$J$17,2,FALSE)</f>
        <v>5</v>
      </c>
      <c r="C2486">
        <f>VLOOKUP(N2486,Sheet9!$M$1:$N$2,2,FALSE)</f>
        <v>1</v>
      </c>
      <c r="D2486">
        <v>32</v>
      </c>
      <c r="E2486" t="s">
        <v>95</v>
      </c>
      <c r="F2486">
        <v>90</v>
      </c>
      <c r="H2486">
        <v>2</v>
      </c>
      <c r="I2486">
        <v>1</v>
      </c>
      <c r="J2486">
        <v>2</v>
      </c>
      <c r="K2486">
        <v>1.66</v>
      </c>
      <c r="L2486">
        <v>2.73</v>
      </c>
      <c r="M2486" t="s">
        <v>64</v>
      </c>
      <c r="N2486" t="s">
        <v>162</v>
      </c>
    </row>
    <row r="2487" spans="1:14" x14ac:dyDescent="0.3">
      <c r="A2487" t="s">
        <v>64</v>
      </c>
      <c r="B2487">
        <f>VLOOKUP(M2487,Sheet9!$I$1:$J$17,2,FALSE)</f>
        <v>5</v>
      </c>
      <c r="C2487">
        <f>VLOOKUP(N2487,Sheet9!$M$1:$N$2,2,FALSE)</f>
        <v>1</v>
      </c>
      <c r="D2487">
        <v>32</v>
      </c>
      <c r="E2487" t="s">
        <v>95</v>
      </c>
      <c r="F2487">
        <v>90</v>
      </c>
      <c r="H2487">
        <v>6</v>
      </c>
      <c r="I2487">
        <v>0.6</v>
      </c>
      <c r="J2487">
        <v>3.6</v>
      </c>
      <c r="K2487">
        <v>2.68</v>
      </c>
      <c r="L2487">
        <v>4.42</v>
      </c>
      <c r="M2487" t="s">
        <v>64</v>
      </c>
      <c r="N2487" t="s">
        <v>162</v>
      </c>
    </row>
    <row r="2488" spans="1:14" x14ac:dyDescent="0.3">
      <c r="A2488" t="s">
        <v>64</v>
      </c>
      <c r="B2488">
        <f>VLOOKUP(M2488,Sheet9!$I$1:$J$17,2,FALSE)</f>
        <v>5</v>
      </c>
      <c r="C2488">
        <f>VLOOKUP(N2488,Sheet9!$M$1:$N$2,2,FALSE)</f>
        <v>1</v>
      </c>
      <c r="D2488">
        <v>32</v>
      </c>
      <c r="E2488" t="s">
        <v>167</v>
      </c>
      <c r="F2488">
        <v>90</v>
      </c>
      <c r="H2488">
        <v>8</v>
      </c>
      <c r="I2488">
        <v>0.6</v>
      </c>
      <c r="J2488">
        <v>4.8</v>
      </c>
      <c r="K2488">
        <v>2.84</v>
      </c>
      <c r="L2488">
        <v>4.6399999999999997</v>
      </c>
      <c r="M2488" t="s">
        <v>64</v>
      </c>
      <c r="N2488" t="s">
        <v>162</v>
      </c>
    </row>
    <row r="2489" spans="1:14" x14ac:dyDescent="0.3">
      <c r="A2489" t="s">
        <v>64</v>
      </c>
      <c r="B2489">
        <f>VLOOKUP(M2489,Sheet9!$I$1:$J$17,2,FALSE)</f>
        <v>5</v>
      </c>
      <c r="C2489">
        <f>VLOOKUP(N2489,Sheet9!$M$1:$N$2,2,FALSE)</f>
        <v>1</v>
      </c>
      <c r="D2489">
        <v>32</v>
      </c>
      <c r="E2489" t="s">
        <v>95</v>
      </c>
      <c r="F2489">
        <v>90</v>
      </c>
      <c r="H2489">
        <v>1</v>
      </c>
      <c r="I2489">
        <v>5</v>
      </c>
      <c r="J2489">
        <v>5</v>
      </c>
      <c r="K2489">
        <v>1.49</v>
      </c>
      <c r="L2489">
        <v>2.4500000000000002</v>
      </c>
      <c r="M2489" t="s">
        <v>64</v>
      </c>
      <c r="N2489" t="s">
        <v>162</v>
      </c>
    </row>
    <row r="2490" spans="1:14" x14ac:dyDescent="0.3">
      <c r="A2490" t="s">
        <v>64</v>
      </c>
      <c r="B2490">
        <f>VLOOKUP(M2490,Sheet9!$I$1:$J$17,2,FALSE)</f>
        <v>5</v>
      </c>
      <c r="C2490">
        <f>VLOOKUP(N2490,Sheet9!$M$1:$N$2,2,FALSE)</f>
        <v>1</v>
      </c>
      <c r="D2490">
        <v>32</v>
      </c>
      <c r="E2490" t="s">
        <v>167</v>
      </c>
      <c r="F2490">
        <v>90</v>
      </c>
      <c r="H2490">
        <v>10</v>
      </c>
      <c r="I2490">
        <v>0.6</v>
      </c>
      <c r="J2490">
        <v>6</v>
      </c>
      <c r="K2490">
        <v>1.97</v>
      </c>
      <c r="L2490">
        <v>3.22</v>
      </c>
      <c r="M2490" t="s">
        <v>64</v>
      </c>
      <c r="N2490" t="s">
        <v>162</v>
      </c>
    </row>
    <row r="2491" spans="1:14" x14ac:dyDescent="0.3">
      <c r="A2491" t="s">
        <v>64</v>
      </c>
      <c r="B2491">
        <f>VLOOKUP(M2491,Sheet9!$I$1:$J$17,2,FALSE)</f>
        <v>5</v>
      </c>
      <c r="C2491">
        <f>VLOOKUP(N2491,Sheet9!$M$1:$N$2,2,FALSE)</f>
        <v>1</v>
      </c>
      <c r="D2491">
        <v>32</v>
      </c>
      <c r="E2491" t="s">
        <v>95</v>
      </c>
      <c r="F2491">
        <v>90</v>
      </c>
      <c r="H2491">
        <v>1</v>
      </c>
      <c r="I2491">
        <v>10</v>
      </c>
      <c r="J2491">
        <v>10</v>
      </c>
      <c r="K2491">
        <v>1.49</v>
      </c>
      <c r="L2491">
        <v>2.4500000000000002</v>
      </c>
      <c r="M2491" t="s">
        <v>64</v>
      </c>
      <c r="N2491" t="s">
        <v>162</v>
      </c>
    </row>
    <row r="2492" spans="1:14" x14ac:dyDescent="0.3">
      <c r="A2492" t="s">
        <v>64</v>
      </c>
      <c r="B2492">
        <f>VLOOKUP(M2492,Sheet9!$I$1:$J$17,2,FALSE)</f>
        <v>5</v>
      </c>
      <c r="C2492">
        <f>VLOOKUP(N2492,Sheet9!$M$1:$N$2,2,FALSE)</f>
        <v>1</v>
      </c>
      <c r="D2492">
        <v>32</v>
      </c>
      <c r="E2492" t="s">
        <v>95</v>
      </c>
      <c r="F2492">
        <v>90</v>
      </c>
      <c r="H2492">
        <v>12</v>
      </c>
      <c r="I2492">
        <v>1.2</v>
      </c>
      <c r="J2492">
        <v>14.4</v>
      </c>
      <c r="K2492">
        <v>1.91</v>
      </c>
      <c r="L2492">
        <v>3.14</v>
      </c>
      <c r="M2492" t="s">
        <v>64</v>
      </c>
      <c r="N2492" t="s">
        <v>162</v>
      </c>
    </row>
    <row r="2493" spans="1:14" x14ac:dyDescent="0.3">
      <c r="A2493" t="s">
        <v>64</v>
      </c>
      <c r="B2493">
        <f>VLOOKUP(M2493,Sheet9!$I$1:$J$17,2,FALSE)</f>
        <v>5</v>
      </c>
      <c r="C2493">
        <f>VLOOKUP(N2493,Sheet9!$M$1:$N$2,2,FALSE)</f>
        <v>1</v>
      </c>
      <c r="D2493">
        <v>32</v>
      </c>
      <c r="E2493" t="s">
        <v>167</v>
      </c>
      <c r="F2493">
        <v>90</v>
      </c>
      <c r="H2493">
        <v>20</v>
      </c>
      <c r="I2493">
        <v>0.6</v>
      </c>
      <c r="J2493">
        <v>12</v>
      </c>
      <c r="K2493">
        <v>2</v>
      </c>
      <c r="L2493">
        <v>3.28</v>
      </c>
      <c r="M2493" t="s">
        <v>64</v>
      </c>
      <c r="N2493" t="s">
        <v>162</v>
      </c>
    </row>
    <row r="2494" spans="1:14" x14ac:dyDescent="0.3">
      <c r="A2494" t="s">
        <v>64</v>
      </c>
      <c r="B2494">
        <f>VLOOKUP(M2494,Sheet9!$I$1:$J$17,2,FALSE)</f>
        <v>5</v>
      </c>
      <c r="C2494">
        <f>VLOOKUP(N2494,Sheet9!$M$1:$N$2,2,FALSE)</f>
        <v>1</v>
      </c>
      <c r="D2494">
        <v>32</v>
      </c>
      <c r="E2494" t="s">
        <v>167</v>
      </c>
      <c r="F2494">
        <v>90</v>
      </c>
      <c r="H2494">
        <v>32</v>
      </c>
      <c r="I2494">
        <v>0.6</v>
      </c>
      <c r="J2494">
        <v>19.2</v>
      </c>
      <c r="K2494">
        <v>1.85</v>
      </c>
      <c r="L2494">
        <v>3.03</v>
      </c>
      <c r="M2494" t="s">
        <v>64</v>
      </c>
      <c r="N2494" t="s">
        <v>162</v>
      </c>
    </row>
    <row r="2495" spans="1:14" x14ac:dyDescent="0.3">
      <c r="A2495" t="s">
        <v>64</v>
      </c>
      <c r="B2495">
        <f>VLOOKUP(M2495,Sheet9!$I$1:$J$17,2,FALSE)</f>
        <v>5</v>
      </c>
      <c r="C2495">
        <f>VLOOKUP(N2495,Sheet9!$M$1:$N$2,2,FALSE)</f>
        <v>1</v>
      </c>
      <c r="D2495">
        <v>32</v>
      </c>
      <c r="E2495" t="s">
        <v>95</v>
      </c>
      <c r="F2495">
        <v>90</v>
      </c>
      <c r="H2495">
        <v>12</v>
      </c>
      <c r="I2495">
        <v>1.2</v>
      </c>
      <c r="J2495">
        <v>14.4</v>
      </c>
      <c r="K2495">
        <v>1.66</v>
      </c>
      <c r="L2495">
        <v>2.74</v>
      </c>
      <c r="M2495" t="s">
        <v>64</v>
      </c>
      <c r="N2495" t="s">
        <v>162</v>
      </c>
    </row>
    <row r="2496" spans="1:14" x14ac:dyDescent="0.3">
      <c r="A2496" t="s">
        <v>64</v>
      </c>
      <c r="B2496">
        <f>VLOOKUP(M2496,Sheet9!$I$1:$J$17,2,FALSE)</f>
        <v>5</v>
      </c>
      <c r="C2496">
        <f>VLOOKUP(N2496,Sheet9!$M$1:$N$2,2,FALSE)</f>
        <v>1</v>
      </c>
      <c r="D2496">
        <v>32</v>
      </c>
      <c r="E2496" t="s">
        <v>95</v>
      </c>
      <c r="F2496">
        <v>90</v>
      </c>
      <c r="H2496">
        <v>64</v>
      </c>
      <c r="I2496">
        <v>0.6</v>
      </c>
      <c r="J2496">
        <v>38.4</v>
      </c>
      <c r="K2496">
        <v>1.63</v>
      </c>
      <c r="L2496">
        <v>2.67</v>
      </c>
      <c r="M2496" t="s">
        <v>64</v>
      </c>
      <c r="N2496" t="s">
        <v>162</v>
      </c>
    </row>
    <row r="2497" spans="1:14" x14ac:dyDescent="0.3">
      <c r="A2497" t="s">
        <v>64</v>
      </c>
      <c r="B2497">
        <f>VLOOKUP(M2497,Sheet9!$I$1:$J$17,2,FALSE)</f>
        <v>5</v>
      </c>
      <c r="C2497">
        <f>VLOOKUP(N2497,Sheet9!$M$1:$N$2,2,FALSE)</f>
        <v>1</v>
      </c>
      <c r="D2497">
        <v>32</v>
      </c>
      <c r="E2497" t="s">
        <v>95</v>
      </c>
      <c r="F2497">
        <v>100</v>
      </c>
      <c r="H2497">
        <v>2</v>
      </c>
      <c r="I2497">
        <v>1</v>
      </c>
      <c r="J2497">
        <v>2</v>
      </c>
      <c r="K2497">
        <v>2.38</v>
      </c>
      <c r="L2497">
        <v>3.81</v>
      </c>
      <c r="M2497" t="s">
        <v>64</v>
      </c>
      <c r="N2497" t="s">
        <v>162</v>
      </c>
    </row>
    <row r="2498" spans="1:14" x14ac:dyDescent="0.3">
      <c r="A2498" t="s">
        <v>64</v>
      </c>
      <c r="B2498">
        <f>VLOOKUP(M2498,Sheet9!$I$1:$J$17,2,FALSE)</f>
        <v>5</v>
      </c>
      <c r="C2498">
        <f>VLOOKUP(N2498,Sheet9!$M$1:$N$2,2,FALSE)</f>
        <v>1</v>
      </c>
      <c r="D2498">
        <v>32</v>
      </c>
      <c r="E2498" t="s">
        <v>95</v>
      </c>
      <c r="F2498">
        <v>100</v>
      </c>
      <c r="H2498">
        <v>6</v>
      </c>
      <c r="I2498">
        <v>0.6</v>
      </c>
      <c r="J2498">
        <v>3.6</v>
      </c>
      <c r="K2498">
        <v>3.85</v>
      </c>
      <c r="L2498">
        <v>6.17</v>
      </c>
      <c r="M2498" t="s">
        <v>64</v>
      </c>
      <c r="N2498" t="s">
        <v>162</v>
      </c>
    </row>
    <row r="2499" spans="1:14" x14ac:dyDescent="0.3">
      <c r="A2499" t="s">
        <v>64</v>
      </c>
      <c r="B2499">
        <f>VLOOKUP(M2499,Sheet9!$I$1:$J$17,2,FALSE)</f>
        <v>5</v>
      </c>
      <c r="C2499">
        <f>VLOOKUP(N2499,Sheet9!$M$1:$N$2,2,FALSE)</f>
        <v>1</v>
      </c>
      <c r="D2499">
        <v>32</v>
      </c>
      <c r="E2499" t="s">
        <v>167</v>
      </c>
      <c r="F2499">
        <v>100</v>
      </c>
      <c r="H2499">
        <v>8</v>
      </c>
      <c r="I2499">
        <v>0.6</v>
      </c>
      <c r="J2499">
        <v>4.8</v>
      </c>
      <c r="K2499">
        <v>4.07</v>
      </c>
      <c r="L2499">
        <v>6.48</v>
      </c>
      <c r="M2499" t="s">
        <v>64</v>
      </c>
      <c r="N2499" t="s">
        <v>162</v>
      </c>
    </row>
    <row r="2500" spans="1:14" x14ac:dyDescent="0.3">
      <c r="A2500" t="s">
        <v>64</v>
      </c>
      <c r="B2500">
        <f>VLOOKUP(M2500,Sheet9!$I$1:$J$17,2,FALSE)</f>
        <v>5</v>
      </c>
      <c r="C2500">
        <f>VLOOKUP(N2500,Sheet9!$M$1:$N$2,2,FALSE)</f>
        <v>1</v>
      </c>
      <c r="D2500">
        <v>32</v>
      </c>
      <c r="E2500" t="s">
        <v>95</v>
      </c>
      <c r="F2500">
        <v>100</v>
      </c>
      <c r="H2500">
        <v>1</v>
      </c>
      <c r="I2500">
        <v>5</v>
      </c>
      <c r="J2500">
        <v>5</v>
      </c>
      <c r="K2500">
        <v>2.13</v>
      </c>
      <c r="L2500">
        <v>3.42</v>
      </c>
      <c r="M2500" t="s">
        <v>64</v>
      </c>
      <c r="N2500" t="s">
        <v>162</v>
      </c>
    </row>
    <row r="2501" spans="1:14" x14ac:dyDescent="0.3">
      <c r="A2501" t="s">
        <v>64</v>
      </c>
      <c r="B2501">
        <f>VLOOKUP(M2501,Sheet9!$I$1:$J$17,2,FALSE)</f>
        <v>5</v>
      </c>
      <c r="C2501">
        <f>VLOOKUP(N2501,Sheet9!$M$1:$N$2,2,FALSE)</f>
        <v>1</v>
      </c>
      <c r="D2501">
        <v>32</v>
      </c>
      <c r="E2501" t="s">
        <v>167</v>
      </c>
      <c r="F2501">
        <v>100</v>
      </c>
      <c r="H2501">
        <v>10</v>
      </c>
      <c r="I2501">
        <v>0.6</v>
      </c>
      <c r="J2501">
        <v>6</v>
      </c>
      <c r="K2501">
        <v>2.82</v>
      </c>
      <c r="L2501">
        <v>4.5</v>
      </c>
      <c r="M2501" t="s">
        <v>64</v>
      </c>
      <c r="N2501" t="s">
        <v>162</v>
      </c>
    </row>
    <row r="2502" spans="1:14" x14ac:dyDescent="0.3">
      <c r="A2502" t="s">
        <v>64</v>
      </c>
      <c r="B2502">
        <f>VLOOKUP(M2502,Sheet9!$I$1:$J$17,2,FALSE)</f>
        <v>5</v>
      </c>
      <c r="C2502">
        <f>VLOOKUP(N2502,Sheet9!$M$1:$N$2,2,FALSE)</f>
        <v>1</v>
      </c>
      <c r="D2502">
        <v>32</v>
      </c>
      <c r="E2502" t="s">
        <v>95</v>
      </c>
      <c r="F2502">
        <v>100</v>
      </c>
      <c r="H2502">
        <v>1</v>
      </c>
      <c r="I2502">
        <v>10</v>
      </c>
      <c r="J2502">
        <v>10</v>
      </c>
      <c r="K2502">
        <v>2.13</v>
      </c>
      <c r="L2502">
        <v>3.42</v>
      </c>
      <c r="M2502" t="s">
        <v>64</v>
      </c>
      <c r="N2502" t="s">
        <v>162</v>
      </c>
    </row>
    <row r="2503" spans="1:14" x14ac:dyDescent="0.3">
      <c r="A2503" t="s">
        <v>64</v>
      </c>
      <c r="B2503">
        <f>VLOOKUP(M2503,Sheet9!$I$1:$J$17,2,FALSE)</f>
        <v>5</v>
      </c>
      <c r="C2503">
        <f>VLOOKUP(N2503,Sheet9!$M$1:$N$2,2,FALSE)</f>
        <v>1</v>
      </c>
      <c r="D2503">
        <v>32</v>
      </c>
      <c r="E2503" t="s">
        <v>95</v>
      </c>
      <c r="F2503">
        <v>100</v>
      </c>
      <c r="H2503">
        <v>12</v>
      </c>
      <c r="I2503">
        <v>1.2</v>
      </c>
      <c r="J2503">
        <v>14.4</v>
      </c>
      <c r="K2503">
        <v>2.73</v>
      </c>
      <c r="L2503">
        <v>4.3899999999999997</v>
      </c>
      <c r="M2503" t="s">
        <v>64</v>
      </c>
      <c r="N2503" t="s">
        <v>162</v>
      </c>
    </row>
    <row r="2504" spans="1:14" x14ac:dyDescent="0.3">
      <c r="A2504" t="s">
        <v>64</v>
      </c>
      <c r="B2504">
        <f>VLOOKUP(M2504,Sheet9!$I$1:$J$17,2,FALSE)</f>
        <v>5</v>
      </c>
      <c r="C2504">
        <f>VLOOKUP(N2504,Sheet9!$M$1:$N$2,2,FALSE)</f>
        <v>1</v>
      </c>
      <c r="D2504">
        <v>32</v>
      </c>
      <c r="E2504" t="s">
        <v>167</v>
      </c>
      <c r="F2504">
        <v>100</v>
      </c>
      <c r="H2504">
        <v>20</v>
      </c>
      <c r="I2504">
        <v>0.6</v>
      </c>
      <c r="J2504">
        <v>12</v>
      </c>
      <c r="K2504">
        <v>2.88</v>
      </c>
      <c r="L2504">
        <v>4.58</v>
      </c>
      <c r="M2504" t="s">
        <v>64</v>
      </c>
      <c r="N2504" t="s">
        <v>162</v>
      </c>
    </row>
    <row r="2505" spans="1:14" x14ac:dyDescent="0.3">
      <c r="A2505" t="s">
        <v>64</v>
      </c>
      <c r="B2505">
        <f>VLOOKUP(M2505,Sheet9!$I$1:$J$17,2,FALSE)</f>
        <v>5</v>
      </c>
      <c r="C2505">
        <f>VLOOKUP(N2505,Sheet9!$M$1:$N$2,2,FALSE)</f>
        <v>1</v>
      </c>
      <c r="D2505">
        <v>32</v>
      </c>
      <c r="E2505" t="s">
        <v>167</v>
      </c>
      <c r="F2505">
        <v>100</v>
      </c>
      <c r="H2505">
        <v>32</v>
      </c>
      <c r="I2505">
        <v>0.6</v>
      </c>
      <c r="J2505">
        <v>19.2</v>
      </c>
      <c r="K2505">
        <v>2.65</v>
      </c>
      <c r="L2505">
        <v>4.2300000000000004</v>
      </c>
      <c r="M2505" t="s">
        <v>64</v>
      </c>
      <c r="N2505" t="s">
        <v>162</v>
      </c>
    </row>
    <row r="2506" spans="1:14" x14ac:dyDescent="0.3">
      <c r="A2506" t="s">
        <v>64</v>
      </c>
      <c r="B2506">
        <f>VLOOKUP(M2506,Sheet9!$I$1:$J$17,2,FALSE)</f>
        <v>5</v>
      </c>
      <c r="C2506">
        <f>VLOOKUP(N2506,Sheet9!$M$1:$N$2,2,FALSE)</f>
        <v>1</v>
      </c>
      <c r="D2506">
        <v>32</v>
      </c>
      <c r="E2506" t="s">
        <v>95</v>
      </c>
      <c r="F2506">
        <v>100</v>
      </c>
      <c r="H2506">
        <v>12</v>
      </c>
      <c r="I2506">
        <v>1.2</v>
      </c>
      <c r="J2506">
        <v>14.4</v>
      </c>
      <c r="K2506">
        <v>2.39</v>
      </c>
      <c r="L2506">
        <v>3.83</v>
      </c>
      <c r="M2506" t="s">
        <v>64</v>
      </c>
      <c r="N2506" t="s">
        <v>162</v>
      </c>
    </row>
    <row r="2507" spans="1:14" x14ac:dyDescent="0.3">
      <c r="A2507" t="s">
        <v>64</v>
      </c>
      <c r="B2507">
        <f>VLOOKUP(M2507,Sheet9!$I$1:$J$17,2,FALSE)</f>
        <v>5</v>
      </c>
      <c r="C2507">
        <f>VLOOKUP(N2507,Sheet9!$M$1:$N$2,2,FALSE)</f>
        <v>1</v>
      </c>
      <c r="D2507">
        <v>32</v>
      </c>
      <c r="E2507" t="s">
        <v>95</v>
      </c>
      <c r="F2507">
        <v>100</v>
      </c>
      <c r="H2507">
        <v>64</v>
      </c>
      <c r="I2507">
        <v>0.6</v>
      </c>
      <c r="J2507">
        <v>38.4</v>
      </c>
      <c r="K2507">
        <v>2.34</v>
      </c>
      <c r="L2507">
        <v>3.73</v>
      </c>
      <c r="M2507" t="s">
        <v>64</v>
      </c>
      <c r="N2507" t="s">
        <v>162</v>
      </c>
    </row>
    <row r="2508" spans="1:14" x14ac:dyDescent="0.3">
      <c r="A2508" t="s">
        <v>64</v>
      </c>
      <c r="B2508">
        <f>VLOOKUP(M2508,Sheet9!$I$1:$J$17,2,FALSE)</f>
        <v>5</v>
      </c>
      <c r="C2508">
        <f>VLOOKUP(N2508,Sheet9!$M$1:$N$2,2,FALSE)</f>
        <v>1</v>
      </c>
      <c r="D2508">
        <v>32</v>
      </c>
      <c r="E2508" t="s">
        <v>95</v>
      </c>
      <c r="F2508">
        <v>110</v>
      </c>
      <c r="H2508">
        <v>2</v>
      </c>
      <c r="I2508">
        <v>1</v>
      </c>
      <c r="J2508">
        <v>2</v>
      </c>
      <c r="K2508">
        <v>3.28</v>
      </c>
      <c r="L2508">
        <v>5.16</v>
      </c>
      <c r="M2508" t="s">
        <v>64</v>
      </c>
      <c r="N2508" t="s">
        <v>162</v>
      </c>
    </row>
    <row r="2509" spans="1:14" x14ac:dyDescent="0.3">
      <c r="A2509" t="s">
        <v>64</v>
      </c>
      <c r="B2509">
        <f>VLOOKUP(M2509,Sheet9!$I$1:$J$17,2,FALSE)</f>
        <v>5</v>
      </c>
      <c r="C2509">
        <f>VLOOKUP(N2509,Sheet9!$M$1:$N$2,2,FALSE)</f>
        <v>1</v>
      </c>
      <c r="D2509">
        <v>32</v>
      </c>
      <c r="E2509" t="s">
        <v>95</v>
      </c>
      <c r="F2509">
        <v>110</v>
      </c>
      <c r="H2509">
        <v>6</v>
      </c>
      <c r="I2509">
        <v>0.6</v>
      </c>
      <c r="J2509">
        <v>3.6</v>
      </c>
      <c r="K2509">
        <v>5.31</v>
      </c>
      <c r="L2509">
        <v>8.36</v>
      </c>
      <c r="M2509" t="s">
        <v>64</v>
      </c>
      <c r="N2509" t="s">
        <v>162</v>
      </c>
    </row>
    <row r="2510" spans="1:14" x14ac:dyDescent="0.3">
      <c r="A2510" t="s">
        <v>64</v>
      </c>
      <c r="B2510">
        <f>VLOOKUP(M2510,Sheet9!$I$1:$J$17,2,FALSE)</f>
        <v>5</v>
      </c>
      <c r="C2510">
        <f>VLOOKUP(N2510,Sheet9!$M$1:$N$2,2,FALSE)</f>
        <v>1</v>
      </c>
      <c r="D2510">
        <v>32</v>
      </c>
      <c r="E2510" t="s">
        <v>167</v>
      </c>
      <c r="F2510">
        <v>110</v>
      </c>
      <c r="H2510">
        <v>8</v>
      </c>
      <c r="I2510">
        <v>0.6</v>
      </c>
      <c r="J2510">
        <v>4.8</v>
      </c>
      <c r="K2510">
        <v>5.62</v>
      </c>
      <c r="L2510">
        <v>8.77</v>
      </c>
      <c r="M2510" t="s">
        <v>64</v>
      </c>
      <c r="N2510" t="s">
        <v>162</v>
      </c>
    </row>
    <row r="2511" spans="1:14" x14ac:dyDescent="0.3">
      <c r="A2511" t="s">
        <v>64</v>
      </c>
      <c r="B2511">
        <f>VLOOKUP(M2511,Sheet9!$I$1:$J$17,2,FALSE)</f>
        <v>5</v>
      </c>
      <c r="C2511">
        <f>VLOOKUP(N2511,Sheet9!$M$1:$N$2,2,FALSE)</f>
        <v>1</v>
      </c>
      <c r="D2511">
        <v>32</v>
      </c>
      <c r="E2511" t="s">
        <v>95</v>
      </c>
      <c r="F2511">
        <v>110</v>
      </c>
      <c r="H2511">
        <v>1</v>
      </c>
      <c r="I2511">
        <v>5</v>
      </c>
      <c r="J2511">
        <v>5</v>
      </c>
      <c r="K2511">
        <v>2.94</v>
      </c>
      <c r="L2511">
        <v>4.63</v>
      </c>
      <c r="M2511" t="s">
        <v>64</v>
      </c>
      <c r="N2511" t="s">
        <v>162</v>
      </c>
    </row>
    <row r="2512" spans="1:14" x14ac:dyDescent="0.3">
      <c r="A2512" t="s">
        <v>64</v>
      </c>
      <c r="B2512">
        <f>VLOOKUP(M2512,Sheet9!$I$1:$J$17,2,FALSE)</f>
        <v>5</v>
      </c>
      <c r="C2512">
        <f>VLOOKUP(N2512,Sheet9!$M$1:$N$2,2,FALSE)</f>
        <v>1</v>
      </c>
      <c r="D2512">
        <v>32</v>
      </c>
      <c r="E2512" t="s">
        <v>167</v>
      </c>
      <c r="F2512">
        <v>110</v>
      </c>
      <c r="H2512">
        <v>10</v>
      </c>
      <c r="I2512">
        <v>0.6</v>
      </c>
      <c r="J2512">
        <v>6</v>
      </c>
      <c r="K2512">
        <v>3.9</v>
      </c>
      <c r="L2512">
        <v>6.08</v>
      </c>
      <c r="M2512" t="s">
        <v>64</v>
      </c>
      <c r="N2512" t="s">
        <v>162</v>
      </c>
    </row>
    <row r="2513" spans="1:14" x14ac:dyDescent="0.3">
      <c r="A2513" t="s">
        <v>64</v>
      </c>
      <c r="B2513">
        <f>VLOOKUP(M2513,Sheet9!$I$1:$J$17,2,FALSE)</f>
        <v>5</v>
      </c>
      <c r="C2513">
        <f>VLOOKUP(N2513,Sheet9!$M$1:$N$2,2,FALSE)</f>
        <v>1</v>
      </c>
      <c r="D2513">
        <v>32</v>
      </c>
      <c r="E2513" t="s">
        <v>95</v>
      </c>
      <c r="F2513">
        <v>110</v>
      </c>
      <c r="H2513">
        <v>1</v>
      </c>
      <c r="I2513">
        <v>10</v>
      </c>
      <c r="J2513">
        <v>10</v>
      </c>
      <c r="K2513">
        <v>2.94</v>
      </c>
      <c r="L2513">
        <v>4.63</v>
      </c>
      <c r="M2513" t="s">
        <v>64</v>
      </c>
      <c r="N2513" t="s">
        <v>162</v>
      </c>
    </row>
    <row r="2514" spans="1:14" x14ac:dyDescent="0.3">
      <c r="A2514" t="s">
        <v>64</v>
      </c>
      <c r="B2514">
        <f>VLOOKUP(M2514,Sheet9!$I$1:$J$17,2,FALSE)</f>
        <v>5</v>
      </c>
      <c r="C2514">
        <f>VLOOKUP(N2514,Sheet9!$M$1:$N$2,2,FALSE)</f>
        <v>1</v>
      </c>
      <c r="D2514">
        <v>32</v>
      </c>
      <c r="E2514" t="s">
        <v>95</v>
      </c>
      <c r="F2514">
        <v>110</v>
      </c>
      <c r="H2514">
        <v>12</v>
      </c>
      <c r="I2514">
        <v>1.2</v>
      </c>
      <c r="J2514">
        <v>14.4</v>
      </c>
      <c r="K2514">
        <v>3.77</v>
      </c>
      <c r="L2514">
        <v>5.94</v>
      </c>
      <c r="M2514" t="s">
        <v>64</v>
      </c>
      <c r="N2514" t="s">
        <v>162</v>
      </c>
    </row>
    <row r="2515" spans="1:14" x14ac:dyDescent="0.3">
      <c r="A2515" t="s">
        <v>64</v>
      </c>
      <c r="B2515">
        <f>VLOOKUP(M2515,Sheet9!$I$1:$J$17,2,FALSE)</f>
        <v>5</v>
      </c>
      <c r="C2515">
        <f>VLOOKUP(N2515,Sheet9!$M$1:$N$2,2,FALSE)</f>
        <v>1</v>
      </c>
      <c r="D2515">
        <v>32</v>
      </c>
      <c r="E2515" t="s">
        <v>167</v>
      </c>
      <c r="F2515">
        <v>110</v>
      </c>
      <c r="H2515">
        <v>20</v>
      </c>
      <c r="I2515">
        <v>0.6</v>
      </c>
      <c r="J2515">
        <v>12</v>
      </c>
      <c r="K2515">
        <v>3.97</v>
      </c>
      <c r="L2515">
        <v>6.2</v>
      </c>
      <c r="M2515" t="s">
        <v>64</v>
      </c>
      <c r="N2515" t="s">
        <v>162</v>
      </c>
    </row>
    <row r="2516" spans="1:14" x14ac:dyDescent="0.3">
      <c r="A2516" t="s">
        <v>64</v>
      </c>
      <c r="B2516">
        <f>VLOOKUP(M2516,Sheet9!$I$1:$J$17,2,FALSE)</f>
        <v>5</v>
      </c>
      <c r="C2516">
        <f>VLOOKUP(N2516,Sheet9!$M$1:$N$2,2,FALSE)</f>
        <v>1</v>
      </c>
      <c r="D2516">
        <v>32</v>
      </c>
      <c r="E2516" t="s">
        <v>167</v>
      </c>
      <c r="F2516">
        <v>110</v>
      </c>
      <c r="H2516">
        <v>32</v>
      </c>
      <c r="I2516">
        <v>0.6</v>
      </c>
      <c r="J2516">
        <v>19.2</v>
      </c>
      <c r="K2516">
        <v>3.66</v>
      </c>
      <c r="L2516">
        <v>5.73</v>
      </c>
      <c r="M2516" t="s">
        <v>64</v>
      </c>
      <c r="N2516" t="s">
        <v>162</v>
      </c>
    </row>
    <row r="2517" spans="1:14" x14ac:dyDescent="0.3">
      <c r="A2517" t="s">
        <v>64</v>
      </c>
      <c r="B2517">
        <f>VLOOKUP(M2517,Sheet9!$I$1:$J$17,2,FALSE)</f>
        <v>5</v>
      </c>
      <c r="C2517">
        <f>VLOOKUP(N2517,Sheet9!$M$1:$N$2,2,FALSE)</f>
        <v>1</v>
      </c>
      <c r="D2517">
        <v>32</v>
      </c>
      <c r="E2517" t="s">
        <v>95</v>
      </c>
      <c r="F2517">
        <v>110</v>
      </c>
      <c r="H2517">
        <v>12</v>
      </c>
      <c r="I2517">
        <v>1.2</v>
      </c>
      <c r="J2517">
        <v>14.4</v>
      </c>
      <c r="K2517">
        <v>3.29</v>
      </c>
      <c r="L2517">
        <v>5.18</v>
      </c>
      <c r="M2517" t="s">
        <v>64</v>
      </c>
      <c r="N2517" t="s">
        <v>162</v>
      </c>
    </row>
    <row r="2518" spans="1:14" x14ac:dyDescent="0.3">
      <c r="A2518" t="s">
        <v>64</v>
      </c>
      <c r="B2518">
        <f>VLOOKUP(M2518,Sheet9!$I$1:$J$17,2,FALSE)</f>
        <v>5</v>
      </c>
      <c r="C2518">
        <f>VLOOKUP(N2518,Sheet9!$M$1:$N$2,2,FALSE)</f>
        <v>1</v>
      </c>
      <c r="D2518">
        <v>32</v>
      </c>
      <c r="E2518" t="s">
        <v>95</v>
      </c>
      <c r="F2518">
        <v>110</v>
      </c>
      <c r="H2518">
        <v>64</v>
      </c>
      <c r="I2518">
        <v>0.6</v>
      </c>
      <c r="J2518">
        <v>38.4</v>
      </c>
      <c r="K2518">
        <v>3.23</v>
      </c>
      <c r="L2518">
        <v>5.04</v>
      </c>
      <c r="M2518" t="s">
        <v>64</v>
      </c>
      <c r="N2518" t="s">
        <v>162</v>
      </c>
    </row>
    <row r="2519" spans="1:14" x14ac:dyDescent="0.3">
      <c r="A2519" t="s">
        <v>64</v>
      </c>
      <c r="B2519">
        <f>VLOOKUP(M2519,Sheet9!$I$1:$J$17,2,FALSE)</f>
        <v>5</v>
      </c>
      <c r="C2519">
        <f>VLOOKUP(N2519,Sheet9!$M$1:$N$2,2,FALSE)</f>
        <v>1</v>
      </c>
      <c r="D2519">
        <v>32</v>
      </c>
      <c r="E2519" t="s">
        <v>95</v>
      </c>
      <c r="F2519">
        <v>120</v>
      </c>
      <c r="H2519">
        <v>2</v>
      </c>
      <c r="I2519">
        <v>1</v>
      </c>
      <c r="J2519">
        <v>2</v>
      </c>
      <c r="K2519">
        <v>4.22</v>
      </c>
      <c r="L2519">
        <v>6.53</v>
      </c>
      <c r="M2519" t="s">
        <v>64</v>
      </c>
      <c r="N2519" t="s">
        <v>162</v>
      </c>
    </row>
    <row r="2520" spans="1:14" x14ac:dyDescent="0.3">
      <c r="A2520" t="s">
        <v>64</v>
      </c>
      <c r="B2520">
        <f>VLOOKUP(M2520,Sheet9!$I$1:$J$17,2,FALSE)</f>
        <v>5</v>
      </c>
      <c r="C2520">
        <f>VLOOKUP(N2520,Sheet9!$M$1:$N$2,2,FALSE)</f>
        <v>1</v>
      </c>
      <c r="D2520">
        <v>32</v>
      </c>
      <c r="E2520" t="s">
        <v>95</v>
      </c>
      <c r="F2520">
        <v>120</v>
      </c>
      <c r="H2520">
        <v>6</v>
      </c>
      <c r="I2520">
        <v>0.6</v>
      </c>
      <c r="J2520">
        <v>3.6</v>
      </c>
      <c r="K2520">
        <v>6.84</v>
      </c>
      <c r="L2520">
        <v>10.6</v>
      </c>
      <c r="M2520" t="s">
        <v>64</v>
      </c>
      <c r="N2520" t="s">
        <v>162</v>
      </c>
    </row>
    <row r="2521" spans="1:14" x14ac:dyDescent="0.3">
      <c r="A2521" t="s">
        <v>64</v>
      </c>
      <c r="B2521">
        <f>VLOOKUP(M2521,Sheet9!$I$1:$J$17,2,FALSE)</f>
        <v>5</v>
      </c>
      <c r="C2521">
        <f>VLOOKUP(N2521,Sheet9!$M$1:$N$2,2,FALSE)</f>
        <v>1</v>
      </c>
      <c r="D2521">
        <v>32</v>
      </c>
      <c r="E2521" t="s">
        <v>167</v>
      </c>
      <c r="F2521">
        <v>120</v>
      </c>
      <c r="H2521">
        <v>8</v>
      </c>
      <c r="I2521">
        <v>0.6</v>
      </c>
      <c r="J2521">
        <v>4.8</v>
      </c>
      <c r="K2521">
        <v>7.23</v>
      </c>
      <c r="L2521">
        <v>11.1</v>
      </c>
      <c r="M2521" t="s">
        <v>64</v>
      </c>
      <c r="N2521" t="s">
        <v>162</v>
      </c>
    </row>
    <row r="2522" spans="1:14" x14ac:dyDescent="0.3">
      <c r="A2522" t="s">
        <v>64</v>
      </c>
      <c r="B2522">
        <f>VLOOKUP(M2522,Sheet9!$I$1:$J$17,2,FALSE)</f>
        <v>5</v>
      </c>
      <c r="C2522">
        <f>VLOOKUP(N2522,Sheet9!$M$1:$N$2,2,FALSE)</f>
        <v>1</v>
      </c>
      <c r="D2522">
        <v>32</v>
      </c>
      <c r="E2522" t="s">
        <v>95</v>
      </c>
      <c r="F2522">
        <v>120</v>
      </c>
      <c r="H2522">
        <v>1</v>
      </c>
      <c r="I2522">
        <v>5</v>
      </c>
      <c r="J2522">
        <v>5</v>
      </c>
      <c r="K2522">
        <v>3.79</v>
      </c>
      <c r="L2522">
        <v>5.86</v>
      </c>
      <c r="M2522" t="s">
        <v>64</v>
      </c>
      <c r="N2522" t="s">
        <v>162</v>
      </c>
    </row>
    <row r="2523" spans="1:14" x14ac:dyDescent="0.3">
      <c r="A2523" t="s">
        <v>64</v>
      </c>
      <c r="B2523">
        <f>VLOOKUP(M2523,Sheet9!$I$1:$J$17,2,FALSE)</f>
        <v>5</v>
      </c>
      <c r="C2523">
        <f>VLOOKUP(N2523,Sheet9!$M$1:$N$2,2,FALSE)</f>
        <v>1</v>
      </c>
      <c r="D2523">
        <v>32</v>
      </c>
      <c r="E2523" t="s">
        <v>167</v>
      </c>
      <c r="F2523">
        <v>120</v>
      </c>
      <c r="H2523">
        <v>10</v>
      </c>
      <c r="I2523">
        <v>0.6</v>
      </c>
      <c r="J2523">
        <v>6</v>
      </c>
      <c r="K2523">
        <v>5.01</v>
      </c>
      <c r="L2523">
        <v>7.7</v>
      </c>
      <c r="M2523" t="s">
        <v>64</v>
      </c>
      <c r="N2523" t="s">
        <v>162</v>
      </c>
    </row>
    <row r="2524" spans="1:14" x14ac:dyDescent="0.3">
      <c r="A2524" t="s">
        <v>64</v>
      </c>
      <c r="B2524">
        <f>VLOOKUP(M2524,Sheet9!$I$1:$J$17,2,FALSE)</f>
        <v>5</v>
      </c>
      <c r="C2524">
        <f>VLOOKUP(N2524,Sheet9!$M$1:$N$2,2,FALSE)</f>
        <v>1</v>
      </c>
      <c r="D2524">
        <v>32</v>
      </c>
      <c r="E2524" t="s">
        <v>95</v>
      </c>
      <c r="F2524">
        <v>120</v>
      </c>
      <c r="H2524">
        <v>1</v>
      </c>
      <c r="I2524">
        <v>10</v>
      </c>
      <c r="J2524">
        <v>10</v>
      </c>
      <c r="K2524">
        <v>3.79</v>
      </c>
      <c r="L2524">
        <v>5.86</v>
      </c>
      <c r="M2524" t="s">
        <v>64</v>
      </c>
      <c r="N2524" t="s">
        <v>162</v>
      </c>
    </row>
    <row r="2525" spans="1:14" x14ac:dyDescent="0.3">
      <c r="A2525" t="s">
        <v>64</v>
      </c>
      <c r="B2525">
        <f>VLOOKUP(M2525,Sheet9!$I$1:$J$17,2,FALSE)</f>
        <v>5</v>
      </c>
      <c r="C2525">
        <f>VLOOKUP(N2525,Sheet9!$M$1:$N$2,2,FALSE)</f>
        <v>1</v>
      </c>
      <c r="D2525">
        <v>32</v>
      </c>
      <c r="E2525" t="s">
        <v>95</v>
      </c>
      <c r="F2525">
        <v>120</v>
      </c>
      <c r="H2525">
        <v>12</v>
      </c>
      <c r="I2525">
        <v>1.2</v>
      </c>
      <c r="J2525">
        <v>14.4</v>
      </c>
      <c r="K2525">
        <v>4.8600000000000003</v>
      </c>
      <c r="L2525">
        <v>7.52</v>
      </c>
      <c r="M2525" t="s">
        <v>64</v>
      </c>
      <c r="N2525" t="s">
        <v>162</v>
      </c>
    </row>
    <row r="2526" spans="1:14" x14ac:dyDescent="0.3">
      <c r="A2526" t="s">
        <v>64</v>
      </c>
      <c r="B2526">
        <f>VLOOKUP(M2526,Sheet9!$I$1:$J$17,2,FALSE)</f>
        <v>5</v>
      </c>
      <c r="C2526">
        <f>VLOOKUP(N2526,Sheet9!$M$1:$N$2,2,FALSE)</f>
        <v>1</v>
      </c>
      <c r="D2526">
        <v>32</v>
      </c>
      <c r="E2526" t="s">
        <v>167</v>
      </c>
      <c r="F2526">
        <v>120</v>
      </c>
      <c r="H2526">
        <v>20</v>
      </c>
      <c r="I2526">
        <v>0.6</v>
      </c>
      <c r="J2526">
        <v>12</v>
      </c>
      <c r="K2526">
        <v>5.1100000000000003</v>
      </c>
      <c r="L2526">
        <v>7.85</v>
      </c>
      <c r="M2526" t="s">
        <v>64</v>
      </c>
      <c r="N2526" t="s">
        <v>162</v>
      </c>
    </row>
    <row r="2527" spans="1:14" x14ac:dyDescent="0.3">
      <c r="A2527" t="s">
        <v>64</v>
      </c>
      <c r="B2527">
        <f>VLOOKUP(M2527,Sheet9!$I$1:$J$17,2,FALSE)</f>
        <v>5</v>
      </c>
      <c r="C2527">
        <f>VLOOKUP(N2527,Sheet9!$M$1:$N$2,2,FALSE)</f>
        <v>1</v>
      </c>
      <c r="D2527">
        <v>32</v>
      </c>
      <c r="E2527" t="s">
        <v>167</v>
      </c>
      <c r="F2527">
        <v>120</v>
      </c>
      <c r="H2527">
        <v>32</v>
      </c>
      <c r="I2527">
        <v>0.6</v>
      </c>
      <c r="J2527">
        <v>19.2</v>
      </c>
      <c r="K2527">
        <v>4.7</v>
      </c>
      <c r="L2527">
        <v>7.25</v>
      </c>
      <c r="M2527" t="s">
        <v>64</v>
      </c>
      <c r="N2527" t="s">
        <v>162</v>
      </c>
    </row>
    <row r="2528" spans="1:14" x14ac:dyDescent="0.3">
      <c r="A2528" t="s">
        <v>64</v>
      </c>
      <c r="B2528">
        <f>VLOOKUP(M2528,Sheet9!$I$1:$J$17,2,FALSE)</f>
        <v>5</v>
      </c>
      <c r="C2528">
        <f>VLOOKUP(N2528,Sheet9!$M$1:$N$2,2,FALSE)</f>
        <v>1</v>
      </c>
      <c r="D2528">
        <v>32</v>
      </c>
      <c r="E2528" t="s">
        <v>95</v>
      </c>
      <c r="F2528">
        <v>120</v>
      </c>
      <c r="H2528">
        <v>12</v>
      </c>
      <c r="I2528">
        <v>1.2</v>
      </c>
      <c r="J2528">
        <v>14.4</v>
      </c>
      <c r="K2528">
        <v>4.24</v>
      </c>
      <c r="L2528">
        <v>6.56</v>
      </c>
      <c r="M2528" t="s">
        <v>64</v>
      </c>
      <c r="N2528" t="s">
        <v>162</v>
      </c>
    </row>
    <row r="2529" spans="1:14" x14ac:dyDescent="0.3">
      <c r="A2529" t="s">
        <v>64</v>
      </c>
      <c r="B2529">
        <f>VLOOKUP(M2529,Sheet9!$I$1:$J$17,2,FALSE)</f>
        <v>5</v>
      </c>
      <c r="C2529">
        <f>VLOOKUP(N2529,Sheet9!$M$1:$N$2,2,FALSE)</f>
        <v>1</v>
      </c>
      <c r="D2529">
        <v>32</v>
      </c>
      <c r="E2529" t="s">
        <v>95</v>
      </c>
      <c r="F2529">
        <v>120</v>
      </c>
      <c r="H2529">
        <v>64</v>
      </c>
      <c r="I2529">
        <v>0.6</v>
      </c>
      <c r="J2529">
        <v>38.4</v>
      </c>
      <c r="K2529">
        <v>4.16</v>
      </c>
      <c r="L2529">
        <v>6.39</v>
      </c>
      <c r="M2529" t="s">
        <v>64</v>
      </c>
      <c r="N2529" t="s">
        <v>162</v>
      </c>
    </row>
    <row r="2530" spans="1:14" x14ac:dyDescent="0.3">
      <c r="A2530" t="s">
        <v>64</v>
      </c>
      <c r="B2530">
        <f>VLOOKUP(M2530,Sheet9!$I$1:$J$17,2,FALSE)</f>
        <v>5</v>
      </c>
      <c r="C2530">
        <f>VLOOKUP(N2530,Sheet9!$M$1:$N$2,2,FALSE)</f>
        <v>1</v>
      </c>
      <c r="D2530">
        <v>32</v>
      </c>
      <c r="E2530" t="s">
        <v>95</v>
      </c>
      <c r="F2530">
        <v>130</v>
      </c>
      <c r="H2530">
        <v>2</v>
      </c>
      <c r="I2530">
        <v>1</v>
      </c>
      <c r="J2530">
        <v>2</v>
      </c>
      <c r="K2530">
        <v>5.29</v>
      </c>
      <c r="L2530">
        <v>8.1</v>
      </c>
      <c r="M2530" t="s">
        <v>64</v>
      </c>
      <c r="N2530" t="s">
        <v>162</v>
      </c>
    </row>
    <row r="2531" spans="1:14" x14ac:dyDescent="0.3">
      <c r="A2531" t="s">
        <v>64</v>
      </c>
      <c r="B2531">
        <f>VLOOKUP(M2531,Sheet9!$I$1:$J$17,2,FALSE)</f>
        <v>5</v>
      </c>
      <c r="C2531">
        <f>VLOOKUP(N2531,Sheet9!$M$1:$N$2,2,FALSE)</f>
        <v>1</v>
      </c>
      <c r="D2531">
        <v>32</v>
      </c>
      <c r="E2531" t="s">
        <v>95</v>
      </c>
      <c r="F2531">
        <v>130</v>
      </c>
      <c r="H2531">
        <v>6</v>
      </c>
      <c r="I2531">
        <v>0.6</v>
      </c>
      <c r="J2531">
        <v>3.6</v>
      </c>
      <c r="K2531">
        <v>8.57</v>
      </c>
      <c r="L2531">
        <v>13.1</v>
      </c>
      <c r="M2531" t="s">
        <v>64</v>
      </c>
      <c r="N2531" t="s">
        <v>162</v>
      </c>
    </row>
    <row r="2532" spans="1:14" x14ac:dyDescent="0.3">
      <c r="A2532" t="s">
        <v>64</v>
      </c>
      <c r="B2532">
        <f>VLOOKUP(M2532,Sheet9!$I$1:$J$17,2,FALSE)</f>
        <v>5</v>
      </c>
      <c r="C2532">
        <f>VLOOKUP(N2532,Sheet9!$M$1:$N$2,2,FALSE)</f>
        <v>1</v>
      </c>
      <c r="D2532">
        <v>32</v>
      </c>
      <c r="E2532" t="s">
        <v>167</v>
      </c>
      <c r="F2532">
        <v>130</v>
      </c>
      <c r="H2532">
        <v>8</v>
      </c>
      <c r="I2532">
        <v>0.6</v>
      </c>
      <c r="J2532">
        <v>4.8</v>
      </c>
      <c r="K2532">
        <v>9.07</v>
      </c>
      <c r="L2532">
        <v>13.8</v>
      </c>
      <c r="M2532" t="s">
        <v>64</v>
      </c>
      <c r="N2532" t="s">
        <v>162</v>
      </c>
    </row>
    <row r="2533" spans="1:14" x14ac:dyDescent="0.3">
      <c r="A2533" t="s">
        <v>64</v>
      </c>
      <c r="B2533">
        <f>VLOOKUP(M2533,Sheet9!$I$1:$J$17,2,FALSE)</f>
        <v>5</v>
      </c>
      <c r="C2533">
        <f>VLOOKUP(N2533,Sheet9!$M$1:$N$2,2,FALSE)</f>
        <v>1</v>
      </c>
      <c r="D2533">
        <v>32</v>
      </c>
      <c r="E2533" t="s">
        <v>95</v>
      </c>
      <c r="F2533">
        <v>130</v>
      </c>
      <c r="H2533">
        <v>1</v>
      </c>
      <c r="I2533">
        <v>5</v>
      </c>
      <c r="J2533">
        <v>5</v>
      </c>
      <c r="K2533">
        <v>4.75</v>
      </c>
      <c r="L2533">
        <v>7.26</v>
      </c>
      <c r="M2533" t="s">
        <v>64</v>
      </c>
      <c r="N2533" t="s">
        <v>162</v>
      </c>
    </row>
    <row r="2534" spans="1:14" x14ac:dyDescent="0.3">
      <c r="A2534" t="s">
        <v>64</v>
      </c>
      <c r="B2534">
        <f>VLOOKUP(M2534,Sheet9!$I$1:$J$17,2,FALSE)</f>
        <v>5</v>
      </c>
      <c r="C2534">
        <f>VLOOKUP(N2534,Sheet9!$M$1:$N$2,2,FALSE)</f>
        <v>1</v>
      </c>
      <c r="D2534">
        <v>32</v>
      </c>
      <c r="E2534" t="s">
        <v>167</v>
      </c>
      <c r="F2534">
        <v>130</v>
      </c>
      <c r="H2534">
        <v>10</v>
      </c>
      <c r="I2534">
        <v>0.6</v>
      </c>
      <c r="J2534">
        <v>6</v>
      </c>
      <c r="K2534">
        <v>6.29</v>
      </c>
      <c r="L2534">
        <v>9.5500000000000007</v>
      </c>
      <c r="M2534" t="s">
        <v>64</v>
      </c>
      <c r="N2534" t="s">
        <v>162</v>
      </c>
    </row>
    <row r="2535" spans="1:14" x14ac:dyDescent="0.3">
      <c r="A2535" t="s">
        <v>64</v>
      </c>
      <c r="B2535">
        <f>VLOOKUP(M2535,Sheet9!$I$1:$J$17,2,FALSE)</f>
        <v>5</v>
      </c>
      <c r="C2535">
        <f>VLOOKUP(N2535,Sheet9!$M$1:$N$2,2,FALSE)</f>
        <v>1</v>
      </c>
      <c r="D2535">
        <v>32</v>
      </c>
      <c r="E2535" t="s">
        <v>95</v>
      </c>
      <c r="F2535">
        <v>130</v>
      </c>
      <c r="H2535">
        <v>1</v>
      </c>
      <c r="I2535">
        <v>10</v>
      </c>
      <c r="J2535">
        <v>10</v>
      </c>
      <c r="K2535">
        <v>4.75</v>
      </c>
      <c r="L2535">
        <v>7.26</v>
      </c>
      <c r="M2535" t="s">
        <v>64</v>
      </c>
      <c r="N2535" t="s">
        <v>162</v>
      </c>
    </row>
    <row r="2536" spans="1:14" x14ac:dyDescent="0.3">
      <c r="A2536" t="s">
        <v>64</v>
      </c>
      <c r="B2536">
        <f>VLOOKUP(M2536,Sheet9!$I$1:$J$17,2,FALSE)</f>
        <v>5</v>
      </c>
      <c r="C2536">
        <f>VLOOKUP(N2536,Sheet9!$M$1:$N$2,2,FALSE)</f>
        <v>1</v>
      </c>
      <c r="D2536">
        <v>32</v>
      </c>
      <c r="E2536" t="s">
        <v>95</v>
      </c>
      <c r="F2536">
        <v>130</v>
      </c>
      <c r="H2536">
        <v>12</v>
      </c>
      <c r="I2536">
        <v>1.2</v>
      </c>
      <c r="J2536">
        <v>14.4</v>
      </c>
      <c r="K2536">
        <v>6.09</v>
      </c>
      <c r="L2536">
        <v>9.32</v>
      </c>
      <c r="M2536" t="s">
        <v>64</v>
      </c>
      <c r="N2536" t="s">
        <v>162</v>
      </c>
    </row>
    <row r="2537" spans="1:14" x14ac:dyDescent="0.3">
      <c r="A2537" t="s">
        <v>64</v>
      </c>
      <c r="B2537">
        <f>VLOOKUP(M2537,Sheet9!$I$1:$J$17,2,FALSE)</f>
        <v>5</v>
      </c>
      <c r="C2537">
        <f>VLOOKUP(N2537,Sheet9!$M$1:$N$2,2,FALSE)</f>
        <v>1</v>
      </c>
      <c r="D2537">
        <v>32</v>
      </c>
      <c r="E2537" t="s">
        <v>167</v>
      </c>
      <c r="F2537">
        <v>130</v>
      </c>
      <c r="H2537">
        <v>20</v>
      </c>
      <c r="I2537">
        <v>0.6</v>
      </c>
      <c r="J2537">
        <v>12</v>
      </c>
      <c r="K2537">
        <v>6.41</v>
      </c>
      <c r="L2537">
        <v>9.74</v>
      </c>
      <c r="M2537" t="s">
        <v>64</v>
      </c>
      <c r="N2537" t="s">
        <v>162</v>
      </c>
    </row>
    <row r="2538" spans="1:14" x14ac:dyDescent="0.3">
      <c r="A2538" t="s">
        <v>64</v>
      </c>
      <c r="B2538">
        <f>VLOOKUP(M2538,Sheet9!$I$1:$J$17,2,FALSE)</f>
        <v>5</v>
      </c>
      <c r="C2538">
        <f>VLOOKUP(N2538,Sheet9!$M$1:$N$2,2,FALSE)</f>
        <v>1</v>
      </c>
      <c r="D2538">
        <v>32</v>
      </c>
      <c r="E2538" t="s">
        <v>167</v>
      </c>
      <c r="F2538">
        <v>130</v>
      </c>
      <c r="H2538">
        <v>32</v>
      </c>
      <c r="I2538">
        <v>0.6</v>
      </c>
      <c r="J2538">
        <v>19.2</v>
      </c>
      <c r="K2538">
        <v>5.9</v>
      </c>
      <c r="L2538">
        <v>8.99</v>
      </c>
      <c r="M2538" t="s">
        <v>64</v>
      </c>
      <c r="N2538" t="s">
        <v>162</v>
      </c>
    </row>
    <row r="2539" spans="1:14" x14ac:dyDescent="0.3">
      <c r="A2539" t="s">
        <v>64</v>
      </c>
      <c r="B2539">
        <f>VLOOKUP(M2539,Sheet9!$I$1:$J$17,2,FALSE)</f>
        <v>5</v>
      </c>
      <c r="C2539">
        <f>VLOOKUP(N2539,Sheet9!$M$1:$N$2,2,FALSE)</f>
        <v>1</v>
      </c>
      <c r="D2539">
        <v>32</v>
      </c>
      <c r="E2539" t="s">
        <v>95</v>
      </c>
      <c r="F2539">
        <v>130</v>
      </c>
      <c r="H2539">
        <v>12</v>
      </c>
      <c r="I2539">
        <v>1.2</v>
      </c>
      <c r="J2539">
        <v>14.4</v>
      </c>
      <c r="K2539">
        <v>5.31</v>
      </c>
      <c r="L2539">
        <v>8.1300000000000008</v>
      </c>
      <c r="M2539" t="s">
        <v>64</v>
      </c>
      <c r="N2539" t="s">
        <v>162</v>
      </c>
    </row>
    <row r="2540" spans="1:14" x14ac:dyDescent="0.3">
      <c r="A2540" t="s">
        <v>64</v>
      </c>
      <c r="B2540">
        <f>VLOOKUP(M2540,Sheet9!$I$1:$J$17,2,FALSE)</f>
        <v>5</v>
      </c>
      <c r="C2540">
        <f>VLOOKUP(N2540,Sheet9!$M$1:$N$2,2,FALSE)</f>
        <v>1</v>
      </c>
      <c r="D2540">
        <v>32</v>
      </c>
      <c r="E2540" t="s">
        <v>95</v>
      </c>
      <c r="F2540">
        <v>130</v>
      </c>
      <c r="H2540">
        <v>64</v>
      </c>
      <c r="I2540">
        <v>0.6</v>
      </c>
      <c r="J2540">
        <v>38.4</v>
      </c>
      <c r="K2540">
        <v>5.22</v>
      </c>
      <c r="L2540">
        <v>7.92</v>
      </c>
      <c r="M2540" t="s">
        <v>64</v>
      </c>
      <c r="N2540" t="s">
        <v>162</v>
      </c>
    </row>
    <row r="2541" spans="1:14" x14ac:dyDescent="0.3">
      <c r="A2541" t="s">
        <v>64</v>
      </c>
      <c r="B2541">
        <f>VLOOKUP(M2541,Sheet9!$I$1:$J$17,2,FALSE)</f>
        <v>5</v>
      </c>
      <c r="C2541">
        <f>VLOOKUP(N2541,Sheet9!$M$1:$N$2,2,FALSE)</f>
        <v>1</v>
      </c>
      <c r="D2541">
        <v>32</v>
      </c>
      <c r="E2541" t="s">
        <v>95</v>
      </c>
      <c r="F2541">
        <v>140</v>
      </c>
      <c r="H2541">
        <v>2</v>
      </c>
      <c r="I2541">
        <v>1</v>
      </c>
      <c r="J2541">
        <v>2</v>
      </c>
      <c r="K2541">
        <v>6.49</v>
      </c>
      <c r="L2541">
        <v>9.84</v>
      </c>
      <c r="M2541" t="s">
        <v>64</v>
      </c>
      <c r="N2541" t="s">
        <v>162</v>
      </c>
    </row>
    <row r="2542" spans="1:14" x14ac:dyDescent="0.3">
      <c r="A2542" t="s">
        <v>64</v>
      </c>
      <c r="B2542">
        <f>VLOOKUP(M2542,Sheet9!$I$1:$J$17,2,FALSE)</f>
        <v>5</v>
      </c>
      <c r="C2542">
        <f>VLOOKUP(N2542,Sheet9!$M$1:$N$2,2,FALSE)</f>
        <v>1</v>
      </c>
      <c r="D2542">
        <v>32</v>
      </c>
      <c r="E2542" t="s">
        <v>95</v>
      </c>
      <c r="F2542">
        <v>140</v>
      </c>
      <c r="H2542">
        <v>6</v>
      </c>
      <c r="I2542">
        <v>0.6</v>
      </c>
      <c r="J2542">
        <v>3.6</v>
      </c>
      <c r="K2542">
        <v>10.5</v>
      </c>
      <c r="L2542">
        <v>15.9</v>
      </c>
      <c r="M2542" t="s">
        <v>64</v>
      </c>
      <c r="N2542" t="s">
        <v>162</v>
      </c>
    </row>
    <row r="2543" spans="1:14" x14ac:dyDescent="0.3">
      <c r="A2543" t="s">
        <v>64</v>
      </c>
      <c r="B2543">
        <f>VLOOKUP(M2543,Sheet9!$I$1:$J$17,2,FALSE)</f>
        <v>5</v>
      </c>
      <c r="C2543">
        <f>VLOOKUP(N2543,Sheet9!$M$1:$N$2,2,FALSE)</f>
        <v>1</v>
      </c>
      <c r="D2543">
        <v>32</v>
      </c>
      <c r="E2543" t="s">
        <v>167</v>
      </c>
      <c r="F2543">
        <v>140</v>
      </c>
      <c r="H2543">
        <v>8</v>
      </c>
      <c r="I2543">
        <v>0.6</v>
      </c>
      <c r="J2543">
        <v>4.8</v>
      </c>
      <c r="K2543">
        <v>11.1</v>
      </c>
      <c r="L2543">
        <v>16.7</v>
      </c>
      <c r="M2543" t="s">
        <v>64</v>
      </c>
      <c r="N2543" t="s">
        <v>162</v>
      </c>
    </row>
    <row r="2544" spans="1:14" x14ac:dyDescent="0.3">
      <c r="A2544" t="s">
        <v>64</v>
      </c>
      <c r="B2544">
        <f>VLOOKUP(M2544,Sheet9!$I$1:$J$17,2,FALSE)</f>
        <v>5</v>
      </c>
      <c r="C2544">
        <f>VLOOKUP(N2544,Sheet9!$M$1:$N$2,2,FALSE)</f>
        <v>1</v>
      </c>
      <c r="D2544">
        <v>32</v>
      </c>
      <c r="E2544" t="s">
        <v>95</v>
      </c>
      <c r="F2544">
        <v>140</v>
      </c>
      <c r="H2544">
        <v>1</v>
      </c>
      <c r="I2544">
        <v>5</v>
      </c>
      <c r="J2544">
        <v>5</v>
      </c>
      <c r="K2544">
        <v>5.82</v>
      </c>
      <c r="L2544">
        <v>8.83</v>
      </c>
      <c r="M2544" t="s">
        <v>64</v>
      </c>
      <c r="N2544" t="s">
        <v>162</v>
      </c>
    </row>
    <row r="2545" spans="1:14" x14ac:dyDescent="0.3">
      <c r="A2545" t="s">
        <v>64</v>
      </c>
      <c r="B2545">
        <f>VLOOKUP(M2545,Sheet9!$I$1:$J$17,2,FALSE)</f>
        <v>5</v>
      </c>
      <c r="C2545">
        <f>VLOOKUP(N2545,Sheet9!$M$1:$N$2,2,FALSE)</f>
        <v>1</v>
      </c>
      <c r="D2545">
        <v>32</v>
      </c>
      <c r="E2545" t="s">
        <v>167</v>
      </c>
      <c r="F2545">
        <v>140</v>
      </c>
      <c r="H2545">
        <v>10</v>
      </c>
      <c r="I2545">
        <v>0.6</v>
      </c>
      <c r="J2545">
        <v>6</v>
      </c>
      <c r="K2545">
        <v>7.72</v>
      </c>
      <c r="L2545">
        <v>11.6</v>
      </c>
      <c r="M2545" t="s">
        <v>64</v>
      </c>
      <c r="N2545" t="s">
        <v>162</v>
      </c>
    </row>
    <row r="2546" spans="1:14" x14ac:dyDescent="0.3">
      <c r="A2546" t="s">
        <v>64</v>
      </c>
      <c r="B2546">
        <f>VLOOKUP(M2546,Sheet9!$I$1:$J$17,2,FALSE)</f>
        <v>5</v>
      </c>
      <c r="C2546">
        <f>VLOOKUP(N2546,Sheet9!$M$1:$N$2,2,FALSE)</f>
        <v>1</v>
      </c>
      <c r="D2546">
        <v>32</v>
      </c>
      <c r="E2546" t="s">
        <v>95</v>
      </c>
      <c r="F2546">
        <v>140</v>
      </c>
      <c r="H2546">
        <v>1</v>
      </c>
      <c r="I2546">
        <v>10</v>
      </c>
      <c r="J2546">
        <v>10</v>
      </c>
      <c r="K2546">
        <v>5.82</v>
      </c>
      <c r="L2546">
        <v>8.83</v>
      </c>
      <c r="M2546" t="s">
        <v>64</v>
      </c>
      <c r="N2546" t="s">
        <v>162</v>
      </c>
    </row>
    <row r="2547" spans="1:14" x14ac:dyDescent="0.3">
      <c r="A2547" t="s">
        <v>64</v>
      </c>
      <c r="B2547">
        <f>VLOOKUP(M2547,Sheet9!$I$1:$J$17,2,FALSE)</f>
        <v>5</v>
      </c>
      <c r="C2547">
        <f>VLOOKUP(N2547,Sheet9!$M$1:$N$2,2,FALSE)</f>
        <v>1</v>
      </c>
      <c r="D2547">
        <v>32</v>
      </c>
      <c r="E2547" t="s">
        <v>95</v>
      </c>
      <c r="F2547">
        <v>140</v>
      </c>
      <c r="H2547">
        <v>12</v>
      </c>
      <c r="I2547">
        <v>1.2</v>
      </c>
      <c r="J2547">
        <v>14.4</v>
      </c>
      <c r="K2547">
        <v>7.47</v>
      </c>
      <c r="L2547">
        <v>11.3</v>
      </c>
      <c r="M2547" t="s">
        <v>64</v>
      </c>
      <c r="N2547" t="s">
        <v>162</v>
      </c>
    </row>
    <row r="2548" spans="1:14" x14ac:dyDescent="0.3">
      <c r="A2548" t="s">
        <v>64</v>
      </c>
      <c r="B2548">
        <f>VLOOKUP(M2548,Sheet9!$I$1:$J$17,2,FALSE)</f>
        <v>5</v>
      </c>
      <c r="C2548">
        <f>VLOOKUP(N2548,Sheet9!$M$1:$N$2,2,FALSE)</f>
        <v>1</v>
      </c>
      <c r="D2548">
        <v>32</v>
      </c>
      <c r="E2548" t="s">
        <v>167</v>
      </c>
      <c r="F2548">
        <v>140</v>
      </c>
      <c r="H2548">
        <v>20</v>
      </c>
      <c r="I2548">
        <v>0.6</v>
      </c>
      <c r="J2548">
        <v>12</v>
      </c>
      <c r="K2548">
        <v>7.86</v>
      </c>
      <c r="L2548">
        <v>11.8</v>
      </c>
      <c r="M2548" t="s">
        <v>64</v>
      </c>
      <c r="N2548" t="s">
        <v>162</v>
      </c>
    </row>
    <row r="2549" spans="1:14" x14ac:dyDescent="0.3">
      <c r="A2549" t="s">
        <v>64</v>
      </c>
      <c r="B2549">
        <f>VLOOKUP(M2549,Sheet9!$I$1:$J$17,2,FALSE)</f>
        <v>5</v>
      </c>
      <c r="C2549">
        <f>VLOOKUP(N2549,Sheet9!$M$1:$N$2,2,FALSE)</f>
        <v>1</v>
      </c>
      <c r="D2549">
        <v>32</v>
      </c>
      <c r="E2549" t="s">
        <v>167</v>
      </c>
      <c r="F2549">
        <v>140</v>
      </c>
      <c r="H2549">
        <v>32</v>
      </c>
      <c r="I2549">
        <v>0.6</v>
      </c>
      <c r="J2549">
        <v>19.2</v>
      </c>
      <c r="K2549">
        <v>7.24</v>
      </c>
      <c r="L2549">
        <v>10.9</v>
      </c>
      <c r="M2549" t="s">
        <v>64</v>
      </c>
      <c r="N2549" t="s">
        <v>162</v>
      </c>
    </row>
    <row r="2550" spans="1:14" x14ac:dyDescent="0.3">
      <c r="A2550" t="s">
        <v>64</v>
      </c>
      <c r="B2550">
        <f>VLOOKUP(M2550,Sheet9!$I$1:$J$17,2,FALSE)</f>
        <v>5</v>
      </c>
      <c r="C2550">
        <f>VLOOKUP(N2550,Sheet9!$M$1:$N$2,2,FALSE)</f>
        <v>1</v>
      </c>
      <c r="D2550">
        <v>32</v>
      </c>
      <c r="E2550" t="s">
        <v>95</v>
      </c>
      <c r="F2550">
        <v>140</v>
      </c>
      <c r="H2550">
        <v>12</v>
      </c>
      <c r="I2550">
        <v>1.2</v>
      </c>
      <c r="J2550">
        <v>14.4</v>
      </c>
      <c r="K2550">
        <v>6.52</v>
      </c>
      <c r="L2550">
        <v>9.89</v>
      </c>
      <c r="M2550" t="s">
        <v>64</v>
      </c>
      <c r="N2550" t="s">
        <v>162</v>
      </c>
    </row>
    <row r="2551" spans="1:14" x14ac:dyDescent="0.3">
      <c r="A2551" t="s">
        <v>64</v>
      </c>
      <c r="B2551">
        <f>VLOOKUP(M2551,Sheet9!$I$1:$J$17,2,FALSE)</f>
        <v>5</v>
      </c>
      <c r="C2551">
        <f>VLOOKUP(N2551,Sheet9!$M$1:$N$2,2,FALSE)</f>
        <v>1</v>
      </c>
      <c r="D2551">
        <v>32</v>
      </c>
      <c r="E2551" t="s">
        <v>95</v>
      </c>
      <c r="F2551">
        <v>140</v>
      </c>
      <c r="H2551">
        <v>64</v>
      </c>
      <c r="I2551">
        <v>0.6</v>
      </c>
      <c r="J2551">
        <v>38.4</v>
      </c>
      <c r="K2551">
        <v>6.4</v>
      </c>
      <c r="L2551">
        <v>9.6300000000000008</v>
      </c>
      <c r="M2551" t="s">
        <v>64</v>
      </c>
      <c r="N2551" t="s">
        <v>162</v>
      </c>
    </row>
    <row r="2552" spans="1:14" x14ac:dyDescent="0.3">
      <c r="A2552" t="s">
        <v>64</v>
      </c>
      <c r="B2552">
        <f>VLOOKUP(M2552,Sheet9!$I$1:$J$17,2,FALSE)</f>
        <v>5</v>
      </c>
      <c r="C2552">
        <f>VLOOKUP(N2552,Sheet9!$M$1:$N$2,2,FALSE)</f>
        <v>1</v>
      </c>
      <c r="D2552">
        <v>32</v>
      </c>
      <c r="E2552" t="s">
        <v>95</v>
      </c>
      <c r="F2552">
        <v>100</v>
      </c>
      <c r="G2552" t="s">
        <v>139</v>
      </c>
      <c r="H2552">
        <v>2</v>
      </c>
      <c r="I2552">
        <v>1</v>
      </c>
      <c r="J2552">
        <v>2</v>
      </c>
      <c r="K2552">
        <v>0.54</v>
      </c>
      <c r="L2552">
        <v>0.77</v>
      </c>
      <c r="M2552" t="s">
        <v>64</v>
      </c>
      <c r="N2552" t="s">
        <v>162</v>
      </c>
    </row>
    <row r="2553" spans="1:14" x14ac:dyDescent="0.3">
      <c r="A2553" t="s">
        <v>64</v>
      </c>
      <c r="B2553">
        <f>VLOOKUP(M2553,Sheet9!$I$1:$J$17,2,FALSE)</f>
        <v>5</v>
      </c>
      <c r="C2553">
        <f>VLOOKUP(N2553,Sheet9!$M$1:$N$2,2,FALSE)</f>
        <v>1</v>
      </c>
      <c r="D2553">
        <v>32</v>
      </c>
      <c r="E2553" t="s">
        <v>95</v>
      </c>
      <c r="F2553">
        <v>100</v>
      </c>
      <c r="G2553" t="s">
        <v>139</v>
      </c>
      <c r="H2553">
        <v>6</v>
      </c>
      <c r="I2553">
        <v>0.6</v>
      </c>
      <c r="J2553">
        <v>3.6</v>
      </c>
      <c r="K2553">
        <v>0.87</v>
      </c>
      <c r="L2553">
        <v>1.25</v>
      </c>
      <c r="M2553" t="s">
        <v>64</v>
      </c>
      <c r="N2553" t="s">
        <v>162</v>
      </c>
    </row>
    <row r="2554" spans="1:14" x14ac:dyDescent="0.3">
      <c r="A2554" t="s">
        <v>64</v>
      </c>
      <c r="B2554">
        <f>VLOOKUP(M2554,Sheet9!$I$1:$J$17,2,FALSE)</f>
        <v>5</v>
      </c>
      <c r="C2554">
        <f>VLOOKUP(N2554,Sheet9!$M$1:$N$2,2,FALSE)</f>
        <v>1</v>
      </c>
      <c r="D2554">
        <v>32</v>
      </c>
      <c r="E2554" t="s">
        <v>167</v>
      </c>
      <c r="F2554">
        <v>100</v>
      </c>
      <c r="G2554" t="s">
        <v>139</v>
      </c>
      <c r="H2554">
        <v>8</v>
      </c>
      <c r="I2554">
        <v>0.6</v>
      </c>
      <c r="J2554">
        <v>4.8</v>
      </c>
      <c r="K2554">
        <v>0.92</v>
      </c>
      <c r="L2554">
        <v>1.32</v>
      </c>
      <c r="M2554" t="s">
        <v>64</v>
      </c>
      <c r="N2554" t="s">
        <v>162</v>
      </c>
    </row>
    <row r="2555" spans="1:14" x14ac:dyDescent="0.3">
      <c r="A2555" t="s">
        <v>64</v>
      </c>
      <c r="B2555">
        <f>VLOOKUP(M2555,Sheet9!$I$1:$J$17,2,FALSE)</f>
        <v>5</v>
      </c>
      <c r="C2555">
        <f>VLOOKUP(N2555,Sheet9!$M$1:$N$2,2,FALSE)</f>
        <v>1</v>
      </c>
      <c r="D2555">
        <v>32</v>
      </c>
      <c r="E2555" t="s">
        <v>95</v>
      </c>
      <c r="F2555">
        <v>100</v>
      </c>
      <c r="G2555" t="s">
        <v>139</v>
      </c>
      <c r="H2555">
        <v>1</v>
      </c>
      <c r="I2555">
        <v>5</v>
      </c>
      <c r="J2555">
        <v>5</v>
      </c>
      <c r="K2555">
        <v>0.48</v>
      </c>
      <c r="L2555">
        <v>0.69</v>
      </c>
      <c r="M2555" t="s">
        <v>64</v>
      </c>
      <c r="N2555" t="s">
        <v>162</v>
      </c>
    </row>
    <row r="2556" spans="1:14" x14ac:dyDescent="0.3">
      <c r="A2556" t="s">
        <v>64</v>
      </c>
      <c r="B2556">
        <f>VLOOKUP(M2556,Sheet9!$I$1:$J$17,2,FALSE)</f>
        <v>5</v>
      </c>
      <c r="C2556">
        <f>VLOOKUP(N2556,Sheet9!$M$1:$N$2,2,FALSE)</f>
        <v>1</v>
      </c>
      <c r="D2556">
        <v>32</v>
      </c>
      <c r="E2556" t="s">
        <v>167</v>
      </c>
      <c r="F2556">
        <v>100</v>
      </c>
      <c r="G2556" t="s">
        <v>139</v>
      </c>
      <c r="H2556">
        <v>10</v>
      </c>
      <c r="I2556">
        <v>0.6</v>
      </c>
      <c r="J2556">
        <v>6</v>
      </c>
      <c r="K2556">
        <v>0.64</v>
      </c>
      <c r="L2556">
        <v>0.91</v>
      </c>
      <c r="M2556" t="s">
        <v>64</v>
      </c>
      <c r="N2556" t="s">
        <v>162</v>
      </c>
    </row>
    <row r="2557" spans="1:14" x14ac:dyDescent="0.3">
      <c r="A2557" t="s">
        <v>64</v>
      </c>
      <c r="B2557">
        <f>VLOOKUP(M2557,Sheet9!$I$1:$J$17,2,FALSE)</f>
        <v>5</v>
      </c>
      <c r="C2557">
        <f>VLOOKUP(N2557,Sheet9!$M$1:$N$2,2,FALSE)</f>
        <v>1</v>
      </c>
      <c r="D2557">
        <v>32</v>
      </c>
      <c r="E2557" t="s">
        <v>95</v>
      </c>
      <c r="F2557">
        <v>100</v>
      </c>
      <c r="G2557" t="s">
        <v>139</v>
      </c>
      <c r="H2557">
        <v>1</v>
      </c>
      <c r="I2557">
        <v>10</v>
      </c>
      <c r="J2557">
        <v>10</v>
      </c>
      <c r="K2557">
        <v>0.48</v>
      </c>
      <c r="L2557">
        <v>0.69</v>
      </c>
      <c r="M2557" t="s">
        <v>64</v>
      </c>
      <c r="N2557" t="s">
        <v>162</v>
      </c>
    </row>
    <row r="2558" spans="1:14" x14ac:dyDescent="0.3">
      <c r="A2558" t="s">
        <v>64</v>
      </c>
      <c r="B2558">
        <f>VLOOKUP(M2558,Sheet9!$I$1:$J$17,2,FALSE)</f>
        <v>5</v>
      </c>
      <c r="C2558">
        <f>VLOOKUP(N2558,Sheet9!$M$1:$N$2,2,FALSE)</f>
        <v>1</v>
      </c>
      <c r="D2558">
        <v>32</v>
      </c>
      <c r="E2558" t="s">
        <v>95</v>
      </c>
      <c r="F2558">
        <v>100</v>
      </c>
      <c r="G2558" t="s">
        <v>139</v>
      </c>
      <c r="H2558">
        <v>12</v>
      </c>
      <c r="I2558">
        <v>1.2</v>
      </c>
      <c r="J2558">
        <v>14.4</v>
      </c>
      <c r="K2558">
        <v>0.62</v>
      </c>
      <c r="L2558">
        <v>0.89</v>
      </c>
      <c r="M2558" t="s">
        <v>64</v>
      </c>
      <c r="N2558" t="s">
        <v>162</v>
      </c>
    </row>
    <row r="2559" spans="1:14" x14ac:dyDescent="0.3">
      <c r="A2559" t="s">
        <v>64</v>
      </c>
      <c r="B2559">
        <f>VLOOKUP(M2559,Sheet9!$I$1:$J$17,2,FALSE)</f>
        <v>5</v>
      </c>
      <c r="C2559">
        <f>VLOOKUP(N2559,Sheet9!$M$1:$N$2,2,FALSE)</f>
        <v>1</v>
      </c>
      <c r="D2559">
        <v>32</v>
      </c>
      <c r="E2559" t="s">
        <v>167</v>
      </c>
      <c r="F2559">
        <v>100</v>
      </c>
      <c r="G2559" t="s">
        <v>139</v>
      </c>
      <c r="H2559">
        <v>20</v>
      </c>
      <c r="I2559">
        <v>0.6</v>
      </c>
      <c r="J2559">
        <v>12</v>
      </c>
      <c r="K2559">
        <v>0.65</v>
      </c>
      <c r="L2559">
        <v>0.93</v>
      </c>
      <c r="M2559" t="s">
        <v>64</v>
      </c>
      <c r="N2559" t="s">
        <v>162</v>
      </c>
    </row>
    <row r="2560" spans="1:14" x14ac:dyDescent="0.3">
      <c r="A2560" t="s">
        <v>64</v>
      </c>
      <c r="B2560">
        <f>VLOOKUP(M2560,Sheet9!$I$1:$J$17,2,FALSE)</f>
        <v>5</v>
      </c>
      <c r="C2560">
        <f>VLOOKUP(N2560,Sheet9!$M$1:$N$2,2,FALSE)</f>
        <v>1</v>
      </c>
      <c r="D2560">
        <v>32</v>
      </c>
      <c r="E2560" t="s">
        <v>167</v>
      </c>
      <c r="F2560">
        <v>100</v>
      </c>
      <c r="G2560" t="s">
        <v>139</v>
      </c>
      <c r="H2560">
        <v>32</v>
      </c>
      <c r="I2560">
        <v>0.6</v>
      </c>
      <c r="J2560">
        <v>19.2</v>
      </c>
      <c r="K2560">
        <v>0.6</v>
      </c>
      <c r="L2560">
        <v>0.86</v>
      </c>
      <c r="M2560" t="s">
        <v>64</v>
      </c>
      <c r="N2560" t="s">
        <v>162</v>
      </c>
    </row>
    <row r="2561" spans="1:14" x14ac:dyDescent="0.3">
      <c r="A2561" t="s">
        <v>64</v>
      </c>
      <c r="B2561">
        <f>VLOOKUP(M2561,Sheet9!$I$1:$J$17,2,FALSE)</f>
        <v>5</v>
      </c>
      <c r="C2561">
        <f>VLOOKUP(N2561,Sheet9!$M$1:$N$2,2,FALSE)</f>
        <v>1</v>
      </c>
      <c r="D2561">
        <v>32</v>
      </c>
      <c r="E2561" t="s">
        <v>95</v>
      </c>
      <c r="F2561">
        <v>100</v>
      </c>
      <c r="G2561" t="s">
        <v>139</v>
      </c>
      <c r="H2561">
        <v>12</v>
      </c>
      <c r="I2561">
        <v>1.2</v>
      </c>
      <c r="J2561">
        <v>14.4</v>
      </c>
      <c r="K2561">
        <v>0.54</v>
      </c>
      <c r="L2561">
        <v>0.78</v>
      </c>
      <c r="M2561" t="s">
        <v>64</v>
      </c>
      <c r="N2561" t="s">
        <v>162</v>
      </c>
    </row>
    <row r="2562" spans="1:14" x14ac:dyDescent="0.3">
      <c r="A2562" t="s">
        <v>64</v>
      </c>
      <c r="B2562">
        <f>VLOOKUP(M2562,Sheet9!$I$1:$J$17,2,FALSE)</f>
        <v>5</v>
      </c>
      <c r="C2562">
        <f>VLOOKUP(N2562,Sheet9!$M$1:$N$2,2,FALSE)</f>
        <v>1</v>
      </c>
      <c r="D2562">
        <v>32</v>
      </c>
      <c r="E2562" t="s">
        <v>95</v>
      </c>
      <c r="F2562">
        <v>100</v>
      </c>
      <c r="G2562" t="s">
        <v>139</v>
      </c>
      <c r="H2562">
        <v>64</v>
      </c>
      <c r="I2562">
        <v>0.6</v>
      </c>
      <c r="J2562">
        <v>38.4</v>
      </c>
      <c r="K2562">
        <v>0.53</v>
      </c>
      <c r="L2562">
        <v>0.76</v>
      </c>
      <c r="M2562" t="s">
        <v>64</v>
      </c>
      <c r="N2562" t="s">
        <v>162</v>
      </c>
    </row>
    <row r="2563" spans="1:14" x14ac:dyDescent="0.3">
      <c r="A2563" t="s">
        <v>64</v>
      </c>
      <c r="B2563">
        <f>VLOOKUP(M2563,Sheet9!$I$1:$J$17,2,FALSE)</f>
        <v>5</v>
      </c>
      <c r="C2563">
        <f>VLOOKUP(N2563,Sheet9!$M$1:$N$2,2,FALSE)</f>
        <v>1</v>
      </c>
      <c r="D2563">
        <v>32</v>
      </c>
      <c r="E2563" t="s">
        <v>95</v>
      </c>
      <c r="F2563">
        <v>140</v>
      </c>
      <c r="G2563" t="s">
        <v>139</v>
      </c>
      <c r="H2563">
        <v>2</v>
      </c>
      <c r="I2563">
        <v>1</v>
      </c>
      <c r="J2563">
        <v>2</v>
      </c>
      <c r="K2563">
        <v>2.4500000000000002</v>
      </c>
      <c r="L2563">
        <v>3.47</v>
      </c>
      <c r="M2563" t="s">
        <v>64</v>
      </c>
      <c r="N2563" t="s">
        <v>162</v>
      </c>
    </row>
    <row r="2564" spans="1:14" x14ac:dyDescent="0.3">
      <c r="A2564" t="s">
        <v>64</v>
      </c>
      <c r="B2564">
        <f>VLOOKUP(M2564,Sheet9!$I$1:$J$17,2,FALSE)</f>
        <v>5</v>
      </c>
      <c r="C2564">
        <f>VLOOKUP(N2564,Sheet9!$M$1:$N$2,2,FALSE)</f>
        <v>1</v>
      </c>
      <c r="D2564">
        <v>32</v>
      </c>
      <c r="E2564" t="s">
        <v>95</v>
      </c>
      <c r="F2564">
        <v>140</v>
      </c>
      <c r="G2564" t="s">
        <v>139</v>
      </c>
      <c r="H2564">
        <v>6</v>
      </c>
      <c r="I2564">
        <v>0.6</v>
      </c>
      <c r="J2564">
        <v>3.6</v>
      </c>
      <c r="K2564">
        <v>3.97</v>
      </c>
      <c r="L2564">
        <v>5.62</v>
      </c>
      <c r="M2564" t="s">
        <v>64</v>
      </c>
      <c r="N2564" t="s">
        <v>162</v>
      </c>
    </row>
    <row r="2565" spans="1:14" x14ac:dyDescent="0.3">
      <c r="A2565" t="s">
        <v>64</v>
      </c>
      <c r="B2565">
        <f>VLOOKUP(M2565,Sheet9!$I$1:$J$17,2,FALSE)</f>
        <v>5</v>
      </c>
      <c r="C2565">
        <f>VLOOKUP(N2565,Sheet9!$M$1:$N$2,2,FALSE)</f>
        <v>1</v>
      </c>
      <c r="D2565">
        <v>32</v>
      </c>
      <c r="E2565" t="s">
        <v>167</v>
      </c>
      <c r="F2565">
        <v>140</v>
      </c>
      <c r="G2565" t="s">
        <v>139</v>
      </c>
      <c r="H2565">
        <v>8</v>
      </c>
      <c r="I2565">
        <v>0.6</v>
      </c>
      <c r="J2565">
        <v>4.8</v>
      </c>
      <c r="K2565">
        <v>4.21</v>
      </c>
      <c r="L2565">
        <v>5.94</v>
      </c>
      <c r="M2565" t="s">
        <v>64</v>
      </c>
      <c r="N2565" t="s">
        <v>162</v>
      </c>
    </row>
    <row r="2566" spans="1:14" x14ac:dyDescent="0.3">
      <c r="A2566" t="s">
        <v>64</v>
      </c>
      <c r="B2566">
        <f>VLOOKUP(M2566,Sheet9!$I$1:$J$17,2,FALSE)</f>
        <v>5</v>
      </c>
      <c r="C2566">
        <f>VLOOKUP(N2566,Sheet9!$M$1:$N$2,2,FALSE)</f>
        <v>1</v>
      </c>
      <c r="D2566">
        <v>32</v>
      </c>
      <c r="E2566" t="s">
        <v>95</v>
      </c>
      <c r="F2566">
        <v>140</v>
      </c>
      <c r="G2566" t="s">
        <v>139</v>
      </c>
      <c r="H2566">
        <v>1</v>
      </c>
      <c r="I2566">
        <v>5</v>
      </c>
      <c r="J2566">
        <v>5</v>
      </c>
      <c r="K2566">
        <v>2.2000000000000002</v>
      </c>
      <c r="L2566">
        <v>3.12</v>
      </c>
      <c r="M2566" t="s">
        <v>64</v>
      </c>
      <c r="N2566" t="s">
        <v>162</v>
      </c>
    </row>
    <row r="2567" spans="1:14" x14ac:dyDescent="0.3">
      <c r="A2567" t="s">
        <v>64</v>
      </c>
      <c r="B2567">
        <f>VLOOKUP(M2567,Sheet9!$I$1:$J$17,2,FALSE)</f>
        <v>5</v>
      </c>
      <c r="C2567">
        <f>VLOOKUP(N2567,Sheet9!$M$1:$N$2,2,FALSE)</f>
        <v>1</v>
      </c>
      <c r="D2567">
        <v>32</v>
      </c>
      <c r="E2567" t="s">
        <v>167</v>
      </c>
      <c r="F2567">
        <v>140</v>
      </c>
      <c r="G2567" t="s">
        <v>139</v>
      </c>
      <c r="H2567">
        <v>10</v>
      </c>
      <c r="I2567">
        <v>0.6</v>
      </c>
      <c r="J2567">
        <v>6</v>
      </c>
      <c r="K2567">
        <v>2.92</v>
      </c>
      <c r="L2567">
        <v>4.12</v>
      </c>
      <c r="M2567" t="s">
        <v>64</v>
      </c>
      <c r="N2567" t="s">
        <v>162</v>
      </c>
    </row>
    <row r="2568" spans="1:14" x14ac:dyDescent="0.3">
      <c r="A2568" t="s">
        <v>64</v>
      </c>
      <c r="B2568">
        <f>VLOOKUP(M2568,Sheet9!$I$1:$J$17,2,FALSE)</f>
        <v>5</v>
      </c>
      <c r="C2568">
        <f>VLOOKUP(N2568,Sheet9!$M$1:$N$2,2,FALSE)</f>
        <v>1</v>
      </c>
      <c r="D2568">
        <v>32</v>
      </c>
      <c r="E2568" t="s">
        <v>95</v>
      </c>
      <c r="F2568">
        <v>140</v>
      </c>
      <c r="G2568" t="s">
        <v>139</v>
      </c>
      <c r="H2568">
        <v>1</v>
      </c>
      <c r="I2568">
        <v>10</v>
      </c>
      <c r="J2568">
        <v>10</v>
      </c>
      <c r="K2568">
        <v>2.2000000000000002</v>
      </c>
      <c r="L2568">
        <v>3.12</v>
      </c>
      <c r="M2568" t="s">
        <v>64</v>
      </c>
      <c r="N2568" t="s">
        <v>162</v>
      </c>
    </row>
    <row r="2569" spans="1:14" x14ac:dyDescent="0.3">
      <c r="A2569" t="s">
        <v>64</v>
      </c>
      <c r="B2569">
        <f>VLOOKUP(M2569,Sheet9!$I$1:$J$17,2,FALSE)</f>
        <v>5</v>
      </c>
      <c r="C2569">
        <f>VLOOKUP(N2569,Sheet9!$M$1:$N$2,2,FALSE)</f>
        <v>1</v>
      </c>
      <c r="D2569">
        <v>32</v>
      </c>
      <c r="E2569" t="s">
        <v>95</v>
      </c>
      <c r="F2569">
        <v>140</v>
      </c>
      <c r="G2569" t="s">
        <v>139</v>
      </c>
      <c r="H2569">
        <v>12</v>
      </c>
      <c r="I2569">
        <v>1.2</v>
      </c>
      <c r="J2569">
        <v>14.4</v>
      </c>
      <c r="K2569">
        <v>2.82</v>
      </c>
      <c r="L2569">
        <v>4</v>
      </c>
      <c r="M2569" t="s">
        <v>64</v>
      </c>
      <c r="N2569" t="s">
        <v>162</v>
      </c>
    </row>
    <row r="2570" spans="1:14" x14ac:dyDescent="0.3">
      <c r="A2570" t="s">
        <v>64</v>
      </c>
      <c r="B2570">
        <f>VLOOKUP(M2570,Sheet9!$I$1:$J$17,2,FALSE)</f>
        <v>5</v>
      </c>
      <c r="C2570">
        <f>VLOOKUP(N2570,Sheet9!$M$1:$N$2,2,FALSE)</f>
        <v>1</v>
      </c>
      <c r="D2570">
        <v>32</v>
      </c>
      <c r="E2570" t="s">
        <v>167</v>
      </c>
      <c r="F2570">
        <v>140</v>
      </c>
      <c r="G2570" t="s">
        <v>139</v>
      </c>
      <c r="H2570">
        <v>20</v>
      </c>
      <c r="I2570">
        <v>0.6</v>
      </c>
      <c r="J2570">
        <v>12</v>
      </c>
      <c r="K2570">
        <v>2.97</v>
      </c>
      <c r="L2570">
        <v>4.2</v>
      </c>
      <c r="M2570" t="s">
        <v>64</v>
      </c>
      <c r="N2570" t="s">
        <v>162</v>
      </c>
    </row>
    <row r="2571" spans="1:14" x14ac:dyDescent="0.3">
      <c r="A2571" t="s">
        <v>64</v>
      </c>
      <c r="B2571">
        <f>VLOOKUP(M2571,Sheet9!$I$1:$J$17,2,FALSE)</f>
        <v>5</v>
      </c>
      <c r="C2571">
        <f>VLOOKUP(N2571,Sheet9!$M$1:$N$2,2,FALSE)</f>
        <v>1</v>
      </c>
      <c r="D2571">
        <v>32</v>
      </c>
      <c r="E2571" t="s">
        <v>167</v>
      </c>
      <c r="F2571">
        <v>140</v>
      </c>
      <c r="G2571" t="s">
        <v>139</v>
      </c>
      <c r="H2571">
        <v>32</v>
      </c>
      <c r="I2571">
        <v>0.6</v>
      </c>
      <c r="J2571">
        <v>19.2</v>
      </c>
      <c r="K2571">
        <v>2.73</v>
      </c>
      <c r="L2571">
        <v>3.87</v>
      </c>
      <c r="M2571" t="s">
        <v>64</v>
      </c>
      <c r="N2571" t="s">
        <v>162</v>
      </c>
    </row>
    <row r="2572" spans="1:14" x14ac:dyDescent="0.3">
      <c r="A2572" t="s">
        <v>64</v>
      </c>
      <c r="B2572">
        <f>VLOOKUP(M2572,Sheet9!$I$1:$J$17,2,FALSE)</f>
        <v>5</v>
      </c>
      <c r="C2572">
        <f>VLOOKUP(N2572,Sheet9!$M$1:$N$2,2,FALSE)</f>
        <v>1</v>
      </c>
      <c r="D2572">
        <v>32</v>
      </c>
      <c r="E2572" t="s">
        <v>95</v>
      </c>
      <c r="F2572">
        <v>140</v>
      </c>
      <c r="G2572" t="s">
        <v>139</v>
      </c>
      <c r="H2572">
        <v>12</v>
      </c>
      <c r="I2572">
        <v>1.2</v>
      </c>
      <c r="J2572">
        <v>14.4</v>
      </c>
      <c r="K2572">
        <v>2.46</v>
      </c>
      <c r="L2572">
        <v>3.49</v>
      </c>
      <c r="M2572" t="s">
        <v>64</v>
      </c>
      <c r="N2572" t="s">
        <v>162</v>
      </c>
    </row>
    <row r="2573" spans="1:14" x14ac:dyDescent="0.3">
      <c r="A2573" t="s">
        <v>64</v>
      </c>
      <c r="B2573">
        <f>VLOOKUP(M2573,Sheet9!$I$1:$J$17,2,FALSE)</f>
        <v>5</v>
      </c>
      <c r="C2573">
        <f>VLOOKUP(N2573,Sheet9!$M$1:$N$2,2,FALSE)</f>
        <v>1</v>
      </c>
      <c r="D2573">
        <v>32</v>
      </c>
      <c r="E2573" t="s">
        <v>95</v>
      </c>
      <c r="F2573">
        <v>140</v>
      </c>
      <c r="G2573" t="s">
        <v>139</v>
      </c>
      <c r="H2573">
        <v>64</v>
      </c>
      <c r="I2573">
        <v>0.6</v>
      </c>
      <c r="J2573">
        <v>38.4</v>
      </c>
      <c r="K2573">
        <v>2.42</v>
      </c>
      <c r="L2573">
        <v>3.42</v>
      </c>
      <c r="M2573" t="s">
        <v>64</v>
      </c>
      <c r="N2573" t="s">
        <v>162</v>
      </c>
    </row>
    <row r="2574" spans="1:14" x14ac:dyDescent="0.3">
      <c r="A2574" t="s">
        <v>37</v>
      </c>
      <c r="B2574">
        <f>VLOOKUP(M2574,Sheet9!$I$1:$J$17,2,FALSE)</f>
        <v>4</v>
      </c>
      <c r="C2574">
        <f>VLOOKUP(N2574,Sheet9!$M$1:$N$2,2,FALSE)</f>
        <v>1</v>
      </c>
      <c r="D2574">
        <v>16</v>
      </c>
      <c r="E2574" t="s">
        <v>95</v>
      </c>
      <c r="F2574">
        <v>70</v>
      </c>
      <c r="H2574">
        <v>2</v>
      </c>
      <c r="I2574">
        <v>1</v>
      </c>
      <c r="J2574">
        <v>2</v>
      </c>
      <c r="K2574">
        <v>2.5299999999999998</v>
      </c>
      <c r="L2574">
        <v>2.72</v>
      </c>
      <c r="M2574" t="s">
        <v>37</v>
      </c>
      <c r="N2574" t="s">
        <v>162</v>
      </c>
    </row>
    <row r="2575" spans="1:14" x14ac:dyDescent="0.3">
      <c r="A2575" t="s">
        <v>37</v>
      </c>
      <c r="B2575">
        <f>VLOOKUP(M2575,Sheet9!$I$1:$J$17,2,FALSE)</f>
        <v>4</v>
      </c>
      <c r="C2575">
        <f>VLOOKUP(N2575,Sheet9!$M$1:$N$2,2,FALSE)</f>
        <v>1</v>
      </c>
      <c r="D2575">
        <v>16</v>
      </c>
      <c r="E2575" t="s">
        <v>95</v>
      </c>
      <c r="F2575">
        <v>70</v>
      </c>
      <c r="H2575">
        <v>6</v>
      </c>
      <c r="I2575">
        <v>0.6</v>
      </c>
      <c r="J2575">
        <v>3.6</v>
      </c>
      <c r="K2575">
        <v>4.21</v>
      </c>
      <c r="L2575">
        <v>4.53</v>
      </c>
      <c r="M2575" t="s">
        <v>37</v>
      </c>
      <c r="N2575" t="s">
        <v>162</v>
      </c>
    </row>
    <row r="2576" spans="1:14" x14ac:dyDescent="0.3">
      <c r="A2576" t="s">
        <v>37</v>
      </c>
      <c r="B2576">
        <f>VLOOKUP(M2576,Sheet9!$I$1:$J$17,2,FALSE)</f>
        <v>4</v>
      </c>
      <c r="C2576">
        <f>VLOOKUP(N2576,Sheet9!$M$1:$N$2,2,FALSE)</f>
        <v>1</v>
      </c>
      <c r="D2576">
        <v>16</v>
      </c>
      <c r="E2576" t="s">
        <v>95</v>
      </c>
      <c r="F2576">
        <v>70</v>
      </c>
      <c r="H2576">
        <v>1</v>
      </c>
      <c r="I2576">
        <v>5</v>
      </c>
      <c r="J2576">
        <v>5</v>
      </c>
      <c r="K2576">
        <v>2.44</v>
      </c>
      <c r="L2576">
        <v>2.63</v>
      </c>
      <c r="M2576" t="s">
        <v>37</v>
      </c>
      <c r="N2576" t="s">
        <v>162</v>
      </c>
    </row>
    <row r="2577" spans="1:14" x14ac:dyDescent="0.3">
      <c r="A2577" t="s">
        <v>37</v>
      </c>
      <c r="B2577">
        <f>VLOOKUP(M2577,Sheet9!$I$1:$J$17,2,FALSE)</f>
        <v>4</v>
      </c>
      <c r="C2577">
        <f>VLOOKUP(N2577,Sheet9!$M$1:$N$2,2,FALSE)</f>
        <v>1</v>
      </c>
      <c r="D2577">
        <v>16</v>
      </c>
      <c r="E2577" t="s">
        <v>95</v>
      </c>
      <c r="F2577">
        <v>70</v>
      </c>
      <c r="H2577">
        <v>1</v>
      </c>
      <c r="I2577">
        <v>10</v>
      </c>
      <c r="J2577">
        <v>10</v>
      </c>
      <c r="K2577">
        <v>2.44</v>
      </c>
      <c r="L2577">
        <v>2.63</v>
      </c>
      <c r="M2577" t="s">
        <v>37</v>
      </c>
      <c r="N2577" t="s">
        <v>162</v>
      </c>
    </row>
    <row r="2578" spans="1:14" x14ac:dyDescent="0.3">
      <c r="A2578" t="s">
        <v>37</v>
      </c>
      <c r="B2578">
        <f>VLOOKUP(M2578,Sheet9!$I$1:$J$17,2,FALSE)</f>
        <v>4</v>
      </c>
      <c r="C2578">
        <f>VLOOKUP(N2578,Sheet9!$M$1:$N$2,2,FALSE)</f>
        <v>1</v>
      </c>
      <c r="D2578">
        <v>16</v>
      </c>
      <c r="E2578" t="s">
        <v>95</v>
      </c>
      <c r="F2578">
        <v>70</v>
      </c>
      <c r="H2578">
        <v>12</v>
      </c>
      <c r="I2578">
        <v>1.2</v>
      </c>
      <c r="J2578">
        <v>14.4</v>
      </c>
      <c r="K2578">
        <v>3.48</v>
      </c>
      <c r="L2578">
        <v>3.75</v>
      </c>
      <c r="M2578" t="s">
        <v>37</v>
      </c>
      <c r="N2578" t="s">
        <v>162</v>
      </c>
    </row>
    <row r="2579" spans="1:14" x14ac:dyDescent="0.3">
      <c r="A2579" t="s">
        <v>37</v>
      </c>
      <c r="B2579">
        <f>VLOOKUP(M2579,Sheet9!$I$1:$J$17,2,FALSE)</f>
        <v>4</v>
      </c>
      <c r="C2579">
        <f>VLOOKUP(N2579,Sheet9!$M$1:$N$2,2,FALSE)</f>
        <v>1</v>
      </c>
      <c r="D2579">
        <v>16</v>
      </c>
      <c r="E2579" t="s">
        <v>95</v>
      </c>
      <c r="F2579">
        <v>70</v>
      </c>
      <c r="H2579">
        <v>32</v>
      </c>
      <c r="I2579">
        <v>0.6</v>
      </c>
      <c r="J2579">
        <v>19.2</v>
      </c>
      <c r="K2579">
        <v>2.75</v>
      </c>
      <c r="L2579">
        <v>2.96</v>
      </c>
      <c r="M2579" t="s">
        <v>37</v>
      </c>
      <c r="N2579" t="s">
        <v>162</v>
      </c>
    </row>
    <row r="2580" spans="1:14" x14ac:dyDescent="0.3">
      <c r="A2580" t="s">
        <v>37</v>
      </c>
      <c r="B2580">
        <f>VLOOKUP(M2580,Sheet9!$I$1:$J$17,2,FALSE)</f>
        <v>4</v>
      </c>
      <c r="C2580">
        <f>VLOOKUP(N2580,Sheet9!$M$1:$N$2,2,FALSE)</f>
        <v>1</v>
      </c>
      <c r="D2580">
        <v>16</v>
      </c>
      <c r="E2580" t="s">
        <v>167</v>
      </c>
      <c r="F2580">
        <v>70</v>
      </c>
      <c r="H2580">
        <v>32</v>
      </c>
      <c r="I2580">
        <v>0.6</v>
      </c>
      <c r="J2580">
        <v>19.2</v>
      </c>
      <c r="K2580">
        <v>2.96</v>
      </c>
      <c r="L2580">
        <v>3.18</v>
      </c>
      <c r="M2580" t="s">
        <v>37</v>
      </c>
      <c r="N2580" t="s">
        <v>162</v>
      </c>
    </row>
    <row r="2581" spans="1:14" x14ac:dyDescent="0.3">
      <c r="A2581" t="s">
        <v>37</v>
      </c>
      <c r="B2581">
        <f>VLOOKUP(M2581,Sheet9!$I$1:$J$17,2,FALSE)</f>
        <v>4</v>
      </c>
      <c r="C2581">
        <f>VLOOKUP(N2581,Sheet9!$M$1:$N$2,2,FALSE)</f>
        <v>1</v>
      </c>
      <c r="D2581">
        <v>16</v>
      </c>
      <c r="E2581" t="s">
        <v>167</v>
      </c>
      <c r="F2581">
        <v>70</v>
      </c>
      <c r="H2581">
        <v>32</v>
      </c>
      <c r="I2581">
        <v>0.6</v>
      </c>
      <c r="J2581">
        <v>19.2</v>
      </c>
      <c r="K2581">
        <v>3.36</v>
      </c>
      <c r="L2581">
        <v>3.62</v>
      </c>
      <c r="M2581" t="s">
        <v>37</v>
      </c>
      <c r="N2581" t="s">
        <v>162</v>
      </c>
    </row>
    <row r="2582" spans="1:14" x14ac:dyDescent="0.3">
      <c r="A2582" t="s">
        <v>37</v>
      </c>
      <c r="B2582">
        <f>VLOOKUP(M2582,Sheet9!$I$1:$J$17,2,FALSE)</f>
        <v>4</v>
      </c>
      <c r="C2582">
        <f>VLOOKUP(N2582,Sheet9!$M$1:$N$2,2,FALSE)</f>
        <v>1</v>
      </c>
      <c r="D2582">
        <v>16</v>
      </c>
      <c r="E2582" t="s">
        <v>167</v>
      </c>
      <c r="F2582">
        <v>70</v>
      </c>
      <c r="H2582">
        <v>48</v>
      </c>
      <c r="I2582">
        <v>1.2</v>
      </c>
      <c r="J2582">
        <v>57.599999999999994</v>
      </c>
      <c r="K2582">
        <v>3.05</v>
      </c>
      <c r="L2582">
        <v>3.28</v>
      </c>
      <c r="M2582" t="s">
        <v>37</v>
      </c>
      <c r="N2582" t="s">
        <v>162</v>
      </c>
    </row>
    <row r="2583" spans="1:14" x14ac:dyDescent="0.3">
      <c r="A2583" t="s">
        <v>37</v>
      </c>
      <c r="B2583">
        <f>VLOOKUP(M2583,Sheet9!$I$1:$J$17,2,FALSE)</f>
        <v>4</v>
      </c>
      <c r="C2583">
        <f>VLOOKUP(N2583,Sheet9!$M$1:$N$2,2,FALSE)</f>
        <v>1</v>
      </c>
      <c r="D2583">
        <v>16</v>
      </c>
      <c r="E2583" t="s">
        <v>167</v>
      </c>
      <c r="F2583">
        <v>70</v>
      </c>
      <c r="H2583">
        <v>64</v>
      </c>
      <c r="I2583">
        <v>1.2</v>
      </c>
      <c r="J2583">
        <v>76.8</v>
      </c>
      <c r="K2583">
        <v>2.9</v>
      </c>
      <c r="L2583">
        <v>3.12</v>
      </c>
      <c r="M2583" t="s">
        <v>37</v>
      </c>
      <c r="N2583" t="s">
        <v>162</v>
      </c>
    </row>
    <row r="2584" spans="1:14" x14ac:dyDescent="0.3">
      <c r="A2584" t="s">
        <v>37</v>
      </c>
      <c r="B2584">
        <f>VLOOKUP(M2584,Sheet9!$I$1:$J$17,2,FALSE)</f>
        <v>4</v>
      </c>
      <c r="C2584">
        <f>VLOOKUP(N2584,Sheet9!$M$1:$N$2,2,FALSE)</f>
        <v>1</v>
      </c>
      <c r="D2584">
        <v>16</v>
      </c>
      <c r="E2584" t="s">
        <v>167</v>
      </c>
      <c r="F2584">
        <v>70</v>
      </c>
      <c r="H2584">
        <v>96</v>
      </c>
      <c r="I2584">
        <v>0.6</v>
      </c>
      <c r="J2584">
        <v>57.599999999999994</v>
      </c>
      <c r="K2584">
        <v>2.72</v>
      </c>
      <c r="L2584">
        <v>2.93</v>
      </c>
      <c r="M2584" t="s">
        <v>37</v>
      </c>
      <c r="N2584" t="s">
        <v>162</v>
      </c>
    </row>
    <row r="2585" spans="1:14" x14ac:dyDescent="0.3">
      <c r="A2585" t="s">
        <v>37</v>
      </c>
      <c r="B2585">
        <f>VLOOKUP(M2585,Sheet9!$I$1:$J$17,2,FALSE)</f>
        <v>4</v>
      </c>
      <c r="C2585">
        <f>VLOOKUP(N2585,Sheet9!$M$1:$N$2,2,FALSE)</f>
        <v>1</v>
      </c>
      <c r="D2585">
        <v>16</v>
      </c>
      <c r="E2585" t="s">
        <v>167</v>
      </c>
      <c r="F2585">
        <v>70</v>
      </c>
      <c r="H2585">
        <v>24</v>
      </c>
      <c r="I2585">
        <v>1.2</v>
      </c>
      <c r="J2585">
        <v>28.799999999999997</v>
      </c>
      <c r="K2585">
        <v>3</v>
      </c>
      <c r="L2585">
        <v>3.23</v>
      </c>
      <c r="M2585" t="s">
        <v>37</v>
      </c>
      <c r="N2585" t="s">
        <v>162</v>
      </c>
    </row>
    <row r="2586" spans="1:14" x14ac:dyDescent="0.3">
      <c r="A2586" t="s">
        <v>37</v>
      </c>
      <c r="B2586">
        <f>VLOOKUP(M2586,Sheet9!$I$1:$J$17,2,FALSE)</f>
        <v>4</v>
      </c>
      <c r="C2586">
        <f>VLOOKUP(N2586,Sheet9!$M$1:$N$2,2,FALSE)</f>
        <v>1</v>
      </c>
      <c r="D2586">
        <v>16</v>
      </c>
      <c r="E2586" t="s">
        <v>95</v>
      </c>
      <c r="F2586">
        <v>70</v>
      </c>
      <c r="H2586">
        <v>48</v>
      </c>
      <c r="I2586">
        <v>1.2</v>
      </c>
      <c r="J2586">
        <v>57.599999999999994</v>
      </c>
      <c r="K2586">
        <v>2.73</v>
      </c>
      <c r="L2586">
        <v>2.93</v>
      </c>
      <c r="M2586" t="s">
        <v>37</v>
      </c>
      <c r="N2586" t="s">
        <v>162</v>
      </c>
    </row>
    <row r="2587" spans="1:14" x14ac:dyDescent="0.3">
      <c r="A2587" t="s">
        <v>37</v>
      </c>
      <c r="B2587">
        <f>VLOOKUP(M2587,Sheet9!$I$1:$J$17,2,FALSE)</f>
        <v>4</v>
      </c>
      <c r="C2587">
        <f>VLOOKUP(N2587,Sheet9!$M$1:$N$2,2,FALSE)</f>
        <v>1</v>
      </c>
      <c r="D2587">
        <v>16</v>
      </c>
      <c r="E2587" t="s">
        <v>95</v>
      </c>
      <c r="F2587">
        <v>80</v>
      </c>
      <c r="H2587">
        <v>2</v>
      </c>
      <c r="I2587">
        <v>1</v>
      </c>
      <c r="J2587">
        <v>2</v>
      </c>
      <c r="K2587">
        <v>4.04</v>
      </c>
      <c r="L2587">
        <v>4.24</v>
      </c>
      <c r="M2587" t="s">
        <v>37</v>
      </c>
      <c r="N2587" t="s">
        <v>162</v>
      </c>
    </row>
    <row r="2588" spans="1:14" x14ac:dyDescent="0.3">
      <c r="A2588" t="s">
        <v>37</v>
      </c>
      <c r="B2588">
        <f>VLOOKUP(M2588,Sheet9!$I$1:$J$17,2,FALSE)</f>
        <v>4</v>
      </c>
      <c r="C2588">
        <f>VLOOKUP(N2588,Sheet9!$M$1:$N$2,2,FALSE)</f>
        <v>1</v>
      </c>
      <c r="D2588">
        <v>16</v>
      </c>
      <c r="E2588" t="s">
        <v>95</v>
      </c>
      <c r="F2588">
        <v>80</v>
      </c>
      <c r="H2588">
        <v>6</v>
      </c>
      <c r="I2588">
        <v>0.6</v>
      </c>
      <c r="J2588">
        <v>3.6</v>
      </c>
      <c r="K2588">
        <v>6.73</v>
      </c>
      <c r="L2588">
        <v>7.07</v>
      </c>
      <c r="M2588" t="s">
        <v>37</v>
      </c>
      <c r="N2588" t="s">
        <v>162</v>
      </c>
    </row>
    <row r="2589" spans="1:14" x14ac:dyDescent="0.3">
      <c r="A2589" t="s">
        <v>37</v>
      </c>
      <c r="B2589">
        <f>VLOOKUP(M2589,Sheet9!$I$1:$J$17,2,FALSE)</f>
        <v>4</v>
      </c>
      <c r="C2589">
        <f>VLOOKUP(N2589,Sheet9!$M$1:$N$2,2,FALSE)</f>
        <v>1</v>
      </c>
      <c r="D2589">
        <v>16</v>
      </c>
      <c r="E2589" t="s">
        <v>95</v>
      </c>
      <c r="F2589">
        <v>80</v>
      </c>
      <c r="H2589">
        <v>1</v>
      </c>
      <c r="I2589">
        <v>5</v>
      </c>
      <c r="J2589">
        <v>5</v>
      </c>
      <c r="K2589">
        <v>3.9</v>
      </c>
      <c r="L2589">
        <v>4.0999999999999996</v>
      </c>
      <c r="M2589" t="s">
        <v>37</v>
      </c>
      <c r="N2589" t="s">
        <v>162</v>
      </c>
    </row>
    <row r="2590" spans="1:14" x14ac:dyDescent="0.3">
      <c r="A2590" t="s">
        <v>37</v>
      </c>
      <c r="B2590">
        <f>VLOOKUP(M2590,Sheet9!$I$1:$J$17,2,FALSE)</f>
        <v>4</v>
      </c>
      <c r="C2590">
        <f>VLOOKUP(N2590,Sheet9!$M$1:$N$2,2,FALSE)</f>
        <v>1</v>
      </c>
      <c r="D2590">
        <v>16</v>
      </c>
      <c r="E2590" t="s">
        <v>95</v>
      </c>
      <c r="F2590">
        <v>80</v>
      </c>
      <c r="H2590">
        <v>1</v>
      </c>
      <c r="I2590">
        <v>10</v>
      </c>
      <c r="J2590">
        <v>10</v>
      </c>
      <c r="K2590">
        <v>3.9</v>
      </c>
      <c r="L2590">
        <v>4.0999999999999996</v>
      </c>
      <c r="M2590" t="s">
        <v>37</v>
      </c>
      <c r="N2590" t="s">
        <v>162</v>
      </c>
    </row>
    <row r="2591" spans="1:14" x14ac:dyDescent="0.3">
      <c r="A2591" t="s">
        <v>37</v>
      </c>
      <c r="B2591">
        <f>VLOOKUP(M2591,Sheet9!$I$1:$J$17,2,FALSE)</f>
        <v>4</v>
      </c>
      <c r="C2591">
        <f>VLOOKUP(N2591,Sheet9!$M$1:$N$2,2,FALSE)</f>
        <v>1</v>
      </c>
      <c r="D2591">
        <v>16</v>
      </c>
      <c r="E2591" t="s">
        <v>95</v>
      </c>
      <c r="F2591">
        <v>80</v>
      </c>
      <c r="H2591">
        <v>12</v>
      </c>
      <c r="I2591">
        <v>1.2</v>
      </c>
      <c r="J2591">
        <v>14.4</v>
      </c>
      <c r="K2591">
        <v>5.56</v>
      </c>
      <c r="L2591">
        <v>5.85</v>
      </c>
      <c r="M2591" t="s">
        <v>37</v>
      </c>
      <c r="N2591" t="s">
        <v>162</v>
      </c>
    </row>
    <row r="2592" spans="1:14" x14ac:dyDescent="0.3">
      <c r="A2592" t="s">
        <v>37</v>
      </c>
      <c r="B2592">
        <f>VLOOKUP(M2592,Sheet9!$I$1:$J$17,2,FALSE)</f>
        <v>4</v>
      </c>
      <c r="C2592">
        <f>VLOOKUP(N2592,Sheet9!$M$1:$N$2,2,FALSE)</f>
        <v>1</v>
      </c>
      <c r="D2592">
        <v>16</v>
      </c>
      <c r="E2592" t="s">
        <v>95</v>
      </c>
      <c r="F2592">
        <v>80</v>
      </c>
      <c r="H2592">
        <v>32</v>
      </c>
      <c r="I2592">
        <v>0.6</v>
      </c>
      <c r="J2592">
        <v>19.2</v>
      </c>
      <c r="K2592">
        <v>4.4000000000000004</v>
      </c>
      <c r="L2592">
        <v>4.63</v>
      </c>
      <c r="M2592" t="s">
        <v>37</v>
      </c>
      <c r="N2592" t="s">
        <v>162</v>
      </c>
    </row>
    <row r="2593" spans="1:14" x14ac:dyDescent="0.3">
      <c r="A2593" t="s">
        <v>37</v>
      </c>
      <c r="B2593">
        <f>VLOOKUP(M2593,Sheet9!$I$1:$J$17,2,FALSE)</f>
        <v>4</v>
      </c>
      <c r="C2593">
        <f>VLOOKUP(N2593,Sheet9!$M$1:$N$2,2,FALSE)</f>
        <v>1</v>
      </c>
      <c r="D2593">
        <v>16</v>
      </c>
      <c r="E2593" t="s">
        <v>167</v>
      </c>
      <c r="F2593">
        <v>80</v>
      </c>
      <c r="H2593">
        <v>32</v>
      </c>
      <c r="I2593">
        <v>0.6</v>
      </c>
      <c r="J2593">
        <v>19.2</v>
      </c>
      <c r="K2593">
        <v>4.72</v>
      </c>
      <c r="L2593">
        <v>4.97</v>
      </c>
      <c r="M2593" t="s">
        <v>37</v>
      </c>
      <c r="N2593" t="s">
        <v>162</v>
      </c>
    </row>
    <row r="2594" spans="1:14" x14ac:dyDescent="0.3">
      <c r="A2594" t="s">
        <v>37</v>
      </c>
      <c r="B2594">
        <f>VLOOKUP(M2594,Sheet9!$I$1:$J$17,2,FALSE)</f>
        <v>4</v>
      </c>
      <c r="C2594">
        <f>VLOOKUP(N2594,Sheet9!$M$1:$N$2,2,FALSE)</f>
        <v>1</v>
      </c>
      <c r="D2594">
        <v>16</v>
      </c>
      <c r="E2594" t="s">
        <v>167</v>
      </c>
      <c r="F2594">
        <v>80</v>
      </c>
      <c r="H2594">
        <v>32</v>
      </c>
      <c r="I2594">
        <v>0.6</v>
      </c>
      <c r="J2594">
        <v>19.2</v>
      </c>
      <c r="K2594">
        <v>5.37</v>
      </c>
      <c r="L2594">
        <v>5.65</v>
      </c>
      <c r="M2594" t="s">
        <v>37</v>
      </c>
      <c r="N2594" t="s">
        <v>162</v>
      </c>
    </row>
    <row r="2595" spans="1:14" x14ac:dyDescent="0.3">
      <c r="A2595" t="s">
        <v>37</v>
      </c>
      <c r="B2595">
        <f>VLOOKUP(M2595,Sheet9!$I$1:$J$17,2,FALSE)</f>
        <v>4</v>
      </c>
      <c r="C2595">
        <f>VLOOKUP(N2595,Sheet9!$M$1:$N$2,2,FALSE)</f>
        <v>1</v>
      </c>
      <c r="D2595">
        <v>16</v>
      </c>
      <c r="E2595" t="s">
        <v>167</v>
      </c>
      <c r="F2595">
        <v>80</v>
      </c>
      <c r="H2595">
        <v>48</v>
      </c>
      <c r="I2595">
        <v>1.2</v>
      </c>
      <c r="J2595">
        <v>57.599999999999994</v>
      </c>
      <c r="K2595">
        <v>4.87</v>
      </c>
      <c r="L2595">
        <v>5.12</v>
      </c>
      <c r="M2595" t="s">
        <v>37</v>
      </c>
      <c r="N2595" t="s">
        <v>162</v>
      </c>
    </row>
    <row r="2596" spans="1:14" x14ac:dyDescent="0.3">
      <c r="A2596" t="s">
        <v>37</v>
      </c>
      <c r="B2596">
        <f>VLOOKUP(M2596,Sheet9!$I$1:$J$17,2,FALSE)</f>
        <v>4</v>
      </c>
      <c r="C2596">
        <f>VLOOKUP(N2596,Sheet9!$M$1:$N$2,2,FALSE)</f>
        <v>1</v>
      </c>
      <c r="D2596">
        <v>16</v>
      </c>
      <c r="E2596" t="s">
        <v>167</v>
      </c>
      <c r="F2596">
        <v>80</v>
      </c>
      <c r="H2596">
        <v>64</v>
      </c>
      <c r="I2596">
        <v>1.2</v>
      </c>
      <c r="J2596">
        <v>76.8</v>
      </c>
      <c r="K2596">
        <v>4.62</v>
      </c>
      <c r="L2596">
        <v>4.8600000000000003</v>
      </c>
      <c r="M2596" t="s">
        <v>37</v>
      </c>
      <c r="N2596" t="s">
        <v>162</v>
      </c>
    </row>
    <row r="2597" spans="1:14" x14ac:dyDescent="0.3">
      <c r="A2597" t="s">
        <v>37</v>
      </c>
      <c r="B2597">
        <f>VLOOKUP(M2597,Sheet9!$I$1:$J$17,2,FALSE)</f>
        <v>4</v>
      </c>
      <c r="C2597">
        <f>VLOOKUP(N2597,Sheet9!$M$1:$N$2,2,FALSE)</f>
        <v>1</v>
      </c>
      <c r="D2597">
        <v>16</v>
      </c>
      <c r="E2597" t="s">
        <v>167</v>
      </c>
      <c r="F2597">
        <v>80</v>
      </c>
      <c r="H2597">
        <v>96</v>
      </c>
      <c r="I2597">
        <v>0.6</v>
      </c>
      <c r="J2597">
        <v>57.599999999999994</v>
      </c>
      <c r="K2597">
        <v>4.3499999999999996</v>
      </c>
      <c r="L2597">
        <v>4.58</v>
      </c>
      <c r="M2597" t="s">
        <v>37</v>
      </c>
      <c r="N2597" t="s">
        <v>162</v>
      </c>
    </row>
    <row r="2598" spans="1:14" x14ac:dyDescent="0.3">
      <c r="A2598" t="s">
        <v>37</v>
      </c>
      <c r="B2598">
        <f>VLOOKUP(M2598,Sheet9!$I$1:$J$17,2,FALSE)</f>
        <v>4</v>
      </c>
      <c r="C2598">
        <f>VLOOKUP(N2598,Sheet9!$M$1:$N$2,2,FALSE)</f>
        <v>1</v>
      </c>
      <c r="D2598">
        <v>16</v>
      </c>
      <c r="E2598" t="s">
        <v>167</v>
      </c>
      <c r="F2598">
        <v>80</v>
      </c>
      <c r="H2598">
        <v>24</v>
      </c>
      <c r="I2598">
        <v>1.2</v>
      </c>
      <c r="J2598">
        <v>28.799999999999997</v>
      </c>
      <c r="K2598">
        <v>4.79</v>
      </c>
      <c r="L2598">
        <v>5.03</v>
      </c>
      <c r="M2598" t="s">
        <v>37</v>
      </c>
      <c r="N2598" t="s">
        <v>162</v>
      </c>
    </row>
    <row r="2599" spans="1:14" x14ac:dyDescent="0.3">
      <c r="A2599" t="s">
        <v>37</v>
      </c>
      <c r="B2599">
        <f>VLOOKUP(M2599,Sheet9!$I$1:$J$17,2,FALSE)</f>
        <v>4</v>
      </c>
      <c r="C2599">
        <f>VLOOKUP(N2599,Sheet9!$M$1:$N$2,2,FALSE)</f>
        <v>1</v>
      </c>
      <c r="D2599">
        <v>16</v>
      </c>
      <c r="E2599" t="s">
        <v>95</v>
      </c>
      <c r="F2599">
        <v>80</v>
      </c>
      <c r="H2599">
        <v>48</v>
      </c>
      <c r="I2599">
        <v>1.2</v>
      </c>
      <c r="J2599">
        <v>57.599999999999994</v>
      </c>
      <c r="K2599">
        <v>4.3499999999999996</v>
      </c>
      <c r="L2599">
        <v>4.58</v>
      </c>
      <c r="M2599" t="s">
        <v>37</v>
      </c>
      <c r="N2599" t="s">
        <v>162</v>
      </c>
    </row>
    <row r="2600" spans="1:14" x14ac:dyDescent="0.3">
      <c r="A2600" t="s">
        <v>37</v>
      </c>
      <c r="B2600">
        <f>VLOOKUP(M2600,Sheet9!$I$1:$J$17,2,FALSE)</f>
        <v>4</v>
      </c>
      <c r="C2600">
        <f>VLOOKUP(N2600,Sheet9!$M$1:$N$2,2,FALSE)</f>
        <v>1</v>
      </c>
      <c r="D2600">
        <v>16</v>
      </c>
      <c r="E2600" t="s">
        <v>95</v>
      </c>
      <c r="F2600">
        <v>90</v>
      </c>
      <c r="H2600">
        <v>2</v>
      </c>
      <c r="I2600">
        <v>1</v>
      </c>
      <c r="J2600">
        <v>2</v>
      </c>
      <c r="K2600">
        <v>5.93</v>
      </c>
      <c r="L2600">
        <v>6.08</v>
      </c>
      <c r="M2600" t="s">
        <v>37</v>
      </c>
      <c r="N2600" t="s">
        <v>162</v>
      </c>
    </row>
    <row r="2601" spans="1:14" x14ac:dyDescent="0.3">
      <c r="A2601" t="s">
        <v>37</v>
      </c>
      <c r="B2601">
        <f>VLOOKUP(M2601,Sheet9!$I$1:$J$17,2,FALSE)</f>
        <v>4</v>
      </c>
      <c r="C2601">
        <f>VLOOKUP(N2601,Sheet9!$M$1:$N$2,2,FALSE)</f>
        <v>1</v>
      </c>
      <c r="D2601">
        <v>16</v>
      </c>
      <c r="E2601" t="s">
        <v>95</v>
      </c>
      <c r="F2601">
        <v>90</v>
      </c>
      <c r="H2601">
        <v>6</v>
      </c>
      <c r="I2601">
        <v>0.6</v>
      </c>
      <c r="J2601">
        <v>3.6</v>
      </c>
      <c r="K2601">
        <v>9.8800000000000008</v>
      </c>
      <c r="L2601">
        <v>10.130000000000001</v>
      </c>
      <c r="M2601" t="s">
        <v>37</v>
      </c>
      <c r="N2601" t="s">
        <v>162</v>
      </c>
    </row>
    <row r="2602" spans="1:14" x14ac:dyDescent="0.3">
      <c r="A2602" t="s">
        <v>37</v>
      </c>
      <c r="B2602">
        <f>VLOOKUP(M2602,Sheet9!$I$1:$J$17,2,FALSE)</f>
        <v>4</v>
      </c>
      <c r="C2602">
        <f>VLOOKUP(N2602,Sheet9!$M$1:$N$2,2,FALSE)</f>
        <v>1</v>
      </c>
      <c r="D2602">
        <v>16</v>
      </c>
      <c r="E2602" t="s">
        <v>95</v>
      </c>
      <c r="F2602">
        <v>90</v>
      </c>
      <c r="H2602">
        <v>1</v>
      </c>
      <c r="I2602">
        <v>5</v>
      </c>
      <c r="J2602">
        <v>5</v>
      </c>
      <c r="K2602">
        <v>5.73</v>
      </c>
      <c r="L2602">
        <v>5.87</v>
      </c>
      <c r="M2602" t="s">
        <v>37</v>
      </c>
      <c r="N2602" t="s">
        <v>162</v>
      </c>
    </row>
    <row r="2603" spans="1:14" x14ac:dyDescent="0.3">
      <c r="A2603" t="s">
        <v>37</v>
      </c>
      <c r="B2603">
        <f>VLOOKUP(M2603,Sheet9!$I$1:$J$17,2,FALSE)</f>
        <v>4</v>
      </c>
      <c r="C2603">
        <f>VLOOKUP(N2603,Sheet9!$M$1:$N$2,2,FALSE)</f>
        <v>1</v>
      </c>
      <c r="D2603">
        <v>16</v>
      </c>
      <c r="E2603" t="s">
        <v>95</v>
      </c>
      <c r="F2603">
        <v>90</v>
      </c>
      <c r="H2603">
        <v>1</v>
      </c>
      <c r="I2603">
        <v>10</v>
      </c>
      <c r="J2603">
        <v>10</v>
      </c>
      <c r="K2603">
        <v>5.73</v>
      </c>
      <c r="L2603">
        <v>5.87</v>
      </c>
      <c r="M2603" t="s">
        <v>37</v>
      </c>
      <c r="N2603" t="s">
        <v>162</v>
      </c>
    </row>
    <row r="2604" spans="1:14" x14ac:dyDescent="0.3">
      <c r="A2604" t="s">
        <v>37</v>
      </c>
      <c r="B2604">
        <f>VLOOKUP(M2604,Sheet9!$I$1:$J$17,2,FALSE)</f>
        <v>4</v>
      </c>
      <c r="C2604">
        <f>VLOOKUP(N2604,Sheet9!$M$1:$N$2,2,FALSE)</f>
        <v>1</v>
      </c>
      <c r="D2604">
        <v>16</v>
      </c>
      <c r="E2604" t="s">
        <v>95</v>
      </c>
      <c r="F2604">
        <v>90</v>
      </c>
      <c r="H2604">
        <v>12</v>
      </c>
      <c r="I2604">
        <v>1.2</v>
      </c>
      <c r="J2604">
        <v>14.4</v>
      </c>
      <c r="K2604">
        <v>8.17</v>
      </c>
      <c r="L2604">
        <v>8.3699999999999992</v>
      </c>
      <c r="M2604" t="s">
        <v>37</v>
      </c>
      <c r="N2604" t="s">
        <v>162</v>
      </c>
    </row>
    <row r="2605" spans="1:14" x14ac:dyDescent="0.3">
      <c r="A2605" t="s">
        <v>37</v>
      </c>
      <c r="B2605">
        <f>VLOOKUP(M2605,Sheet9!$I$1:$J$17,2,FALSE)</f>
        <v>4</v>
      </c>
      <c r="C2605">
        <f>VLOOKUP(N2605,Sheet9!$M$1:$N$2,2,FALSE)</f>
        <v>1</v>
      </c>
      <c r="D2605">
        <v>16</v>
      </c>
      <c r="E2605" t="s">
        <v>95</v>
      </c>
      <c r="F2605">
        <v>90</v>
      </c>
      <c r="H2605">
        <v>32</v>
      </c>
      <c r="I2605">
        <v>0.6</v>
      </c>
      <c r="J2605">
        <v>19.2</v>
      </c>
      <c r="K2605">
        <v>6.46</v>
      </c>
      <c r="L2605">
        <v>6.62</v>
      </c>
      <c r="M2605" t="s">
        <v>37</v>
      </c>
      <c r="N2605" t="s">
        <v>162</v>
      </c>
    </row>
    <row r="2606" spans="1:14" x14ac:dyDescent="0.3">
      <c r="A2606" t="s">
        <v>37</v>
      </c>
      <c r="B2606">
        <f>VLOOKUP(M2606,Sheet9!$I$1:$J$17,2,FALSE)</f>
        <v>4</v>
      </c>
      <c r="C2606">
        <f>VLOOKUP(N2606,Sheet9!$M$1:$N$2,2,FALSE)</f>
        <v>1</v>
      </c>
      <c r="D2606">
        <v>16</v>
      </c>
      <c r="E2606" t="s">
        <v>167</v>
      </c>
      <c r="F2606">
        <v>90</v>
      </c>
      <c r="H2606">
        <v>32</v>
      </c>
      <c r="I2606">
        <v>0.6</v>
      </c>
      <c r="J2606">
        <v>19.2</v>
      </c>
      <c r="K2606">
        <v>6.94</v>
      </c>
      <c r="L2606">
        <v>7.11</v>
      </c>
      <c r="M2606" t="s">
        <v>37</v>
      </c>
      <c r="N2606" t="s">
        <v>162</v>
      </c>
    </row>
    <row r="2607" spans="1:14" x14ac:dyDescent="0.3">
      <c r="A2607" t="s">
        <v>37</v>
      </c>
      <c r="B2607">
        <f>VLOOKUP(M2607,Sheet9!$I$1:$J$17,2,FALSE)</f>
        <v>4</v>
      </c>
      <c r="C2607">
        <f>VLOOKUP(N2607,Sheet9!$M$1:$N$2,2,FALSE)</f>
        <v>1</v>
      </c>
      <c r="D2607">
        <v>16</v>
      </c>
      <c r="E2607" t="s">
        <v>167</v>
      </c>
      <c r="F2607">
        <v>90</v>
      </c>
      <c r="H2607">
        <v>32</v>
      </c>
      <c r="I2607">
        <v>0.6</v>
      </c>
      <c r="J2607">
        <v>19.2</v>
      </c>
      <c r="K2607">
        <v>7.89</v>
      </c>
      <c r="L2607">
        <v>8.08</v>
      </c>
      <c r="M2607" t="s">
        <v>37</v>
      </c>
      <c r="N2607" t="s">
        <v>162</v>
      </c>
    </row>
    <row r="2608" spans="1:14" x14ac:dyDescent="0.3">
      <c r="A2608" t="s">
        <v>37</v>
      </c>
      <c r="B2608">
        <f>VLOOKUP(M2608,Sheet9!$I$1:$J$17,2,FALSE)</f>
        <v>4</v>
      </c>
      <c r="C2608">
        <f>VLOOKUP(N2608,Sheet9!$M$1:$N$2,2,FALSE)</f>
        <v>1</v>
      </c>
      <c r="D2608">
        <v>16</v>
      </c>
      <c r="E2608" t="s">
        <v>167</v>
      </c>
      <c r="F2608">
        <v>90</v>
      </c>
      <c r="H2608">
        <v>48</v>
      </c>
      <c r="I2608">
        <v>1.2</v>
      </c>
      <c r="J2608">
        <v>57.599999999999994</v>
      </c>
      <c r="K2608">
        <v>7.16</v>
      </c>
      <c r="L2608">
        <v>7.33</v>
      </c>
      <c r="M2608" t="s">
        <v>37</v>
      </c>
      <c r="N2608" t="s">
        <v>162</v>
      </c>
    </row>
    <row r="2609" spans="1:14" x14ac:dyDescent="0.3">
      <c r="A2609" t="s">
        <v>37</v>
      </c>
      <c r="B2609">
        <f>VLOOKUP(M2609,Sheet9!$I$1:$J$17,2,FALSE)</f>
        <v>4</v>
      </c>
      <c r="C2609">
        <f>VLOOKUP(N2609,Sheet9!$M$1:$N$2,2,FALSE)</f>
        <v>1</v>
      </c>
      <c r="D2609">
        <v>16</v>
      </c>
      <c r="E2609" t="s">
        <v>167</v>
      </c>
      <c r="F2609">
        <v>90</v>
      </c>
      <c r="H2609">
        <v>64</v>
      </c>
      <c r="I2609">
        <v>1.2</v>
      </c>
      <c r="J2609">
        <v>76.8</v>
      </c>
      <c r="K2609">
        <v>6.79</v>
      </c>
      <c r="L2609">
        <v>6.96</v>
      </c>
      <c r="M2609" t="s">
        <v>37</v>
      </c>
      <c r="N2609" t="s">
        <v>162</v>
      </c>
    </row>
    <row r="2610" spans="1:14" x14ac:dyDescent="0.3">
      <c r="A2610" t="s">
        <v>37</v>
      </c>
      <c r="B2610">
        <f>VLOOKUP(M2610,Sheet9!$I$1:$J$17,2,FALSE)</f>
        <v>4</v>
      </c>
      <c r="C2610">
        <f>VLOOKUP(N2610,Sheet9!$M$1:$N$2,2,FALSE)</f>
        <v>1</v>
      </c>
      <c r="D2610">
        <v>16</v>
      </c>
      <c r="E2610" t="s">
        <v>167</v>
      </c>
      <c r="F2610">
        <v>90</v>
      </c>
      <c r="H2610">
        <v>96</v>
      </c>
      <c r="I2610">
        <v>0.6</v>
      </c>
      <c r="J2610">
        <v>57.599999999999994</v>
      </c>
      <c r="K2610">
        <v>6.39</v>
      </c>
      <c r="L2610">
        <v>6.55</v>
      </c>
      <c r="M2610" t="s">
        <v>37</v>
      </c>
      <c r="N2610" t="s">
        <v>162</v>
      </c>
    </row>
    <row r="2611" spans="1:14" x14ac:dyDescent="0.3">
      <c r="A2611" t="s">
        <v>37</v>
      </c>
      <c r="B2611">
        <f>VLOOKUP(M2611,Sheet9!$I$1:$J$17,2,FALSE)</f>
        <v>4</v>
      </c>
      <c r="C2611">
        <f>VLOOKUP(N2611,Sheet9!$M$1:$N$2,2,FALSE)</f>
        <v>1</v>
      </c>
      <c r="D2611">
        <v>16</v>
      </c>
      <c r="E2611" t="s">
        <v>167</v>
      </c>
      <c r="F2611">
        <v>90</v>
      </c>
      <c r="H2611">
        <v>24</v>
      </c>
      <c r="I2611">
        <v>1.2</v>
      </c>
      <c r="J2611">
        <v>28.799999999999997</v>
      </c>
      <c r="K2611">
        <v>7.03</v>
      </c>
      <c r="L2611">
        <v>7.2</v>
      </c>
      <c r="M2611" t="s">
        <v>37</v>
      </c>
      <c r="N2611" t="s">
        <v>162</v>
      </c>
    </row>
    <row r="2612" spans="1:14" x14ac:dyDescent="0.3">
      <c r="A2612" t="s">
        <v>37</v>
      </c>
      <c r="B2612">
        <f>VLOOKUP(M2612,Sheet9!$I$1:$J$17,2,FALSE)</f>
        <v>4</v>
      </c>
      <c r="C2612">
        <f>VLOOKUP(N2612,Sheet9!$M$1:$N$2,2,FALSE)</f>
        <v>1</v>
      </c>
      <c r="D2612">
        <v>16</v>
      </c>
      <c r="E2612" t="s">
        <v>95</v>
      </c>
      <c r="F2612">
        <v>90</v>
      </c>
      <c r="H2612">
        <v>48</v>
      </c>
      <c r="I2612">
        <v>1.2</v>
      </c>
      <c r="J2612">
        <v>57.599999999999994</v>
      </c>
      <c r="K2612">
        <v>6.4</v>
      </c>
      <c r="L2612">
        <v>6.55</v>
      </c>
      <c r="M2612" t="s">
        <v>37</v>
      </c>
      <c r="N2612" t="s">
        <v>162</v>
      </c>
    </row>
    <row r="2613" spans="1:14" x14ac:dyDescent="0.3">
      <c r="A2613" t="s">
        <v>37</v>
      </c>
      <c r="B2613">
        <f>VLOOKUP(M2613,Sheet9!$I$1:$J$17,2,FALSE)</f>
        <v>4</v>
      </c>
      <c r="C2613">
        <f>VLOOKUP(N2613,Sheet9!$M$1:$N$2,2,FALSE)</f>
        <v>1</v>
      </c>
      <c r="D2613">
        <v>16</v>
      </c>
      <c r="E2613" t="s">
        <v>95</v>
      </c>
      <c r="F2613">
        <v>100</v>
      </c>
      <c r="H2613">
        <v>2</v>
      </c>
      <c r="I2613">
        <v>1</v>
      </c>
      <c r="J2613">
        <v>2</v>
      </c>
      <c r="K2613">
        <v>8.08</v>
      </c>
      <c r="L2613">
        <v>8.23</v>
      </c>
      <c r="M2613" t="s">
        <v>37</v>
      </c>
      <c r="N2613" t="s">
        <v>162</v>
      </c>
    </row>
    <row r="2614" spans="1:14" x14ac:dyDescent="0.3">
      <c r="A2614" t="s">
        <v>37</v>
      </c>
      <c r="B2614">
        <f>VLOOKUP(M2614,Sheet9!$I$1:$J$17,2,FALSE)</f>
        <v>4</v>
      </c>
      <c r="C2614">
        <f>VLOOKUP(N2614,Sheet9!$M$1:$N$2,2,FALSE)</f>
        <v>1</v>
      </c>
      <c r="D2614">
        <v>16</v>
      </c>
      <c r="E2614" t="s">
        <v>95</v>
      </c>
      <c r="F2614">
        <v>100</v>
      </c>
      <c r="H2614">
        <v>6</v>
      </c>
      <c r="I2614">
        <v>0.6</v>
      </c>
      <c r="J2614">
        <v>3.6</v>
      </c>
      <c r="K2614">
        <v>13.47</v>
      </c>
      <c r="L2614">
        <v>13.72</v>
      </c>
      <c r="M2614" t="s">
        <v>37</v>
      </c>
      <c r="N2614" t="s">
        <v>162</v>
      </c>
    </row>
    <row r="2615" spans="1:14" x14ac:dyDescent="0.3">
      <c r="A2615" t="s">
        <v>37</v>
      </c>
      <c r="B2615">
        <f>VLOOKUP(M2615,Sheet9!$I$1:$J$17,2,FALSE)</f>
        <v>4</v>
      </c>
      <c r="C2615">
        <f>VLOOKUP(N2615,Sheet9!$M$1:$N$2,2,FALSE)</f>
        <v>1</v>
      </c>
      <c r="D2615">
        <v>16</v>
      </c>
      <c r="E2615" t="s">
        <v>95</v>
      </c>
      <c r="F2615">
        <v>100</v>
      </c>
      <c r="H2615">
        <v>1</v>
      </c>
      <c r="I2615">
        <v>5</v>
      </c>
      <c r="J2615">
        <v>5</v>
      </c>
      <c r="K2615">
        <v>7.81</v>
      </c>
      <c r="L2615">
        <v>7.95</v>
      </c>
      <c r="M2615" t="s">
        <v>37</v>
      </c>
      <c r="N2615" t="s">
        <v>162</v>
      </c>
    </row>
    <row r="2616" spans="1:14" x14ac:dyDescent="0.3">
      <c r="A2616" t="s">
        <v>37</v>
      </c>
      <c r="B2616">
        <f>VLOOKUP(M2616,Sheet9!$I$1:$J$17,2,FALSE)</f>
        <v>4</v>
      </c>
      <c r="C2616">
        <f>VLOOKUP(N2616,Sheet9!$M$1:$N$2,2,FALSE)</f>
        <v>1</v>
      </c>
      <c r="D2616">
        <v>16</v>
      </c>
      <c r="E2616" t="s">
        <v>95</v>
      </c>
      <c r="F2616">
        <v>100</v>
      </c>
      <c r="H2616">
        <v>1</v>
      </c>
      <c r="I2616">
        <v>10</v>
      </c>
      <c r="J2616">
        <v>10</v>
      </c>
      <c r="K2616">
        <v>7.81</v>
      </c>
      <c r="L2616">
        <v>7.95</v>
      </c>
      <c r="M2616" t="s">
        <v>37</v>
      </c>
      <c r="N2616" t="s">
        <v>162</v>
      </c>
    </row>
    <row r="2617" spans="1:14" x14ac:dyDescent="0.3">
      <c r="A2617" t="s">
        <v>37</v>
      </c>
      <c r="B2617">
        <f>VLOOKUP(M2617,Sheet9!$I$1:$J$17,2,FALSE)</f>
        <v>4</v>
      </c>
      <c r="C2617">
        <f>VLOOKUP(N2617,Sheet9!$M$1:$N$2,2,FALSE)</f>
        <v>1</v>
      </c>
      <c r="D2617">
        <v>16</v>
      </c>
      <c r="E2617" t="s">
        <v>95</v>
      </c>
      <c r="F2617">
        <v>100</v>
      </c>
      <c r="H2617">
        <v>12</v>
      </c>
      <c r="I2617">
        <v>1.2</v>
      </c>
      <c r="J2617">
        <v>14.4</v>
      </c>
      <c r="K2617">
        <v>11.14</v>
      </c>
      <c r="L2617">
        <v>11.34</v>
      </c>
      <c r="M2617" t="s">
        <v>37</v>
      </c>
      <c r="N2617" t="s">
        <v>162</v>
      </c>
    </row>
    <row r="2618" spans="1:14" x14ac:dyDescent="0.3">
      <c r="A2618" t="s">
        <v>37</v>
      </c>
      <c r="B2618">
        <f>VLOOKUP(M2618,Sheet9!$I$1:$J$17,2,FALSE)</f>
        <v>4</v>
      </c>
      <c r="C2618">
        <f>VLOOKUP(N2618,Sheet9!$M$1:$N$2,2,FALSE)</f>
        <v>1</v>
      </c>
      <c r="D2618">
        <v>16</v>
      </c>
      <c r="E2618" t="s">
        <v>95</v>
      </c>
      <c r="F2618">
        <v>100</v>
      </c>
      <c r="H2618">
        <v>32</v>
      </c>
      <c r="I2618">
        <v>0.6</v>
      </c>
      <c r="J2618">
        <v>19.2</v>
      </c>
      <c r="K2618">
        <v>8.81</v>
      </c>
      <c r="L2618">
        <v>8.9700000000000006</v>
      </c>
      <c r="M2618" t="s">
        <v>37</v>
      </c>
      <c r="N2618" t="s">
        <v>162</v>
      </c>
    </row>
    <row r="2619" spans="1:14" x14ac:dyDescent="0.3">
      <c r="A2619" t="s">
        <v>37</v>
      </c>
      <c r="B2619">
        <f>VLOOKUP(M2619,Sheet9!$I$1:$J$17,2,FALSE)</f>
        <v>4</v>
      </c>
      <c r="C2619">
        <f>VLOOKUP(N2619,Sheet9!$M$1:$N$2,2,FALSE)</f>
        <v>1</v>
      </c>
      <c r="D2619">
        <v>16</v>
      </c>
      <c r="E2619" t="s">
        <v>167</v>
      </c>
      <c r="F2619">
        <v>100</v>
      </c>
      <c r="H2619">
        <v>32</v>
      </c>
      <c r="I2619">
        <v>0.6</v>
      </c>
      <c r="J2619">
        <v>19.2</v>
      </c>
      <c r="K2619">
        <v>9.4499999999999993</v>
      </c>
      <c r="L2619">
        <v>9.6300000000000008</v>
      </c>
      <c r="M2619" t="s">
        <v>37</v>
      </c>
      <c r="N2619" t="s">
        <v>162</v>
      </c>
    </row>
    <row r="2620" spans="1:14" x14ac:dyDescent="0.3">
      <c r="A2620" t="s">
        <v>37</v>
      </c>
      <c r="B2620">
        <f>VLOOKUP(M2620,Sheet9!$I$1:$J$17,2,FALSE)</f>
        <v>4</v>
      </c>
      <c r="C2620">
        <f>VLOOKUP(N2620,Sheet9!$M$1:$N$2,2,FALSE)</f>
        <v>1</v>
      </c>
      <c r="D2620">
        <v>16</v>
      </c>
      <c r="E2620" t="s">
        <v>167</v>
      </c>
      <c r="F2620">
        <v>100</v>
      </c>
      <c r="H2620">
        <v>32</v>
      </c>
      <c r="I2620">
        <v>0.6</v>
      </c>
      <c r="J2620">
        <v>19.2</v>
      </c>
      <c r="K2620">
        <v>10.75</v>
      </c>
      <c r="L2620">
        <v>10.95</v>
      </c>
      <c r="M2620" t="s">
        <v>37</v>
      </c>
      <c r="N2620" t="s">
        <v>162</v>
      </c>
    </row>
    <row r="2621" spans="1:14" x14ac:dyDescent="0.3">
      <c r="A2621" t="s">
        <v>37</v>
      </c>
      <c r="B2621">
        <f>VLOOKUP(M2621,Sheet9!$I$1:$J$17,2,FALSE)</f>
        <v>4</v>
      </c>
      <c r="C2621">
        <f>VLOOKUP(N2621,Sheet9!$M$1:$N$2,2,FALSE)</f>
        <v>1</v>
      </c>
      <c r="D2621">
        <v>16</v>
      </c>
      <c r="E2621" t="s">
        <v>167</v>
      </c>
      <c r="F2621">
        <v>100</v>
      </c>
      <c r="H2621">
        <v>48</v>
      </c>
      <c r="I2621">
        <v>1.2</v>
      </c>
      <c r="J2621">
        <v>57.599999999999994</v>
      </c>
      <c r="K2621">
        <v>9.76</v>
      </c>
      <c r="L2621">
        <v>9.94</v>
      </c>
      <c r="M2621" t="s">
        <v>37</v>
      </c>
      <c r="N2621" t="s">
        <v>162</v>
      </c>
    </row>
    <row r="2622" spans="1:14" x14ac:dyDescent="0.3">
      <c r="A2622" t="s">
        <v>37</v>
      </c>
      <c r="B2622">
        <f>VLOOKUP(M2622,Sheet9!$I$1:$J$17,2,FALSE)</f>
        <v>4</v>
      </c>
      <c r="C2622">
        <f>VLOOKUP(N2622,Sheet9!$M$1:$N$2,2,FALSE)</f>
        <v>1</v>
      </c>
      <c r="D2622">
        <v>16</v>
      </c>
      <c r="E2622" t="s">
        <v>167</v>
      </c>
      <c r="F2622">
        <v>100</v>
      </c>
      <c r="H2622">
        <v>64</v>
      </c>
      <c r="I2622">
        <v>1.2</v>
      </c>
      <c r="J2622">
        <v>76.8</v>
      </c>
      <c r="K2622">
        <v>9.26</v>
      </c>
      <c r="L2622">
        <v>9.43</v>
      </c>
      <c r="M2622" t="s">
        <v>37</v>
      </c>
      <c r="N2622" t="s">
        <v>162</v>
      </c>
    </row>
    <row r="2623" spans="1:14" x14ac:dyDescent="0.3">
      <c r="A2623" t="s">
        <v>37</v>
      </c>
      <c r="B2623">
        <f>VLOOKUP(M2623,Sheet9!$I$1:$J$17,2,FALSE)</f>
        <v>4</v>
      </c>
      <c r="C2623">
        <f>VLOOKUP(N2623,Sheet9!$M$1:$N$2,2,FALSE)</f>
        <v>1</v>
      </c>
      <c r="D2623">
        <v>16</v>
      </c>
      <c r="E2623" t="s">
        <v>167</v>
      </c>
      <c r="F2623">
        <v>100</v>
      </c>
      <c r="H2623">
        <v>96</v>
      </c>
      <c r="I2623">
        <v>0.6</v>
      </c>
      <c r="J2623">
        <v>57.599999999999994</v>
      </c>
      <c r="K2623">
        <v>8.7100000000000009</v>
      </c>
      <c r="L2623">
        <v>8.8699999999999992</v>
      </c>
      <c r="M2623" t="s">
        <v>37</v>
      </c>
      <c r="N2623" t="s">
        <v>162</v>
      </c>
    </row>
    <row r="2624" spans="1:14" x14ac:dyDescent="0.3">
      <c r="A2624" t="s">
        <v>37</v>
      </c>
      <c r="B2624">
        <f>VLOOKUP(M2624,Sheet9!$I$1:$J$17,2,FALSE)</f>
        <v>4</v>
      </c>
      <c r="C2624">
        <f>VLOOKUP(N2624,Sheet9!$M$1:$N$2,2,FALSE)</f>
        <v>1</v>
      </c>
      <c r="D2624">
        <v>16</v>
      </c>
      <c r="E2624" t="s">
        <v>167</v>
      </c>
      <c r="F2624">
        <v>100</v>
      </c>
      <c r="H2624">
        <v>24</v>
      </c>
      <c r="I2624">
        <v>1.2</v>
      </c>
      <c r="J2624">
        <v>28.799999999999997</v>
      </c>
      <c r="K2624">
        <v>9.58</v>
      </c>
      <c r="L2624">
        <v>9.76</v>
      </c>
      <c r="M2624" t="s">
        <v>37</v>
      </c>
      <c r="N2624" t="s">
        <v>162</v>
      </c>
    </row>
    <row r="2625" spans="1:14" x14ac:dyDescent="0.3">
      <c r="A2625" t="s">
        <v>37</v>
      </c>
      <c r="B2625">
        <f>VLOOKUP(M2625,Sheet9!$I$1:$J$17,2,FALSE)</f>
        <v>4</v>
      </c>
      <c r="C2625">
        <f>VLOOKUP(N2625,Sheet9!$M$1:$N$2,2,FALSE)</f>
        <v>1</v>
      </c>
      <c r="D2625">
        <v>16</v>
      </c>
      <c r="E2625" t="s">
        <v>95</v>
      </c>
      <c r="F2625">
        <v>100</v>
      </c>
      <c r="H2625">
        <v>48</v>
      </c>
      <c r="I2625">
        <v>1.2</v>
      </c>
      <c r="J2625">
        <v>57.599999999999994</v>
      </c>
      <c r="K2625">
        <v>8.7200000000000006</v>
      </c>
      <c r="L2625">
        <v>8.8800000000000008</v>
      </c>
      <c r="M2625" t="s">
        <v>37</v>
      </c>
      <c r="N2625" t="s">
        <v>162</v>
      </c>
    </row>
    <row r="2626" spans="1:14" x14ac:dyDescent="0.3">
      <c r="A2626" t="s">
        <v>37</v>
      </c>
      <c r="B2626">
        <f>VLOOKUP(M2626,Sheet9!$I$1:$J$17,2,FALSE)</f>
        <v>4</v>
      </c>
      <c r="C2626">
        <f>VLOOKUP(N2626,Sheet9!$M$1:$N$2,2,FALSE)</f>
        <v>1</v>
      </c>
      <c r="D2626">
        <v>16</v>
      </c>
      <c r="E2626" t="s">
        <v>95</v>
      </c>
      <c r="F2626">
        <v>110</v>
      </c>
      <c r="H2626">
        <v>2</v>
      </c>
      <c r="I2626">
        <v>1</v>
      </c>
      <c r="J2626">
        <v>2</v>
      </c>
      <c r="K2626">
        <v>10.45</v>
      </c>
      <c r="L2626">
        <v>10.61</v>
      </c>
      <c r="M2626" t="s">
        <v>37</v>
      </c>
      <c r="N2626" t="s">
        <v>162</v>
      </c>
    </row>
    <row r="2627" spans="1:14" x14ac:dyDescent="0.3">
      <c r="A2627" t="s">
        <v>37</v>
      </c>
      <c r="B2627">
        <f>VLOOKUP(M2627,Sheet9!$I$1:$J$17,2,FALSE)</f>
        <v>4</v>
      </c>
      <c r="C2627">
        <f>VLOOKUP(N2627,Sheet9!$M$1:$N$2,2,FALSE)</f>
        <v>1</v>
      </c>
      <c r="D2627">
        <v>16</v>
      </c>
      <c r="E2627" t="s">
        <v>95</v>
      </c>
      <c r="F2627">
        <v>110</v>
      </c>
      <c r="H2627">
        <v>6</v>
      </c>
      <c r="I2627">
        <v>0.6</v>
      </c>
      <c r="J2627">
        <v>3.6</v>
      </c>
      <c r="K2627">
        <v>17.420000000000002</v>
      </c>
      <c r="L2627">
        <v>17.68</v>
      </c>
      <c r="M2627" t="s">
        <v>37</v>
      </c>
      <c r="N2627" t="s">
        <v>162</v>
      </c>
    </row>
    <row r="2628" spans="1:14" x14ac:dyDescent="0.3">
      <c r="A2628" t="s">
        <v>37</v>
      </c>
      <c r="B2628">
        <f>VLOOKUP(M2628,Sheet9!$I$1:$J$17,2,FALSE)</f>
        <v>4</v>
      </c>
      <c r="C2628">
        <f>VLOOKUP(N2628,Sheet9!$M$1:$N$2,2,FALSE)</f>
        <v>1</v>
      </c>
      <c r="D2628">
        <v>16</v>
      </c>
      <c r="E2628" t="s">
        <v>95</v>
      </c>
      <c r="F2628">
        <v>110</v>
      </c>
      <c r="H2628">
        <v>1</v>
      </c>
      <c r="I2628">
        <v>5</v>
      </c>
      <c r="J2628">
        <v>5</v>
      </c>
      <c r="K2628">
        <v>10.1</v>
      </c>
      <c r="L2628">
        <v>10.25</v>
      </c>
      <c r="M2628" t="s">
        <v>37</v>
      </c>
      <c r="N2628" t="s">
        <v>162</v>
      </c>
    </row>
    <row r="2629" spans="1:14" x14ac:dyDescent="0.3">
      <c r="A2629" t="s">
        <v>37</v>
      </c>
      <c r="B2629">
        <f>VLOOKUP(M2629,Sheet9!$I$1:$J$17,2,FALSE)</f>
        <v>4</v>
      </c>
      <c r="C2629">
        <f>VLOOKUP(N2629,Sheet9!$M$1:$N$2,2,FALSE)</f>
        <v>1</v>
      </c>
      <c r="D2629">
        <v>16</v>
      </c>
      <c r="E2629" t="s">
        <v>95</v>
      </c>
      <c r="F2629">
        <v>110</v>
      </c>
      <c r="H2629">
        <v>1</v>
      </c>
      <c r="I2629">
        <v>10</v>
      </c>
      <c r="J2629">
        <v>10</v>
      </c>
      <c r="K2629">
        <v>10.1</v>
      </c>
      <c r="L2629">
        <v>10.25</v>
      </c>
      <c r="M2629" t="s">
        <v>37</v>
      </c>
      <c r="N2629" t="s">
        <v>162</v>
      </c>
    </row>
    <row r="2630" spans="1:14" x14ac:dyDescent="0.3">
      <c r="A2630" t="s">
        <v>37</v>
      </c>
      <c r="B2630">
        <f>VLOOKUP(M2630,Sheet9!$I$1:$J$17,2,FALSE)</f>
        <v>4</v>
      </c>
      <c r="C2630">
        <f>VLOOKUP(N2630,Sheet9!$M$1:$N$2,2,FALSE)</f>
        <v>1</v>
      </c>
      <c r="D2630">
        <v>16</v>
      </c>
      <c r="E2630" t="s">
        <v>95</v>
      </c>
      <c r="F2630">
        <v>110</v>
      </c>
      <c r="H2630">
        <v>12</v>
      </c>
      <c r="I2630">
        <v>1.2</v>
      </c>
      <c r="J2630">
        <v>14.4</v>
      </c>
      <c r="K2630">
        <v>14.41</v>
      </c>
      <c r="L2630">
        <v>14.62</v>
      </c>
      <c r="M2630" t="s">
        <v>37</v>
      </c>
      <c r="N2630" t="s">
        <v>162</v>
      </c>
    </row>
    <row r="2631" spans="1:14" x14ac:dyDescent="0.3">
      <c r="A2631" t="s">
        <v>37</v>
      </c>
      <c r="B2631">
        <f>VLOOKUP(M2631,Sheet9!$I$1:$J$17,2,FALSE)</f>
        <v>4</v>
      </c>
      <c r="C2631">
        <f>VLOOKUP(N2631,Sheet9!$M$1:$N$2,2,FALSE)</f>
        <v>1</v>
      </c>
      <c r="D2631">
        <v>16</v>
      </c>
      <c r="E2631" t="s">
        <v>95</v>
      </c>
      <c r="F2631">
        <v>110</v>
      </c>
      <c r="H2631">
        <v>32</v>
      </c>
      <c r="I2631">
        <v>0.6</v>
      </c>
      <c r="J2631">
        <v>19.2</v>
      </c>
      <c r="K2631">
        <v>11.39</v>
      </c>
      <c r="L2631">
        <v>11.56</v>
      </c>
      <c r="M2631" t="s">
        <v>37</v>
      </c>
      <c r="N2631" t="s">
        <v>162</v>
      </c>
    </row>
    <row r="2632" spans="1:14" x14ac:dyDescent="0.3">
      <c r="A2632" t="s">
        <v>37</v>
      </c>
      <c r="B2632">
        <f>VLOOKUP(M2632,Sheet9!$I$1:$J$17,2,FALSE)</f>
        <v>4</v>
      </c>
      <c r="C2632">
        <f>VLOOKUP(N2632,Sheet9!$M$1:$N$2,2,FALSE)</f>
        <v>1</v>
      </c>
      <c r="D2632">
        <v>16</v>
      </c>
      <c r="E2632" t="s">
        <v>167</v>
      </c>
      <c r="F2632">
        <v>110</v>
      </c>
      <c r="H2632">
        <v>32</v>
      </c>
      <c r="I2632">
        <v>0.6</v>
      </c>
      <c r="J2632">
        <v>19.2</v>
      </c>
      <c r="K2632">
        <v>12.23</v>
      </c>
      <c r="L2632">
        <v>12.41</v>
      </c>
      <c r="M2632" t="s">
        <v>37</v>
      </c>
      <c r="N2632" t="s">
        <v>162</v>
      </c>
    </row>
    <row r="2633" spans="1:14" x14ac:dyDescent="0.3">
      <c r="A2633" t="s">
        <v>37</v>
      </c>
      <c r="B2633">
        <f>VLOOKUP(M2633,Sheet9!$I$1:$J$17,2,FALSE)</f>
        <v>4</v>
      </c>
      <c r="C2633">
        <f>VLOOKUP(N2633,Sheet9!$M$1:$N$2,2,FALSE)</f>
        <v>1</v>
      </c>
      <c r="D2633">
        <v>16</v>
      </c>
      <c r="E2633" t="s">
        <v>167</v>
      </c>
      <c r="F2633">
        <v>110</v>
      </c>
      <c r="H2633">
        <v>32</v>
      </c>
      <c r="I2633">
        <v>0.6</v>
      </c>
      <c r="J2633">
        <v>19.2</v>
      </c>
      <c r="K2633">
        <v>13.91</v>
      </c>
      <c r="L2633">
        <v>14.11</v>
      </c>
      <c r="M2633" t="s">
        <v>37</v>
      </c>
      <c r="N2633" t="s">
        <v>162</v>
      </c>
    </row>
    <row r="2634" spans="1:14" x14ac:dyDescent="0.3">
      <c r="A2634" t="s">
        <v>37</v>
      </c>
      <c r="B2634">
        <f>VLOOKUP(M2634,Sheet9!$I$1:$J$17,2,FALSE)</f>
        <v>4</v>
      </c>
      <c r="C2634">
        <f>VLOOKUP(N2634,Sheet9!$M$1:$N$2,2,FALSE)</f>
        <v>1</v>
      </c>
      <c r="D2634">
        <v>16</v>
      </c>
      <c r="E2634" t="s">
        <v>167</v>
      </c>
      <c r="F2634">
        <v>110</v>
      </c>
      <c r="H2634">
        <v>48</v>
      </c>
      <c r="I2634">
        <v>1.2</v>
      </c>
      <c r="J2634">
        <v>57.599999999999994</v>
      </c>
      <c r="K2634">
        <v>12.62</v>
      </c>
      <c r="L2634">
        <v>12.81</v>
      </c>
      <c r="M2634" t="s">
        <v>37</v>
      </c>
      <c r="N2634" t="s">
        <v>162</v>
      </c>
    </row>
    <row r="2635" spans="1:14" x14ac:dyDescent="0.3">
      <c r="A2635" t="s">
        <v>37</v>
      </c>
      <c r="B2635">
        <f>VLOOKUP(M2635,Sheet9!$I$1:$J$17,2,FALSE)</f>
        <v>4</v>
      </c>
      <c r="C2635">
        <f>VLOOKUP(N2635,Sheet9!$M$1:$N$2,2,FALSE)</f>
        <v>1</v>
      </c>
      <c r="D2635">
        <v>16</v>
      </c>
      <c r="E2635" t="s">
        <v>167</v>
      </c>
      <c r="F2635">
        <v>110</v>
      </c>
      <c r="H2635">
        <v>64</v>
      </c>
      <c r="I2635">
        <v>1.2</v>
      </c>
      <c r="J2635">
        <v>76.8</v>
      </c>
      <c r="K2635">
        <v>11.98</v>
      </c>
      <c r="L2635">
        <v>12.16</v>
      </c>
      <c r="M2635" t="s">
        <v>37</v>
      </c>
      <c r="N2635" t="s">
        <v>162</v>
      </c>
    </row>
    <row r="2636" spans="1:14" x14ac:dyDescent="0.3">
      <c r="A2636" t="s">
        <v>37</v>
      </c>
      <c r="B2636">
        <f>VLOOKUP(M2636,Sheet9!$I$1:$J$17,2,FALSE)</f>
        <v>4</v>
      </c>
      <c r="C2636">
        <f>VLOOKUP(N2636,Sheet9!$M$1:$N$2,2,FALSE)</f>
        <v>1</v>
      </c>
      <c r="D2636">
        <v>16</v>
      </c>
      <c r="E2636" t="s">
        <v>167</v>
      </c>
      <c r="F2636">
        <v>110</v>
      </c>
      <c r="H2636">
        <v>96</v>
      </c>
      <c r="I2636">
        <v>0.6</v>
      </c>
      <c r="J2636">
        <v>57.599999999999994</v>
      </c>
      <c r="K2636">
        <v>11.27</v>
      </c>
      <c r="L2636">
        <v>11.44</v>
      </c>
      <c r="M2636" t="s">
        <v>37</v>
      </c>
      <c r="N2636" t="s">
        <v>162</v>
      </c>
    </row>
    <row r="2637" spans="1:14" x14ac:dyDescent="0.3">
      <c r="A2637" t="s">
        <v>37</v>
      </c>
      <c r="B2637">
        <f>VLOOKUP(M2637,Sheet9!$I$1:$J$17,2,FALSE)</f>
        <v>4</v>
      </c>
      <c r="C2637">
        <f>VLOOKUP(N2637,Sheet9!$M$1:$N$2,2,FALSE)</f>
        <v>1</v>
      </c>
      <c r="D2637">
        <v>16</v>
      </c>
      <c r="E2637" t="s">
        <v>167</v>
      </c>
      <c r="F2637">
        <v>110</v>
      </c>
      <c r="H2637">
        <v>24</v>
      </c>
      <c r="I2637">
        <v>1.2</v>
      </c>
      <c r="J2637">
        <v>28.799999999999997</v>
      </c>
      <c r="K2637">
        <v>12.4</v>
      </c>
      <c r="L2637">
        <v>12.58</v>
      </c>
      <c r="M2637" t="s">
        <v>37</v>
      </c>
      <c r="N2637" t="s">
        <v>162</v>
      </c>
    </row>
    <row r="2638" spans="1:14" x14ac:dyDescent="0.3">
      <c r="A2638" t="s">
        <v>37</v>
      </c>
      <c r="B2638">
        <f>VLOOKUP(M2638,Sheet9!$I$1:$J$17,2,FALSE)</f>
        <v>4</v>
      </c>
      <c r="C2638">
        <f>VLOOKUP(N2638,Sheet9!$M$1:$N$2,2,FALSE)</f>
        <v>1</v>
      </c>
      <c r="D2638">
        <v>16</v>
      </c>
      <c r="E2638" t="s">
        <v>95</v>
      </c>
      <c r="F2638">
        <v>110</v>
      </c>
      <c r="H2638">
        <v>48</v>
      </c>
      <c r="I2638">
        <v>1.2</v>
      </c>
      <c r="J2638">
        <v>57.599999999999994</v>
      </c>
      <c r="K2638">
        <v>11.28</v>
      </c>
      <c r="L2638">
        <v>11.45</v>
      </c>
      <c r="M2638" t="s">
        <v>37</v>
      </c>
      <c r="N2638" t="s">
        <v>162</v>
      </c>
    </row>
    <row r="2639" spans="1:14" x14ac:dyDescent="0.3">
      <c r="A2639" t="s">
        <v>37</v>
      </c>
      <c r="B2639">
        <f>VLOOKUP(M2639,Sheet9!$I$1:$J$17,2,FALSE)</f>
        <v>4</v>
      </c>
      <c r="C2639">
        <f>VLOOKUP(N2639,Sheet9!$M$1:$N$2,2,FALSE)</f>
        <v>1</v>
      </c>
      <c r="D2639">
        <v>16</v>
      </c>
      <c r="E2639" t="s">
        <v>95</v>
      </c>
      <c r="F2639">
        <v>120</v>
      </c>
      <c r="H2639">
        <v>2</v>
      </c>
      <c r="I2639">
        <v>1</v>
      </c>
      <c r="J2639">
        <v>2</v>
      </c>
      <c r="K2639">
        <v>13.06</v>
      </c>
      <c r="L2639">
        <v>13.22</v>
      </c>
      <c r="M2639" t="s">
        <v>37</v>
      </c>
      <c r="N2639" t="s">
        <v>162</v>
      </c>
    </row>
    <row r="2640" spans="1:14" x14ac:dyDescent="0.3">
      <c r="A2640" t="s">
        <v>37</v>
      </c>
      <c r="B2640">
        <f>VLOOKUP(M2640,Sheet9!$I$1:$J$17,2,FALSE)</f>
        <v>4</v>
      </c>
      <c r="C2640">
        <f>VLOOKUP(N2640,Sheet9!$M$1:$N$2,2,FALSE)</f>
        <v>1</v>
      </c>
      <c r="D2640">
        <v>16</v>
      </c>
      <c r="E2640" t="s">
        <v>95</v>
      </c>
      <c r="F2640">
        <v>120</v>
      </c>
      <c r="H2640">
        <v>6</v>
      </c>
      <c r="I2640">
        <v>0.6</v>
      </c>
      <c r="J2640">
        <v>3.6</v>
      </c>
      <c r="K2640">
        <v>21.76</v>
      </c>
      <c r="L2640">
        <v>22.04</v>
      </c>
      <c r="M2640" t="s">
        <v>37</v>
      </c>
      <c r="N2640" t="s">
        <v>162</v>
      </c>
    </row>
    <row r="2641" spans="1:14" x14ac:dyDescent="0.3">
      <c r="A2641" t="s">
        <v>37</v>
      </c>
      <c r="B2641">
        <f>VLOOKUP(M2641,Sheet9!$I$1:$J$17,2,FALSE)</f>
        <v>4</v>
      </c>
      <c r="C2641">
        <f>VLOOKUP(N2641,Sheet9!$M$1:$N$2,2,FALSE)</f>
        <v>1</v>
      </c>
      <c r="D2641">
        <v>16</v>
      </c>
      <c r="E2641" t="s">
        <v>95</v>
      </c>
      <c r="F2641">
        <v>120</v>
      </c>
      <c r="H2641">
        <v>1</v>
      </c>
      <c r="I2641">
        <v>5</v>
      </c>
      <c r="J2641">
        <v>5</v>
      </c>
      <c r="K2641">
        <v>12.62</v>
      </c>
      <c r="L2641">
        <v>12.77</v>
      </c>
      <c r="M2641" t="s">
        <v>37</v>
      </c>
      <c r="N2641" t="s">
        <v>162</v>
      </c>
    </row>
    <row r="2642" spans="1:14" x14ac:dyDescent="0.3">
      <c r="A2642" t="s">
        <v>37</v>
      </c>
      <c r="B2642">
        <f>VLOOKUP(M2642,Sheet9!$I$1:$J$17,2,FALSE)</f>
        <v>4</v>
      </c>
      <c r="C2642">
        <f>VLOOKUP(N2642,Sheet9!$M$1:$N$2,2,FALSE)</f>
        <v>1</v>
      </c>
      <c r="D2642">
        <v>16</v>
      </c>
      <c r="E2642" t="s">
        <v>95</v>
      </c>
      <c r="F2642">
        <v>120</v>
      </c>
      <c r="H2642">
        <v>1</v>
      </c>
      <c r="I2642">
        <v>10</v>
      </c>
      <c r="J2642">
        <v>10</v>
      </c>
      <c r="K2642">
        <v>12.62</v>
      </c>
      <c r="L2642">
        <v>12.77</v>
      </c>
      <c r="M2642" t="s">
        <v>37</v>
      </c>
      <c r="N2642" t="s">
        <v>162</v>
      </c>
    </row>
    <row r="2643" spans="1:14" x14ac:dyDescent="0.3">
      <c r="A2643" t="s">
        <v>37</v>
      </c>
      <c r="B2643">
        <f>VLOOKUP(M2643,Sheet9!$I$1:$J$17,2,FALSE)</f>
        <v>4</v>
      </c>
      <c r="C2643">
        <f>VLOOKUP(N2643,Sheet9!$M$1:$N$2,2,FALSE)</f>
        <v>1</v>
      </c>
      <c r="D2643">
        <v>16</v>
      </c>
      <c r="E2643" t="s">
        <v>95</v>
      </c>
      <c r="F2643">
        <v>120</v>
      </c>
      <c r="H2643">
        <v>12</v>
      </c>
      <c r="I2643">
        <v>1.2</v>
      </c>
      <c r="J2643">
        <v>14.4</v>
      </c>
      <c r="K2643">
        <v>18</v>
      </c>
      <c r="L2643">
        <v>18.22</v>
      </c>
      <c r="M2643" t="s">
        <v>37</v>
      </c>
      <c r="N2643" t="s">
        <v>162</v>
      </c>
    </row>
    <row r="2644" spans="1:14" x14ac:dyDescent="0.3">
      <c r="A2644" t="s">
        <v>37</v>
      </c>
      <c r="B2644">
        <f>VLOOKUP(M2644,Sheet9!$I$1:$J$17,2,FALSE)</f>
        <v>4</v>
      </c>
      <c r="C2644">
        <f>VLOOKUP(N2644,Sheet9!$M$1:$N$2,2,FALSE)</f>
        <v>1</v>
      </c>
      <c r="D2644">
        <v>16</v>
      </c>
      <c r="E2644" t="s">
        <v>95</v>
      </c>
      <c r="F2644">
        <v>120</v>
      </c>
      <c r="H2644">
        <v>32</v>
      </c>
      <c r="I2644">
        <v>0.6</v>
      </c>
      <c r="J2644">
        <v>19.2</v>
      </c>
      <c r="K2644">
        <v>14.23</v>
      </c>
      <c r="L2644">
        <v>14.41</v>
      </c>
      <c r="M2644" t="s">
        <v>37</v>
      </c>
      <c r="N2644" t="s">
        <v>162</v>
      </c>
    </row>
    <row r="2645" spans="1:14" x14ac:dyDescent="0.3">
      <c r="A2645" t="s">
        <v>37</v>
      </c>
      <c r="B2645">
        <f>VLOOKUP(M2645,Sheet9!$I$1:$J$17,2,FALSE)</f>
        <v>4</v>
      </c>
      <c r="C2645">
        <f>VLOOKUP(N2645,Sheet9!$M$1:$N$2,2,FALSE)</f>
        <v>1</v>
      </c>
      <c r="D2645">
        <v>16</v>
      </c>
      <c r="E2645" t="s">
        <v>167</v>
      </c>
      <c r="F2645">
        <v>120</v>
      </c>
      <c r="H2645">
        <v>32</v>
      </c>
      <c r="I2645">
        <v>0.6</v>
      </c>
      <c r="J2645">
        <v>19.2</v>
      </c>
      <c r="K2645">
        <v>15.28</v>
      </c>
      <c r="L2645">
        <v>15.47</v>
      </c>
      <c r="M2645" t="s">
        <v>37</v>
      </c>
      <c r="N2645" t="s">
        <v>162</v>
      </c>
    </row>
    <row r="2646" spans="1:14" x14ac:dyDescent="0.3">
      <c r="A2646" t="s">
        <v>37</v>
      </c>
      <c r="B2646">
        <f>VLOOKUP(M2646,Sheet9!$I$1:$J$17,2,FALSE)</f>
        <v>4</v>
      </c>
      <c r="C2646">
        <f>VLOOKUP(N2646,Sheet9!$M$1:$N$2,2,FALSE)</f>
        <v>1</v>
      </c>
      <c r="D2646">
        <v>16</v>
      </c>
      <c r="E2646" t="s">
        <v>167</v>
      </c>
      <c r="F2646">
        <v>120</v>
      </c>
      <c r="H2646">
        <v>32</v>
      </c>
      <c r="I2646">
        <v>0.6</v>
      </c>
      <c r="J2646">
        <v>19.2</v>
      </c>
      <c r="K2646">
        <v>17.37</v>
      </c>
      <c r="L2646">
        <v>17.59</v>
      </c>
      <c r="M2646" t="s">
        <v>37</v>
      </c>
      <c r="N2646" t="s">
        <v>162</v>
      </c>
    </row>
    <row r="2647" spans="1:14" x14ac:dyDescent="0.3">
      <c r="A2647" t="s">
        <v>37</v>
      </c>
      <c r="B2647">
        <f>VLOOKUP(M2647,Sheet9!$I$1:$J$17,2,FALSE)</f>
        <v>4</v>
      </c>
      <c r="C2647">
        <f>VLOOKUP(N2647,Sheet9!$M$1:$N$2,2,FALSE)</f>
        <v>1</v>
      </c>
      <c r="D2647">
        <v>16</v>
      </c>
      <c r="E2647" t="s">
        <v>167</v>
      </c>
      <c r="F2647">
        <v>120</v>
      </c>
      <c r="H2647">
        <v>48</v>
      </c>
      <c r="I2647">
        <v>1.2</v>
      </c>
      <c r="J2647">
        <v>57.599999999999994</v>
      </c>
      <c r="K2647">
        <v>15.76</v>
      </c>
      <c r="L2647">
        <v>15.96</v>
      </c>
      <c r="M2647" t="s">
        <v>37</v>
      </c>
      <c r="N2647" t="s">
        <v>162</v>
      </c>
    </row>
    <row r="2648" spans="1:14" x14ac:dyDescent="0.3">
      <c r="A2648" t="s">
        <v>37</v>
      </c>
      <c r="B2648">
        <f>VLOOKUP(M2648,Sheet9!$I$1:$J$17,2,FALSE)</f>
        <v>4</v>
      </c>
      <c r="C2648">
        <f>VLOOKUP(N2648,Sheet9!$M$1:$N$2,2,FALSE)</f>
        <v>1</v>
      </c>
      <c r="D2648">
        <v>16</v>
      </c>
      <c r="E2648" t="s">
        <v>167</v>
      </c>
      <c r="F2648">
        <v>120</v>
      </c>
      <c r="H2648">
        <v>64</v>
      </c>
      <c r="I2648">
        <v>1.2</v>
      </c>
      <c r="J2648">
        <v>76.8</v>
      </c>
      <c r="K2648">
        <v>14.96</v>
      </c>
      <c r="L2648">
        <v>15.15</v>
      </c>
      <c r="M2648" t="s">
        <v>37</v>
      </c>
      <c r="N2648" t="s">
        <v>162</v>
      </c>
    </row>
    <row r="2649" spans="1:14" x14ac:dyDescent="0.3">
      <c r="A2649" t="s">
        <v>37</v>
      </c>
      <c r="B2649">
        <f>VLOOKUP(M2649,Sheet9!$I$1:$J$17,2,FALSE)</f>
        <v>4</v>
      </c>
      <c r="C2649">
        <f>VLOOKUP(N2649,Sheet9!$M$1:$N$2,2,FALSE)</f>
        <v>1</v>
      </c>
      <c r="D2649">
        <v>16</v>
      </c>
      <c r="E2649" t="s">
        <v>167</v>
      </c>
      <c r="F2649">
        <v>120</v>
      </c>
      <c r="H2649">
        <v>96</v>
      </c>
      <c r="I2649">
        <v>0.6</v>
      </c>
      <c r="J2649">
        <v>57.599999999999994</v>
      </c>
      <c r="K2649">
        <v>14.07</v>
      </c>
      <c r="L2649">
        <v>14.25</v>
      </c>
      <c r="M2649" t="s">
        <v>37</v>
      </c>
      <c r="N2649" t="s">
        <v>162</v>
      </c>
    </row>
    <row r="2650" spans="1:14" x14ac:dyDescent="0.3">
      <c r="A2650" t="s">
        <v>37</v>
      </c>
      <c r="B2650">
        <f>VLOOKUP(M2650,Sheet9!$I$1:$J$17,2,FALSE)</f>
        <v>4</v>
      </c>
      <c r="C2650">
        <f>VLOOKUP(N2650,Sheet9!$M$1:$N$2,2,FALSE)</f>
        <v>1</v>
      </c>
      <c r="D2650">
        <v>16</v>
      </c>
      <c r="E2650" t="s">
        <v>167</v>
      </c>
      <c r="F2650">
        <v>120</v>
      </c>
      <c r="H2650">
        <v>24</v>
      </c>
      <c r="I2650">
        <v>1.2</v>
      </c>
      <c r="J2650">
        <v>28.799999999999997</v>
      </c>
      <c r="K2650">
        <v>15.49</v>
      </c>
      <c r="L2650">
        <v>15.68</v>
      </c>
      <c r="M2650" t="s">
        <v>37</v>
      </c>
      <c r="N2650" t="s">
        <v>162</v>
      </c>
    </row>
    <row r="2651" spans="1:14" x14ac:dyDescent="0.3">
      <c r="A2651" t="s">
        <v>37</v>
      </c>
      <c r="B2651">
        <f>VLOOKUP(M2651,Sheet9!$I$1:$J$17,2,FALSE)</f>
        <v>4</v>
      </c>
      <c r="C2651">
        <f>VLOOKUP(N2651,Sheet9!$M$1:$N$2,2,FALSE)</f>
        <v>1</v>
      </c>
      <c r="D2651">
        <v>16</v>
      </c>
      <c r="E2651" t="s">
        <v>95</v>
      </c>
      <c r="F2651">
        <v>120</v>
      </c>
      <c r="H2651">
        <v>48</v>
      </c>
      <c r="I2651">
        <v>1.2</v>
      </c>
      <c r="J2651">
        <v>57.599999999999994</v>
      </c>
      <c r="K2651">
        <v>14.09</v>
      </c>
      <c r="L2651">
        <v>14.26</v>
      </c>
      <c r="M2651" t="s">
        <v>37</v>
      </c>
      <c r="N2651" t="s">
        <v>162</v>
      </c>
    </row>
    <row r="2652" spans="1:14" x14ac:dyDescent="0.3">
      <c r="A2652" t="s">
        <v>37</v>
      </c>
      <c r="B2652">
        <f>VLOOKUP(M2652,Sheet9!$I$1:$J$17,2,FALSE)</f>
        <v>4</v>
      </c>
      <c r="C2652">
        <f>VLOOKUP(N2652,Sheet9!$M$1:$N$2,2,FALSE)</f>
        <v>1</v>
      </c>
      <c r="D2652">
        <v>16</v>
      </c>
      <c r="E2652" t="s">
        <v>95</v>
      </c>
      <c r="F2652">
        <v>130</v>
      </c>
      <c r="H2652">
        <v>2</v>
      </c>
      <c r="I2652">
        <v>1</v>
      </c>
      <c r="J2652">
        <v>2</v>
      </c>
      <c r="K2652">
        <v>15.73</v>
      </c>
      <c r="L2652">
        <v>15.92</v>
      </c>
      <c r="M2652" t="s">
        <v>37</v>
      </c>
      <c r="N2652" t="s">
        <v>162</v>
      </c>
    </row>
    <row r="2653" spans="1:14" x14ac:dyDescent="0.3">
      <c r="A2653" t="s">
        <v>37</v>
      </c>
      <c r="B2653">
        <f>VLOOKUP(M2653,Sheet9!$I$1:$J$17,2,FALSE)</f>
        <v>4</v>
      </c>
      <c r="C2653">
        <f>VLOOKUP(N2653,Sheet9!$M$1:$N$2,2,FALSE)</f>
        <v>1</v>
      </c>
      <c r="D2653">
        <v>16</v>
      </c>
      <c r="E2653" t="s">
        <v>95</v>
      </c>
      <c r="F2653">
        <v>130</v>
      </c>
      <c r="H2653">
        <v>6</v>
      </c>
      <c r="I2653">
        <v>0.6</v>
      </c>
      <c r="J2653">
        <v>3.6</v>
      </c>
      <c r="K2653">
        <v>26.21</v>
      </c>
      <c r="L2653">
        <v>26.53</v>
      </c>
      <c r="M2653" t="s">
        <v>37</v>
      </c>
      <c r="N2653" t="s">
        <v>162</v>
      </c>
    </row>
    <row r="2654" spans="1:14" x14ac:dyDescent="0.3">
      <c r="A2654" t="s">
        <v>37</v>
      </c>
      <c r="B2654">
        <f>VLOOKUP(M2654,Sheet9!$I$1:$J$17,2,FALSE)</f>
        <v>4</v>
      </c>
      <c r="C2654">
        <f>VLOOKUP(N2654,Sheet9!$M$1:$N$2,2,FALSE)</f>
        <v>1</v>
      </c>
      <c r="D2654">
        <v>16</v>
      </c>
      <c r="E2654" t="s">
        <v>95</v>
      </c>
      <c r="F2654">
        <v>130</v>
      </c>
      <c r="H2654">
        <v>1</v>
      </c>
      <c r="I2654">
        <v>5</v>
      </c>
      <c r="J2654">
        <v>5</v>
      </c>
      <c r="K2654">
        <v>15.2</v>
      </c>
      <c r="L2654">
        <v>15.38</v>
      </c>
      <c r="M2654" t="s">
        <v>37</v>
      </c>
      <c r="N2654" t="s">
        <v>162</v>
      </c>
    </row>
    <row r="2655" spans="1:14" x14ac:dyDescent="0.3">
      <c r="A2655" t="s">
        <v>37</v>
      </c>
      <c r="B2655">
        <f>VLOOKUP(M2655,Sheet9!$I$1:$J$17,2,FALSE)</f>
        <v>4</v>
      </c>
      <c r="C2655">
        <f>VLOOKUP(N2655,Sheet9!$M$1:$N$2,2,FALSE)</f>
        <v>1</v>
      </c>
      <c r="D2655">
        <v>16</v>
      </c>
      <c r="E2655" t="s">
        <v>95</v>
      </c>
      <c r="F2655">
        <v>130</v>
      </c>
      <c r="H2655">
        <v>1</v>
      </c>
      <c r="I2655">
        <v>10</v>
      </c>
      <c r="J2655">
        <v>10</v>
      </c>
      <c r="K2655">
        <v>15.2</v>
      </c>
      <c r="L2655">
        <v>15.38</v>
      </c>
      <c r="M2655" t="s">
        <v>37</v>
      </c>
      <c r="N2655" t="s">
        <v>162</v>
      </c>
    </row>
    <row r="2656" spans="1:14" x14ac:dyDescent="0.3">
      <c r="A2656" t="s">
        <v>37</v>
      </c>
      <c r="B2656">
        <f>VLOOKUP(M2656,Sheet9!$I$1:$J$17,2,FALSE)</f>
        <v>4</v>
      </c>
      <c r="C2656">
        <f>VLOOKUP(N2656,Sheet9!$M$1:$N$2,2,FALSE)</f>
        <v>1</v>
      </c>
      <c r="D2656">
        <v>16</v>
      </c>
      <c r="E2656" t="s">
        <v>95</v>
      </c>
      <c r="F2656">
        <v>130</v>
      </c>
      <c r="H2656">
        <v>12</v>
      </c>
      <c r="I2656">
        <v>1.2</v>
      </c>
      <c r="J2656">
        <v>14.4</v>
      </c>
      <c r="K2656">
        <v>21.68</v>
      </c>
      <c r="L2656">
        <v>21.93</v>
      </c>
      <c r="M2656" t="s">
        <v>37</v>
      </c>
      <c r="N2656" t="s">
        <v>162</v>
      </c>
    </row>
    <row r="2657" spans="1:14" x14ac:dyDescent="0.3">
      <c r="A2657" t="s">
        <v>37</v>
      </c>
      <c r="B2657">
        <f>VLOOKUP(M2657,Sheet9!$I$1:$J$17,2,FALSE)</f>
        <v>4</v>
      </c>
      <c r="C2657">
        <f>VLOOKUP(N2657,Sheet9!$M$1:$N$2,2,FALSE)</f>
        <v>1</v>
      </c>
      <c r="D2657">
        <v>16</v>
      </c>
      <c r="E2657" t="s">
        <v>95</v>
      </c>
      <c r="F2657">
        <v>130</v>
      </c>
      <c r="H2657">
        <v>32</v>
      </c>
      <c r="I2657">
        <v>0.6</v>
      </c>
      <c r="J2657">
        <v>19.2</v>
      </c>
      <c r="K2657">
        <v>17.14</v>
      </c>
      <c r="L2657">
        <v>17.34</v>
      </c>
      <c r="M2657" t="s">
        <v>37</v>
      </c>
      <c r="N2657" t="s">
        <v>162</v>
      </c>
    </row>
    <row r="2658" spans="1:14" x14ac:dyDescent="0.3">
      <c r="A2658" t="s">
        <v>37</v>
      </c>
      <c r="B2658">
        <f>VLOOKUP(M2658,Sheet9!$I$1:$J$17,2,FALSE)</f>
        <v>4</v>
      </c>
      <c r="C2658">
        <f>VLOOKUP(N2658,Sheet9!$M$1:$N$2,2,FALSE)</f>
        <v>1</v>
      </c>
      <c r="D2658">
        <v>16</v>
      </c>
      <c r="E2658" t="s">
        <v>167</v>
      </c>
      <c r="F2658">
        <v>130</v>
      </c>
      <c r="H2658">
        <v>32</v>
      </c>
      <c r="I2658">
        <v>0.6</v>
      </c>
      <c r="J2658">
        <v>19.2</v>
      </c>
      <c r="K2658">
        <v>18.399999999999999</v>
      </c>
      <c r="L2658">
        <v>18.62</v>
      </c>
      <c r="M2658" t="s">
        <v>37</v>
      </c>
      <c r="N2658" t="s">
        <v>162</v>
      </c>
    </row>
    <row r="2659" spans="1:14" x14ac:dyDescent="0.3">
      <c r="A2659" t="s">
        <v>37</v>
      </c>
      <c r="B2659">
        <f>VLOOKUP(M2659,Sheet9!$I$1:$J$17,2,FALSE)</f>
        <v>4</v>
      </c>
      <c r="C2659">
        <f>VLOOKUP(N2659,Sheet9!$M$1:$N$2,2,FALSE)</f>
        <v>1</v>
      </c>
      <c r="D2659">
        <v>16</v>
      </c>
      <c r="E2659" t="s">
        <v>167</v>
      </c>
      <c r="F2659">
        <v>130</v>
      </c>
      <c r="H2659">
        <v>32</v>
      </c>
      <c r="I2659">
        <v>0.6</v>
      </c>
      <c r="J2659">
        <v>19.2</v>
      </c>
      <c r="K2659">
        <v>20.92</v>
      </c>
      <c r="L2659">
        <v>21.17</v>
      </c>
      <c r="M2659" t="s">
        <v>37</v>
      </c>
      <c r="N2659" t="s">
        <v>162</v>
      </c>
    </row>
    <row r="2660" spans="1:14" x14ac:dyDescent="0.3">
      <c r="A2660" t="s">
        <v>37</v>
      </c>
      <c r="B2660">
        <f>VLOOKUP(M2660,Sheet9!$I$1:$J$17,2,FALSE)</f>
        <v>4</v>
      </c>
      <c r="C2660">
        <f>VLOOKUP(N2660,Sheet9!$M$1:$N$2,2,FALSE)</f>
        <v>1</v>
      </c>
      <c r="D2660">
        <v>16</v>
      </c>
      <c r="E2660" t="s">
        <v>167</v>
      </c>
      <c r="F2660">
        <v>130</v>
      </c>
      <c r="H2660">
        <v>48</v>
      </c>
      <c r="I2660">
        <v>1.2</v>
      </c>
      <c r="J2660">
        <v>57.599999999999994</v>
      </c>
      <c r="K2660">
        <v>18.989999999999998</v>
      </c>
      <c r="L2660">
        <v>19.21</v>
      </c>
      <c r="M2660" t="s">
        <v>37</v>
      </c>
      <c r="N2660" t="s">
        <v>162</v>
      </c>
    </row>
    <row r="2661" spans="1:14" x14ac:dyDescent="0.3">
      <c r="A2661" t="s">
        <v>37</v>
      </c>
      <c r="B2661">
        <f>VLOOKUP(M2661,Sheet9!$I$1:$J$17,2,FALSE)</f>
        <v>4</v>
      </c>
      <c r="C2661">
        <f>VLOOKUP(N2661,Sheet9!$M$1:$N$2,2,FALSE)</f>
        <v>1</v>
      </c>
      <c r="D2661">
        <v>16</v>
      </c>
      <c r="E2661" t="s">
        <v>167</v>
      </c>
      <c r="F2661">
        <v>130</v>
      </c>
      <c r="H2661">
        <v>64</v>
      </c>
      <c r="I2661">
        <v>1.2</v>
      </c>
      <c r="J2661">
        <v>76.8</v>
      </c>
      <c r="K2661">
        <v>18.02</v>
      </c>
      <c r="L2661">
        <v>18.239999999999998</v>
      </c>
      <c r="M2661" t="s">
        <v>37</v>
      </c>
      <c r="N2661" t="s">
        <v>162</v>
      </c>
    </row>
    <row r="2662" spans="1:14" x14ac:dyDescent="0.3">
      <c r="A2662" t="s">
        <v>37</v>
      </c>
      <c r="B2662">
        <f>VLOOKUP(M2662,Sheet9!$I$1:$J$17,2,FALSE)</f>
        <v>4</v>
      </c>
      <c r="C2662">
        <f>VLOOKUP(N2662,Sheet9!$M$1:$N$2,2,FALSE)</f>
        <v>1</v>
      </c>
      <c r="D2662">
        <v>16</v>
      </c>
      <c r="E2662" t="s">
        <v>167</v>
      </c>
      <c r="F2662">
        <v>130</v>
      </c>
      <c r="H2662">
        <v>96</v>
      </c>
      <c r="I2662">
        <v>0.6</v>
      </c>
      <c r="J2662">
        <v>57.599999999999994</v>
      </c>
      <c r="K2662">
        <v>16.95</v>
      </c>
      <c r="L2662">
        <v>17.149999999999999</v>
      </c>
      <c r="M2662" t="s">
        <v>37</v>
      </c>
      <c r="N2662" t="s">
        <v>162</v>
      </c>
    </row>
    <row r="2663" spans="1:14" x14ac:dyDescent="0.3">
      <c r="A2663" t="s">
        <v>37</v>
      </c>
      <c r="B2663">
        <f>VLOOKUP(M2663,Sheet9!$I$1:$J$17,2,FALSE)</f>
        <v>4</v>
      </c>
      <c r="C2663">
        <f>VLOOKUP(N2663,Sheet9!$M$1:$N$2,2,FALSE)</f>
        <v>1</v>
      </c>
      <c r="D2663">
        <v>16</v>
      </c>
      <c r="E2663" t="s">
        <v>167</v>
      </c>
      <c r="F2663">
        <v>130</v>
      </c>
      <c r="H2663">
        <v>24</v>
      </c>
      <c r="I2663">
        <v>1.2</v>
      </c>
      <c r="J2663">
        <v>28.799999999999997</v>
      </c>
      <c r="K2663">
        <v>18.649999999999999</v>
      </c>
      <c r="L2663">
        <v>18.87</v>
      </c>
      <c r="M2663" t="s">
        <v>37</v>
      </c>
      <c r="N2663" t="s">
        <v>162</v>
      </c>
    </row>
    <row r="2664" spans="1:14" x14ac:dyDescent="0.3">
      <c r="A2664" t="s">
        <v>37</v>
      </c>
      <c r="B2664">
        <f>VLOOKUP(M2664,Sheet9!$I$1:$J$17,2,FALSE)</f>
        <v>4</v>
      </c>
      <c r="C2664">
        <f>VLOOKUP(N2664,Sheet9!$M$1:$N$2,2,FALSE)</f>
        <v>1</v>
      </c>
      <c r="D2664">
        <v>16</v>
      </c>
      <c r="E2664" t="s">
        <v>95</v>
      </c>
      <c r="F2664">
        <v>130</v>
      </c>
      <c r="H2664">
        <v>48</v>
      </c>
      <c r="I2664">
        <v>1.2</v>
      </c>
      <c r="J2664">
        <v>57.599999999999994</v>
      </c>
      <c r="K2664">
        <v>16.97</v>
      </c>
      <c r="L2664">
        <v>17.170000000000002</v>
      </c>
      <c r="M2664" t="s">
        <v>37</v>
      </c>
      <c r="N2664" t="s">
        <v>162</v>
      </c>
    </row>
    <row r="2665" spans="1:14" x14ac:dyDescent="0.3">
      <c r="A2665" t="s">
        <v>37</v>
      </c>
      <c r="B2665">
        <f>VLOOKUP(M2665,Sheet9!$I$1:$J$17,2,FALSE)</f>
        <v>4</v>
      </c>
      <c r="C2665">
        <f>VLOOKUP(N2665,Sheet9!$M$1:$N$2,2,FALSE)</f>
        <v>1</v>
      </c>
      <c r="D2665">
        <v>16</v>
      </c>
      <c r="E2665" t="s">
        <v>95</v>
      </c>
      <c r="F2665">
        <v>140</v>
      </c>
      <c r="H2665">
        <v>2</v>
      </c>
      <c r="I2665">
        <v>1</v>
      </c>
      <c r="J2665">
        <v>2</v>
      </c>
      <c r="K2665">
        <v>18.55</v>
      </c>
      <c r="L2665">
        <v>18.75</v>
      </c>
      <c r="M2665" t="s">
        <v>37</v>
      </c>
      <c r="N2665" t="s">
        <v>162</v>
      </c>
    </row>
    <row r="2666" spans="1:14" x14ac:dyDescent="0.3">
      <c r="A2666" t="s">
        <v>37</v>
      </c>
      <c r="B2666">
        <f>VLOOKUP(M2666,Sheet9!$I$1:$J$17,2,FALSE)</f>
        <v>4</v>
      </c>
      <c r="C2666">
        <f>VLOOKUP(N2666,Sheet9!$M$1:$N$2,2,FALSE)</f>
        <v>1</v>
      </c>
      <c r="D2666">
        <v>16</v>
      </c>
      <c r="E2666" t="s">
        <v>95</v>
      </c>
      <c r="F2666">
        <v>140</v>
      </c>
      <c r="H2666">
        <v>6</v>
      </c>
      <c r="I2666">
        <v>0.6</v>
      </c>
      <c r="J2666">
        <v>3.6</v>
      </c>
      <c r="K2666">
        <v>30.92</v>
      </c>
      <c r="L2666">
        <v>31.25</v>
      </c>
      <c r="M2666" t="s">
        <v>37</v>
      </c>
      <c r="N2666" t="s">
        <v>162</v>
      </c>
    </row>
    <row r="2667" spans="1:14" x14ac:dyDescent="0.3">
      <c r="A2667" t="s">
        <v>37</v>
      </c>
      <c r="B2667">
        <f>VLOOKUP(M2667,Sheet9!$I$1:$J$17,2,FALSE)</f>
        <v>4</v>
      </c>
      <c r="C2667">
        <f>VLOOKUP(N2667,Sheet9!$M$1:$N$2,2,FALSE)</f>
        <v>1</v>
      </c>
      <c r="D2667">
        <v>16</v>
      </c>
      <c r="E2667" t="s">
        <v>95</v>
      </c>
      <c r="F2667">
        <v>140</v>
      </c>
      <c r="H2667">
        <v>1</v>
      </c>
      <c r="I2667">
        <v>5</v>
      </c>
      <c r="J2667">
        <v>5</v>
      </c>
      <c r="K2667">
        <v>17.93</v>
      </c>
      <c r="L2667">
        <v>18.12</v>
      </c>
      <c r="M2667" t="s">
        <v>37</v>
      </c>
      <c r="N2667" t="s">
        <v>162</v>
      </c>
    </row>
    <row r="2668" spans="1:14" x14ac:dyDescent="0.3">
      <c r="A2668" t="s">
        <v>37</v>
      </c>
      <c r="B2668">
        <f>VLOOKUP(M2668,Sheet9!$I$1:$J$17,2,FALSE)</f>
        <v>4</v>
      </c>
      <c r="C2668">
        <f>VLOOKUP(N2668,Sheet9!$M$1:$N$2,2,FALSE)</f>
        <v>1</v>
      </c>
      <c r="D2668">
        <v>16</v>
      </c>
      <c r="E2668" t="s">
        <v>95</v>
      </c>
      <c r="F2668">
        <v>140</v>
      </c>
      <c r="H2668">
        <v>1</v>
      </c>
      <c r="I2668">
        <v>10</v>
      </c>
      <c r="J2668">
        <v>10</v>
      </c>
      <c r="K2668">
        <v>17.93</v>
      </c>
      <c r="L2668">
        <v>18.12</v>
      </c>
      <c r="M2668" t="s">
        <v>37</v>
      </c>
      <c r="N2668" t="s">
        <v>162</v>
      </c>
    </row>
    <row r="2669" spans="1:14" x14ac:dyDescent="0.3">
      <c r="A2669" t="s">
        <v>37</v>
      </c>
      <c r="B2669">
        <f>VLOOKUP(M2669,Sheet9!$I$1:$J$17,2,FALSE)</f>
        <v>4</v>
      </c>
      <c r="C2669">
        <f>VLOOKUP(N2669,Sheet9!$M$1:$N$2,2,FALSE)</f>
        <v>1</v>
      </c>
      <c r="D2669">
        <v>16</v>
      </c>
      <c r="E2669" t="s">
        <v>95</v>
      </c>
      <c r="F2669">
        <v>140</v>
      </c>
      <c r="H2669">
        <v>12</v>
      </c>
      <c r="I2669">
        <v>1.2</v>
      </c>
      <c r="J2669">
        <v>14.4</v>
      </c>
      <c r="K2669">
        <v>25.57</v>
      </c>
      <c r="L2669">
        <v>25.84</v>
      </c>
      <c r="M2669" t="s">
        <v>37</v>
      </c>
      <c r="N2669" t="s">
        <v>162</v>
      </c>
    </row>
    <row r="2670" spans="1:14" x14ac:dyDescent="0.3">
      <c r="A2670" t="s">
        <v>37</v>
      </c>
      <c r="B2670">
        <f>VLOOKUP(M2670,Sheet9!$I$1:$J$17,2,FALSE)</f>
        <v>4</v>
      </c>
      <c r="C2670">
        <f>VLOOKUP(N2670,Sheet9!$M$1:$N$2,2,FALSE)</f>
        <v>1</v>
      </c>
      <c r="D2670">
        <v>16</v>
      </c>
      <c r="E2670" t="s">
        <v>95</v>
      </c>
      <c r="F2670">
        <v>140</v>
      </c>
      <c r="H2670">
        <v>32</v>
      </c>
      <c r="I2670">
        <v>0.6</v>
      </c>
      <c r="J2670">
        <v>19.2</v>
      </c>
      <c r="K2670">
        <v>20.22</v>
      </c>
      <c r="L2670">
        <v>20.43</v>
      </c>
      <c r="M2670" t="s">
        <v>37</v>
      </c>
      <c r="N2670" t="s">
        <v>162</v>
      </c>
    </row>
    <row r="2671" spans="1:14" x14ac:dyDescent="0.3">
      <c r="A2671" t="s">
        <v>37</v>
      </c>
      <c r="B2671">
        <f>VLOOKUP(M2671,Sheet9!$I$1:$J$17,2,FALSE)</f>
        <v>4</v>
      </c>
      <c r="C2671">
        <f>VLOOKUP(N2671,Sheet9!$M$1:$N$2,2,FALSE)</f>
        <v>1</v>
      </c>
      <c r="D2671">
        <v>16</v>
      </c>
      <c r="E2671" t="s">
        <v>167</v>
      </c>
      <c r="F2671">
        <v>140</v>
      </c>
      <c r="H2671">
        <v>32</v>
      </c>
      <c r="I2671">
        <v>0.6</v>
      </c>
      <c r="J2671">
        <v>19.2</v>
      </c>
      <c r="K2671">
        <v>21.7</v>
      </c>
      <c r="L2671">
        <v>21.94</v>
      </c>
      <c r="M2671" t="s">
        <v>37</v>
      </c>
      <c r="N2671" t="s">
        <v>162</v>
      </c>
    </row>
    <row r="2672" spans="1:14" x14ac:dyDescent="0.3">
      <c r="A2672" t="s">
        <v>37</v>
      </c>
      <c r="B2672">
        <f>VLOOKUP(M2672,Sheet9!$I$1:$J$17,2,FALSE)</f>
        <v>4</v>
      </c>
      <c r="C2672">
        <f>VLOOKUP(N2672,Sheet9!$M$1:$N$2,2,FALSE)</f>
        <v>1</v>
      </c>
      <c r="D2672">
        <v>16</v>
      </c>
      <c r="E2672" t="s">
        <v>167</v>
      </c>
      <c r="F2672">
        <v>140</v>
      </c>
      <c r="H2672">
        <v>32</v>
      </c>
      <c r="I2672">
        <v>0.6</v>
      </c>
      <c r="J2672">
        <v>19.2</v>
      </c>
      <c r="K2672">
        <v>24.68</v>
      </c>
      <c r="L2672">
        <v>24.94</v>
      </c>
      <c r="M2672" t="s">
        <v>37</v>
      </c>
      <c r="N2672" t="s">
        <v>162</v>
      </c>
    </row>
    <row r="2673" spans="1:14" x14ac:dyDescent="0.3">
      <c r="A2673" t="s">
        <v>37</v>
      </c>
      <c r="B2673">
        <f>VLOOKUP(M2673,Sheet9!$I$1:$J$17,2,FALSE)</f>
        <v>4</v>
      </c>
      <c r="C2673">
        <f>VLOOKUP(N2673,Sheet9!$M$1:$N$2,2,FALSE)</f>
        <v>1</v>
      </c>
      <c r="D2673">
        <v>16</v>
      </c>
      <c r="E2673" t="s">
        <v>167</v>
      </c>
      <c r="F2673">
        <v>140</v>
      </c>
      <c r="H2673">
        <v>48</v>
      </c>
      <c r="I2673">
        <v>1.2</v>
      </c>
      <c r="J2673">
        <v>57.599999999999994</v>
      </c>
      <c r="K2673">
        <v>22.4</v>
      </c>
      <c r="L2673">
        <v>22.64</v>
      </c>
      <c r="M2673" t="s">
        <v>37</v>
      </c>
      <c r="N2673" t="s">
        <v>162</v>
      </c>
    </row>
    <row r="2674" spans="1:14" x14ac:dyDescent="0.3">
      <c r="A2674" t="s">
        <v>37</v>
      </c>
      <c r="B2674">
        <f>VLOOKUP(M2674,Sheet9!$I$1:$J$17,2,FALSE)</f>
        <v>4</v>
      </c>
      <c r="C2674">
        <f>VLOOKUP(N2674,Sheet9!$M$1:$N$2,2,FALSE)</f>
        <v>1</v>
      </c>
      <c r="D2674">
        <v>16</v>
      </c>
      <c r="E2674" t="s">
        <v>167</v>
      </c>
      <c r="F2674">
        <v>140</v>
      </c>
      <c r="H2674">
        <v>64</v>
      </c>
      <c r="I2674">
        <v>1.2</v>
      </c>
      <c r="J2674">
        <v>76.8</v>
      </c>
      <c r="K2674">
        <v>21.26</v>
      </c>
      <c r="L2674">
        <v>21.49</v>
      </c>
      <c r="M2674" t="s">
        <v>37</v>
      </c>
      <c r="N2674" t="s">
        <v>162</v>
      </c>
    </row>
    <row r="2675" spans="1:14" x14ac:dyDescent="0.3">
      <c r="A2675" t="s">
        <v>37</v>
      </c>
      <c r="B2675">
        <f>VLOOKUP(M2675,Sheet9!$I$1:$J$17,2,FALSE)</f>
        <v>4</v>
      </c>
      <c r="C2675">
        <f>VLOOKUP(N2675,Sheet9!$M$1:$N$2,2,FALSE)</f>
        <v>1</v>
      </c>
      <c r="D2675">
        <v>16</v>
      </c>
      <c r="E2675" t="s">
        <v>167</v>
      </c>
      <c r="F2675">
        <v>140</v>
      </c>
      <c r="H2675">
        <v>96</v>
      </c>
      <c r="I2675">
        <v>0.6</v>
      </c>
      <c r="J2675">
        <v>57.599999999999994</v>
      </c>
      <c r="K2675">
        <v>20</v>
      </c>
      <c r="L2675">
        <v>20.21</v>
      </c>
      <c r="M2675" t="s">
        <v>37</v>
      </c>
      <c r="N2675" t="s">
        <v>162</v>
      </c>
    </row>
    <row r="2676" spans="1:14" x14ac:dyDescent="0.3">
      <c r="A2676" t="s">
        <v>37</v>
      </c>
      <c r="B2676">
        <f>VLOOKUP(M2676,Sheet9!$I$1:$J$17,2,FALSE)</f>
        <v>4</v>
      </c>
      <c r="C2676">
        <f>VLOOKUP(N2676,Sheet9!$M$1:$N$2,2,FALSE)</f>
        <v>1</v>
      </c>
      <c r="D2676">
        <v>16</v>
      </c>
      <c r="E2676" t="s">
        <v>167</v>
      </c>
      <c r="F2676">
        <v>140</v>
      </c>
      <c r="H2676">
        <v>24</v>
      </c>
      <c r="I2676">
        <v>1.2</v>
      </c>
      <c r="J2676">
        <v>28.799999999999997</v>
      </c>
      <c r="K2676">
        <v>22</v>
      </c>
      <c r="L2676">
        <v>22.24</v>
      </c>
      <c r="M2676" t="s">
        <v>37</v>
      </c>
      <c r="N2676" t="s">
        <v>162</v>
      </c>
    </row>
    <row r="2677" spans="1:14" x14ac:dyDescent="0.3">
      <c r="A2677" t="s">
        <v>37</v>
      </c>
      <c r="B2677">
        <f>VLOOKUP(M2677,Sheet9!$I$1:$J$17,2,FALSE)</f>
        <v>4</v>
      </c>
      <c r="C2677">
        <f>VLOOKUP(N2677,Sheet9!$M$1:$N$2,2,FALSE)</f>
        <v>1</v>
      </c>
      <c r="D2677">
        <v>16</v>
      </c>
      <c r="E2677" t="s">
        <v>95</v>
      </c>
      <c r="F2677">
        <v>140</v>
      </c>
      <c r="H2677">
        <v>48</v>
      </c>
      <c r="I2677">
        <v>1.2</v>
      </c>
      <c r="J2677">
        <v>57.599999999999994</v>
      </c>
      <c r="K2677">
        <v>20.010000000000002</v>
      </c>
      <c r="L2677">
        <v>20.23</v>
      </c>
      <c r="M2677" t="s">
        <v>37</v>
      </c>
      <c r="N2677" t="s">
        <v>162</v>
      </c>
    </row>
    <row r="2678" spans="1:14" x14ac:dyDescent="0.3">
      <c r="A2678" t="s">
        <v>37</v>
      </c>
      <c r="B2678">
        <f>VLOOKUP(M2678,Sheet9!$I$1:$J$17,2,FALSE)</f>
        <v>4</v>
      </c>
      <c r="C2678">
        <f>VLOOKUP(N2678,Sheet9!$M$1:$N$2,2,FALSE)</f>
        <v>1</v>
      </c>
      <c r="D2678">
        <v>16</v>
      </c>
      <c r="E2678" t="s">
        <v>95</v>
      </c>
      <c r="F2678">
        <v>150</v>
      </c>
      <c r="H2678">
        <v>2</v>
      </c>
      <c r="I2678">
        <v>1</v>
      </c>
      <c r="J2678">
        <v>2</v>
      </c>
      <c r="K2678">
        <v>21.49</v>
      </c>
      <c r="L2678">
        <v>21.73</v>
      </c>
      <c r="M2678" t="s">
        <v>37</v>
      </c>
      <c r="N2678" t="s">
        <v>162</v>
      </c>
    </row>
    <row r="2679" spans="1:14" x14ac:dyDescent="0.3">
      <c r="A2679" t="s">
        <v>37</v>
      </c>
      <c r="B2679">
        <f>VLOOKUP(M2679,Sheet9!$I$1:$J$17,2,FALSE)</f>
        <v>4</v>
      </c>
      <c r="C2679">
        <f>VLOOKUP(N2679,Sheet9!$M$1:$N$2,2,FALSE)</f>
        <v>1</v>
      </c>
      <c r="D2679">
        <v>16</v>
      </c>
      <c r="E2679" t="s">
        <v>95</v>
      </c>
      <c r="F2679">
        <v>150</v>
      </c>
      <c r="H2679">
        <v>6</v>
      </c>
      <c r="I2679">
        <v>0.6</v>
      </c>
      <c r="J2679">
        <v>3.6</v>
      </c>
      <c r="K2679">
        <v>35.82</v>
      </c>
      <c r="L2679">
        <v>36.22</v>
      </c>
      <c r="M2679" t="s">
        <v>37</v>
      </c>
      <c r="N2679" t="s">
        <v>162</v>
      </c>
    </row>
    <row r="2680" spans="1:14" x14ac:dyDescent="0.3">
      <c r="A2680" t="s">
        <v>37</v>
      </c>
      <c r="B2680">
        <f>VLOOKUP(M2680,Sheet9!$I$1:$J$17,2,FALSE)</f>
        <v>4</v>
      </c>
      <c r="C2680">
        <f>VLOOKUP(N2680,Sheet9!$M$1:$N$2,2,FALSE)</f>
        <v>1</v>
      </c>
      <c r="D2680">
        <v>16</v>
      </c>
      <c r="E2680" t="s">
        <v>95</v>
      </c>
      <c r="F2680">
        <v>150</v>
      </c>
      <c r="H2680">
        <v>1</v>
      </c>
      <c r="I2680">
        <v>5</v>
      </c>
      <c r="J2680">
        <v>5</v>
      </c>
      <c r="K2680">
        <v>20.77</v>
      </c>
      <c r="L2680">
        <v>21</v>
      </c>
      <c r="M2680" t="s">
        <v>37</v>
      </c>
      <c r="N2680" t="s">
        <v>162</v>
      </c>
    </row>
    <row r="2681" spans="1:14" x14ac:dyDescent="0.3">
      <c r="A2681" t="s">
        <v>37</v>
      </c>
      <c r="B2681">
        <f>VLOOKUP(M2681,Sheet9!$I$1:$J$17,2,FALSE)</f>
        <v>4</v>
      </c>
      <c r="C2681">
        <f>VLOOKUP(N2681,Sheet9!$M$1:$N$2,2,FALSE)</f>
        <v>1</v>
      </c>
      <c r="D2681">
        <v>16</v>
      </c>
      <c r="E2681" t="s">
        <v>95</v>
      </c>
      <c r="F2681">
        <v>150</v>
      </c>
      <c r="H2681">
        <v>1</v>
      </c>
      <c r="I2681">
        <v>10</v>
      </c>
      <c r="J2681">
        <v>10</v>
      </c>
      <c r="K2681">
        <v>20.77</v>
      </c>
      <c r="L2681">
        <v>21</v>
      </c>
      <c r="M2681" t="s">
        <v>37</v>
      </c>
      <c r="N2681" t="s">
        <v>162</v>
      </c>
    </row>
    <row r="2682" spans="1:14" x14ac:dyDescent="0.3">
      <c r="A2682" t="s">
        <v>37</v>
      </c>
      <c r="B2682">
        <f>VLOOKUP(M2682,Sheet9!$I$1:$J$17,2,FALSE)</f>
        <v>4</v>
      </c>
      <c r="C2682">
        <f>VLOOKUP(N2682,Sheet9!$M$1:$N$2,2,FALSE)</f>
        <v>1</v>
      </c>
      <c r="D2682">
        <v>16</v>
      </c>
      <c r="E2682" t="s">
        <v>95</v>
      </c>
      <c r="F2682">
        <v>150</v>
      </c>
      <c r="H2682">
        <v>12</v>
      </c>
      <c r="I2682">
        <v>1.2</v>
      </c>
      <c r="J2682">
        <v>14.4</v>
      </c>
      <c r="K2682">
        <v>29.62</v>
      </c>
      <c r="L2682">
        <v>29.95</v>
      </c>
      <c r="M2682" t="s">
        <v>37</v>
      </c>
      <c r="N2682" t="s">
        <v>162</v>
      </c>
    </row>
    <row r="2683" spans="1:14" x14ac:dyDescent="0.3">
      <c r="A2683" t="s">
        <v>37</v>
      </c>
      <c r="B2683">
        <f>VLOOKUP(M2683,Sheet9!$I$1:$J$17,2,FALSE)</f>
        <v>4</v>
      </c>
      <c r="C2683">
        <f>VLOOKUP(N2683,Sheet9!$M$1:$N$2,2,FALSE)</f>
        <v>1</v>
      </c>
      <c r="D2683">
        <v>16</v>
      </c>
      <c r="E2683" t="s">
        <v>95</v>
      </c>
      <c r="F2683">
        <v>150</v>
      </c>
      <c r="H2683">
        <v>32</v>
      </c>
      <c r="I2683">
        <v>0.6</v>
      </c>
      <c r="J2683">
        <v>19.2</v>
      </c>
      <c r="K2683">
        <v>23.42</v>
      </c>
      <c r="L2683">
        <v>23.68</v>
      </c>
      <c r="M2683" t="s">
        <v>37</v>
      </c>
      <c r="N2683" t="s">
        <v>162</v>
      </c>
    </row>
    <row r="2684" spans="1:14" x14ac:dyDescent="0.3">
      <c r="A2684" t="s">
        <v>37</v>
      </c>
      <c r="B2684">
        <f>VLOOKUP(M2684,Sheet9!$I$1:$J$17,2,FALSE)</f>
        <v>4</v>
      </c>
      <c r="C2684">
        <f>VLOOKUP(N2684,Sheet9!$M$1:$N$2,2,FALSE)</f>
        <v>1</v>
      </c>
      <c r="D2684">
        <v>16</v>
      </c>
      <c r="E2684" t="s">
        <v>167</v>
      </c>
      <c r="F2684">
        <v>150</v>
      </c>
      <c r="H2684">
        <v>32</v>
      </c>
      <c r="I2684">
        <v>0.6</v>
      </c>
      <c r="J2684">
        <v>19.2</v>
      </c>
      <c r="K2684">
        <v>25.15</v>
      </c>
      <c r="L2684">
        <v>25.42</v>
      </c>
      <c r="M2684" t="s">
        <v>37</v>
      </c>
      <c r="N2684" t="s">
        <v>162</v>
      </c>
    </row>
    <row r="2685" spans="1:14" x14ac:dyDescent="0.3">
      <c r="A2685" t="s">
        <v>37</v>
      </c>
      <c r="B2685">
        <f>VLOOKUP(M2685,Sheet9!$I$1:$J$17,2,FALSE)</f>
        <v>4</v>
      </c>
      <c r="C2685">
        <f>VLOOKUP(N2685,Sheet9!$M$1:$N$2,2,FALSE)</f>
        <v>1</v>
      </c>
      <c r="D2685">
        <v>16</v>
      </c>
      <c r="E2685" t="s">
        <v>167</v>
      </c>
      <c r="F2685">
        <v>150</v>
      </c>
      <c r="H2685">
        <v>32</v>
      </c>
      <c r="I2685">
        <v>0.6</v>
      </c>
      <c r="J2685">
        <v>19.2</v>
      </c>
      <c r="K2685">
        <v>28.59</v>
      </c>
      <c r="L2685">
        <v>28.91</v>
      </c>
      <c r="M2685" t="s">
        <v>37</v>
      </c>
      <c r="N2685" t="s">
        <v>162</v>
      </c>
    </row>
    <row r="2686" spans="1:14" x14ac:dyDescent="0.3">
      <c r="A2686" t="s">
        <v>37</v>
      </c>
      <c r="B2686">
        <f>VLOOKUP(M2686,Sheet9!$I$1:$J$17,2,FALSE)</f>
        <v>4</v>
      </c>
      <c r="C2686">
        <f>VLOOKUP(N2686,Sheet9!$M$1:$N$2,2,FALSE)</f>
        <v>1</v>
      </c>
      <c r="D2686">
        <v>16</v>
      </c>
      <c r="E2686" t="s">
        <v>167</v>
      </c>
      <c r="F2686">
        <v>150</v>
      </c>
      <c r="H2686">
        <v>48</v>
      </c>
      <c r="I2686">
        <v>1.2</v>
      </c>
      <c r="J2686">
        <v>57.599999999999994</v>
      </c>
      <c r="K2686">
        <v>25.95</v>
      </c>
      <c r="L2686">
        <v>26.24</v>
      </c>
      <c r="M2686" t="s">
        <v>37</v>
      </c>
      <c r="N2686" t="s">
        <v>162</v>
      </c>
    </row>
    <row r="2687" spans="1:14" x14ac:dyDescent="0.3">
      <c r="A2687" t="s">
        <v>37</v>
      </c>
      <c r="B2687">
        <f>VLOOKUP(M2687,Sheet9!$I$1:$J$17,2,FALSE)</f>
        <v>4</v>
      </c>
      <c r="C2687">
        <f>VLOOKUP(N2687,Sheet9!$M$1:$N$2,2,FALSE)</f>
        <v>1</v>
      </c>
      <c r="D2687">
        <v>16</v>
      </c>
      <c r="E2687" t="s">
        <v>167</v>
      </c>
      <c r="F2687">
        <v>150</v>
      </c>
      <c r="H2687">
        <v>64</v>
      </c>
      <c r="I2687">
        <v>1.2</v>
      </c>
      <c r="J2687">
        <v>76.8</v>
      </c>
      <c r="K2687">
        <v>24.63</v>
      </c>
      <c r="L2687">
        <v>24.9</v>
      </c>
      <c r="M2687" t="s">
        <v>37</v>
      </c>
      <c r="N2687" t="s">
        <v>162</v>
      </c>
    </row>
    <row r="2688" spans="1:14" x14ac:dyDescent="0.3">
      <c r="A2688" t="s">
        <v>37</v>
      </c>
      <c r="B2688">
        <f>VLOOKUP(M2688,Sheet9!$I$1:$J$17,2,FALSE)</f>
        <v>4</v>
      </c>
      <c r="C2688">
        <f>VLOOKUP(N2688,Sheet9!$M$1:$N$2,2,FALSE)</f>
        <v>1</v>
      </c>
      <c r="D2688">
        <v>16</v>
      </c>
      <c r="E2688" t="s">
        <v>167</v>
      </c>
      <c r="F2688">
        <v>150</v>
      </c>
      <c r="H2688">
        <v>96</v>
      </c>
      <c r="I2688">
        <v>0.6</v>
      </c>
      <c r="J2688">
        <v>57.599999999999994</v>
      </c>
      <c r="K2688">
        <v>23.17</v>
      </c>
      <c r="L2688">
        <v>23.42</v>
      </c>
      <c r="M2688" t="s">
        <v>37</v>
      </c>
      <c r="N2688" t="s">
        <v>162</v>
      </c>
    </row>
    <row r="2689" spans="1:14" x14ac:dyDescent="0.3">
      <c r="A2689" t="s">
        <v>37</v>
      </c>
      <c r="B2689">
        <f>VLOOKUP(M2689,Sheet9!$I$1:$J$17,2,FALSE)</f>
        <v>4</v>
      </c>
      <c r="C2689">
        <f>VLOOKUP(N2689,Sheet9!$M$1:$N$2,2,FALSE)</f>
        <v>1</v>
      </c>
      <c r="D2689">
        <v>16</v>
      </c>
      <c r="E2689" t="s">
        <v>167</v>
      </c>
      <c r="F2689">
        <v>150</v>
      </c>
      <c r="H2689">
        <v>24</v>
      </c>
      <c r="I2689">
        <v>1.2</v>
      </c>
      <c r="J2689">
        <v>28.799999999999997</v>
      </c>
      <c r="K2689">
        <v>25.49</v>
      </c>
      <c r="L2689">
        <v>25.77</v>
      </c>
      <c r="M2689" t="s">
        <v>37</v>
      </c>
      <c r="N2689" t="s">
        <v>162</v>
      </c>
    </row>
    <row r="2690" spans="1:14" x14ac:dyDescent="0.3">
      <c r="A2690" t="s">
        <v>37</v>
      </c>
      <c r="B2690">
        <f>VLOOKUP(M2690,Sheet9!$I$1:$J$17,2,FALSE)</f>
        <v>4</v>
      </c>
      <c r="C2690">
        <f>VLOOKUP(N2690,Sheet9!$M$1:$N$2,2,FALSE)</f>
        <v>1</v>
      </c>
      <c r="D2690">
        <v>16</v>
      </c>
      <c r="E2690" t="s">
        <v>95</v>
      </c>
      <c r="F2690">
        <v>150</v>
      </c>
      <c r="H2690">
        <v>48</v>
      </c>
      <c r="I2690">
        <v>1.2</v>
      </c>
      <c r="J2690">
        <v>57.599999999999994</v>
      </c>
      <c r="K2690">
        <v>23.19</v>
      </c>
      <c r="L2690">
        <v>23.44</v>
      </c>
      <c r="M2690" t="s">
        <v>37</v>
      </c>
      <c r="N2690" t="s">
        <v>162</v>
      </c>
    </row>
    <row r="2691" spans="1:14" x14ac:dyDescent="0.3">
      <c r="A2691" t="s">
        <v>37</v>
      </c>
      <c r="B2691">
        <f>VLOOKUP(M2691,Sheet9!$I$1:$J$17,2,FALSE)</f>
        <v>4</v>
      </c>
      <c r="C2691">
        <f>VLOOKUP(N2691,Sheet9!$M$1:$N$2,2,FALSE)</f>
        <v>1</v>
      </c>
      <c r="D2691">
        <v>16</v>
      </c>
      <c r="E2691" t="s">
        <v>95</v>
      </c>
      <c r="F2691">
        <v>100</v>
      </c>
      <c r="G2691" t="s">
        <v>139</v>
      </c>
      <c r="H2691">
        <v>2</v>
      </c>
      <c r="I2691">
        <v>1</v>
      </c>
      <c r="J2691">
        <v>2</v>
      </c>
      <c r="K2691">
        <v>0.79</v>
      </c>
      <c r="L2691">
        <v>0.77</v>
      </c>
      <c r="M2691" t="s">
        <v>37</v>
      </c>
      <c r="N2691" t="s">
        <v>162</v>
      </c>
    </row>
    <row r="2692" spans="1:14" x14ac:dyDescent="0.3">
      <c r="A2692" t="s">
        <v>37</v>
      </c>
      <c r="B2692">
        <f>VLOOKUP(M2692,Sheet9!$I$1:$J$17,2,FALSE)</f>
        <v>4</v>
      </c>
      <c r="C2692">
        <f>VLOOKUP(N2692,Sheet9!$M$1:$N$2,2,FALSE)</f>
        <v>1</v>
      </c>
      <c r="D2692">
        <v>16</v>
      </c>
      <c r="E2692" t="s">
        <v>95</v>
      </c>
      <c r="F2692">
        <v>100</v>
      </c>
      <c r="G2692" t="s">
        <v>139</v>
      </c>
      <c r="H2692">
        <v>6</v>
      </c>
      <c r="I2692">
        <v>0.6</v>
      </c>
      <c r="J2692">
        <v>3.6</v>
      </c>
      <c r="K2692">
        <v>1.31</v>
      </c>
      <c r="L2692">
        <v>1.29</v>
      </c>
      <c r="M2692" t="s">
        <v>37</v>
      </c>
      <c r="N2692" t="s">
        <v>162</v>
      </c>
    </row>
    <row r="2693" spans="1:14" x14ac:dyDescent="0.3">
      <c r="A2693" t="s">
        <v>37</v>
      </c>
      <c r="B2693">
        <f>VLOOKUP(M2693,Sheet9!$I$1:$J$17,2,FALSE)</f>
        <v>4</v>
      </c>
      <c r="C2693">
        <f>VLOOKUP(N2693,Sheet9!$M$1:$N$2,2,FALSE)</f>
        <v>1</v>
      </c>
      <c r="D2693">
        <v>16</v>
      </c>
      <c r="E2693" t="s">
        <v>95</v>
      </c>
      <c r="F2693">
        <v>100</v>
      </c>
      <c r="G2693" t="s">
        <v>139</v>
      </c>
      <c r="H2693">
        <v>1</v>
      </c>
      <c r="I2693">
        <v>5</v>
      </c>
      <c r="J2693">
        <v>5</v>
      </c>
      <c r="K2693">
        <v>0.76</v>
      </c>
      <c r="L2693">
        <v>0.75</v>
      </c>
      <c r="M2693" t="s">
        <v>37</v>
      </c>
      <c r="N2693" t="s">
        <v>162</v>
      </c>
    </row>
    <row r="2694" spans="1:14" x14ac:dyDescent="0.3">
      <c r="A2694" t="s">
        <v>37</v>
      </c>
      <c r="B2694">
        <f>VLOOKUP(M2694,Sheet9!$I$1:$J$17,2,FALSE)</f>
        <v>4</v>
      </c>
      <c r="C2694">
        <f>VLOOKUP(N2694,Sheet9!$M$1:$N$2,2,FALSE)</f>
        <v>1</v>
      </c>
      <c r="D2694">
        <v>16</v>
      </c>
      <c r="E2694" t="s">
        <v>95</v>
      </c>
      <c r="F2694">
        <v>100</v>
      </c>
      <c r="G2694" t="s">
        <v>139</v>
      </c>
      <c r="H2694">
        <v>1</v>
      </c>
      <c r="I2694">
        <v>10</v>
      </c>
      <c r="J2694">
        <v>10</v>
      </c>
      <c r="K2694">
        <v>0.76</v>
      </c>
      <c r="L2694">
        <v>0.75</v>
      </c>
      <c r="M2694" t="s">
        <v>37</v>
      </c>
      <c r="N2694" t="s">
        <v>162</v>
      </c>
    </row>
    <row r="2695" spans="1:14" x14ac:dyDescent="0.3">
      <c r="A2695" t="s">
        <v>37</v>
      </c>
      <c r="B2695">
        <f>VLOOKUP(M2695,Sheet9!$I$1:$J$17,2,FALSE)</f>
        <v>4</v>
      </c>
      <c r="C2695">
        <f>VLOOKUP(N2695,Sheet9!$M$1:$N$2,2,FALSE)</f>
        <v>1</v>
      </c>
      <c r="D2695">
        <v>16</v>
      </c>
      <c r="E2695" t="s">
        <v>95</v>
      </c>
      <c r="F2695">
        <v>100</v>
      </c>
      <c r="G2695" t="s">
        <v>139</v>
      </c>
      <c r="H2695">
        <v>12</v>
      </c>
      <c r="I2695">
        <v>1.2</v>
      </c>
      <c r="J2695">
        <v>14.4</v>
      </c>
      <c r="K2695">
        <v>1.08</v>
      </c>
      <c r="L2695">
        <v>1.07</v>
      </c>
      <c r="M2695" t="s">
        <v>37</v>
      </c>
      <c r="N2695" t="s">
        <v>162</v>
      </c>
    </row>
    <row r="2696" spans="1:14" x14ac:dyDescent="0.3">
      <c r="A2696" t="s">
        <v>37</v>
      </c>
      <c r="B2696">
        <f>VLOOKUP(M2696,Sheet9!$I$1:$J$17,2,FALSE)</f>
        <v>4</v>
      </c>
      <c r="C2696">
        <f>VLOOKUP(N2696,Sheet9!$M$1:$N$2,2,FALSE)</f>
        <v>1</v>
      </c>
      <c r="D2696">
        <v>16</v>
      </c>
      <c r="E2696" t="s">
        <v>95</v>
      </c>
      <c r="F2696">
        <v>100</v>
      </c>
      <c r="G2696" t="s">
        <v>139</v>
      </c>
      <c r="H2696">
        <v>32</v>
      </c>
      <c r="I2696">
        <v>0.6</v>
      </c>
      <c r="J2696">
        <v>19.2</v>
      </c>
      <c r="K2696">
        <v>0.86</v>
      </c>
      <c r="L2696">
        <v>0.84</v>
      </c>
      <c r="M2696" t="s">
        <v>37</v>
      </c>
      <c r="N2696" t="s">
        <v>162</v>
      </c>
    </row>
    <row r="2697" spans="1:14" x14ac:dyDescent="0.3">
      <c r="A2697" t="s">
        <v>37</v>
      </c>
      <c r="B2697">
        <f>VLOOKUP(M2697,Sheet9!$I$1:$J$17,2,FALSE)</f>
        <v>4</v>
      </c>
      <c r="C2697">
        <f>VLOOKUP(N2697,Sheet9!$M$1:$N$2,2,FALSE)</f>
        <v>1</v>
      </c>
      <c r="D2697">
        <v>16</v>
      </c>
      <c r="E2697" t="s">
        <v>167</v>
      </c>
      <c r="F2697">
        <v>100</v>
      </c>
      <c r="G2697" t="s">
        <v>139</v>
      </c>
      <c r="H2697">
        <v>32</v>
      </c>
      <c r="I2697">
        <v>0.6</v>
      </c>
      <c r="J2697">
        <v>19.2</v>
      </c>
      <c r="K2697">
        <v>0.92</v>
      </c>
      <c r="L2697">
        <v>0.9</v>
      </c>
      <c r="M2697" t="s">
        <v>37</v>
      </c>
      <c r="N2697" t="s">
        <v>162</v>
      </c>
    </row>
    <row r="2698" spans="1:14" x14ac:dyDescent="0.3">
      <c r="A2698" t="s">
        <v>37</v>
      </c>
      <c r="B2698">
        <f>VLOOKUP(M2698,Sheet9!$I$1:$J$17,2,FALSE)</f>
        <v>4</v>
      </c>
      <c r="C2698">
        <f>VLOOKUP(N2698,Sheet9!$M$1:$N$2,2,FALSE)</f>
        <v>1</v>
      </c>
      <c r="D2698">
        <v>16</v>
      </c>
      <c r="E2698" t="s">
        <v>167</v>
      </c>
      <c r="F2698">
        <v>100</v>
      </c>
      <c r="G2698" t="s">
        <v>139</v>
      </c>
      <c r="H2698">
        <v>32</v>
      </c>
      <c r="I2698">
        <v>0.6</v>
      </c>
      <c r="J2698">
        <v>19.2</v>
      </c>
      <c r="K2698">
        <v>1.05</v>
      </c>
      <c r="L2698">
        <v>1.03</v>
      </c>
      <c r="M2698" t="s">
        <v>37</v>
      </c>
      <c r="N2698" t="s">
        <v>162</v>
      </c>
    </row>
    <row r="2699" spans="1:14" x14ac:dyDescent="0.3">
      <c r="A2699" t="s">
        <v>37</v>
      </c>
      <c r="B2699">
        <f>VLOOKUP(M2699,Sheet9!$I$1:$J$17,2,FALSE)</f>
        <v>4</v>
      </c>
      <c r="C2699">
        <f>VLOOKUP(N2699,Sheet9!$M$1:$N$2,2,FALSE)</f>
        <v>1</v>
      </c>
      <c r="D2699">
        <v>16</v>
      </c>
      <c r="E2699" t="s">
        <v>167</v>
      </c>
      <c r="F2699">
        <v>100</v>
      </c>
      <c r="G2699" t="s">
        <v>139</v>
      </c>
      <c r="H2699">
        <v>48</v>
      </c>
      <c r="I2699">
        <v>1.2</v>
      </c>
      <c r="J2699">
        <v>57.599999999999994</v>
      </c>
      <c r="K2699">
        <v>0.95</v>
      </c>
      <c r="L2699">
        <v>0.93</v>
      </c>
      <c r="M2699" t="s">
        <v>37</v>
      </c>
      <c r="N2699" t="s">
        <v>162</v>
      </c>
    </row>
    <row r="2700" spans="1:14" x14ac:dyDescent="0.3">
      <c r="A2700" t="s">
        <v>37</v>
      </c>
      <c r="B2700">
        <f>VLOOKUP(M2700,Sheet9!$I$1:$J$17,2,FALSE)</f>
        <v>4</v>
      </c>
      <c r="C2700">
        <f>VLOOKUP(N2700,Sheet9!$M$1:$N$2,2,FALSE)</f>
        <v>1</v>
      </c>
      <c r="D2700">
        <v>16</v>
      </c>
      <c r="E2700" t="s">
        <v>167</v>
      </c>
      <c r="F2700">
        <v>100</v>
      </c>
      <c r="G2700" t="s">
        <v>139</v>
      </c>
      <c r="H2700">
        <v>64</v>
      </c>
      <c r="I2700">
        <v>1.2</v>
      </c>
      <c r="J2700">
        <v>76.8</v>
      </c>
      <c r="K2700">
        <v>0.9</v>
      </c>
      <c r="L2700">
        <v>0.89</v>
      </c>
      <c r="M2700" t="s">
        <v>37</v>
      </c>
      <c r="N2700" t="s">
        <v>162</v>
      </c>
    </row>
    <row r="2701" spans="1:14" x14ac:dyDescent="0.3">
      <c r="A2701" t="s">
        <v>37</v>
      </c>
      <c r="B2701">
        <f>VLOOKUP(M2701,Sheet9!$I$1:$J$17,2,FALSE)</f>
        <v>4</v>
      </c>
      <c r="C2701">
        <f>VLOOKUP(N2701,Sheet9!$M$1:$N$2,2,FALSE)</f>
        <v>1</v>
      </c>
      <c r="D2701">
        <v>16</v>
      </c>
      <c r="E2701" t="s">
        <v>167</v>
      </c>
      <c r="F2701">
        <v>100</v>
      </c>
      <c r="G2701" t="s">
        <v>139</v>
      </c>
      <c r="H2701">
        <v>96</v>
      </c>
      <c r="I2701">
        <v>0.6</v>
      </c>
      <c r="J2701">
        <v>57.599999999999994</v>
      </c>
      <c r="K2701">
        <v>0.85</v>
      </c>
      <c r="L2701">
        <v>0.83</v>
      </c>
      <c r="M2701" t="s">
        <v>37</v>
      </c>
      <c r="N2701" t="s">
        <v>162</v>
      </c>
    </row>
    <row r="2702" spans="1:14" x14ac:dyDescent="0.3">
      <c r="A2702" t="s">
        <v>37</v>
      </c>
      <c r="B2702">
        <f>VLOOKUP(M2702,Sheet9!$I$1:$J$17,2,FALSE)</f>
        <v>4</v>
      </c>
      <c r="C2702">
        <f>VLOOKUP(N2702,Sheet9!$M$1:$N$2,2,FALSE)</f>
        <v>1</v>
      </c>
      <c r="D2702">
        <v>16</v>
      </c>
      <c r="E2702" t="s">
        <v>167</v>
      </c>
      <c r="F2702">
        <v>100</v>
      </c>
      <c r="G2702" t="s">
        <v>139</v>
      </c>
      <c r="H2702">
        <v>24</v>
      </c>
      <c r="I2702">
        <v>1.2</v>
      </c>
      <c r="J2702">
        <v>28.799999999999997</v>
      </c>
      <c r="K2702">
        <v>0.93</v>
      </c>
      <c r="L2702">
        <v>0.92</v>
      </c>
      <c r="M2702" t="s">
        <v>37</v>
      </c>
      <c r="N2702" t="s">
        <v>162</v>
      </c>
    </row>
    <row r="2703" spans="1:14" x14ac:dyDescent="0.3">
      <c r="A2703" t="s">
        <v>37</v>
      </c>
      <c r="B2703">
        <f>VLOOKUP(M2703,Sheet9!$I$1:$J$17,2,FALSE)</f>
        <v>4</v>
      </c>
      <c r="C2703">
        <f>VLOOKUP(N2703,Sheet9!$M$1:$N$2,2,FALSE)</f>
        <v>1</v>
      </c>
      <c r="D2703">
        <v>16</v>
      </c>
      <c r="E2703" t="s">
        <v>95</v>
      </c>
      <c r="F2703">
        <v>100</v>
      </c>
      <c r="G2703" t="s">
        <v>139</v>
      </c>
      <c r="H2703">
        <v>48</v>
      </c>
      <c r="I2703">
        <v>1.2</v>
      </c>
      <c r="J2703">
        <v>57.599999999999994</v>
      </c>
      <c r="K2703">
        <v>0.85</v>
      </c>
      <c r="L2703">
        <v>0.83</v>
      </c>
      <c r="M2703" t="s">
        <v>37</v>
      </c>
      <c r="N2703" t="s">
        <v>162</v>
      </c>
    </row>
    <row r="2704" spans="1:14" x14ac:dyDescent="0.3">
      <c r="A2704" t="s">
        <v>37</v>
      </c>
      <c r="B2704">
        <f>VLOOKUP(M2704,Sheet9!$I$1:$J$17,2,FALSE)</f>
        <v>4</v>
      </c>
      <c r="C2704">
        <f>VLOOKUP(N2704,Sheet9!$M$1:$N$2,2,FALSE)</f>
        <v>1</v>
      </c>
      <c r="D2704">
        <v>16</v>
      </c>
      <c r="E2704" t="s">
        <v>95</v>
      </c>
      <c r="F2704">
        <v>120</v>
      </c>
      <c r="G2704" t="s">
        <v>139</v>
      </c>
      <c r="H2704">
        <v>2</v>
      </c>
      <c r="I2704">
        <v>1</v>
      </c>
      <c r="J2704">
        <v>2</v>
      </c>
      <c r="K2704">
        <v>1.92</v>
      </c>
      <c r="L2704">
        <v>1.92</v>
      </c>
      <c r="M2704" t="s">
        <v>37</v>
      </c>
      <c r="N2704" t="s">
        <v>162</v>
      </c>
    </row>
    <row r="2705" spans="1:14" x14ac:dyDescent="0.3">
      <c r="A2705" t="s">
        <v>37</v>
      </c>
      <c r="B2705">
        <f>VLOOKUP(M2705,Sheet9!$I$1:$J$17,2,FALSE)</f>
        <v>4</v>
      </c>
      <c r="C2705">
        <f>VLOOKUP(N2705,Sheet9!$M$1:$N$2,2,FALSE)</f>
        <v>1</v>
      </c>
      <c r="D2705">
        <v>16</v>
      </c>
      <c r="E2705" t="s">
        <v>95</v>
      </c>
      <c r="F2705">
        <v>120</v>
      </c>
      <c r="G2705" t="s">
        <v>139</v>
      </c>
      <c r="H2705">
        <v>6</v>
      </c>
      <c r="I2705">
        <v>0.6</v>
      </c>
      <c r="J2705">
        <v>3.6</v>
      </c>
      <c r="K2705">
        <v>3.21</v>
      </c>
      <c r="L2705">
        <v>3.2</v>
      </c>
      <c r="M2705" t="s">
        <v>37</v>
      </c>
      <c r="N2705" t="s">
        <v>162</v>
      </c>
    </row>
    <row r="2706" spans="1:14" x14ac:dyDescent="0.3">
      <c r="A2706" t="s">
        <v>37</v>
      </c>
      <c r="B2706">
        <f>VLOOKUP(M2706,Sheet9!$I$1:$J$17,2,FALSE)</f>
        <v>4</v>
      </c>
      <c r="C2706">
        <f>VLOOKUP(N2706,Sheet9!$M$1:$N$2,2,FALSE)</f>
        <v>1</v>
      </c>
      <c r="D2706">
        <v>16</v>
      </c>
      <c r="E2706" t="s">
        <v>95</v>
      </c>
      <c r="F2706">
        <v>120</v>
      </c>
      <c r="G2706" t="s">
        <v>139</v>
      </c>
      <c r="H2706">
        <v>1</v>
      </c>
      <c r="I2706">
        <v>5</v>
      </c>
      <c r="J2706">
        <v>5</v>
      </c>
      <c r="K2706">
        <v>1.86</v>
      </c>
      <c r="L2706">
        <v>1.85</v>
      </c>
      <c r="M2706" t="s">
        <v>37</v>
      </c>
      <c r="N2706" t="s">
        <v>162</v>
      </c>
    </row>
    <row r="2707" spans="1:14" x14ac:dyDescent="0.3">
      <c r="A2707" t="s">
        <v>37</v>
      </c>
      <c r="B2707">
        <f>VLOOKUP(M2707,Sheet9!$I$1:$J$17,2,FALSE)</f>
        <v>4</v>
      </c>
      <c r="C2707">
        <f>VLOOKUP(N2707,Sheet9!$M$1:$N$2,2,FALSE)</f>
        <v>1</v>
      </c>
      <c r="D2707">
        <v>16</v>
      </c>
      <c r="E2707" t="s">
        <v>95</v>
      </c>
      <c r="F2707">
        <v>120</v>
      </c>
      <c r="G2707" t="s">
        <v>139</v>
      </c>
      <c r="H2707">
        <v>1</v>
      </c>
      <c r="I2707">
        <v>10</v>
      </c>
      <c r="J2707">
        <v>10</v>
      </c>
      <c r="K2707">
        <v>1.86</v>
      </c>
      <c r="L2707">
        <v>1.85</v>
      </c>
      <c r="M2707" t="s">
        <v>37</v>
      </c>
      <c r="N2707" t="s">
        <v>162</v>
      </c>
    </row>
    <row r="2708" spans="1:14" x14ac:dyDescent="0.3">
      <c r="A2708" t="s">
        <v>37</v>
      </c>
      <c r="B2708">
        <f>VLOOKUP(M2708,Sheet9!$I$1:$J$17,2,FALSE)</f>
        <v>4</v>
      </c>
      <c r="C2708">
        <f>VLOOKUP(N2708,Sheet9!$M$1:$N$2,2,FALSE)</f>
        <v>1</v>
      </c>
      <c r="D2708">
        <v>16</v>
      </c>
      <c r="E2708" t="s">
        <v>95</v>
      </c>
      <c r="F2708">
        <v>120</v>
      </c>
      <c r="G2708" t="s">
        <v>139</v>
      </c>
      <c r="H2708">
        <v>12</v>
      </c>
      <c r="I2708">
        <v>1.2</v>
      </c>
      <c r="J2708">
        <v>14.4</v>
      </c>
      <c r="K2708">
        <v>2.65</v>
      </c>
      <c r="L2708">
        <v>2.65</v>
      </c>
      <c r="M2708" t="s">
        <v>37</v>
      </c>
      <c r="N2708" t="s">
        <v>162</v>
      </c>
    </row>
    <row r="2709" spans="1:14" x14ac:dyDescent="0.3">
      <c r="A2709" t="s">
        <v>37</v>
      </c>
      <c r="B2709">
        <f>VLOOKUP(M2709,Sheet9!$I$1:$J$17,2,FALSE)</f>
        <v>4</v>
      </c>
      <c r="C2709">
        <f>VLOOKUP(N2709,Sheet9!$M$1:$N$2,2,FALSE)</f>
        <v>1</v>
      </c>
      <c r="D2709">
        <v>16</v>
      </c>
      <c r="E2709" t="s">
        <v>95</v>
      </c>
      <c r="F2709">
        <v>120</v>
      </c>
      <c r="G2709" t="s">
        <v>139</v>
      </c>
      <c r="H2709">
        <v>32</v>
      </c>
      <c r="I2709">
        <v>0.6</v>
      </c>
      <c r="J2709">
        <v>19.2</v>
      </c>
      <c r="K2709">
        <v>2.1</v>
      </c>
      <c r="L2709">
        <v>2.09</v>
      </c>
      <c r="M2709" t="s">
        <v>37</v>
      </c>
      <c r="N2709" t="s">
        <v>162</v>
      </c>
    </row>
    <row r="2710" spans="1:14" x14ac:dyDescent="0.3">
      <c r="A2710" t="s">
        <v>37</v>
      </c>
      <c r="B2710">
        <f>VLOOKUP(M2710,Sheet9!$I$1:$J$17,2,FALSE)</f>
        <v>4</v>
      </c>
      <c r="C2710">
        <f>VLOOKUP(N2710,Sheet9!$M$1:$N$2,2,FALSE)</f>
        <v>1</v>
      </c>
      <c r="D2710">
        <v>16</v>
      </c>
      <c r="E2710" t="s">
        <v>167</v>
      </c>
      <c r="F2710">
        <v>120</v>
      </c>
      <c r="G2710" t="s">
        <v>139</v>
      </c>
      <c r="H2710">
        <v>32</v>
      </c>
      <c r="I2710">
        <v>0.6</v>
      </c>
      <c r="J2710">
        <v>19.2</v>
      </c>
      <c r="K2710">
        <v>2.25</v>
      </c>
      <c r="L2710">
        <v>2.25</v>
      </c>
      <c r="M2710" t="s">
        <v>37</v>
      </c>
      <c r="N2710" t="s">
        <v>162</v>
      </c>
    </row>
    <row r="2711" spans="1:14" x14ac:dyDescent="0.3">
      <c r="A2711" t="s">
        <v>37</v>
      </c>
      <c r="B2711">
        <f>VLOOKUP(M2711,Sheet9!$I$1:$J$17,2,FALSE)</f>
        <v>4</v>
      </c>
      <c r="C2711">
        <f>VLOOKUP(N2711,Sheet9!$M$1:$N$2,2,FALSE)</f>
        <v>1</v>
      </c>
      <c r="D2711">
        <v>16</v>
      </c>
      <c r="E2711" t="s">
        <v>167</v>
      </c>
      <c r="F2711">
        <v>120</v>
      </c>
      <c r="G2711" t="s">
        <v>139</v>
      </c>
      <c r="H2711">
        <v>32</v>
      </c>
      <c r="I2711">
        <v>0.6</v>
      </c>
      <c r="J2711">
        <v>19.2</v>
      </c>
      <c r="K2711">
        <v>2.56</v>
      </c>
      <c r="L2711">
        <v>2.5499999999999998</v>
      </c>
      <c r="M2711" t="s">
        <v>37</v>
      </c>
      <c r="N2711" t="s">
        <v>162</v>
      </c>
    </row>
    <row r="2712" spans="1:14" x14ac:dyDescent="0.3">
      <c r="A2712" t="s">
        <v>37</v>
      </c>
      <c r="B2712">
        <f>VLOOKUP(M2712,Sheet9!$I$1:$J$17,2,FALSE)</f>
        <v>4</v>
      </c>
      <c r="C2712">
        <f>VLOOKUP(N2712,Sheet9!$M$1:$N$2,2,FALSE)</f>
        <v>1</v>
      </c>
      <c r="D2712">
        <v>16</v>
      </c>
      <c r="E2712" t="s">
        <v>167</v>
      </c>
      <c r="F2712">
        <v>120</v>
      </c>
      <c r="G2712" t="s">
        <v>139</v>
      </c>
      <c r="H2712">
        <v>48</v>
      </c>
      <c r="I2712">
        <v>1.2</v>
      </c>
      <c r="J2712">
        <v>57.599999999999994</v>
      </c>
      <c r="K2712">
        <v>2.3199999999999998</v>
      </c>
      <c r="L2712">
        <v>2.3199999999999998</v>
      </c>
      <c r="M2712" t="s">
        <v>37</v>
      </c>
      <c r="N2712" t="s">
        <v>162</v>
      </c>
    </row>
    <row r="2713" spans="1:14" x14ac:dyDescent="0.3">
      <c r="A2713" t="s">
        <v>37</v>
      </c>
      <c r="B2713">
        <f>VLOOKUP(M2713,Sheet9!$I$1:$J$17,2,FALSE)</f>
        <v>4</v>
      </c>
      <c r="C2713">
        <f>VLOOKUP(N2713,Sheet9!$M$1:$N$2,2,FALSE)</f>
        <v>1</v>
      </c>
      <c r="D2713">
        <v>16</v>
      </c>
      <c r="E2713" t="s">
        <v>167</v>
      </c>
      <c r="F2713">
        <v>120</v>
      </c>
      <c r="G2713" t="s">
        <v>139</v>
      </c>
      <c r="H2713">
        <v>64</v>
      </c>
      <c r="I2713">
        <v>1.2</v>
      </c>
      <c r="J2713">
        <v>76.8</v>
      </c>
      <c r="K2713">
        <v>2.2000000000000002</v>
      </c>
      <c r="L2713">
        <v>2.2000000000000002</v>
      </c>
      <c r="M2713" t="s">
        <v>37</v>
      </c>
      <c r="N2713" t="s">
        <v>162</v>
      </c>
    </row>
    <row r="2714" spans="1:14" x14ac:dyDescent="0.3">
      <c r="A2714" t="s">
        <v>37</v>
      </c>
      <c r="B2714">
        <f>VLOOKUP(M2714,Sheet9!$I$1:$J$17,2,FALSE)</f>
        <v>4</v>
      </c>
      <c r="C2714">
        <f>VLOOKUP(N2714,Sheet9!$M$1:$N$2,2,FALSE)</f>
        <v>1</v>
      </c>
      <c r="D2714">
        <v>16</v>
      </c>
      <c r="E2714" t="s">
        <v>167</v>
      </c>
      <c r="F2714">
        <v>120</v>
      </c>
      <c r="G2714" t="s">
        <v>139</v>
      </c>
      <c r="H2714">
        <v>96</v>
      </c>
      <c r="I2714">
        <v>0.6</v>
      </c>
      <c r="J2714">
        <v>57.599999999999994</v>
      </c>
      <c r="K2714">
        <v>2.0699999999999998</v>
      </c>
      <c r="L2714">
        <v>2.0699999999999998</v>
      </c>
      <c r="M2714" t="s">
        <v>37</v>
      </c>
      <c r="N2714" t="s">
        <v>162</v>
      </c>
    </row>
    <row r="2715" spans="1:14" x14ac:dyDescent="0.3">
      <c r="A2715" t="s">
        <v>37</v>
      </c>
      <c r="B2715">
        <f>VLOOKUP(M2715,Sheet9!$I$1:$J$17,2,FALSE)</f>
        <v>4</v>
      </c>
      <c r="C2715">
        <f>VLOOKUP(N2715,Sheet9!$M$1:$N$2,2,FALSE)</f>
        <v>1</v>
      </c>
      <c r="D2715">
        <v>16</v>
      </c>
      <c r="E2715" t="s">
        <v>167</v>
      </c>
      <c r="F2715">
        <v>120</v>
      </c>
      <c r="G2715" t="s">
        <v>139</v>
      </c>
      <c r="H2715">
        <v>24</v>
      </c>
      <c r="I2715">
        <v>1.2</v>
      </c>
      <c r="J2715">
        <v>28.799999999999997</v>
      </c>
      <c r="K2715">
        <v>2.2799999999999998</v>
      </c>
      <c r="L2715">
        <v>2.2799999999999998</v>
      </c>
      <c r="M2715" t="s">
        <v>37</v>
      </c>
      <c r="N2715" t="s">
        <v>162</v>
      </c>
    </row>
    <row r="2716" spans="1:14" x14ac:dyDescent="0.3">
      <c r="A2716" t="s">
        <v>37</v>
      </c>
      <c r="B2716">
        <f>VLOOKUP(M2716,Sheet9!$I$1:$J$17,2,FALSE)</f>
        <v>4</v>
      </c>
      <c r="C2716">
        <f>VLOOKUP(N2716,Sheet9!$M$1:$N$2,2,FALSE)</f>
        <v>1</v>
      </c>
      <c r="D2716">
        <v>16</v>
      </c>
      <c r="E2716" t="s">
        <v>95</v>
      </c>
      <c r="F2716">
        <v>120</v>
      </c>
      <c r="G2716" t="s">
        <v>139</v>
      </c>
      <c r="H2716">
        <v>48</v>
      </c>
      <c r="I2716">
        <v>1.2</v>
      </c>
      <c r="J2716">
        <v>57.599999999999994</v>
      </c>
      <c r="K2716">
        <v>2.0699999999999998</v>
      </c>
      <c r="L2716">
        <v>2.0699999999999998</v>
      </c>
      <c r="M2716" t="s">
        <v>37</v>
      </c>
      <c r="N2716" t="s">
        <v>162</v>
      </c>
    </row>
    <row r="2717" spans="1:14" x14ac:dyDescent="0.3">
      <c r="A2717" t="s">
        <v>37</v>
      </c>
      <c r="B2717">
        <f>VLOOKUP(M2717,Sheet9!$I$1:$J$17,2,FALSE)</f>
        <v>4</v>
      </c>
      <c r="C2717">
        <f>VLOOKUP(N2717,Sheet9!$M$1:$N$2,2,FALSE)</f>
        <v>1</v>
      </c>
      <c r="D2717">
        <v>16</v>
      </c>
      <c r="E2717" t="s">
        <v>95</v>
      </c>
      <c r="F2717">
        <v>150</v>
      </c>
      <c r="G2717" t="s">
        <v>139</v>
      </c>
      <c r="H2717">
        <v>2</v>
      </c>
      <c r="I2717">
        <v>1</v>
      </c>
      <c r="J2717">
        <v>2</v>
      </c>
      <c r="K2717">
        <v>4.99</v>
      </c>
      <c r="L2717">
        <v>5.01</v>
      </c>
      <c r="M2717" t="s">
        <v>37</v>
      </c>
      <c r="N2717" t="s">
        <v>162</v>
      </c>
    </row>
    <row r="2718" spans="1:14" x14ac:dyDescent="0.3">
      <c r="A2718" t="s">
        <v>37</v>
      </c>
      <c r="B2718">
        <f>VLOOKUP(M2718,Sheet9!$I$1:$J$17,2,FALSE)</f>
        <v>4</v>
      </c>
      <c r="C2718">
        <f>VLOOKUP(N2718,Sheet9!$M$1:$N$2,2,FALSE)</f>
        <v>1</v>
      </c>
      <c r="D2718">
        <v>16</v>
      </c>
      <c r="E2718" t="s">
        <v>95</v>
      </c>
      <c r="F2718">
        <v>150</v>
      </c>
      <c r="G2718" t="s">
        <v>139</v>
      </c>
      <c r="H2718">
        <v>6</v>
      </c>
      <c r="I2718">
        <v>0.6</v>
      </c>
      <c r="J2718">
        <v>3.6</v>
      </c>
      <c r="K2718">
        <v>8.31</v>
      </c>
      <c r="L2718">
        <v>8.35</v>
      </c>
      <c r="M2718" t="s">
        <v>37</v>
      </c>
      <c r="N2718" t="s">
        <v>162</v>
      </c>
    </row>
    <row r="2719" spans="1:14" x14ac:dyDescent="0.3">
      <c r="A2719" t="s">
        <v>37</v>
      </c>
      <c r="B2719">
        <f>VLOOKUP(M2719,Sheet9!$I$1:$J$17,2,FALSE)</f>
        <v>4</v>
      </c>
      <c r="C2719">
        <f>VLOOKUP(N2719,Sheet9!$M$1:$N$2,2,FALSE)</f>
        <v>1</v>
      </c>
      <c r="D2719">
        <v>16</v>
      </c>
      <c r="E2719" t="s">
        <v>95</v>
      </c>
      <c r="F2719">
        <v>150</v>
      </c>
      <c r="G2719" t="s">
        <v>139</v>
      </c>
      <c r="H2719">
        <v>1</v>
      </c>
      <c r="I2719">
        <v>5</v>
      </c>
      <c r="J2719">
        <v>5</v>
      </c>
      <c r="K2719">
        <v>4.82</v>
      </c>
      <c r="L2719">
        <v>4.84</v>
      </c>
      <c r="M2719" t="s">
        <v>37</v>
      </c>
      <c r="N2719" t="s">
        <v>162</v>
      </c>
    </row>
    <row r="2720" spans="1:14" x14ac:dyDescent="0.3">
      <c r="A2720" t="s">
        <v>37</v>
      </c>
      <c r="B2720">
        <f>VLOOKUP(M2720,Sheet9!$I$1:$J$17,2,FALSE)</f>
        <v>4</v>
      </c>
      <c r="C2720">
        <f>VLOOKUP(N2720,Sheet9!$M$1:$N$2,2,FALSE)</f>
        <v>1</v>
      </c>
      <c r="D2720">
        <v>16</v>
      </c>
      <c r="E2720" t="s">
        <v>95</v>
      </c>
      <c r="F2720">
        <v>150</v>
      </c>
      <c r="G2720" t="s">
        <v>139</v>
      </c>
      <c r="H2720">
        <v>1</v>
      </c>
      <c r="I2720">
        <v>10</v>
      </c>
      <c r="J2720">
        <v>10</v>
      </c>
      <c r="K2720">
        <v>4.82</v>
      </c>
      <c r="L2720">
        <v>4.84</v>
      </c>
      <c r="M2720" t="s">
        <v>37</v>
      </c>
      <c r="N2720" t="s">
        <v>162</v>
      </c>
    </row>
    <row r="2721" spans="1:14" x14ac:dyDescent="0.3">
      <c r="A2721" t="s">
        <v>37</v>
      </c>
      <c r="B2721">
        <f>VLOOKUP(M2721,Sheet9!$I$1:$J$17,2,FALSE)</f>
        <v>4</v>
      </c>
      <c r="C2721">
        <f>VLOOKUP(N2721,Sheet9!$M$1:$N$2,2,FALSE)</f>
        <v>1</v>
      </c>
      <c r="D2721">
        <v>16</v>
      </c>
      <c r="E2721" t="s">
        <v>95</v>
      </c>
      <c r="F2721">
        <v>150</v>
      </c>
      <c r="G2721" t="s">
        <v>139</v>
      </c>
      <c r="H2721">
        <v>12</v>
      </c>
      <c r="I2721">
        <v>1.2</v>
      </c>
      <c r="J2721">
        <v>14.4</v>
      </c>
      <c r="K2721">
        <v>6.87</v>
      </c>
      <c r="L2721">
        <v>6.9</v>
      </c>
      <c r="M2721" t="s">
        <v>37</v>
      </c>
      <c r="N2721" t="s">
        <v>162</v>
      </c>
    </row>
    <row r="2722" spans="1:14" x14ac:dyDescent="0.3">
      <c r="A2722" t="s">
        <v>37</v>
      </c>
      <c r="B2722">
        <f>VLOOKUP(M2722,Sheet9!$I$1:$J$17,2,FALSE)</f>
        <v>4</v>
      </c>
      <c r="C2722">
        <f>VLOOKUP(N2722,Sheet9!$M$1:$N$2,2,FALSE)</f>
        <v>1</v>
      </c>
      <c r="D2722">
        <v>16</v>
      </c>
      <c r="E2722" t="s">
        <v>95</v>
      </c>
      <c r="F2722">
        <v>150</v>
      </c>
      <c r="G2722" t="s">
        <v>139</v>
      </c>
      <c r="H2722">
        <v>32</v>
      </c>
      <c r="I2722">
        <v>0.6</v>
      </c>
      <c r="J2722">
        <v>19.2</v>
      </c>
      <c r="K2722">
        <v>5.43</v>
      </c>
      <c r="L2722">
        <v>5.46</v>
      </c>
      <c r="M2722" t="s">
        <v>37</v>
      </c>
      <c r="N2722" t="s">
        <v>162</v>
      </c>
    </row>
    <row r="2723" spans="1:14" x14ac:dyDescent="0.3">
      <c r="A2723" t="s">
        <v>37</v>
      </c>
      <c r="B2723">
        <f>VLOOKUP(M2723,Sheet9!$I$1:$J$17,2,FALSE)</f>
        <v>4</v>
      </c>
      <c r="C2723">
        <f>VLOOKUP(N2723,Sheet9!$M$1:$N$2,2,FALSE)</f>
        <v>1</v>
      </c>
      <c r="D2723">
        <v>16</v>
      </c>
      <c r="E2723" t="s">
        <v>167</v>
      </c>
      <c r="F2723">
        <v>150</v>
      </c>
      <c r="G2723" t="s">
        <v>139</v>
      </c>
      <c r="H2723">
        <v>32</v>
      </c>
      <c r="I2723">
        <v>0.6</v>
      </c>
      <c r="J2723">
        <v>19.2</v>
      </c>
      <c r="K2723">
        <v>5.83</v>
      </c>
      <c r="L2723">
        <v>5.86</v>
      </c>
      <c r="M2723" t="s">
        <v>37</v>
      </c>
      <c r="N2723" t="s">
        <v>162</v>
      </c>
    </row>
    <row r="2724" spans="1:14" x14ac:dyDescent="0.3">
      <c r="A2724" t="s">
        <v>37</v>
      </c>
      <c r="B2724">
        <f>VLOOKUP(M2724,Sheet9!$I$1:$J$17,2,FALSE)</f>
        <v>4</v>
      </c>
      <c r="C2724">
        <f>VLOOKUP(N2724,Sheet9!$M$1:$N$2,2,FALSE)</f>
        <v>1</v>
      </c>
      <c r="D2724">
        <v>16</v>
      </c>
      <c r="E2724" t="s">
        <v>167</v>
      </c>
      <c r="F2724">
        <v>150</v>
      </c>
      <c r="G2724" t="s">
        <v>139</v>
      </c>
      <c r="H2724">
        <v>32</v>
      </c>
      <c r="I2724">
        <v>0.6</v>
      </c>
      <c r="J2724">
        <v>19.2</v>
      </c>
      <c r="K2724">
        <v>6.63</v>
      </c>
      <c r="L2724">
        <v>6.66</v>
      </c>
      <c r="M2724" t="s">
        <v>37</v>
      </c>
      <c r="N2724" t="s">
        <v>162</v>
      </c>
    </row>
    <row r="2725" spans="1:14" x14ac:dyDescent="0.3">
      <c r="A2725" t="s">
        <v>37</v>
      </c>
      <c r="B2725">
        <f>VLOOKUP(M2725,Sheet9!$I$1:$J$17,2,FALSE)</f>
        <v>4</v>
      </c>
      <c r="C2725">
        <f>VLOOKUP(N2725,Sheet9!$M$1:$N$2,2,FALSE)</f>
        <v>1</v>
      </c>
      <c r="D2725">
        <v>16</v>
      </c>
      <c r="E2725" t="s">
        <v>167</v>
      </c>
      <c r="F2725">
        <v>150</v>
      </c>
      <c r="G2725" t="s">
        <v>139</v>
      </c>
      <c r="H2725">
        <v>48</v>
      </c>
      <c r="I2725">
        <v>1.2</v>
      </c>
      <c r="J2725">
        <v>57.599999999999994</v>
      </c>
      <c r="K2725">
        <v>6.02</v>
      </c>
      <c r="L2725">
        <v>6.05</v>
      </c>
      <c r="M2725" t="s">
        <v>37</v>
      </c>
      <c r="N2725" t="s">
        <v>162</v>
      </c>
    </row>
    <row r="2726" spans="1:14" x14ac:dyDescent="0.3">
      <c r="A2726" t="s">
        <v>37</v>
      </c>
      <c r="B2726">
        <f>VLOOKUP(M2726,Sheet9!$I$1:$J$17,2,FALSE)</f>
        <v>4</v>
      </c>
      <c r="C2726">
        <f>VLOOKUP(N2726,Sheet9!$M$1:$N$2,2,FALSE)</f>
        <v>1</v>
      </c>
      <c r="D2726">
        <v>16</v>
      </c>
      <c r="E2726" t="s">
        <v>167</v>
      </c>
      <c r="F2726">
        <v>150</v>
      </c>
      <c r="G2726" t="s">
        <v>139</v>
      </c>
      <c r="H2726">
        <v>64</v>
      </c>
      <c r="I2726">
        <v>1.2</v>
      </c>
      <c r="J2726">
        <v>76.8</v>
      </c>
      <c r="K2726">
        <v>5.71</v>
      </c>
      <c r="L2726">
        <v>5.74</v>
      </c>
      <c r="M2726" t="s">
        <v>37</v>
      </c>
      <c r="N2726" t="s">
        <v>162</v>
      </c>
    </row>
    <row r="2727" spans="1:14" x14ac:dyDescent="0.3">
      <c r="A2727" t="s">
        <v>37</v>
      </c>
      <c r="B2727">
        <f>VLOOKUP(M2727,Sheet9!$I$1:$J$17,2,FALSE)</f>
        <v>4</v>
      </c>
      <c r="C2727">
        <f>VLOOKUP(N2727,Sheet9!$M$1:$N$2,2,FALSE)</f>
        <v>1</v>
      </c>
      <c r="D2727">
        <v>16</v>
      </c>
      <c r="E2727" t="s">
        <v>167</v>
      </c>
      <c r="F2727">
        <v>150</v>
      </c>
      <c r="G2727" t="s">
        <v>139</v>
      </c>
      <c r="H2727">
        <v>96</v>
      </c>
      <c r="I2727">
        <v>0.6</v>
      </c>
      <c r="J2727">
        <v>57.599999999999994</v>
      </c>
      <c r="K2727">
        <v>5.38</v>
      </c>
      <c r="L2727">
        <v>5.4</v>
      </c>
      <c r="M2727" t="s">
        <v>37</v>
      </c>
      <c r="N2727" t="s">
        <v>162</v>
      </c>
    </row>
    <row r="2728" spans="1:14" x14ac:dyDescent="0.3">
      <c r="A2728" t="s">
        <v>37</v>
      </c>
      <c r="B2728">
        <f>VLOOKUP(M2728,Sheet9!$I$1:$J$17,2,FALSE)</f>
        <v>4</v>
      </c>
      <c r="C2728">
        <f>VLOOKUP(N2728,Sheet9!$M$1:$N$2,2,FALSE)</f>
        <v>1</v>
      </c>
      <c r="D2728">
        <v>16</v>
      </c>
      <c r="E2728" t="s">
        <v>167</v>
      </c>
      <c r="F2728">
        <v>150</v>
      </c>
      <c r="G2728" t="s">
        <v>139</v>
      </c>
      <c r="H2728">
        <v>24</v>
      </c>
      <c r="I2728">
        <v>1.2</v>
      </c>
      <c r="J2728">
        <v>28.799999999999997</v>
      </c>
      <c r="K2728">
        <v>5.91</v>
      </c>
      <c r="L2728">
        <v>5.94</v>
      </c>
      <c r="M2728" t="s">
        <v>37</v>
      </c>
      <c r="N2728" t="s">
        <v>162</v>
      </c>
    </row>
    <row r="2729" spans="1:14" x14ac:dyDescent="0.3">
      <c r="A2729" t="s">
        <v>37</v>
      </c>
      <c r="B2729">
        <f>VLOOKUP(M2729,Sheet9!$I$1:$J$17,2,FALSE)</f>
        <v>4</v>
      </c>
      <c r="C2729">
        <f>VLOOKUP(N2729,Sheet9!$M$1:$N$2,2,FALSE)</f>
        <v>1</v>
      </c>
      <c r="D2729">
        <v>16</v>
      </c>
      <c r="E2729" t="s">
        <v>95</v>
      </c>
      <c r="F2729">
        <v>150</v>
      </c>
      <c r="G2729" t="s">
        <v>139</v>
      </c>
      <c r="H2729">
        <v>48</v>
      </c>
      <c r="I2729">
        <v>1.2</v>
      </c>
      <c r="J2729">
        <v>57.599999999999994</v>
      </c>
      <c r="K2729">
        <v>5.38</v>
      </c>
      <c r="L2729">
        <v>5.4</v>
      </c>
      <c r="M2729" t="s">
        <v>37</v>
      </c>
      <c r="N2729" t="s">
        <v>162</v>
      </c>
    </row>
    <row r="2730" spans="1:14" x14ac:dyDescent="0.3">
      <c r="A2730" t="s">
        <v>37</v>
      </c>
      <c r="B2730">
        <f>VLOOKUP(M2730,Sheet9!$I$1:$J$17,2,FALSE)</f>
        <v>4</v>
      </c>
      <c r="C2730">
        <f>VLOOKUP(N2730,Sheet9!$M$1:$N$2,2,FALSE)</f>
        <v>1</v>
      </c>
      <c r="D2730">
        <v>16</v>
      </c>
      <c r="E2730" t="s">
        <v>96</v>
      </c>
      <c r="F2730">
        <v>70</v>
      </c>
      <c r="H2730">
        <v>2</v>
      </c>
      <c r="I2730">
        <v>1</v>
      </c>
      <c r="J2730">
        <v>2</v>
      </c>
      <c r="K2730">
        <v>2.2799999999999998</v>
      </c>
      <c r="L2730">
        <v>2.25</v>
      </c>
      <c r="M2730" t="s">
        <v>37</v>
      </c>
      <c r="N2730" t="s">
        <v>162</v>
      </c>
    </row>
    <row r="2731" spans="1:14" x14ac:dyDescent="0.3">
      <c r="A2731" t="s">
        <v>37</v>
      </c>
      <c r="B2731">
        <f>VLOOKUP(M2731,Sheet9!$I$1:$J$17,2,FALSE)</f>
        <v>4</v>
      </c>
      <c r="C2731">
        <f>VLOOKUP(N2731,Sheet9!$M$1:$N$2,2,FALSE)</f>
        <v>1</v>
      </c>
      <c r="D2731">
        <v>16</v>
      </c>
      <c r="E2731" t="s">
        <v>96</v>
      </c>
      <c r="F2731">
        <v>70</v>
      </c>
      <c r="H2731">
        <v>6</v>
      </c>
      <c r="I2731">
        <v>0.6</v>
      </c>
      <c r="J2731">
        <v>3.6</v>
      </c>
      <c r="K2731">
        <v>3.8</v>
      </c>
      <c r="L2731">
        <v>3.76</v>
      </c>
      <c r="M2731" t="s">
        <v>37</v>
      </c>
      <c r="N2731" t="s">
        <v>162</v>
      </c>
    </row>
    <row r="2732" spans="1:14" x14ac:dyDescent="0.3">
      <c r="A2732" t="s">
        <v>37</v>
      </c>
      <c r="B2732">
        <f>VLOOKUP(M2732,Sheet9!$I$1:$J$17,2,FALSE)</f>
        <v>4</v>
      </c>
      <c r="C2732">
        <f>VLOOKUP(N2732,Sheet9!$M$1:$N$2,2,FALSE)</f>
        <v>1</v>
      </c>
      <c r="D2732">
        <v>16</v>
      </c>
      <c r="E2732" t="s">
        <v>96</v>
      </c>
      <c r="F2732">
        <v>70</v>
      </c>
      <c r="H2732">
        <v>1</v>
      </c>
      <c r="I2732">
        <v>5</v>
      </c>
      <c r="J2732">
        <v>5</v>
      </c>
      <c r="K2732">
        <v>2.2000000000000002</v>
      </c>
      <c r="L2732">
        <v>2.1800000000000002</v>
      </c>
      <c r="M2732" t="s">
        <v>37</v>
      </c>
      <c r="N2732" t="s">
        <v>162</v>
      </c>
    </row>
    <row r="2733" spans="1:14" x14ac:dyDescent="0.3">
      <c r="A2733" t="s">
        <v>37</v>
      </c>
      <c r="B2733">
        <f>VLOOKUP(M2733,Sheet9!$I$1:$J$17,2,FALSE)</f>
        <v>4</v>
      </c>
      <c r="C2733">
        <f>VLOOKUP(N2733,Sheet9!$M$1:$N$2,2,FALSE)</f>
        <v>1</v>
      </c>
      <c r="D2733">
        <v>16</v>
      </c>
      <c r="E2733" t="s">
        <v>96</v>
      </c>
      <c r="F2733">
        <v>70</v>
      </c>
      <c r="H2733">
        <v>1</v>
      </c>
      <c r="I2733">
        <v>10</v>
      </c>
      <c r="J2733">
        <v>10</v>
      </c>
      <c r="K2733">
        <v>2.2000000000000002</v>
      </c>
      <c r="L2733">
        <v>2.1800000000000002</v>
      </c>
      <c r="M2733" t="s">
        <v>37</v>
      </c>
      <c r="N2733" t="s">
        <v>162</v>
      </c>
    </row>
    <row r="2734" spans="1:14" x14ac:dyDescent="0.3">
      <c r="A2734" t="s">
        <v>37</v>
      </c>
      <c r="B2734">
        <f>VLOOKUP(M2734,Sheet9!$I$1:$J$17,2,FALSE)</f>
        <v>4</v>
      </c>
      <c r="C2734">
        <f>VLOOKUP(N2734,Sheet9!$M$1:$N$2,2,FALSE)</f>
        <v>1</v>
      </c>
      <c r="D2734">
        <v>16</v>
      </c>
      <c r="E2734" t="s">
        <v>96</v>
      </c>
      <c r="F2734">
        <v>70</v>
      </c>
      <c r="H2734">
        <v>12</v>
      </c>
      <c r="I2734">
        <v>1.2</v>
      </c>
      <c r="J2734">
        <v>14.4</v>
      </c>
      <c r="K2734">
        <v>3.14</v>
      </c>
      <c r="L2734">
        <v>3.11</v>
      </c>
      <c r="M2734" t="s">
        <v>37</v>
      </c>
      <c r="N2734" t="s">
        <v>162</v>
      </c>
    </row>
    <row r="2735" spans="1:14" x14ac:dyDescent="0.3">
      <c r="A2735" t="s">
        <v>37</v>
      </c>
      <c r="B2735">
        <f>VLOOKUP(M2735,Sheet9!$I$1:$J$17,2,FALSE)</f>
        <v>4</v>
      </c>
      <c r="C2735">
        <f>VLOOKUP(N2735,Sheet9!$M$1:$N$2,2,FALSE)</f>
        <v>1</v>
      </c>
      <c r="D2735">
        <v>16</v>
      </c>
      <c r="E2735" t="s">
        <v>96</v>
      </c>
      <c r="F2735">
        <v>70</v>
      </c>
      <c r="H2735">
        <v>32</v>
      </c>
      <c r="I2735">
        <v>0.6</v>
      </c>
      <c r="J2735">
        <v>19.2</v>
      </c>
      <c r="K2735">
        <v>2.48</v>
      </c>
      <c r="L2735">
        <v>2.46</v>
      </c>
      <c r="M2735" t="s">
        <v>37</v>
      </c>
      <c r="N2735" t="s">
        <v>162</v>
      </c>
    </row>
    <row r="2736" spans="1:14" x14ac:dyDescent="0.3">
      <c r="A2736" t="s">
        <v>37</v>
      </c>
      <c r="B2736">
        <f>VLOOKUP(M2736,Sheet9!$I$1:$J$17,2,FALSE)</f>
        <v>4</v>
      </c>
      <c r="C2736">
        <f>VLOOKUP(N2736,Sheet9!$M$1:$N$2,2,FALSE)</f>
        <v>1</v>
      </c>
      <c r="D2736">
        <v>16</v>
      </c>
      <c r="E2736" t="s">
        <v>168</v>
      </c>
      <c r="F2736">
        <v>70</v>
      </c>
      <c r="H2736">
        <v>32</v>
      </c>
      <c r="I2736">
        <v>0.6</v>
      </c>
      <c r="J2736">
        <v>19.2</v>
      </c>
      <c r="K2736">
        <v>2.67</v>
      </c>
      <c r="L2736">
        <v>2.64</v>
      </c>
      <c r="M2736" t="s">
        <v>37</v>
      </c>
      <c r="N2736" t="s">
        <v>162</v>
      </c>
    </row>
    <row r="2737" spans="1:14" x14ac:dyDescent="0.3">
      <c r="A2737" t="s">
        <v>37</v>
      </c>
      <c r="B2737">
        <f>VLOOKUP(M2737,Sheet9!$I$1:$J$17,2,FALSE)</f>
        <v>4</v>
      </c>
      <c r="C2737">
        <f>VLOOKUP(N2737,Sheet9!$M$1:$N$2,2,FALSE)</f>
        <v>1</v>
      </c>
      <c r="D2737">
        <v>16</v>
      </c>
      <c r="E2737" t="s">
        <v>168</v>
      </c>
      <c r="F2737">
        <v>70</v>
      </c>
      <c r="H2737">
        <v>32</v>
      </c>
      <c r="I2737">
        <v>0.6</v>
      </c>
      <c r="J2737">
        <v>19.2</v>
      </c>
      <c r="K2737">
        <v>3.03</v>
      </c>
      <c r="L2737">
        <v>3</v>
      </c>
      <c r="M2737" t="s">
        <v>37</v>
      </c>
      <c r="N2737" t="s">
        <v>162</v>
      </c>
    </row>
    <row r="2738" spans="1:14" x14ac:dyDescent="0.3">
      <c r="A2738" t="s">
        <v>37</v>
      </c>
      <c r="B2738">
        <f>VLOOKUP(M2738,Sheet9!$I$1:$J$17,2,FALSE)</f>
        <v>4</v>
      </c>
      <c r="C2738">
        <f>VLOOKUP(N2738,Sheet9!$M$1:$N$2,2,FALSE)</f>
        <v>1</v>
      </c>
      <c r="D2738">
        <v>16</v>
      </c>
      <c r="E2738" t="s">
        <v>168</v>
      </c>
      <c r="F2738">
        <v>70</v>
      </c>
      <c r="H2738">
        <v>48</v>
      </c>
      <c r="I2738">
        <v>1.2</v>
      </c>
      <c r="J2738">
        <v>57.599999999999994</v>
      </c>
      <c r="K2738">
        <v>2.75</v>
      </c>
      <c r="L2738">
        <v>2.72</v>
      </c>
      <c r="M2738" t="s">
        <v>37</v>
      </c>
      <c r="N2738" t="s">
        <v>162</v>
      </c>
    </row>
    <row r="2739" spans="1:14" x14ac:dyDescent="0.3">
      <c r="A2739" t="s">
        <v>37</v>
      </c>
      <c r="B2739">
        <f>VLOOKUP(M2739,Sheet9!$I$1:$J$17,2,FALSE)</f>
        <v>4</v>
      </c>
      <c r="C2739">
        <f>VLOOKUP(N2739,Sheet9!$M$1:$N$2,2,FALSE)</f>
        <v>1</v>
      </c>
      <c r="D2739">
        <v>16</v>
      </c>
      <c r="E2739" t="s">
        <v>168</v>
      </c>
      <c r="F2739">
        <v>70</v>
      </c>
      <c r="H2739">
        <v>64</v>
      </c>
      <c r="I2739">
        <v>1.2</v>
      </c>
      <c r="J2739">
        <v>76.8</v>
      </c>
      <c r="K2739">
        <v>2.61</v>
      </c>
      <c r="L2739">
        <v>2.58</v>
      </c>
      <c r="M2739" t="s">
        <v>37</v>
      </c>
      <c r="N2739" t="s">
        <v>162</v>
      </c>
    </row>
    <row r="2740" spans="1:14" x14ac:dyDescent="0.3">
      <c r="A2740" t="s">
        <v>37</v>
      </c>
      <c r="B2740">
        <f>VLOOKUP(M2740,Sheet9!$I$1:$J$17,2,FALSE)</f>
        <v>4</v>
      </c>
      <c r="C2740">
        <f>VLOOKUP(N2740,Sheet9!$M$1:$N$2,2,FALSE)</f>
        <v>1</v>
      </c>
      <c r="D2740">
        <v>16</v>
      </c>
      <c r="E2740" t="s">
        <v>168</v>
      </c>
      <c r="F2740">
        <v>70</v>
      </c>
      <c r="H2740">
        <v>96</v>
      </c>
      <c r="I2740">
        <v>0.6</v>
      </c>
      <c r="J2740">
        <v>57.599999999999994</v>
      </c>
      <c r="K2740">
        <v>2.46</v>
      </c>
      <c r="L2740">
        <v>2.4300000000000002</v>
      </c>
      <c r="M2740" t="s">
        <v>37</v>
      </c>
      <c r="N2740" t="s">
        <v>162</v>
      </c>
    </row>
    <row r="2741" spans="1:14" x14ac:dyDescent="0.3">
      <c r="A2741" t="s">
        <v>37</v>
      </c>
      <c r="B2741">
        <f>VLOOKUP(M2741,Sheet9!$I$1:$J$17,2,FALSE)</f>
        <v>4</v>
      </c>
      <c r="C2741">
        <f>VLOOKUP(N2741,Sheet9!$M$1:$N$2,2,FALSE)</f>
        <v>1</v>
      </c>
      <c r="D2741">
        <v>16</v>
      </c>
      <c r="E2741" t="s">
        <v>168</v>
      </c>
      <c r="F2741">
        <v>70</v>
      </c>
      <c r="H2741">
        <v>24</v>
      </c>
      <c r="I2741">
        <v>1.2</v>
      </c>
      <c r="J2741">
        <v>28.799999999999997</v>
      </c>
      <c r="K2741">
        <v>2.7</v>
      </c>
      <c r="L2741">
        <v>2.64</v>
      </c>
      <c r="M2741" t="s">
        <v>37</v>
      </c>
      <c r="N2741" t="s">
        <v>162</v>
      </c>
    </row>
    <row r="2742" spans="1:14" x14ac:dyDescent="0.3">
      <c r="A2742" t="s">
        <v>37</v>
      </c>
      <c r="B2742">
        <f>VLOOKUP(M2742,Sheet9!$I$1:$J$17,2,FALSE)</f>
        <v>4</v>
      </c>
      <c r="C2742">
        <f>VLOOKUP(N2742,Sheet9!$M$1:$N$2,2,FALSE)</f>
        <v>1</v>
      </c>
      <c r="D2742">
        <v>16</v>
      </c>
      <c r="E2742" t="s">
        <v>96</v>
      </c>
      <c r="F2742">
        <v>70</v>
      </c>
      <c r="H2742">
        <v>48</v>
      </c>
      <c r="I2742">
        <v>1.2</v>
      </c>
      <c r="J2742">
        <v>57.599999999999994</v>
      </c>
      <c r="K2742">
        <v>2.46</v>
      </c>
      <c r="L2742">
        <v>2.4300000000000002</v>
      </c>
      <c r="M2742" t="s">
        <v>37</v>
      </c>
      <c r="N2742" t="s">
        <v>162</v>
      </c>
    </row>
    <row r="2743" spans="1:14" x14ac:dyDescent="0.3">
      <c r="A2743" t="s">
        <v>37</v>
      </c>
      <c r="B2743">
        <f>VLOOKUP(M2743,Sheet9!$I$1:$J$17,2,FALSE)</f>
        <v>4</v>
      </c>
      <c r="C2743">
        <f>VLOOKUP(N2743,Sheet9!$M$1:$N$2,2,FALSE)</f>
        <v>1</v>
      </c>
      <c r="D2743">
        <v>16</v>
      </c>
      <c r="E2743" t="s">
        <v>96</v>
      </c>
      <c r="F2743">
        <v>80</v>
      </c>
      <c r="H2743">
        <v>2</v>
      </c>
      <c r="I2743">
        <v>1</v>
      </c>
      <c r="J2743">
        <v>2</v>
      </c>
      <c r="K2743">
        <v>3.67</v>
      </c>
      <c r="L2743">
        <v>3.6</v>
      </c>
      <c r="M2743" t="s">
        <v>37</v>
      </c>
      <c r="N2743" t="s">
        <v>162</v>
      </c>
    </row>
    <row r="2744" spans="1:14" x14ac:dyDescent="0.3">
      <c r="A2744" t="s">
        <v>37</v>
      </c>
      <c r="B2744">
        <f>VLOOKUP(M2744,Sheet9!$I$1:$J$17,2,FALSE)</f>
        <v>4</v>
      </c>
      <c r="C2744">
        <f>VLOOKUP(N2744,Sheet9!$M$1:$N$2,2,FALSE)</f>
        <v>1</v>
      </c>
      <c r="D2744">
        <v>16</v>
      </c>
      <c r="E2744" t="s">
        <v>96</v>
      </c>
      <c r="F2744">
        <v>80</v>
      </c>
      <c r="H2744">
        <v>6</v>
      </c>
      <c r="I2744">
        <v>0.6</v>
      </c>
      <c r="J2744">
        <v>3.6</v>
      </c>
      <c r="K2744">
        <v>6.12</v>
      </c>
      <c r="L2744">
        <v>5.99</v>
      </c>
      <c r="M2744" t="s">
        <v>37</v>
      </c>
      <c r="N2744" t="s">
        <v>162</v>
      </c>
    </row>
    <row r="2745" spans="1:14" x14ac:dyDescent="0.3">
      <c r="A2745" t="s">
        <v>37</v>
      </c>
      <c r="B2745">
        <f>VLOOKUP(M2745,Sheet9!$I$1:$J$17,2,FALSE)</f>
        <v>4</v>
      </c>
      <c r="C2745">
        <f>VLOOKUP(N2745,Sheet9!$M$1:$N$2,2,FALSE)</f>
        <v>1</v>
      </c>
      <c r="D2745">
        <v>16</v>
      </c>
      <c r="E2745" t="s">
        <v>96</v>
      </c>
      <c r="F2745">
        <v>80</v>
      </c>
      <c r="H2745">
        <v>1</v>
      </c>
      <c r="I2745">
        <v>5</v>
      </c>
      <c r="J2745">
        <v>5</v>
      </c>
      <c r="K2745">
        <v>3.55</v>
      </c>
      <c r="L2745">
        <v>3.48</v>
      </c>
      <c r="M2745" t="s">
        <v>37</v>
      </c>
      <c r="N2745" t="s">
        <v>162</v>
      </c>
    </row>
    <row r="2746" spans="1:14" x14ac:dyDescent="0.3">
      <c r="A2746" t="s">
        <v>37</v>
      </c>
      <c r="B2746">
        <f>VLOOKUP(M2746,Sheet9!$I$1:$J$17,2,FALSE)</f>
        <v>4</v>
      </c>
      <c r="C2746">
        <f>VLOOKUP(N2746,Sheet9!$M$1:$N$2,2,FALSE)</f>
        <v>1</v>
      </c>
      <c r="D2746">
        <v>16</v>
      </c>
      <c r="E2746" t="s">
        <v>96</v>
      </c>
      <c r="F2746">
        <v>80</v>
      </c>
      <c r="H2746">
        <v>1</v>
      </c>
      <c r="I2746">
        <v>10</v>
      </c>
      <c r="J2746">
        <v>10</v>
      </c>
      <c r="K2746">
        <v>3.55</v>
      </c>
      <c r="L2746">
        <v>3.48</v>
      </c>
      <c r="M2746" t="s">
        <v>37</v>
      </c>
      <c r="N2746" t="s">
        <v>162</v>
      </c>
    </row>
    <row r="2747" spans="1:14" x14ac:dyDescent="0.3">
      <c r="A2747" t="s">
        <v>37</v>
      </c>
      <c r="B2747">
        <f>VLOOKUP(M2747,Sheet9!$I$1:$J$17,2,FALSE)</f>
        <v>4</v>
      </c>
      <c r="C2747">
        <f>VLOOKUP(N2747,Sheet9!$M$1:$N$2,2,FALSE)</f>
        <v>1</v>
      </c>
      <c r="D2747">
        <v>16</v>
      </c>
      <c r="E2747" t="s">
        <v>96</v>
      </c>
      <c r="F2747">
        <v>80</v>
      </c>
      <c r="H2747">
        <v>12</v>
      </c>
      <c r="I2747">
        <v>1.2</v>
      </c>
      <c r="J2747">
        <v>14.4</v>
      </c>
      <c r="K2747">
        <v>5.0599999999999996</v>
      </c>
      <c r="L2747">
        <v>4.96</v>
      </c>
      <c r="M2747" t="s">
        <v>37</v>
      </c>
      <c r="N2747" t="s">
        <v>162</v>
      </c>
    </row>
    <row r="2748" spans="1:14" x14ac:dyDescent="0.3">
      <c r="A2748" t="s">
        <v>37</v>
      </c>
      <c r="B2748">
        <f>VLOOKUP(M2748,Sheet9!$I$1:$J$17,2,FALSE)</f>
        <v>4</v>
      </c>
      <c r="C2748">
        <f>VLOOKUP(N2748,Sheet9!$M$1:$N$2,2,FALSE)</f>
        <v>1</v>
      </c>
      <c r="D2748">
        <v>16</v>
      </c>
      <c r="E2748" t="s">
        <v>96</v>
      </c>
      <c r="F2748">
        <v>80</v>
      </c>
      <c r="H2748">
        <v>32</v>
      </c>
      <c r="I2748">
        <v>0.6</v>
      </c>
      <c r="J2748">
        <v>19.2</v>
      </c>
      <c r="K2748">
        <v>4</v>
      </c>
      <c r="L2748">
        <v>3.92</v>
      </c>
      <c r="M2748" t="s">
        <v>37</v>
      </c>
      <c r="N2748" t="s">
        <v>162</v>
      </c>
    </row>
    <row r="2749" spans="1:14" x14ac:dyDescent="0.3">
      <c r="A2749" t="s">
        <v>37</v>
      </c>
      <c r="B2749">
        <f>VLOOKUP(M2749,Sheet9!$I$1:$J$17,2,FALSE)</f>
        <v>4</v>
      </c>
      <c r="C2749">
        <f>VLOOKUP(N2749,Sheet9!$M$1:$N$2,2,FALSE)</f>
        <v>1</v>
      </c>
      <c r="D2749">
        <v>16</v>
      </c>
      <c r="E2749" t="s">
        <v>168</v>
      </c>
      <c r="F2749">
        <v>80</v>
      </c>
      <c r="H2749">
        <v>32</v>
      </c>
      <c r="I2749">
        <v>0.6</v>
      </c>
      <c r="J2749">
        <v>19.2</v>
      </c>
      <c r="K2749">
        <v>4.29</v>
      </c>
      <c r="L2749">
        <v>4.21</v>
      </c>
      <c r="M2749" t="s">
        <v>37</v>
      </c>
      <c r="N2749" t="s">
        <v>162</v>
      </c>
    </row>
    <row r="2750" spans="1:14" x14ac:dyDescent="0.3">
      <c r="A2750" t="s">
        <v>37</v>
      </c>
      <c r="B2750">
        <f>VLOOKUP(M2750,Sheet9!$I$1:$J$17,2,FALSE)</f>
        <v>4</v>
      </c>
      <c r="C2750">
        <f>VLOOKUP(N2750,Sheet9!$M$1:$N$2,2,FALSE)</f>
        <v>1</v>
      </c>
      <c r="D2750">
        <v>16</v>
      </c>
      <c r="E2750" t="s">
        <v>168</v>
      </c>
      <c r="F2750">
        <v>80</v>
      </c>
      <c r="H2750">
        <v>32</v>
      </c>
      <c r="I2750">
        <v>0.6</v>
      </c>
      <c r="J2750">
        <v>19.2</v>
      </c>
      <c r="K2750">
        <v>4.88</v>
      </c>
      <c r="L2750">
        <v>4.78</v>
      </c>
      <c r="M2750" t="s">
        <v>37</v>
      </c>
      <c r="N2750" t="s">
        <v>162</v>
      </c>
    </row>
    <row r="2751" spans="1:14" x14ac:dyDescent="0.3">
      <c r="A2751" t="s">
        <v>37</v>
      </c>
      <c r="B2751">
        <f>VLOOKUP(M2751,Sheet9!$I$1:$J$17,2,FALSE)</f>
        <v>4</v>
      </c>
      <c r="C2751">
        <f>VLOOKUP(N2751,Sheet9!$M$1:$N$2,2,FALSE)</f>
        <v>1</v>
      </c>
      <c r="D2751">
        <v>16</v>
      </c>
      <c r="E2751" t="s">
        <v>168</v>
      </c>
      <c r="F2751">
        <v>80</v>
      </c>
      <c r="H2751">
        <v>48</v>
      </c>
      <c r="I2751">
        <v>1.2</v>
      </c>
      <c r="J2751">
        <v>57.599999999999994</v>
      </c>
      <c r="K2751">
        <v>4.43</v>
      </c>
      <c r="L2751">
        <v>4.34</v>
      </c>
      <c r="M2751" t="s">
        <v>37</v>
      </c>
      <c r="N2751" t="s">
        <v>162</v>
      </c>
    </row>
    <row r="2752" spans="1:14" x14ac:dyDescent="0.3">
      <c r="A2752" t="s">
        <v>37</v>
      </c>
      <c r="B2752">
        <f>VLOOKUP(M2752,Sheet9!$I$1:$J$17,2,FALSE)</f>
        <v>4</v>
      </c>
      <c r="C2752">
        <f>VLOOKUP(N2752,Sheet9!$M$1:$N$2,2,FALSE)</f>
        <v>1</v>
      </c>
      <c r="D2752">
        <v>16</v>
      </c>
      <c r="E2752" t="s">
        <v>168</v>
      </c>
      <c r="F2752">
        <v>80</v>
      </c>
      <c r="H2752">
        <v>64</v>
      </c>
      <c r="I2752">
        <v>1.2</v>
      </c>
      <c r="J2752">
        <v>76.8</v>
      </c>
      <c r="K2752">
        <v>4.21</v>
      </c>
      <c r="L2752">
        <v>4.12</v>
      </c>
      <c r="M2752" t="s">
        <v>37</v>
      </c>
      <c r="N2752" t="s">
        <v>162</v>
      </c>
    </row>
    <row r="2753" spans="1:14" x14ac:dyDescent="0.3">
      <c r="A2753" t="s">
        <v>37</v>
      </c>
      <c r="B2753">
        <f>VLOOKUP(M2753,Sheet9!$I$1:$J$17,2,FALSE)</f>
        <v>4</v>
      </c>
      <c r="C2753">
        <f>VLOOKUP(N2753,Sheet9!$M$1:$N$2,2,FALSE)</f>
        <v>1</v>
      </c>
      <c r="D2753">
        <v>16</v>
      </c>
      <c r="E2753" t="s">
        <v>168</v>
      </c>
      <c r="F2753">
        <v>80</v>
      </c>
      <c r="H2753">
        <v>96</v>
      </c>
      <c r="I2753">
        <v>0.6</v>
      </c>
      <c r="J2753">
        <v>57.599999999999994</v>
      </c>
      <c r="K2753">
        <v>3.96</v>
      </c>
      <c r="L2753">
        <v>3.88</v>
      </c>
      <c r="M2753" t="s">
        <v>37</v>
      </c>
      <c r="N2753" t="s">
        <v>162</v>
      </c>
    </row>
    <row r="2754" spans="1:14" x14ac:dyDescent="0.3">
      <c r="A2754" t="s">
        <v>37</v>
      </c>
      <c r="B2754">
        <f>VLOOKUP(M2754,Sheet9!$I$1:$J$17,2,FALSE)</f>
        <v>4</v>
      </c>
      <c r="C2754">
        <f>VLOOKUP(N2754,Sheet9!$M$1:$N$2,2,FALSE)</f>
        <v>1</v>
      </c>
      <c r="D2754">
        <v>16</v>
      </c>
      <c r="E2754" t="s">
        <v>168</v>
      </c>
      <c r="F2754">
        <v>80</v>
      </c>
      <c r="H2754">
        <v>24</v>
      </c>
      <c r="I2754">
        <v>1.2</v>
      </c>
      <c r="J2754">
        <v>28.799999999999997</v>
      </c>
      <c r="K2754">
        <v>4.3499999999999996</v>
      </c>
      <c r="L2754">
        <v>4.2699999999999996</v>
      </c>
      <c r="M2754" t="s">
        <v>37</v>
      </c>
      <c r="N2754" t="s">
        <v>162</v>
      </c>
    </row>
    <row r="2755" spans="1:14" x14ac:dyDescent="0.3">
      <c r="A2755" t="s">
        <v>37</v>
      </c>
      <c r="B2755">
        <f>VLOOKUP(M2755,Sheet9!$I$1:$J$17,2,FALSE)</f>
        <v>4</v>
      </c>
      <c r="C2755">
        <f>VLOOKUP(N2755,Sheet9!$M$1:$N$2,2,FALSE)</f>
        <v>1</v>
      </c>
      <c r="D2755">
        <v>16</v>
      </c>
      <c r="E2755" t="s">
        <v>96</v>
      </c>
      <c r="F2755">
        <v>80</v>
      </c>
      <c r="H2755">
        <v>48</v>
      </c>
      <c r="I2755">
        <v>1.2</v>
      </c>
      <c r="J2755">
        <v>57.599999999999994</v>
      </c>
      <c r="K2755">
        <v>3.96</v>
      </c>
      <c r="L2755">
        <v>3.88</v>
      </c>
      <c r="M2755" t="s">
        <v>37</v>
      </c>
      <c r="N2755" t="s">
        <v>162</v>
      </c>
    </row>
    <row r="2756" spans="1:14" x14ac:dyDescent="0.3">
      <c r="A2756" t="s">
        <v>37</v>
      </c>
      <c r="B2756">
        <f>VLOOKUP(M2756,Sheet9!$I$1:$J$17,2,FALSE)</f>
        <v>4</v>
      </c>
      <c r="C2756">
        <f>VLOOKUP(N2756,Sheet9!$M$1:$N$2,2,FALSE)</f>
        <v>1</v>
      </c>
      <c r="D2756">
        <v>16</v>
      </c>
      <c r="E2756" t="s">
        <v>96</v>
      </c>
      <c r="F2756">
        <v>90</v>
      </c>
      <c r="H2756">
        <v>2</v>
      </c>
      <c r="I2756">
        <v>1</v>
      </c>
      <c r="J2756">
        <v>2</v>
      </c>
      <c r="K2756">
        <v>5.43</v>
      </c>
      <c r="L2756">
        <v>5.29</v>
      </c>
      <c r="M2756" t="s">
        <v>37</v>
      </c>
      <c r="N2756" t="s">
        <v>162</v>
      </c>
    </row>
    <row r="2757" spans="1:14" x14ac:dyDescent="0.3">
      <c r="A2757" t="s">
        <v>37</v>
      </c>
      <c r="B2757">
        <f>VLOOKUP(M2757,Sheet9!$I$1:$J$17,2,FALSE)</f>
        <v>4</v>
      </c>
      <c r="C2757">
        <f>VLOOKUP(N2757,Sheet9!$M$1:$N$2,2,FALSE)</f>
        <v>1</v>
      </c>
      <c r="D2757">
        <v>16</v>
      </c>
      <c r="E2757" t="s">
        <v>96</v>
      </c>
      <c r="F2757">
        <v>90</v>
      </c>
      <c r="H2757">
        <v>6</v>
      </c>
      <c r="I2757">
        <v>0.6</v>
      </c>
      <c r="J2757">
        <v>3.6</v>
      </c>
      <c r="K2757">
        <v>9.0500000000000007</v>
      </c>
      <c r="L2757">
        <v>8.82</v>
      </c>
      <c r="M2757" t="s">
        <v>37</v>
      </c>
      <c r="N2757" t="s">
        <v>162</v>
      </c>
    </row>
    <row r="2758" spans="1:14" x14ac:dyDescent="0.3">
      <c r="A2758" t="s">
        <v>37</v>
      </c>
      <c r="B2758">
        <f>VLOOKUP(M2758,Sheet9!$I$1:$J$17,2,FALSE)</f>
        <v>4</v>
      </c>
      <c r="C2758">
        <f>VLOOKUP(N2758,Sheet9!$M$1:$N$2,2,FALSE)</f>
        <v>1</v>
      </c>
      <c r="D2758">
        <v>16</v>
      </c>
      <c r="E2758" t="s">
        <v>96</v>
      </c>
      <c r="F2758">
        <v>90</v>
      </c>
      <c r="H2758">
        <v>1</v>
      </c>
      <c r="I2758">
        <v>5</v>
      </c>
      <c r="J2758">
        <v>5</v>
      </c>
      <c r="K2758">
        <v>5.25</v>
      </c>
      <c r="L2758">
        <v>5.1100000000000003</v>
      </c>
      <c r="M2758" t="s">
        <v>37</v>
      </c>
      <c r="N2758" t="s">
        <v>162</v>
      </c>
    </row>
    <row r="2759" spans="1:14" x14ac:dyDescent="0.3">
      <c r="A2759" t="s">
        <v>37</v>
      </c>
      <c r="B2759">
        <f>VLOOKUP(M2759,Sheet9!$I$1:$J$17,2,FALSE)</f>
        <v>4</v>
      </c>
      <c r="C2759">
        <f>VLOOKUP(N2759,Sheet9!$M$1:$N$2,2,FALSE)</f>
        <v>1</v>
      </c>
      <c r="D2759">
        <v>16</v>
      </c>
      <c r="E2759" t="s">
        <v>96</v>
      </c>
      <c r="F2759">
        <v>90</v>
      </c>
      <c r="H2759">
        <v>1</v>
      </c>
      <c r="I2759">
        <v>10</v>
      </c>
      <c r="J2759">
        <v>10</v>
      </c>
      <c r="K2759">
        <v>52.25</v>
      </c>
      <c r="L2759">
        <v>5.1100000000000003</v>
      </c>
      <c r="M2759" t="s">
        <v>37</v>
      </c>
      <c r="N2759" t="s">
        <v>162</v>
      </c>
    </row>
    <row r="2760" spans="1:14" x14ac:dyDescent="0.3">
      <c r="A2760" t="s">
        <v>37</v>
      </c>
      <c r="B2760">
        <f>VLOOKUP(M2760,Sheet9!$I$1:$J$17,2,FALSE)</f>
        <v>4</v>
      </c>
      <c r="C2760">
        <f>VLOOKUP(N2760,Sheet9!$M$1:$N$2,2,FALSE)</f>
        <v>1</v>
      </c>
      <c r="D2760">
        <v>16</v>
      </c>
      <c r="E2760" t="s">
        <v>96</v>
      </c>
      <c r="F2760">
        <v>90</v>
      </c>
      <c r="H2760">
        <v>12</v>
      </c>
      <c r="I2760">
        <v>1.2</v>
      </c>
      <c r="J2760">
        <v>14.4</v>
      </c>
      <c r="K2760">
        <v>7.49</v>
      </c>
      <c r="L2760">
        <v>7.29</v>
      </c>
      <c r="M2760" t="s">
        <v>37</v>
      </c>
      <c r="N2760" t="s">
        <v>162</v>
      </c>
    </row>
    <row r="2761" spans="1:14" x14ac:dyDescent="0.3">
      <c r="A2761" t="s">
        <v>37</v>
      </c>
      <c r="B2761">
        <f>VLOOKUP(M2761,Sheet9!$I$1:$J$17,2,FALSE)</f>
        <v>4</v>
      </c>
      <c r="C2761">
        <f>VLOOKUP(N2761,Sheet9!$M$1:$N$2,2,FALSE)</f>
        <v>1</v>
      </c>
      <c r="D2761">
        <v>16</v>
      </c>
      <c r="E2761" t="s">
        <v>96</v>
      </c>
      <c r="F2761">
        <v>90</v>
      </c>
      <c r="H2761">
        <v>32</v>
      </c>
      <c r="I2761">
        <v>0.6</v>
      </c>
      <c r="J2761">
        <v>19.2</v>
      </c>
      <c r="K2761">
        <v>5.92</v>
      </c>
      <c r="L2761">
        <v>5.76</v>
      </c>
      <c r="M2761" t="s">
        <v>37</v>
      </c>
      <c r="N2761" t="s">
        <v>162</v>
      </c>
    </row>
    <row r="2762" spans="1:14" x14ac:dyDescent="0.3">
      <c r="A2762" t="s">
        <v>37</v>
      </c>
      <c r="B2762">
        <f>VLOOKUP(M2762,Sheet9!$I$1:$J$17,2,FALSE)</f>
        <v>4</v>
      </c>
      <c r="C2762">
        <f>VLOOKUP(N2762,Sheet9!$M$1:$N$2,2,FALSE)</f>
        <v>1</v>
      </c>
      <c r="D2762">
        <v>16</v>
      </c>
      <c r="E2762" t="s">
        <v>168</v>
      </c>
      <c r="F2762">
        <v>90</v>
      </c>
      <c r="H2762">
        <v>32</v>
      </c>
      <c r="I2762">
        <v>0.6</v>
      </c>
      <c r="J2762">
        <v>19.2</v>
      </c>
      <c r="K2762">
        <v>6.35</v>
      </c>
      <c r="L2762">
        <v>6.19</v>
      </c>
      <c r="M2762" t="s">
        <v>37</v>
      </c>
      <c r="N2762" t="s">
        <v>162</v>
      </c>
    </row>
    <row r="2763" spans="1:14" x14ac:dyDescent="0.3">
      <c r="A2763" t="s">
        <v>37</v>
      </c>
      <c r="B2763">
        <f>VLOOKUP(M2763,Sheet9!$I$1:$J$17,2,FALSE)</f>
        <v>4</v>
      </c>
      <c r="C2763">
        <f>VLOOKUP(N2763,Sheet9!$M$1:$N$2,2,FALSE)</f>
        <v>1</v>
      </c>
      <c r="D2763">
        <v>16</v>
      </c>
      <c r="E2763" t="s">
        <v>168</v>
      </c>
      <c r="F2763">
        <v>90</v>
      </c>
      <c r="H2763">
        <v>32</v>
      </c>
      <c r="I2763">
        <v>0.6</v>
      </c>
      <c r="J2763">
        <v>19.2</v>
      </c>
      <c r="K2763">
        <v>7.23</v>
      </c>
      <c r="L2763">
        <v>7.04</v>
      </c>
      <c r="M2763" t="s">
        <v>37</v>
      </c>
      <c r="N2763" t="s">
        <v>162</v>
      </c>
    </row>
    <row r="2764" spans="1:14" x14ac:dyDescent="0.3">
      <c r="A2764" t="s">
        <v>37</v>
      </c>
      <c r="B2764">
        <f>VLOOKUP(M2764,Sheet9!$I$1:$J$17,2,FALSE)</f>
        <v>4</v>
      </c>
      <c r="C2764">
        <f>VLOOKUP(N2764,Sheet9!$M$1:$N$2,2,FALSE)</f>
        <v>1</v>
      </c>
      <c r="D2764">
        <v>16</v>
      </c>
      <c r="E2764" t="s">
        <v>168</v>
      </c>
      <c r="F2764">
        <v>90</v>
      </c>
      <c r="H2764">
        <v>48</v>
      </c>
      <c r="I2764">
        <v>1.2</v>
      </c>
      <c r="J2764">
        <v>57.599999999999994</v>
      </c>
      <c r="K2764">
        <v>6.56</v>
      </c>
      <c r="L2764">
        <v>6.39</v>
      </c>
      <c r="M2764" t="s">
        <v>37</v>
      </c>
      <c r="N2764" t="s">
        <v>162</v>
      </c>
    </row>
    <row r="2765" spans="1:14" x14ac:dyDescent="0.3">
      <c r="A2765" t="s">
        <v>37</v>
      </c>
      <c r="B2765">
        <f>VLOOKUP(M2765,Sheet9!$I$1:$J$17,2,FALSE)</f>
        <v>4</v>
      </c>
      <c r="C2765">
        <f>VLOOKUP(N2765,Sheet9!$M$1:$N$2,2,FALSE)</f>
        <v>1</v>
      </c>
      <c r="D2765">
        <v>16</v>
      </c>
      <c r="E2765" t="s">
        <v>168</v>
      </c>
      <c r="F2765">
        <v>90</v>
      </c>
      <c r="H2765">
        <v>64</v>
      </c>
      <c r="I2765">
        <v>1.2</v>
      </c>
      <c r="J2765">
        <v>76.8</v>
      </c>
      <c r="K2765">
        <v>6.22</v>
      </c>
      <c r="L2765">
        <v>6.06</v>
      </c>
      <c r="M2765" t="s">
        <v>37</v>
      </c>
      <c r="N2765" t="s">
        <v>162</v>
      </c>
    </row>
    <row r="2766" spans="1:14" x14ac:dyDescent="0.3">
      <c r="A2766" t="s">
        <v>37</v>
      </c>
      <c r="B2766">
        <f>VLOOKUP(M2766,Sheet9!$I$1:$J$17,2,FALSE)</f>
        <v>4</v>
      </c>
      <c r="C2766">
        <f>VLOOKUP(N2766,Sheet9!$M$1:$N$2,2,FALSE)</f>
        <v>1</v>
      </c>
      <c r="D2766">
        <v>16</v>
      </c>
      <c r="E2766" t="s">
        <v>168</v>
      </c>
      <c r="F2766">
        <v>90</v>
      </c>
      <c r="H2766">
        <v>96</v>
      </c>
      <c r="I2766">
        <v>0.6</v>
      </c>
      <c r="J2766">
        <v>57.599999999999994</v>
      </c>
      <c r="K2766">
        <v>5.86</v>
      </c>
      <c r="L2766">
        <v>5.7</v>
      </c>
      <c r="M2766" t="s">
        <v>37</v>
      </c>
      <c r="N2766" t="s">
        <v>162</v>
      </c>
    </row>
    <row r="2767" spans="1:14" x14ac:dyDescent="0.3">
      <c r="A2767" t="s">
        <v>37</v>
      </c>
      <c r="B2767">
        <f>VLOOKUP(M2767,Sheet9!$I$1:$J$17,2,FALSE)</f>
        <v>4</v>
      </c>
      <c r="C2767">
        <f>VLOOKUP(N2767,Sheet9!$M$1:$N$2,2,FALSE)</f>
        <v>1</v>
      </c>
      <c r="D2767">
        <v>16</v>
      </c>
      <c r="E2767" t="s">
        <v>168</v>
      </c>
      <c r="F2767">
        <v>90</v>
      </c>
      <c r="H2767">
        <v>24</v>
      </c>
      <c r="I2767">
        <v>1.2</v>
      </c>
      <c r="J2767">
        <v>28.799999999999997</v>
      </c>
      <c r="K2767">
        <v>6.44</v>
      </c>
      <c r="L2767">
        <v>6.27</v>
      </c>
      <c r="M2767" t="s">
        <v>37</v>
      </c>
      <c r="N2767" t="s">
        <v>162</v>
      </c>
    </row>
    <row r="2768" spans="1:14" x14ac:dyDescent="0.3">
      <c r="A2768" t="s">
        <v>37</v>
      </c>
      <c r="B2768">
        <f>VLOOKUP(M2768,Sheet9!$I$1:$J$17,2,FALSE)</f>
        <v>4</v>
      </c>
      <c r="C2768">
        <f>VLOOKUP(N2768,Sheet9!$M$1:$N$2,2,FALSE)</f>
        <v>1</v>
      </c>
      <c r="D2768">
        <v>16</v>
      </c>
      <c r="E2768" t="s">
        <v>96</v>
      </c>
      <c r="F2768">
        <v>90</v>
      </c>
      <c r="H2768">
        <v>48</v>
      </c>
      <c r="I2768">
        <v>1.2</v>
      </c>
      <c r="J2768">
        <v>57.599999999999994</v>
      </c>
      <c r="K2768">
        <v>5.86</v>
      </c>
      <c r="L2768">
        <v>5.71</v>
      </c>
      <c r="M2768" t="s">
        <v>37</v>
      </c>
      <c r="N2768" t="s">
        <v>162</v>
      </c>
    </row>
    <row r="2769" spans="1:14" x14ac:dyDescent="0.3">
      <c r="A2769" t="s">
        <v>37</v>
      </c>
      <c r="B2769">
        <f>VLOOKUP(M2769,Sheet9!$I$1:$J$17,2,FALSE)</f>
        <v>4</v>
      </c>
      <c r="C2769">
        <f>VLOOKUP(N2769,Sheet9!$M$1:$N$2,2,FALSE)</f>
        <v>1</v>
      </c>
      <c r="D2769">
        <v>16</v>
      </c>
      <c r="E2769" t="s">
        <v>96</v>
      </c>
      <c r="F2769">
        <v>100</v>
      </c>
      <c r="H2769">
        <v>2</v>
      </c>
      <c r="I2769">
        <v>1</v>
      </c>
      <c r="J2769">
        <v>2</v>
      </c>
      <c r="K2769">
        <v>7.45</v>
      </c>
      <c r="L2769">
        <v>7.23</v>
      </c>
      <c r="M2769" t="s">
        <v>37</v>
      </c>
      <c r="N2769" t="s">
        <v>162</v>
      </c>
    </row>
    <row r="2770" spans="1:14" x14ac:dyDescent="0.3">
      <c r="A2770" t="s">
        <v>37</v>
      </c>
      <c r="B2770">
        <f>VLOOKUP(M2770,Sheet9!$I$1:$J$17,2,FALSE)</f>
        <v>4</v>
      </c>
      <c r="C2770">
        <f>VLOOKUP(N2770,Sheet9!$M$1:$N$2,2,FALSE)</f>
        <v>1</v>
      </c>
      <c r="D2770">
        <v>16</v>
      </c>
      <c r="E2770" t="s">
        <v>96</v>
      </c>
      <c r="F2770">
        <v>100</v>
      </c>
      <c r="H2770">
        <v>6</v>
      </c>
      <c r="I2770">
        <v>0.6</v>
      </c>
      <c r="J2770">
        <v>3.6</v>
      </c>
      <c r="K2770">
        <v>12.43</v>
      </c>
      <c r="L2770">
        <v>12.04</v>
      </c>
      <c r="M2770" t="s">
        <v>37</v>
      </c>
      <c r="N2770" t="s">
        <v>162</v>
      </c>
    </row>
    <row r="2771" spans="1:14" x14ac:dyDescent="0.3">
      <c r="A2771" t="s">
        <v>37</v>
      </c>
      <c r="B2771">
        <f>VLOOKUP(M2771,Sheet9!$I$1:$J$17,2,FALSE)</f>
        <v>4</v>
      </c>
      <c r="C2771">
        <f>VLOOKUP(N2771,Sheet9!$M$1:$N$2,2,FALSE)</f>
        <v>1</v>
      </c>
      <c r="D2771">
        <v>16</v>
      </c>
      <c r="E2771" t="s">
        <v>96</v>
      </c>
      <c r="F2771">
        <v>100</v>
      </c>
      <c r="H2771">
        <v>1</v>
      </c>
      <c r="I2771">
        <v>5</v>
      </c>
      <c r="J2771">
        <v>5</v>
      </c>
      <c r="K2771">
        <v>7.2</v>
      </c>
      <c r="L2771">
        <v>6.98</v>
      </c>
      <c r="M2771" t="s">
        <v>37</v>
      </c>
      <c r="N2771" t="s">
        <v>162</v>
      </c>
    </row>
    <row r="2772" spans="1:14" x14ac:dyDescent="0.3">
      <c r="A2772" t="s">
        <v>37</v>
      </c>
      <c r="B2772">
        <f>VLOOKUP(M2772,Sheet9!$I$1:$J$17,2,FALSE)</f>
        <v>4</v>
      </c>
      <c r="C2772">
        <f>VLOOKUP(N2772,Sheet9!$M$1:$N$2,2,FALSE)</f>
        <v>1</v>
      </c>
      <c r="D2772">
        <v>16</v>
      </c>
      <c r="E2772" t="s">
        <v>96</v>
      </c>
      <c r="F2772">
        <v>100</v>
      </c>
      <c r="H2772">
        <v>1</v>
      </c>
      <c r="I2772">
        <v>10</v>
      </c>
      <c r="J2772">
        <v>10</v>
      </c>
      <c r="K2772">
        <v>7.2</v>
      </c>
      <c r="L2772">
        <v>6.98</v>
      </c>
      <c r="M2772" t="s">
        <v>37</v>
      </c>
      <c r="N2772" t="s">
        <v>162</v>
      </c>
    </row>
    <row r="2773" spans="1:14" x14ac:dyDescent="0.3">
      <c r="A2773" t="s">
        <v>37</v>
      </c>
      <c r="B2773">
        <f>VLOOKUP(M2773,Sheet9!$I$1:$J$17,2,FALSE)</f>
        <v>4</v>
      </c>
      <c r="C2773">
        <f>VLOOKUP(N2773,Sheet9!$M$1:$N$2,2,FALSE)</f>
        <v>1</v>
      </c>
      <c r="D2773">
        <v>16</v>
      </c>
      <c r="E2773" t="s">
        <v>96</v>
      </c>
      <c r="F2773">
        <v>100</v>
      </c>
      <c r="H2773">
        <v>12</v>
      </c>
      <c r="I2773">
        <v>1.2</v>
      </c>
      <c r="J2773">
        <v>14.4</v>
      </c>
      <c r="K2773">
        <v>10.26</v>
      </c>
      <c r="L2773">
        <v>9.9600000000000009</v>
      </c>
      <c r="M2773" t="s">
        <v>37</v>
      </c>
      <c r="N2773" t="s">
        <v>162</v>
      </c>
    </row>
    <row r="2774" spans="1:14" x14ac:dyDescent="0.3">
      <c r="A2774" t="s">
        <v>37</v>
      </c>
      <c r="B2774">
        <f>VLOOKUP(M2774,Sheet9!$I$1:$J$17,2,FALSE)</f>
        <v>4</v>
      </c>
      <c r="C2774">
        <f>VLOOKUP(N2774,Sheet9!$M$1:$N$2,2,FALSE)</f>
        <v>1</v>
      </c>
      <c r="D2774">
        <v>16</v>
      </c>
      <c r="E2774" t="s">
        <v>96</v>
      </c>
      <c r="F2774">
        <v>100</v>
      </c>
      <c r="H2774">
        <v>32</v>
      </c>
      <c r="I2774">
        <v>0.6</v>
      </c>
      <c r="J2774">
        <v>19.2</v>
      </c>
      <c r="K2774">
        <v>8.1199999999999992</v>
      </c>
      <c r="L2774">
        <v>7.87</v>
      </c>
      <c r="M2774" t="s">
        <v>37</v>
      </c>
      <c r="N2774" t="s">
        <v>162</v>
      </c>
    </row>
    <row r="2775" spans="1:14" x14ac:dyDescent="0.3">
      <c r="A2775" t="s">
        <v>37</v>
      </c>
      <c r="B2775">
        <f>VLOOKUP(M2775,Sheet9!$I$1:$J$17,2,FALSE)</f>
        <v>4</v>
      </c>
      <c r="C2775">
        <f>VLOOKUP(N2775,Sheet9!$M$1:$N$2,2,FALSE)</f>
        <v>1</v>
      </c>
      <c r="D2775">
        <v>16</v>
      </c>
      <c r="E2775" t="s">
        <v>168</v>
      </c>
      <c r="F2775">
        <v>100</v>
      </c>
      <c r="H2775">
        <v>32</v>
      </c>
      <c r="I2775">
        <v>0.6</v>
      </c>
      <c r="J2775">
        <v>19.2</v>
      </c>
      <c r="K2775">
        <v>8.7100000000000009</v>
      </c>
      <c r="L2775">
        <v>8.4499999999999993</v>
      </c>
      <c r="M2775" t="s">
        <v>37</v>
      </c>
      <c r="N2775" t="s">
        <v>162</v>
      </c>
    </row>
    <row r="2776" spans="1:14" x14ac:dyDescent="0.3">
      <c r="A2776" t="s">
        <v>37</v>
      </c>
      <c r="B2776">
        <f>VLOOKUP(M2776,Sheet9!$I$1:$J$17,2,FALSE)</f>
        <v>4</v>
      </c>
      <c r="C2776">
        <f>VLOOKUP(N2776,Sheet9!$M$1:$N$2,2,FALSE)</f>
        <v>1</v>
      </c>
      <c r="D2776">
        <v>16</v>
      </c>
      <c r="E2776" t="s">
        <v>168</v>
      </c>
      <c r="F2776">
        <v>100</v>
      </c>
      <c r="H2776">
        <v>32</v>
      </c>
      <c r="I2776">
        <v>0.6</v>
      </c>
      <c r="J2776">
        <v>19.2</v>
      </c>
      <c r="K2776">
        <v>9.91</v>
      </c>
      <c r="L2776">
        <v>9.61</v>
      </c>
      <c r="M2776" t="s">
        <v>37</v>
      </c>
      <c r="N2776" t="s">
        <v>162</v>
      </c>
    </row>
    <row r="2777" spans="1:14" x14ac:dyDescent="0.3">
      <c r="A2777" t="s">
        <v>37</v>
      </c>
      <c r="B2777">
        <f>VLOOKUP(M2777,Sheet9!$I$1:$J$17,2,FALSE)</f>
        <v>4</v>
      </c>
      <c r="C2777">
        <f>VLOOKUP(N2777,Sheet9!$M$1:$N$2,2,FALSE)</f>
        <v>1</v>
      </c>
      <c r="D2777">
        <v>16</v>
      </c>
      <c r="E2777" t="s">
        <v>168</v>
      </c>
      <c r="F2777">
        <v>100</v>
      </c>
      <c r="H2777">
        <v>48</v>
      </c>
      <c r="I2777">
        <v>1.2</v>
      </c>
      <c r="J2777">
        <v>57.599999999999994</v>
      </c>
      <c r="K2777">
        <v>8.99</v>
      </c>
      <c r="L2777">
        <v>8.7200000000000006</v>
      </c>
      <c r="M2777" t="s">
        <v>37</v>
      </c>
      <c r="N2777" t="s">
        <v>162</v>
      </c>
    </row>
    <row r="2778" spans="1:14" x14ac:dyDescent="0.3">
      <c r="A2778" t="s">
        <v>37</v>
      </c>
      <c r="B2778">
        <f>VLOOKUP(M2778,Sheet9!$I$1:$J$17,2,FALSE)</f>
        <v>4</v>
      </c>
      <c r="C2778">
        <f>VLOOKUP(N2778,Sheet9!$M$1:$N$2,2,FALSE)</f>
        <v>1</v>
      </c>
      <c r="D2778">
        <v>16</v>
      </c>
      <c r="E2778" t="s">
        <v>168</v>
      </c>
      <c r="F2778">
        <v>100</v>
      </c>
      <c r="H2778">
        <v>64</v>
      </c>
      <c r="I2778">
        <v>1.2</v>
      </c>
      <c r="J2778">
        <v>76.8</v>
      </c>
      <c r="K2778">
        <v>8.5299999999999994</v>
      </c>
      <c r="L2778">
        <v>8.2799999999999994</v>
      </c>
      <c r="M2778" t="s">
        <v>37</v>
      </c>
      <c r="N2778" t="s">
        <v>162</v>
      </c>
    </row>
    <row r="2779" spans="1:14" x14ac:dyDescent="0.3">
      <c r="A2779" t="s">
        <v>37</v>
      </c>
      <c r="B2779">
        <f>VLOOKUP(M2779,Sheet9!$I$1:$J$17,2,FALSE)</f>
        <v>4</v>
      </c>
      <c r="C2779">
        <f>VLOOKUP(N2779,Sheet9!$M$1:$N$2,2,FALSE)</f>
        <v>1</v>
      </c>
      <c r="D2779">
        <v>16</v>
      </c>
      <c r="E2779" t="s">
        <v>168</v>
      </c>
      <c r="F2779">
        <v>100</v>
      </c>
      <c r="H2779">
        <v>96</v>
      </c>
      <c r="I2779">
        <v>0.6</v>
      </c>
      <c r="J2779">
        <v>57.599999999999994</v>
      </c>
      <c r="K2779">
        <v>8.0299999999999994</v>
      </c>
      <c r="L2779">
        <v>7.79</v>
      </c>
      <c r="M2779" t="s">
        <v>37</v>
      </c>
      <c r="N2779" t="s">
        <v>162</v>
      </c>
    </row>
    <row r="2780" spans="1:14" x14ac:dyDescent="0.3">
      <c r="A2780" t="s">
        <v>37</v>
      </c>
      <c r="B2780">
        <f>VLOOKUP(M2780,Sheet9!$I$1:$J$17,2,FALSE)</f>
        <v>4</v>
      </c>
      <c r="C2780">
        <f>VLOOKUP(N2780,Sheet9!$M$1:$N$2,2,FALSE)</f>
        <v>1</v>
      </c>
      <c r="D2780">
        <v>16</v>
      </c>
      <c r="E2780" t="s">
        <v>168</v>
      </c>
      <c r="F2780">
        <v>100</v>
      </c>
      <c r="H2780">
        <v>24</v>
      </c>
      <c r="I2780">
        <v>1.2</v>
      </c>
      <c r="J2780">
        <v>28.799999999999997</v>
      </c>
      <c r="K2780">
        <v>8.83</v>
      </c>
      <c r="L2780">
        <v>8.57</v>
      </c>
      <c r="M2780" t="s">
        <v>37</v>
      </c>
      <c r="N2780" t="s">
        <v>162</v>
      </c>
    </row>
    <row r="2781" spans="1:14" x14ac:dyDescent="0.3">
      <c r="A2781" t="s">
        <v>37</v>
      </c>
      <c r="B2781">
        <f>VLOOKUP(M2781,Sheet9!$I$1:$J$17,2,FALSE)</f>
        <v>4</v>
      </c>
      <c r="C2781">
        <f>VLOOKUP(N2781,Sheet9!$M$1:$N$2,2,FALSE)</f>
        <v>1</v>
      </c>
      <c r="D2781">
        <v>16</v>
      </c>
      <c r="E2781" t="s">
        <v>96</v>
      </c>
      <c r="F2781">
        <v>100</v>
      </c>
      <c r="H2781">
        <v>48</v>
      </c>
      <c r="I2781">
        <v>1.2</v>
      </c>
      <c r="J2781">
        <v>57.599999999999994</v>
      </c>
      <c r="K2781">
        <v>8.0299999999999994</v>
      </c>
      <c r="L2781">
        <v>7.79</v>
      </c>
      <c r="M2781" t="s">
        <v>37</v>
      </c>
      <c r="N2781" t="s">
        <v>162</v>
      </c>
    </row>
    <row r="2782" spans="1:14" x14ac:dyDescent="0.3">
      <c r="A2782" t="s">
        <v>37</v>
      </c>
      <c r="B2782">
        <f>VLOOKUP(M2782,Sheet9!$I$1:$J$17,2,FALSE)</f>
        <v>4</v>
      </c>
      <c r="C2782">
        <f>VLOOKUP(N2782,Sheet9!$M$1:$N$2,2,FALSE)</f>
        <v>1</v>
      </c>
      <c r="D2782">
        <v>16</v>
      </c>
      <c r="E2782" t="s">
        <v>96</v>
      </c>
      <c r="F2782">
        <v>110</v>
      </c>
      <c r="H2782">
        <v>2</v>
      </c>
      <c r="I2782">
        <v>1</v>
      </c>
      <c r="J2782">
        <v>2</v>
      </c>
      <c r="K2782">
        <v>9.66</v>
      </c>
      <c r="L2782">
        <v>9.3699999999999992</v>
      </c>
      <c r="M2782" t="s">
        <v>37</v>
      </c>
      <c r="N2782" t="s">
        <v>162</v>
      </c>
    </row>
    <row r="2783" spans="1:14" x14ac:dyDescent="0.3">
      <c r="A2783" t="s">
        <v>37</v>
      </c>
      <c r="B2783">
        <f>VLOOKUP(M2783,Sheet9!$I$1:$J$17,2,FALSE)</f>
        <v>4</v>
      </c>
      <c r="C2783">
        <f>VLOOKUP(N2783,Sheet9!$M$1:$N$2,2,FALSE)</f>
        <v>1</v>
      </c>
      <c r="D2783">
        <v>16</v>
      </c>
      <c r="E2783" t="s">
        <v>96</v>
      </c>
      <c r="F2783">
        <v>110</v>
      </c>
      <c r="H2783">
        <v>6</v>
      </c>
      <c r="I2783">
        <v>0.6</v>
      </c>
      <c r="J2783">
        <v>3.6</v>
      </c>
      <c r="K2783">
        <v>16.11</v>
      </c>
      <c r="L2783">
        <v>15.62</v>
      </c>
      <c r="M2783" t="s">
        <v>37</v>
      </c>
      <c r="N2783" t="s">
        <v>162</v>
      </c>
    </row>
    <row r="2784" spans="1:14" x14ac:dyDescent="0.3">
      <c r="A2784" t="s">
        <v>37</v>
      </c>
      <c r="B2784">
        <f>VLOOKUP(M2784,Sheet9!$I$1:$J$17,2,FALSE)</f>
        <v>4</v>
      </c>
      <c r="C2784">
        <f>VLOOKUP(N2784,Sheet9!$M$1:$N$2,2,FALSE)</f>
        <v>1</v>
      </c>
      <c r="D2784">
        <v>16</v>
      </c>
      <c r="E2784" t="s">
        <v>96</v>
      </c>
      <c r="F2784">
        <v>110</v>
      </c>
      <c r="H2784">
        <v>1</v>
      </c>
      <c r="I2784">
        <v>5</v>
      </c>
      <c r="J2784">
        <v>5</v>
      </c>
      <c r="K2784">
        <v>9.34</v>
      </c>
      <c r="L2784">
        <v>9.06</v>
      </c>
      <c r="M2784" t="s">
        <v>37</v>
      </c>
      <c r="N2784" t="s">
        <v>162</v>
      </c>
    </row>
    <row r="2785" spans="1:14" x14ac:dyDescent="0.3">
      <c r="A2785" t="s">
        <v>37</v>
      </c>
      <c r="B2785">
        <f>VLOOKUP(M2785,Sheet9!$I$1:$J$17,2,FALSE)</f>
        <v>4</v>
      </c>
      <c r="C2785">
        <f>VLOOKUP(N2785,Sheet9!$M$1:$N$2,2,FALSE)</f>
        <v>1</v>
      </c>
      <c r="D2785">
        <v>16</v>
      </c>
      <c r="E2785" t="s">
        <v>96</v>
      </c>
      <c r="F2785">
        <v>110</v>
      </c>
      <c r="H2785">
        <v>1</v>
      </c>
      <c r="I2785">
        <v>10</v>
      </c>
      <c r="J2785">
        <v>10</v>
      </c>
      <c r="K2785">
        <v>9.34</v>
      </c>
      <c r="L2785">
        <v>9.06</v>
      </c>
      <c r="M2785" t="s">
        <v>37</v>
      </c>
      <c r="N2785" t="s">
        <v>162</v>
      </c>
    </row>
    <row r="2786" spans="1:14" x14ac:dyDescent="0.3">
      <c r="A2786" t="s">
        <v>37</v>
      </c>
      <c r="B2786">
        <f>VLOOKUP(M2786,Sheet9!$I$1:$J$17,2,FALSE)</f>
        <v>4</v>
      </c>
      <c r="C2786">
        <f>VLOOKUP(N2786,Sheet9!$M$1:$N$2,2,FALSE)</f>
        <v>1</v>
      </c>
      <c r="D2786">
        <v>16</v>
      </c>
      <c r="E2786" t="s">
        <v>96</v>
      </c>
      <c r="F2786">
        <v>110</v>
      </c>
      <c r="H2786">
        <v>12</v>
      </c>
      <c r="I2786">
        <v>1.2</v>
      </c>
      <c r="J2786">
        <v>14.4</v>
      </c>
      <c r="K2786">
        <v>13.32</v>
      </c>
      <c r="L2786">
        <v>12.92</v>
      </c>
      <c r="M2786" t="s">
        <v>37</v>
      </c>
      <c r="N2786" t="s">
        <v>162</v>
      </c>
    </row>
    <row r="2787" spans="1:14" x14ac:dyDescent="0.3">
      <c r="A2787" t="s">
        <v>37</v>
      </c>
      <c r="B2787">
        <f>VLOOKUP(M2787,Sheet9!$I$1:$J$17,2,FALSE)</f>
        <v>4</v>
      </c>
      <c r="C2787">
        <f>VLOOKUP(N2787,Sheet9!$M$1:$N$2,2,FALSE)</f>
        <v>1</v>
      </c>
      <c r="D2787">
        <v>16</v>
      </c>
      <c r="E2787" t="s">
        <v>96</v>
      </c>
      <c r="F2787">
        <v>110</v>
      </c>
      <c r="H2787">
        <v>32</v>
      </c>
      <c r="I2787">
        <v>0.6</v>
      </c>
      <c r="J2787">
        <v>19.2</v>
      </c>
      <c r="K2787">
        <v>10.53</v>
      </c>
      <c r="L2787">
        <v>10.220000000000001</v>
      </c>
      <c r="M2787" t="s">
        <v>37</v>
      </c>
      <c r="N2787" t="s">
        <v>162</v>
      </c>
    </row>
    <row r="2788" spans="1:14" x14ac:dyDescent="0.3">
      <c r="A2788" t="s">
        <v>37</v>
      </c>
      <c r="B2788">
        <f>VLOOKUP(M2788,Sheet9!$I$1:$J$17,2,FALSE)</f>
        <v>4</v>
      </c>
      <c r="C2788">
        <f>VLOOKUP(N2788,Sheet9!$M$1:$N$2,2,FALSE)</f>
        <v>1</v>
      </c>
      <c r="D2788">
        <v>16</v>
      </c>
      <c r="E2788" t="s">
        <v>168</v>
      </c>
      <c r="F2788">
        <v>110</v>
      </c>
      <c r="H2788">
        <v>32</v>
      </c>
      <c r="I2788">
        <v>0.6</v>
      </c>
      <c r="J2788">
        <v>19.2</v>
      </c>
      <c r="K2788">
        <v>11.31</v>
      </c>
      <c r="L2788">
        <v>10.97</v>
      </c>
      <c r="M2788" t="s">
        <v>37</v>
      </c>
      <c r="N2788" t="s">
        <v>162</v>
      </c>
    </row>
    <row r="2789" spans="1:14" x14ac:dyDescent="0.3">
      <c r="A2789" t="s">
        <v>37</v>
      </c>
      <c r="B2789">
        <f>VLOOKUP(M2789,Sheet9!$I$1:$J$17,2,FALSE)</f>
        <v>4</v>
      </c>
      <c r="C2789">
        <f>VLOOKUP(N2789,Sheet9!$M$1:$N$2,2,FALSE)</f>
        <v>1</v>
      </c>
      <c r="D2789">
        <v>16</v>
      </c>
      <c r="E2789" t="s">
        <v>168</v>
      </c>
      <c r="F2789">
        <v>110</v>
      </c>
      <c r="H2789">
        <v>32</v>
      </c>
      <c r="I2789">
        <v>0.6</v>
      </c>
      <c r="J2789">
        <v>19.2</v>
      </c>
      <c r="K2789">
        <v>12.86</v>
      </c>
      <c r="L2789">
        <v>12.47</v>
      </c>
      <c r="M2789" t="s">
        <v>37</v>
      </c>
      <c r="N2789" t="s">
        <v>162</v>
      </c>
    </row>
    <row r="2790" spans="1:14" x14ac:dyDescent="0.3">
      <c r="A2790" t="s">
        <v>37</v>
      </c>
      <c r="B2790">
        <f>VLOOKUP(M2790,Sheet9!$I$1:$J$17,2,FALSE)</f>
        <v>4</v>
      </c>
      <c r="C2790">
        <f>VLOOKUP(N2790,Sheet9!$M$1:$N$2,2,FALSE)</f>
        <v>1</v>
      </c>
      <c r="D2790">
        <v>16</v>
      </c>
      <c r="E2790" t="s">
        <v>168</v>
      </c>
      <c r="F2790">
        <v>110</v>
      </c>
      <c r="H2790">
        <v>48</v>
      </c>
      <c r="I2790">
        <v>1.2</v>
      </c>
      <c r="J2790">
        <v>57.599999999999994</v>
      </c>
      <c r="K2790">
        <v>11.67</v>
      </c>
      <c r="L2790">
        <v>11.32</v>
      </c>
      <c r="M2790" t="s">
        <v>37</v>
      </c>
      <c r="N2790" t="s">
        <v>162</v>
      </c>
    </row>
    <row r="2791" spans="1:14" x14ac:dyDescent="0.3">
      <c r="A2791" t="s">
        <v>37</v>
      </c>
      <c r="B2791">
        <f>VLOOKUP(M2791,Sheet9!$I$1:$J$17,2,FALSE)</f>
        <v>4</v>
      </c>
      <c r="C2791">
        <f>VLOOKUP(N2791,Sheet9!$M$1:$N$2,2,FALSE)</f>
        <v>1</v>
      </c>
      <c r="D2791">
        <v>16</v>
      </c>
      <c r="E2791" t="s">
        <v>168</v>
      </c>
      <c r="F2791">
        <v>110</v>
      </c>
      <c r="H2791">
        <v>64</v>
      </c>
      <c r="I2791">
        <v>1.2</v>
      </c>
      <c r="J2791">
        <v>76.8</v>
      </c>
      <c r="K2791">
        <v>11.07</v>
      </c>
      <c r="L2791">
        <v>10.74</v>
      </c>
      <c r="M2791" t="s">
        <v>37</v>
      </c>
      <c r="N2791" t="s">
        <v>162</v>
      </c>
    </row>
    <row r="2792" spans="1:14" x14ac:dyDescent="0.3">
      <c r="A2792" t="s">
        <v>37</v>
      </c>
      <c r="B2792">
        <f>VLOOKUP(M2792,Sheet9!$I$1:$J$17,2,FALSE)</f>
        <v>4</v>
      </c>
      <c r="C2792">
        <f>VLOOKUP(N2792,Sheet9!$M$1:$N$2,2,FALSE)</f>
        <v>1</v>
      </c>
      <c r="D2792">
        <v>16</v>
      </c>
      <c r="E2792" t="s">
        <v>168</v>
      </c>
      <c r="F2792">
        <v>110</v>
      </c>
      <c r="H2792">
        <v>96</v>
      </c>
      <c r="I2792">
        <v>0.6</v>
      </c>
      <c r="J2792">
        <v>57.599999999999994</v>
      </c>
      <c r="K2792">
        <v>10.42</v>
      </c>
      <c r="L2792">
        <v>10.1</v>
      </c>
      <c r="M2792" t="s">
        <v>37</v>
      </c>
      <c r="N2792" t="s">
        <v>162</v>
      </c>
    </row>
    <row r="2793" spans="1:14" x14ac:dyDescent="0.3">
      <c r="A2793" t="s">
        <v>37</v>
      </c>
      <c r="B2793">
        <f>VLOOKUP(M2793,Sheet9!$I$1:$J$17,2,FALSE)</f>
        <v>4</v>
      </c>
      <c r="C2793">
        <f>VLOOKUP(N2793,Sheet9!$M$1:$N$2,2,FALSE)</f>
        <v>1</v>
      </c>
      <c r="D2793">
        <v>16</v>
      </c>
      <c r="E2793" t="s">
        <v>168</v>
      </c>
      <c r="F2793">
        <v>110</v>
      </c>
      <c r="H2793">
        <v>24</v>
      </c>
      <c r="I2793">
        <v>1.2</v>
      </c>
      <c r="J2793">
        <v>28.799999999999997</v>
      </c>
      <c r="K2793">
        <v>11.46</v>
      </c>
      <c r="L2793">
        <v>11.12</v>
      </c>
      <c r="M2793" t="s">
        <v>37</v>
      </c>
      <c r="N2793" t="s">
        <v>162</v>
      </c>
    </row>
    <row r="2794" spans="1:14" x14ac:dyDescent="0.3">
      <c r="A2794" t="s">
        <v>37</v>
      </c>
      <c r="B2794">
        <f>VLOOKUP(M2794,Sheet9!$I$1:$J$17,2,FALSE)</f>
        <v>4</v>
      </c>
      <c r="C2794">
        <f>VLOOKUP(N2794,Sheet9!$M$1:$N$2,2,FALSE)</f>
        <v>1</v>
      </c>
      <c r="D2794">
        <v>16</v>
      </c>
      <c r="E2794" t="s">
        <v>96</v>
      </c>
      <c r="F2794">
        <v>110</v>
      </c>
      <c r="H2794">
        <v>48</v>
      </c>
      <c r="I2794">
        <v>1.2</v>
      </c>
      <c r="J2794">
        <v>57.599999999999994</v>
      </c>
      <c r="K2794">
        <v>10.43</v>
      </c>
      <c r="L2794">
        <v>10.11</v>
      </c>
      <c r="M2794" t="s">
        <v>37</v>
      </c>
      <c r="N2794" t="s">
        <v>162</v>
      </c>
    </row>
    <row r="2795" spans="1:14" x14ac:dyDescent="0.3">
      <c r="A2795" t="s">
        <v>37</v>
      </c>
      <c r="B2795">
        <f>VLOOKUP(M2795,Sheet9!$I$1:$J$17,2,FALSE)</f>
        <v>4</v>
      </c>
      <c r="C2795">
        <f>VLOOKUP(N2795,Sheet9!$M$1:$N$2,2,FALSE)</f>
        <v>1</v>
      </c>
      <c r="D2795">
        <v>16</v>
      </c>
      <c r="E2795" t="s">
        <v>96</v>
      </c>
      <c r="F2795">
        <v>120</v>
      </c>
      <c r="H2795">
        <v>2</v>
      </c>
      <c r="I2795">
        <v>1</v>
      </c>
      <c r="J2795">
        <v>2</v>
      </c>
      <c r="K2795">
        <v>12.1</v>
      </c>
      <c r="L2795">
        <v>11.74</v>
      </c>
      <c r="M2795" t="s">
        <v>37</v>
      </c>
      <c r="N2795" t="s">
        <v>162</v>
      </c>
    </row>
    <row r="2796" spans="1:14" x14ac:dyDescent="0.3">
      <c r="A2796" t="s">
        <v>37</v>
      </c>
      <c r="B2796">
        <f>VLOOKUP(M2796,Sheet9!$I$1:$J$17,2,FALSE)</f>
        <v>4</v>
      </c>
      <c r="C2796">
        <f>VLOOKUP(N2796,Sheet9!$M$1:$N$2,2,FALSE)</f>
        <v>1</v>
      </c>
      <c r="D2796">
        <v>16</v>
      </c>
      <c r="E2796" t="s">
        <v>96</v>
      </c>
      <c r="F2796">
        <v>120</v>
      </c>
      <c r="H2796">
        <v>6</v>
      </c>
      <c r="I2796">
        <v>0.6</v>
      </c>
      <c r="J2796">
        <v>3.6</v>
      </c>
      <c r="K2796">
        <v>20.16</v>
      </c>
      <c r="L2796">
        <v>19.57</v>
      </c>
      <c r="M2796" t="s">
        <v>37</v>
      </c>
      <c r="N2796" t="s">
        <v>162</v>
      </c>
    </row>
    <row r="2797" spans="1:14" x14ac:dyDescent="0.3">
      <c r="A2797" t="s">
        <v>37</v>
      </c>
      <c r="B2797">
        <f>VLOOKUP(M2797,Sheet9!$I$1:$J$17,2,FALSE)</f>
        <v>4</v>
      </c>
      <c r="C2797">
        <f>VLOOKUP(N2797,Sheet9!$M$1:$N$2,2,FALSE)</f>
        <v>1</v>
      </c>
      <c r="D2797">
        <v>16</v>
      </c>
      <c r="E2797" t="s">
        <v>96</v>
      </c>
      <c r="F2797">
        <v>120</v>
      </c>
      <c r="H2797">
        <v>1</v>
      </c>
      <c r="I2797">
        <v>5</v>
      </c>
      <c r="J2797">
        <v>5</v>
      </c>
      <c r="K2797">
        <v>11.69</v>
      </c>
      <c r="L2797">
        <v>11.34</v>
      </c>
      <c r="M2797" t="s">
        <v>37</v>
      </c>
      <c r="N2797" t="s">
        <v>162</v>
      </c>
    </row>
    <row r="2798" spans="1:14" x14ac:dyDescent="0.3">
      <c r="A2798" t="s">
        <v>37</v>
      </c>
      <c r="B2798">
        <f>VLOOKUP(M2798,Sheet9!$I$1:$J$17,2,FALSE)</f>
        <v>4</v>
      </c>
      <c r="C2798">
        <f>VLOOKUP(N2798,Sheet9!$M$1:$N$2,2,FALSE)</f>
        <v>1</v>
      </c>
      <c r="D2798">
        <v>16</v>
      </c>
      <c r="E2798" t="s">
        <v>96</v>
      </c>
      <c r="F2798">
        <v>120</v>
      </c>
      <c r="H2798">
        <v>1</v>
      </c>
      <c r="I2798">
        <v>10</v>
      </c>
      <c r="J2798">
        <v>10</v>
      </c>
      <c r="K2798">
        <v>11.69</v>
      </c>
      <c r="L2798">
        <v>11.34</v>
      </c>
      <c r="M2798" t="s">
        <v>37</v>
      </c>
      <c r="N2798" t="s">
        <v>162</v>
      </c>
    </row>
    <row r="2799" spans="1:14" x14ac:dyDescent="0.3">
      <c r="A2799" t="s">
        <v>37</v>
      </c>
      <c r="B2799">
        <f>VLOOKUP(M2799,Sheet9!$I$1:$J$17,2,FALSE)</f>
        <v>4</v>
      </c>
      <c r="C2799">
        <f>VLOOKUP(N2799,Sheet9!$M$1:$N$2,2,FALSE)</f>
        <v>1</v>
      </c>
      <c r="D2799">
        <v>16</v>
      </c>
      <c r="E2799" t="s">
        <v>96</v>
      </c>
      <c r="F2799">
        <v>120</v>
      </c>
      <c r="H2799">
        <v>12</v>
      </c>
      <c r="I2799">
        <v>1.2</v>
      </c>
      <c r="J2799">
        <v>14.4</v>
      </c>
      <c r="K2799">
        <v>16.670000000000002</v>
      </c>
      <c r="L2799">
        <v>16.18</v>
      </c>
      <c r="M2799" t="s">
        <v>37</v>
      </c>
      <c r="N2799" t="s">
        <v>162</v>
      </c>
    </row>
    <row r="2800" spans="1:14" x14ac:dyDescent="0.3">
      <c r="A2800" t="s">
        <v>37</v>
      </c>
      <c r="B2800">
        <f>VLOOKUP(M2800,Sheet9!$I$1:$J$17,2,FALSE)</f>
        <v>4</v>
      </c>
      <c r="C2800">
        <f>VLOOKUP(N2800,Sheet9!$M$1:$N$2,2,FALSE)</f>
        <v>1</v>
      </c>
      <c r="D2800">
        <v>16</v>
      </c>
      <c r="E2800" t="s">
        <v>96</v>
      </c>
      <c r="F2800">
        <v>120</v>
      </c>
      <c r="H2800">
        <v>32</v>
      </c>
      <c r="I2800">
        <v>0.6</v>
      </c>
      <c r="J2800">
        <v>19.2</v>
      </c>
      <c r="K2800">
        <v>13.18</v>
      </c>
      <c r="L2800">
        <v>12.79</v>
      </c>
      <c r="M2800" t="s">
        <v>37</v>
      </c>
      <c r="N2800" t="s">
        <v>162</v>
      </c>
    </row>
    <row r="2801" spans="1:14" x14ac:dyDescent="0.3">
      <c r="A2801" t="s">
        <v>37</v>
      </c>
      <c r="B2801">
        <f>VLOOKUP(M2801,Sheet9!$I$1:$J$17,2,FALSE)</f>
        <v>4</v>
      </c>
      <c r="C2801">
        <f>VLOOKUP(N2801,Sheet9!$M$1:$N$2,2,FALSE)</f>
        <v>1</v>
      </c>
      <c r="D2801">
        <v>16</v>
      </c>
      <c r="E2801" t="s">
        <v>168</v>
      </c>
      <c r="F2801">
        <v>120</v>
      </c>
      <c r="H2801">
        <v>32</v>
      </c>
      <c r="I2801">
        <v>0.6</v>
      </c>
      <c r="J2801">
        <v>19.2</v>
      </c>
      <c r="K2801">
        <v>14.15</v>
      </c>
      <c r="L2801">
        <v>13.73</v>
      </c>
      <c r="M2801" t="s">
        <v>37</v>
      </c>
      <c r="N2801" t="s">
        <v>162</v>
      </c>
    </row>
    <row r="2802" spans="1:14" x14ac:dyDescent="0.3">
      <c r="A2802" t="s">
        <v>37</v>
      </c>
      <c r="B2802">
        <f>VLOOKUP(M2802,Sheet9!$I$1:$J$17,2,FALSE)</f>
        <v>4</v>
      </c>
      <c r="C2802">
        <f>VLOOKUP(N2802,Sheet9!$M$1:$N$2,2,FALSE)</f>
        <v>1</v>
      </c>
      <c r="D2802">
        <v>16</v>
      </c>
      <c r="E2802" t="s">
        <v>168</v>
      </c>
      <c r="F2802">
        <v>120</v>
      </c>
      <c r="H2802">
        <v>32</v>
      </c>
      <c r="I2802">
        <v>0.6</v>
      </c>
      <c r="J2802">
        <v>19.2</v>
      </c>
      <c r="K2802">
        <v>16.09</v>
      </c>
      <c r="L2802">
        <v>15.62</v>
      </c>
      <c r="M2802" t="s">
        <v>37</v>
      </c>
      <c r="N2802" t="s">
        <v>162</v>
      </c>
    </row>
    <row r="2803" spans="1:14" x14ac:dyDescent="0.3">
      <c r="A2803" t="s">
        <v>37</v>
      </c>
      <c r="B2803">
        <f>VLOOKUP(M2803,Sheet9!$I$1:$J$17,2,FALSE)</f>
        <v>4</v>
      </c>
      <c r="C2803">
        <f>VLOOKUP(N2803,Sheet9!$M$1:$N$2,2,FALSE)</f>
        <v>1</v>
      </c>
      <c r="D2803">
        <v>16</v>
      </c>
      <c r="E2803" t="s">
        <v>168</v>
      </c>
      <c r="F2803">
        <v>120</v>
      </c>
      <c r="H2803">
        <v>48</v>
      </c>
      <c r="I2803">
        <v>1.2</v>
      </c>
      <c r="J2803">
        <v>57.599999999999994</v>
      </c>
      <c r="K2803">
        <v>14.6</v>
      </c>
      <c r="L2803">
        <v>14.17</v>
      </c>
      <c r="M2803" t="s">
        <v>37</v>
      </c>
      <c r="N2803" t="s">
        <v>162</v>
      </c>
    </row>
    <row r="2804" spans="1:14" x14ac:dyDescent="0.3">
      <c r="A2804" t="s">
        <v>37</v>
      </c>
      <c r="B2804">
        <f>VLOOKUP(M2804,Sheet9!$I$1:$J$17,2,FALSE)</f>
        <v>4</v>
      </c>
      <c r="C2804">
        <f>VLOOKUP(N2804,Sheet9!$M$1:$N$2,2,FALSE)</f>
        <v>1</v>
      </c>
      <c r="D2804">
        <v>16</v>
      </c>
      <c r="E2804" t="s">
        <v>168</v>
      </c>
      <c r="F2804">
        <v>120</v>
      </c>
      <c r="H2804">
        <v>64</v>
      </c>
      <c r="I2804">
        <v>1.2</v>
      </c>
      <c r="J2804">
        <v>76.8</v>
      </c>
      <c r="K2804">
        <v>13.86</v>
      </c>
      <c r="L2804">
        <v>13.45</v>
      </c>
      <c r="M2804" t="s">
        <v>37</v>
      </c>
      <c r="N2804" t="s">
        <v>162</v>
      </c>
    </row>
    <row r="2805" spans="1:14" x14ac:dyDescent="0.3">
      <c r="A2805" t="s">
        <v>37</v>
      </c>
      <c r="B2805">
        <f>VLOOKUP(M2805,Sheet9!$I$1:$J$17,2,FALSE)</f>
        <v>4</v>
      </c>
      <c r="C2805">
        <f>VLOOKUP(N2805,Sheet9!$M$1:$N$2,2,FALSE)</f>
        <v>1</v>
      </c>
      <c r="D2805">
        <v>16</v>
      </c>
      <c r="E2805" t="s">
        <v>168</v>
      </c>
      <c r="F2805">
        <v>120</v>
      </c>
      <c r="H2805">
        <v>96</v>
      </c>
      <c r="I2805">
        <v>0.6</v>
      </c>
      <c r="J2805">
        <v>57.599999999999994</v>
      </c>
      <c r="K2805">
        <v>13.04</v>
      </c>
      <c r="L2805">
        <v>12.65</v>
      </c>
      <c r="M2805" t="s">
        <v>37</v>
      </c>
      <c r="N2805" t="s">
        <v>162</v>
      </c>
    </row>
    <row r="2806" spans="1:14" x14ac:dyDescent="0.3">
      <c r="A2806" t="s">
        <v>37</v>
      </c>
      <c r="B2806">
        <f>VLOOKUP(M2806,Sheet9!$I$1:$J$17,2,FALSE)</f>
        <v>4</v>
      </c>
      <c r="C2806">
        <f>VLOOKUP(N2806,Sheet9!$M$1:$N$2,2,FALSE)</f>
        <v>1</v>
      </c>
      <c r="D2806">
        <v>16</v>
      </c>
      <c r="E2806" t="s">
        <v>168</v>
      </c>
      <c r="F2806">
        <v>120</v>
      </c>
      <c r="H2806">
        <v>24</v>
      </c>
      <c r="I2806">
        <v>1.2</v>
      </c>
      <c r="J2806">
        <v>28.799999999999997</v>
      </c>
      <c r="K2806">
        <v>14.34</v>
      </c>
      <c r="L2806">
        <v>13.92</v>
      </c>
      <c r="M2806" t="s">
        <v>37</v>
      </c>
      <c r="N2806" t="s">
        <v>162</v>
      </c>
    </row>
    <row r="2807" spans="1:14" x14ac:dyDescent="0.3">
      <c r="A2807" t="s">
        <v>37</v>
      </c>
      <c r="B2807">
        <f>VLOOKUP(M2807,Sheet9!$I$1:$J$17,2,FALSE)</f>
        <v>4</v>
      </c>
      <c r="C2807">
        <f>VLOOKUP(N2807,Sheet9!$M$1:$N$2,2,FALSE)</f>
        <v>1</v>
      </c>
      <c r="D2807">
        <v>16</v>
      </c>
      <c r="E2807" t="s">
        <v>96</v>
      </c>
      <c r="F2807">
        <v>120</v>
      </c>
      <c r="H2807">
        <v>48</v>
      </c>
      <c r="I2807">
        <v>1.2</v>
      </c>
      <c r="J2807">
        <v>57.599999999999994</v>
      </c>
      <c r="K2807">
        <v>13.05</v>
      </c>
      <c r="L2807">
        <v>12.66</v>
      </c>
      <c r="M2807" t="s">
        <v>37</v>
      </c>
      <c r="N2807" t="s">
        <v>162</v>
      </c>
    </row>
    <row r="2808" spans="1:14" x14ac:dyDescent="0.3">
      <c r="A2808" t="s">
        <v>37</v>
      </c>
      <c r="B2808">
        <f>VLOOKUP(M2808,Sheet9!$I$1:$J$17,2,FALSE)</f>
        <v>4</v>
      </c>
      <c r="C2808">
        <f>VLOOKUP(N2808,Sheet9!$M$1:$N$2,2,FALSE)</f>
        <v>1</v>
      </c>
      <c r="D2808">
        <v>16</v>
      </c>
      <c r="E2808" t="s">
        <v>96</v>
      </c>
      <c r="F2808">
        <v>130</v>
      </c>
      <c r="H2808">
        <v>2</v>
      </c>
      <c r="I2808">
        <v>1</v>
      </c>
      <c r="J2808">
        <v>2</v>
      </c>
      <c r="K2808">
        <v>16.63</v>
      </c>
      <c r="L2808">
        <v>14.19</v>
      </c>
      <c r="M2808" t="s">
        <v>37</v>
      </c>
      <c r="N2808" t="s">
        <v>162</v>
      </c>
    </row>
    <row r="2809" spans="1:14" x14ac:dyDescent="0.3">
      <c r="A2809" t="s">
        <v>37</v>
      </c>
      <c r="B2809">
        <f>VLOOKUP(M2809,Sheet9!$I$1:$J$17,2,FALSE)</f>
        <v>4</v>
      </c>
      <c r="C2809">
        <f>VLOOKUP(N2809,Sheet9!$M$1:$N$2,2,FALSE)</f>
        <v>1</v>
      </c>
      <c r="D2809">
        <v>16</v>
      </c>
      <c r="E2809" t="s">
        <v>96</v>
      </c>
      <c r="F2809">
        <v>130</v>
      </c>
      <c r="H2809">
        <v>6</v>
      </c>
      <c r="I2809">
        <v>0.6</v>
      </c>
      <c r="J2809">
        <v>3.6</v>
      </c>
      <c r="K2809">
        <v>24.38</v>
      </c>
      <c r="L2809">
        <v>23.66</v>
      </c>
      <c r="M2809" t="s">
        <v>37</v>
      </c>
      <c r="N2809" t="s">
        <v>162</v>
      </c>
    </row>
    <row r="2810" spans="1:14" x14ac:dyDescent="0.3">
      <c r="A2810" t="s">
        <v>37</v>
      </c>
      <c r="B2810">
        <f>VLOOKUP(M2810,Sheet9!$I$1:$J$17,2,FALSE)</f>
        <v>4</v>
      </c>
      <c r="C2810">
        <f>VLOOKUP(N2810,Sheet9!$M$1:$N$2,2,FALSE)</f>
        <v>1</v>
      </c>
      <c r="D2810">
        <v>16</v>
      </c>
      <c r="E2810" t="s">
        <v>96</v>
      </c>
      <c r="F2810">
        <v>130</v>
      </c>
      <c r="H2810">
        <v>1</v>
      </c>
      <c r="I2810">
        <v>5</v>
      </c>
      <c r="J2810">
        <v>5</v>
      </c>
      <c r="K2810">
        <v>14.13</v>
      </c>
      <c r="L2810">
        <v>13.71</v>
      </c>
      <c r="M2810" t="s">
        <v>37</v>
      </c>
      <c r="N2810" t="s">
        <v>162</v>
      </c>
    </row>
    <row r="2811" spans="1:14" x14ac:dyDescent="0.3">
      <c r="A2811" t="s">
        <v>37</v>
      </c>
      <c r="B2811">
        <f>VLOOKUP(M2811,Sheet9!$I$1:$J$17,2,FALSE)</f>
        <v>4</v>
      </c>
      <c r="C2811">
        <f>VLOOKUP(N2811,Sheet9!$M$1:$N$2,2,FALSE)</f>
        <v>1</v>
      </c>
      <c r="D2811">
        <v>16</v>
      </c>
      <c r="E2811" t="s">
        <v>96</v>
      </c>
      <c r="F2811">
        <v>130</v>
      </c>
      <c r="H2811">
        <v>1</v>
      </c>
      <c r="I2811">
        <v>10</v>
      </c>
      <c r="J2811">
        <v>10</v>
      </c>
      <c r="K2811">
        <v>14.13</v>
      </c>
      <c r="L2811">
        <v>13.71</v>
      </c>
      <c r="M2811" t="s">
        <v>37</v>
      </c>
      <c r="N2811" t="s">
        <v>162</v>
      </c>
    </row>
    <row r="2812" spans="1:14" x14ac:dyDescent="0.3">
      <c r="A2812" t="s">
        <v>37</v>
      </c>
      <c r="B2812">
        <f>VLOOKUP(M2812,Sheet9!$I$1:$J$17,2,FALSE)</f>
        <v>4</v>
      </c>
      <c r="C2812">
        <f>VLOOKUP(N2812,Sheet9!$M$1:$N$2,2,FALSE)</f>
        <v>1</v>
      </c>
      <c r="D2812">
        <v>16</v>
      </c>
      <c r="E2812" t="s">
        <v>96</v>
      </c>
      <c r="F2812">
        <v>130</v>
      </c>
      <c r="H2812">
        <v>12</v>
      </c>
      <c r="I2812">
        <v>1.2</v>
      </c>
      <c r="J2812">
        <v>14.4</v>
      </c>
      <c r="K2812">
        <v>20.16</v>
      </c>
      <c r="L2812">
        <v>19.559999999999999</v>
      </c>
      <c r="M2812" t="s">
        <v>37</v>
      </c>
      <c r="N2812" t="s">
        <v>162</v>
      </c>
    </row>
    <row r="2813" spans="1:14" x14ac:dyDescent="0.3">
      <c r="A2813" t="s">
        <v>37</v>
      </c>
      <c r="B2813">
        <f>VLOOKUP(M2813,Sheet9!$I$1:$J$17,2,FALSE)</f>
        <v>4</v>
      </c>
      <c r="C2813">
        <f>VLOOKUP(N2813,Sheet9!$M$1:$N$2,2,FALSE)</f>
        <v>1</v>
      </c>
      <c r="D2813">
        <v>16</v>
      </c>
      <c r="E2813" t="s">
        <v>96</v>
      </c>
      <c r="F2813">
        <v>130</v>
      </c>
      <c r="H2813">
        <v>32</v>
      </c>
      <c r="I2813">
        <v>0.6</v>
      </c>
      <c r="J2813">
        <v>19.2</v>
      </c>
      <c r="K2813">
        <v>15.94</v>
      </c>
      <c r="L2813">
        <v>15.47</v>
      </c>
      <c r="M2813" t="s">
        <v>37</v>
      </c>
      <c r="N2813" t="s">
        <v>162</v>
      </c>
    </row>
    <row r="2814" spans="1:14" x14ac:dyDescent="0.3">
      <c r="A2814" t="s">
        <v>37</v>
      </c>
      <c r="B2814">
        <f>VLOOKUP(M2814,Sheet9!$I$1:$J$17,2,FALSE)</f>
        <v>4</v>
      </c>
      <c r="C2814">
        <f>VLOOKUP(N2814,Sheet9!$M$1:$N$2,2,FALSE)</f>
        <v>1</v>
      </c>
      <c r="D2814">
        <v>16</v>
      </c>
      <c r="E2814" t="s">
        <v>168</v>
      </c>
      <c r="F2814">
        <v>130</v>
      </c>
      <c r="H2814">
        <v>32</v>
      </c>
      <c r="I2814">
        <v>0.6</v>
      </c>
      <c r="J2814">
        <v>19.2</v>
      </c>
      <c r="K2814">
        <v>17.12</v>
      </c>
      <c r="L2814">
        <v>16.600000000000001</v>
      </c>
      <c r="M2814" t="s">
        <v>37</v>
      </c>
      <c r="N2814" t="s">
        <v>162</v>
      </c>
    </row>
    <row r="2815" spans="1:14" x14ac:dyDescent="0.3">
      <c r="A2815" t="s">
        <v>37</v>
      </c>
      <c r="B2815">
        <f>VLOOKUP(M2815,Sheet9!$I$1:$J$17,2,FALSE)</f>
        <v>4</v>
      </c>
      <c r="C2815">
        <f>VLOOKUP(N2815,Sheet9!$M$1:$N$2,2,FALSE)</f>
        <v>1</v>
      </c>
      <c r="D2815">
        <v>16</v>
      </c>
      <c r="E2815" t="s">
        <v>168</v>
      </c>
      <c r="F2815">
        <v>130</v>
      </c>
      <c r="H2815">
        <v>32</v>
      </c>
      <c r="I2815">
        <v>0.6</v>
      </c>
      <c r="J2815">
        <v>19.2</v>
      </c>
      <c r="K2815">
        <v>19.46</v>
      </c>
      <c r="L2815">
        <v>18.88</v>
      </c>
      <c r="M2815" t="s">
        <v>37</v>
      </c>
      <c r="N2815" t="s">
        <v>162</v>
      </c>
    </row>
    <row r="2816" spans="1:14" x14ac:dyDescent="0.3">
      <c r="A2816" t="s">
        <v>37</v>
      </c>
      <c r="B2816">
        <f>VLOOKUP(M2816,Sheet9!$I$1:$J$17,2,FALSE)</f>
        <v>4</v>
      </c>
      <c r="C2816">
        <f>VLOOKUP(N2816,Sheet9!$M$1:$N$2,2,FALSE)</f>
        <v>1</v>
      </c>
      <c r="D2816">
        <v>16</v>
      </c>
      <c r="E2816" t="s">
        <v>168</v>
      </c>
      <c r="F2816">
        <v>130</v>
      </c>
      <c r="H2816">
        <v>48</v>
      </c>
      <c r="I2816">
        <v>1.2</v>
      </c>
      <c r="J2816">
        <v>57.599999999999994</v>
      </c>
      <c r="K2816">
        <v>17.66</v>
      </c>
      <c r="L2816">
        <v>17.13</v>
      </c>
      <c r="M2816" t="s">
        <v>37</v>
      </c>
      <c r="N2816" t="s">
        <v>162</v>
      </c>
    </row>
    <row r="2817" spans="1:14" x14ac:dyDescent="0.3">
      <c r="A2817" t="s">
        <v>37</v>
      </c>
      <c r="B2817">
        <f>VLOOKUP(M2817,Sheet9!$I$1:$J$17,2,FALSE)</f>
        <v>4</v>
      </c>
      <c r="C2817">
        <f>VLOOKUP(N2817,Sheet9!$M$1:$N$2,2,FALSE)</f>
        <v>1</v>
      </c>
      <c r="D2817">
        <v>16</v>
      </c>
      <c r="E2817" t="s">
        <v>168</v>
      </c>
      <c r="F2817">
        <v>130</v>
      </c>
      <c r="H2817">
        <v>64</v>
      </c>
      <c r="I2817">
        <v>1.2</v>
      </c>
      <c r="J2817">
        <v>76.8</v>
      </c>
      <c r="K2817">
        <v>16.760000000000002</v>
      </c>
      <c r="L2817">
        <v>16.600000000000001</v>
      </c>
      <c r="M2817" t="s">
        <v>37</v>
      </c>
      <c r="N2817" t="s">
        <v>162</v>
      </c>
    </row>
    <row r="2818" spans="1:14" x14ac:dyDescent="0.3">
      <c r="A2818" t="s">
        <v>37</v>
      </c>
      <c r="B2818">
        <f>VLOOKUP(M2818,Sheet9!$I$1:$J$17,2,FALSE)</f>
        <v>4</v>
      </c>
      <c r="C2818">
        <f>VLOOKUP(N2818,Sheet9!$M$1:$N$2,2,FALSE)</f>
        <v>1</v>
      </c>
      <c r="D2818">
        <v>16</v>
      </c>
      <c r="E2818" t="s">
        <v>168</v>
      </c>
      <c r="F2818">
        <v>130</v>
      </c>
      <c r="H2818">
        <v>96</v>
      </c>
      <c r="I2818">
        <v>0.6</v>
      </c>
      <c r="J2818">
        <v>57.599999999999994</v>
      </c>
      <c r="K2818">
        <v>15.77</v>
      </c>
      <c r="L2818">
        <v>15.3</v>
      </c>
      <c r="M2818" t="s">
        <v>37</v>
      </c>
      <c r="N2818" t="s">
        <v>162</v>
      </c>
    </row>
    <row r="2819" spans="1:14" x14ac:dyDescent="0.3">
      <c r="A2819" t="s">
        <v>37</v>
      </c>
      <c r="B2819">
        <f>VLOOKUP(M2819,Sheet9!$I$1:$J$17,2,FALSE)</f>
        <v>4</v>
      </c>
      <c r="C2819">
        <f>VLOOKUP(N2819,Sheet9!$M$1:$N$2,2,FALSE)</f>
        <v>1</v>
      </c>
      <c r="D2819">
        <v>16</v>
      </c>
      <c r="E2819" t="s">
        <v>168</v>
      </c>
      <c r="F2819">
        <v>130</v>
      </c>
      <c r="H2819">
        <v>24</v>
      </c>
      <c r="I2819">
        <v>1.2</v>
      </c>
      <c r="J2819">
        <v>28.799999999999997</v>
      </c>
      <c r="K2819">
        <v>17.350000000000001</v>
      </c>
      <c r="L2819">
        <v>16.829999999999998</v>
      </c>
      <c r="M2819" t="s">
        <v>37</v>
      </c>
      <c r="N2819" t="s">
        <v>162</v>
      </c>
    </row>
    <row r="2820" spans="1:14" x14ac:dyDescent="0.3">
      <c r="A2820" t="s">
        <v>37</v>
      </c>
      <c r="B2820">
        <f>VLOOKUP(M2820,Sheet9!$I$1:$J$17,2,FALSE)</f>
        <v>4</v>
      </c>
      <c r="C2820">
        <f>VLOOKUP(N2820,Sheet9!$M$1:$N$2,2,FALSE)</f>
        <v>1</v>
      </c>
      <c r="D2820">
        <v>16</v>
      </c>
      <c r="E2820" t="s">
        <v>96</v>
      </c>
      <c r="F2820">
        <v>130</v>
      </c>
      <c r="H2820">
        <v>48</v>
      </c>
      <c r="I2820">
        <v>1.2</v>
      </c>
      <c r="J2820">
        <v>57.599999999999994</v>
      </c>
      <c r="K2820">
        <v>15.78</v>
      </c>
      <c r="L2820">
        <v>15.31</v>
      </c>
      <c r="M2820" t="s">
        <v>37</v>
      </c>
      <c r="N2820" t="s">
        <v>162</v>
      </c>
    </row>
    <row r="2821" spans="1:14" x14ac:dyDescent="0.3">
      <c r="A2821" t="s">
        <v>37</v>
      </c>
      <c r="B2821">
        <f>VLOOKUP(M2821,Sheet9!$I$1:$J$17,2,FALSE)</f>
        <v>4</v>
      </c>
      <c r="C2821">
        <f>VLOOKUP(N2821,Sheet9!$M$1:$N$2,2,FALSE)</f>
        <v>1</v>
      </c>
      <c r="D2821">
        <v>16</v>
      </c>
      <c r="E2821" t="s">
        <v>96</v>
      </c>
      <c r="F2821">
        <v>140</v>
      </c>
      <c r="H2821">
        <v>2</v>
      </c>
      <c r="I2821">
        <v>1</v>
      </c>
      <c r="J2821">
        <v>2</v>
      </c>
      <c r="K2821">
        <v>17.3</v>
      </c>
      <c r="L2821">
        <v>16.79</v>
      </c>
      <c r="M2821" t="s">
        <v>37</v>
      </c>
      <c r="N2821" t="s">
        <v>162</v>
      </c>
    </row>
    <row r="2822" spans="1:14" x14ac:dyDescent="0.3">
      <c r="A2822" t="s">
        <v>37</v>
      </c>
      <c r="B2822">
        <f>VLOOKUP(M2822,Sheet9!$I$1:$J$17,2,FALSE)</f>
        <v>4</v>
      </c>
      <c r="C2822">
        <f>VLOOKUP(N2822,Sheet9!$M$1:$N$2,2,FALSE)</f>
        <v>1</v>
      </c>
      <c r="D2822">
        <v>16</v>
      </c>
      <c r="E2822" t="s">
        <v>96</v>
      </c>
      <c r="F2822">
        <v>140</v>
      </c>
      <c r="H2822">
        <v>6</v>
      </c>
      <c r="I2822">
        <v>0.6</v>
      </c>
      <c r="J2822">
        <v>3.6</v>
      </c>
      <c r="K2822">
        <v>28.83</v>
      </c>
      <c r="L2822">
        <v>27.98</v>
      </c>
      <c r="M2822" t="s">
        <v>37</v>
      </c>
      <c r="N2822" t="s">
        <v>162</v>
      </c>
    </row>
    <row r="2823" spans="1:14" x14ac:dyDescent="0.3">
      <c r="A2823" t="s">
        <v>37</v>
      </c>
      <c r="B2823">
        <f>VLOOKUP(M2823,Sheet9!$I$1:$J$17,2,FALSE)</f>
        <v>4</v>
      </c>
      <c r="C2823">
        <f>VLOOKUP(N2823,Sheet9!$M$1:$N$2,2,FALSE)</f>
        <v>1</v>
      </c>
      <c r="D2823">
        <v>16</v>
      </c>
      <c r="E2823" t="s">
        <v>96</v>
      </c>
      <c r="F2823">
        <v>140</v>
      </c>
      <c r="H2823">
        <v>1</v>
      </c>
      <c r="I2823">
        <v>5</v>
      </c>
      <c r="J2823">
        <v>5</v>
      </c>
      <c r="K2823">
        <v>16.71</v>
      </c>
      <c r="L2823">
        <v>16.22</v>
      </c>
      <c r="M2823" t="s">
        <v>37</v>
      </c>
      <c r="N2823" t="s">
        <v>162</v>
      </c>
    </row>
    <row r="2824" spans="1:14" x14ac:dyDescent="0.3">
      <c r="A2824" t="s">
        <v>37</v>
      </c>
      <c r="B2824">
        <f>VLOOKUP(M2824,Sheet9!$I$1:$J$17,2,FALSE)</f>
        <v>4</v>
      </c>
      <c r="C2824">
        <f>VLOOKUP(N2824,Sheet9!$M$1:$N$2,2,FALSE)</f>
        <v>1</v>
      </c>
      <c r="D2824">
        <v>16</v>
      </c>
      <c r="E2824" t="s">
        <v>96</v>
      </c>
      <c r="F2824">
        <v>140</v>
      </c>
      <c r="H2824">
        <v>1</v>
      </c>
      <c r="I2824">
        <v>10</v>
      </c>
      <c r="J2824">
        <v>10</v>
      </c>
      <c r="K2824">
        <v>16.71</v>
      </c>
      <c r="L2824">
        <v>16.22</v>
      </c>
      <c r="M2824" t="s">
        <v>37</v>
      </c>
      <c r="N2824" t="s">
        <v>162</v>
      </c>
    </row>
    <row r="2825" spans="1:14" x14ac:dyDescent="0.3">
      <c r="A2825" t="s">
        <v>37</v>
      </c>
      <c r="B2825">
        <f>VLOOKUP(M2825,Sheet9!$I$1:$J$17,2,FALSE)</f>
        <v>4</v>
      </c>
      <c r="C2825">
        <f>VLOOKUP(N2825,Sheet9!$M$1:$N$2,2,FALSE)</f>
        <v>1</v>
      </c>
      <c r="D2825">
        <v>16</v>
      </c>
      <c r="E2825" t="s">
        <v>96</v>
      </c>
      <c r="F2825">
        <v>140</v>
      </c>
      <c r="H2825">
        <v>12</v>
      </c>
      <c r="I2825">
        <v>1.2</v>
      </c>
      <c r="J2825">
        <v>14.4</v>
      </c>
      <c r="K2825">
        <v>23.84</v>
      </c>
      <c r="L2825">
        <v>23.14</v>
      </c>
      <c r="M2825" t="s">
        <v>37</v>
      </c>
      <c r="N2825" t="s">
        <v>162</v>
      </c>
    </row>
    <row r="2826" spans="1:14" x14ac:dyDescent="0.3">
      <c r="A2826" t="s">
        <v>37</v>
      </c>
      <c r="B2826">
        <f>VLOOKUP(M2826,Sheet9!$I$1:$J$17,2,FALSE)</f>
        <v>4</v>
      </c>
      <c r="C2826">
        <f>VLOOKUP(N2826,Sheet9!$M$1:$N$2,2,FALSE)</f>
        <v>1</v>
      </c>
      <c r="D2826">
        <v>16</v>
      </c>
      <c r="E2826" t="s">
        <v>96</v>
      </c>
      <c r="F2826">
        <v>140</v>
      </c>
      <c r="H2826">
        <v>32</v>
      </c>
      <c r="I2826">
        <v>0.6</v>
      </c>
      <c r="J2826">
        <v>19.2</v>
      </c>
      <c r="K2826">
        <v>18.850000000000001</v>
      </c>
      <c r="L2826">
        <v>18.3</v>
      </c>
      <c r="M2826" t="s">
        <v>37</v>
      </c>
      <c r="N2826" t="s">
        <v>162</v>
      </c>
    </row>
    <row r="2827" spans="1:14" x14ac:dyDescent="0.3">
      <c r="A2827" t="s">
        <v>37</v>
      </c>
      <c r="B2827">
        <f>VLOOKUP(M2827,Sheet9!$I$1:$J$17,2,FALSE)</f>
        <v>4</v>
      </c>
      <c r="C2827">
        <f>VLOOKUP(N2827,Sheet9!$M$1:$N$2,2,FALSE)</f>
        <v>1</v>
      </c>
      <c r="D2827">
        <v>16</v>
      </c>
      <c r="E2827" t="s">
        <v>168</v>
      </c>
      <c r="F2827">
        <v>140</v>
      </c>
      <c r="H2827">
        <v>32</v>
      </c>
      <c r="I2827">
        <v>0.6</v>
      </c>
      <c r="J2827">
        <v>19.2</v>
      </c>
      <c r="K2827">
        <v>20.239999999999998</v>
      </c>
      <c r="L2827">
        <v>19.64</v>
      </c>
      <c r="M2827" t="s">
        <v>37</v>
      </c>
      <c r="N2827" t="s">
        <v>162</v>
      </c>
    </row>
    <row r="2828" spans="1:14" x14ac:dyDescent="0.3">
      <c r="A2828" t="s">
        <v>37</v>
      </c>
      <c r="B2828">
        <f>VLOOKUP(M2828,Sheet9!$I$1:$J$17,2,FALSE)</f>
        <v>4</v>
      </c>
      <c r="C2828">
        <f>VLOOKUP(N2828,Sheet9!$M$1:$N$2,2,FALSE)</f>
        <v>1</v>
      </c>
      <c r="D2828">
        <v>16</v>
      </c>
      <c r="E2828" t="s">
        <v>168</v>
      </c>
      <c r="F2828">
        <v>140</v>
      </c>
      <c r="H2828">
        <v>32</v>
      </c>
      <c r="I2828">
        <v>0.6</v>
      </c>
      <c r="J2828">
        <v>19.2</v>
      </c>
      <c r="K2828">
        <v>23.01</v>
      </c>
      <c r="L2828">
        <v>22.33</v>
      </c>
      <c r="M2828" t="s">
        <v>37</v>
      </c>
      <c r="N2828" t="s">
        <v>162</v>
      </c>
    </row>
    <row r="2829" spans="1:14" x14ac:dyDescent="0.3">
      <c r="A2829" t="s">
        <v>37</v>
      </c>
      <c r="B2829">
        <f>VLOOKUP(M2829,Sheet9!$I$1:$J$17,2,FALSE)</f>
        <v>4</v>
      </c>
      <c r="C2829">
        <f>VLOOKUP(N2829,Sheet9!$M$1:$N$2,2,FALSE)</f>
        <v>1</v>
      </c>
      <c r="D2829">
        <v>16</v>
      </c>
      <c r="E2829" t="s">
        <v>168</v>
      </c>
      <c r="F2829">
        <v>140</v>
      </c>
      <c r="H2829">
        <v>48</v>
      </c>
      <c r="I2829">
        <v>1.2</v>
      </c>
      <c r="J2829">
        <v>57.599999999999994</v>
      </c>
      <c r="K2829">
        <v>20.88</v>
      </c>
      <c r="L2829">
        <v>20.27</v>
      </c>
      <c r="M2829" t="s">
        <v>37</v>
      </c>
      <c r="N2829" t="s">
        <v>162</v>
      </c>
    </row>
    <row r="2830" spans="1:14" x14ac:dyDescent="0.3">
      <c r="A2830" t="s">
        <v>37</v>
      </c>
      <c r="B2830">
        <f>VLOOKUP(M2830,Sheet9!$I$1:$J$17,2,FALSE)</f>
        <v>4</v>
      </c>
      <c r="C2830">
        <f>VLOOKUP(N2830,Sheet9!$M$1:$N$2,2,FALSE)</f>
        <v>1</v>
      </c>
      <c r="D2830">
        <v>16</v>
      </c>
      <c r="E2830" t="s">
        <v>168</v>
      </c>
      <c r="F2830">
        <v>140</v>
      </c>
      <c r="H2830">
        <v>64</v>
      </c>
      <c r="I2830">
        <v>1.2</v>
      </c>
      <c r="J2830">
        <v>76.8</v>
      </c>
      <c r="K2830">
        <v>19.82</v>
      </c>
      <c r="L2830">
        <v>19.239999999999998</v>
      </c>
      <c r="M2830" t="s">
        <v>37</v>
      </c>
      <c r="N2830" t="s">
        <v>162</v>
      </c>
    </row>
    <row r="2831" spans="1:14" x14ac:dyDescent="0.3">
      <c r="A2831" t="s">
        <v>37</v>
      </c>
      <c r="B2831">
        <f>VLOOKUP(M2831,Sheet9!$I$1:$J$17,2,FALSE)</f>
        <v>4</v>
      </c>
      <c r="C2831">
        <f>VLOOKUP(N2831,Sheet9!$M$1:$N$2,2,FALSE)</f>
        <v>1</v>
      </c>
      <c r="D2831">
        <v>16</v>
      </c>
      <c r="E2831" t="s">
        <v>168</v>
      </c>
      <c r="F2831">
        <v>140</v>
      </c>
      <c r="H2831">
        <v>96</v>
      </c>
      <c r="I2831">
        <v>0.6</v>
      </c>
      <c r="J2831">
        <v>57.599999999999994</v>
      </c>
      <c r="K2831">
        <v>18.64</v>
      </c>
      <c r="L2831">
        <v>19.100000000000001</v>
      </c>
      <c r="M2831" t="s">
        <v>37</v>
      </c>
      <c r="N2831" t="s">
        <v>162</v>
      </c>
    </row>
    <row r="2832" spans="1:14" x14ac:dyDescent="0.3">
      <c r="A2832" t="s">
        <v>37</v>
      </c>
      <c r="B2832">
        <f>VLOOKUP(M2832,Sheet9!$I$1:$J$17,2,FALSE)</f>
        <v>4</v>
      </c>
      <c r="C2832">
        <f>VLOOKUP(N2832,Sheet9!$M$1:$N$2,2,FALSE)</f>
        <v>1</v>
      </c>
      <c r="D2832">
        <v>16</v>
      </c>
      <c r="E2832" t="s">
        <v>168</v>
      </c>
      <c r="F2832">
        <v>140</v>
      </c>
      <c r="H2832">
        <v>24</v>
      </c>
      <c r="I2832">
        <v>1.2</v>
      </c>
      <c r="J2832">
        <v>28.799999999999997</v>
      </c>
      <c r="K2832">
        <v>20.51</v>
      </c>
      <c r="L2832">
        <v>19.91</v>
      </c>
      <c r="M2832" t="s">
        <v>37</v>
      </c>
      <c r="N2832" t="s">
        <v>162</v>
      </c>
    </row>
    <row r="2833" spans="1:14" x14ac:dyDescent="0.3">
      <c r="A2833" t="s">
        <v>37</v>
      </c>
      <c r="B2833">
        <f>VLOOKUP(M2833,Sheet9!$I$1:$J$17,2,FALSE)</f>
        <v>4</v>
      </c>
      <c r="C2833">
        <f>VLOOKUP(N2833,Sheet9!$M$1:$N$2,2,FALSE)</f>
        <v>1</v>
      </c>
      <c r="D2833">
        <v>16</v>
      </c>
      <c r="E2833" t="s">
        <v>96</v>
      </c>
      <c r="F2833">
        <v>140</v>
      </c>
      <c r="H2833">
        <v>48</v>
      </c>
      <c r="I2833">
        <v>1.2</v>
      </c>
      <c r="J2833">
        <v>57.599999999999994</v>
      </c>
      <c r="K2833">
        <v>18.66</v>
      </c>
      <c r="L2833">
        <v>18.11</v>
      </c>
      <c r="M2833" t="s">
        <v>37</v>
      </c>
      <c r="N2833" t="s">
        <v>162</v>
      </c>
    </row>
    <row r="2834" spans="1:14" x14ac:dyDescent="0.3">
      <c r="A2834" t="s">
        <v>37</v>
      </c>
      <c r="B2834">
        <f>VLOOKUP(M2834,Sheet9!$I$1:$J$17,2,FALSE)</f>
        <v>4</v>
      </c>
      <c r="C2834">
        <f>VLOOKUP(N2834,Sheet9!$M$1:$N$2,2,FALSE)</f>
        <v>1</v>
      </c>
      <c r="D2834">
        <v>16</v>
      </c>
      <c r="E2834" t="s">
        <v>96</v>
      </c>
      <c r="F2834">
        <v>150</v>
      </c>
      <c r="H2834">
        <v>2</v>
      </c>
      <c r="I2834">
        <v>1</v>
      </c>
      <c r="J2834">
        <v>2</v>
      </c>
      <c r="K2834">
        <v>20.100000000000001</v>
      </c>
      <c r="L2834">
        <v>19.510000000000002</v>
      </c>
      <c r="M2834" t="s">
        <v>37</v>
      </c>
      <c r="N2834" t="s">
        <v>162</v>
      </c>
    </row>
    <row r="2835" spans="1:14" x14ac:dyDescent="0.3">
      <c r="A2835" t="s">
        <v>37</v>
      </c>
      <c r="B2835">
        <f>VLOOKUP(M2835,Sheet9!$I$1:$J$17,2,FALSE)</f>
        <v>4</v>
      </c>
      <c r="C2835">
        <f>VLOOKUP(N2835,Sheet9!$M$1:$N$2,2,FALSE)</f>
        <v>1</v>
      </c>
      <c r="D2835">
        <v>16</v>
      </c>
      <c r="E2835" t="s">
        <v>96</v>
      </c>
      <c r="F2835">
        <v>150</v>
      </c>
      <c r="H2835">
        <v>6</v>
      </c>
      <c r="I2835">
        <v>0.6</v>
      </c>
      <c r="J2835">
        <v>3.6</v>
      </c>
      <c r="K2835">
        <v>33.49</v>
      </c>
      <c r="L2835">
        <v>32.51</v>
      </c>
      <c r="M2835" t="s">
        <v>37</v>
      </c>
      <c r="N2835" t="s">
        <v>162</v>
      </c>
    </row>
    <row r="2836" spans="1:14" x14ac:dyDescent="0.3">
      <c r="A2836" t="s">
        <v>37</v>
      </c>
      <c r="B2836">
        <f>VLOOKUP(M2836,Sheet9!$I$1:$J$17,2,FALSE)</f>
        <v>4</v>
      </c>
      <c r="C2836">
        <f>VLOOKUP(N2836,Sheet9!$M$1:$N$2,2,FALSE)</f>
        <v>1</v>
      </c>
      <c r="D2836">
        <v>16</v>
      </c>
      <c r="E2836" t="s">
        <v>96</v>
      </c>
      <c r="F2836">
        <v>150</v>
      </c>
      <c r="H2836">
        <v>1</v>
      </c>
      <c r="I2836">
        <v>5</v>
      </c>
      <c r="J2836">
        <v>5</v>
      </c>
      <c r="K2836">
        <v>19.420000000000002</v>
      </c>
      <c r="L2836">
        <v>18.850000000000001</v>
      </c>
      <c r="M2836" t="s">
        <v>37</v>
      </c>
      <c r="N2836" t="s">
        <v>162</v>
      </c>
    </row>
    <row r="2837" spans="1:14" x14ac:dyDescent="0.3">
      <c r="A2837" t="s">
        <v>37</v>
      </c>
      <c r="B2837">
        <f>VLOOKUP(M2837,Sheet9!$I$1:$J$17,2,FALSE)</f>
        <v>4</v>
      </c>
      <c r="C2837">
        <f>VLOOKUP(N2837,Sheet9!$M$1:$N$2,2,FALSE)</f>
        <v>1</v>
      </c>
      <c r="D2837">
        <v>16</v>
      </c>
      <c r="E2837" t="s">
        <v>96</v>
      </c>
      <c r="F2837">
        <v>150</v>
      </c>
      <c r="H2837">
        <v>1</v>
      </c>
      <c r="I2837">
        <v>10</v>
      </c>
      <c r="J2837">
        <v>10</v>
      </c>
      <c r="K2837">
        <v>19.420000000000002</v>
      </c>
      <c r="L2837">
        <v>18.850000000000001</v>
      </c>
      <c r="M2837" t="s">
        <v>37</v>
      </c>
      <c r="N2837" t="s">
        <v>162</v>
      </c>
    </row>
    <row r="2838" spans="1:14" x14ac:dyDescent="0.3">
      <c r="A2838" t="s">
        <v>37</v>
      </c>
      <c r="B2838">
        <f>VLOOKUP(M2838,Sheet9!$I$1:$J$17,2,FALSE)</f>
        <v>4</v>
      </c>
      <c r="C2838">
        <f>VLOOKUP(N2838,Sheet9!$M$1:$N$2,2,FALSE)</f>
        <v>1</v>
      </c>
      <c r="D2838">
        <v>16</v>
      </c>
      <c r="E2838" t="s">
        <v>96</v>
      </c>
      <c r="F2838">
        <v>150</v>
      </c>
      <c r="H2838">
        <v>12</v>
      </c>
      <c r="I2838">
        <v>1.2</v>
      </c>
      <c r="J2838">
        <v>14.4</v>
      </c>
      <c r="K2838">
        <v>27.7</v>
      </c>
      <c r="L2838">
        <v>26.88</v>
      </c>
      <c r="M2838" t="s">
        <v>37</v>
      </c>
      <c r="N2838" t="s">
        <v>162</v>
      </c>
    </row>
    <row r="2839" spans="1:14" x14ac:dyDescent="0.3">
      <c r="A2839" t="s">
        <v>37</v>
      </c>
      <c r="B2839">
        <f>VLOOKUP(M2839,Sheet9!$I$1:$J$17,2,FALSE)</f>
        <v>4</v>
      </c>
      <c r="C2839">
        <f>VLOOKUP(N2839,Sheet9!$M$1:$N$2,2,FALSE)</f>
        <v>1</v>
      </c>
      <c r="D2839">
        <v>16</v>
      </c>
      <c r="E2839" t="s">
        <v>96</v>
      </c>
      <c r="F2839">
        <v>150</v>
      </c>
      <c r="H2839">
        <v>32</v>
      </c>
      <c r="I2839">
        <v>0.6</v>
      </c>
      <c r="J2839">
        <v>19.2</v>
      </c>
      <c r="K2839">
        <v>21.9</v>
      </c>
      <c r="L2839">
        <v>21.26</v>
      </c>
      <c r="M2839" t="s">
        <v>37</v>
      </c>
      <c r="N2839" t="s">
        <v>162</v>
      </c>
    </row>
    <row r="2840" spans="1:14" x14ac:dyDescent="0.3">
      <c r="A2840" t="s">
        <v>37</v>
      </c>
      <c r="B2840">
        <f>VLOOKUP(M2840,Sheet9!$I$1:$J$17,2,FALSE)</f>
        <v>4</v>
      </c>
      <c r="C2840">
        <f>VLOOKUP(N2840,Sheet9!$M$1:$N$2,2,FALSE)</f>
        <v>1</v>
      </c>
      <c r="D2840">
        <v>16</v>
      </c>
      <c r="E2840" t="s">
        <v>168</v>
      </c>
      <c r="F2840">
        <v>150</v>
      </c>
      <c r="H2840">
        <v>32</v>
      </c>
      <c r="I2840">
        <v>0.6</v>
      </c>
      <c r="J2840">
        <v>19.2</v>
      </c>
      <c r="K2840">
        <v>23.51</v>
      </c>
      <c r="L2840">
        <v>22.82</v>
      </c>
      <c r="M2840" t="s">
        <v>37</v>
      </c>
      <c r="N2840" t="s">
        <v>162</v>
      </c>
    </row>
    <row r="2841" spans="1:14" x14ac:dyDescent="0.3">
      <c r="A2841" t="s">
        <v>37</v>
      </c>
      <c r="B2841">
        <f>VLOOKUP(M2841,Sheet9!$I$1:$J$17,2,FALSE)</f>
        <v>4</v>
      </c>
      <c r="C2841">
        <f>VLOOKUP(N2841,Sheet9!$M$1:$N$2,2,FALSE)</f>
        <v>1</v>
      </c>
      <c r="D2841">
        <v>16</v>
      </c>
      <c r="E2841" t="s">
        <v>168</v>
      </c>
      <c r="F2841">
        <v>150</v>
      </c>
      <c r="H2841">
        <v>32</v>
      </c>
      <c r="I2841">
        <v>0.6</v>
      </c>
      <c r="J2841">
        <v>19.2</v>
      </c>
      <c r="K2841">
        <v>26.73</v>
      </c>
      <c r="L2841">
        <v>2595</v>
      </c>
      <c r="M2841" t="s">
        <v>37</v>
      </c>
      <c r="N2841" t="s">
        <v>162</v>
      </c>
    </row>
    <row r="2842" spans="1:14" x14ac:dyDescent="0.3">
      <c r="A2842" t="s">
        <v>37</v>
      </c>
      <c r="B2842">
        <f>VLOOKUP(M2842,Sheet9!$I$1:$J$17,2,FALSE)</f>
        <v>4</v>
      </c>
      <c r="C2842">
        <f>VLOOKUP(N2842,Sheet9!$M$1:$N$2,2,FALSE)</f>
        <v>1</v>
      </c>
      <c r="D2842">
        <v>16</v>
      </c>
      <c r="E2842" t="s">
        <v>168</v>
      </c>
      <c r="F2842">
        <v>150</v>
      </c>
      <c r="H2842">
        <v>48</v>
      </c>
      <c r="I2842">
        <v>1.2</v>
      </c>
      <c r="J2842">
        <v>57.599999999999994</v>
      </c>
      <c r="K2842">
        <v>24.26</v>
      </c>
      <c r="L2842">
        <v>23.55</v>
      </c>
      <c r="M2842" t="s">
        <v>37</v>
      </c>
      <c r="N2842" t="s">
        <v>162</v>
      </c>
    </row>
    <row r="2843" spans="1:14" x14ac:dyDescent="0.3">
      <c r="A2843" t="s">
        <v>37</v>
      </c>
      <c r="B2843">
        <f>VLOOKUP(M2843,Sheet9!$I$1:$J$17,2,FALSE)</f>
        <v>4</v>
      </c>
      <c r="C2843">
        <f>VLOOKUP(N2843,Sheet9!$M$1:$N$2,2,FALSE)</f>
        <v>1</v>
      </c>
      <c r="D2843">
        <v>16</v>
      </c>
      <c r="E2843" t="s">
        <v>168</v>
      </c>
      <c r="F2843">
        <v>150</v>
      </c>
      <c r="H2843">
        <v>64</v>
      </c>
      <c r="I2843">
        <v>1.2</v>
      </c>
      <c r="J2843">
        <v>76.8</v>
      </c>
      <c r="K2843">
        <v>23.03</v>
      </c>
      <c r="L2843">
        <v>22.35</v>
      </c>
      <c r="M2843" t="s">
        <v>37</v>
      </c>
      <c r="N2843" t="s">
        <v>162</v>
      </c>
    </row>
    <row r="2844" spans="1:14" x14ac:dyDescent="0.3">
      <c r="A2844" t="s">
        <v>37</v>
      </c>
      <c r="B2844">
        <f>VLOOKUP(M2844,Sheet9!$I$1:$J$17,2,FALSE)</f>
        <v>4</v>
      </c>
      <c r="C2844">
        <f>VLOOKUP(N2844,Sheet9!$M$1:$N$2,2,FALSE)</f>
        <v>1</v>
      </c>
      <c r="D2844">
        <v>16</v>
      </c>
      <c r="E2844" t="s">
        <v>168</v>
      </c>
      <c r="F2844">
        <v>150</v>
      </c>
      <c r="H2844">
        <v>96</v>
      </c>
      <c r="I2844">
        <v>0.6</v>
      </c>
      <c r="J2844">
        <v>57.599999999999994</v>
      </c>
      <c r="K2844">
        <v>21.66</v>
      </c>
      <c r="L2844">
        <v>21.03</v>
      </c>
      <c r="M2844" t="s">
        <v>37</v>
      </c>
      <c r="N2844" t="s">
        <v>162</v>
      </c>
    </row>
    <row r="2845" spans="1:14" x14ac:dyDescent="0.3">
      <c r="A2845" t="s">
        <v>37</v>
      </c>
      <c r="B2845">
        <f>VLOOKUP(M2845,Sheet9!$I$1:$J$17,2,FALSE)</f>
        <v>4</v>
      </c>
      <c r="C2845">
        <f>VLOOKUP(N2845,Sheet9!$M$1:$N$2,2,FALSE)</f>
        <v>1</v>
      </c>
      <c r="D2845">
        <v>16</v>
      </c>
      <c r="E2845" t="s">
        <v>168</v>
      </c>
      <c r="F2845">
        <v>150</v>
      </c>
      <c r="H2845">
        <v>24</v>
      </c>
      <c r="I2845">
        <v>1.2</v>
      </c>
      <c r="J2845">
        <v>28.799999999999997</v>
      </c>
      <c r="K2845">
        <v>23.83</v>
      </c>
      <c r="L2845">
        <v>23.13</v>
      </c>
      <c r="M2845" t="s">
        <v>37</v>
      </c>
      <c r="N2845" t="s">
        <v>162</v>
      </c>
    </row>
    <row r="2846" spans="1:14" x14ac:dyDescent="0.3">
      <c r="A2846" t="s">
        <v>37</v>
      </c>
      <c r="B2846">
        <f>VLOOKUP(M2846,Sheet9!$I$1:$J$17,2,FALSE)</f>
        <v>4</v>
      </c>
      <c r="C2846">
        <f>VLOOKUP(N2846,Sheet9!$M$1:$N$2,2,FALSE)</f>
        <v>1</v>
      </c>
      <c r="D2846">
        <v>16</v>
      </c>
      <c r="E2846" t="s">
        <v>96</v>
      </c>
      <c r="F2846">
        <v>150</v>
      </c>
      <c r="H2846">
        <v>48</v>
      </c>
      <c r="I2846">
        <v>1.2</v>
      </c>
      <c r="J2846">
        <v>57.599999999999994</v>
      </c>
      <c r="K2846">
        <v>21.68</v>
      </c>
      <c r="L2846">
        <v>21.04</v>
      </c>
      <c r="M2846" t="s">
        <v>37</v>
      </c>
      <c r="N2846" t="s">
        <v>162</v>
      </c>
    </row>
    <row r="2847" spans="1:14" x14ac:dyDescent="0.3">
      <c r="A2847" t="s">
        <v>37</v>
      </c>
      <c r="B2847">
        <f>VLOOKUP(M2847,Sheet9!$I$1:$J$17,2,FALSE)</f>
        <v>4</v>
      </c>
      <c r="C2847">
        <f>VLOOKUP(N2847,Sheet9!$M$1:$N$2,2,FALSE)</f>
        <v>1</v>
      </c>
      <c r="D2847">
        <v>16</v>
      </c>
      <c r="E2847" t="s">
        <v>96</v>
      </c>
      <c r="F2847">
        <v>100</v>
      </c>
      <c r="G2847" t="s">
        <v>139</v>
      </c>
      <c r="H2847">
        <v>2</v>
      </c>
      <c r="I2847">
        <v>1</v>
      </c>
      <c r="J2847">
        <v>2</v>
      </c>
      <c r="K2847">
        <v>0.74</v>
      </c>
      <c r="L2847">
        <v>0.71</v>
      </c>
      <c r="M2847" t="s">
        <v>37</v>
      </c>
      <c r="N2847" t="s">
        <v>162</v>
      </c>
    </row>
    <row r="2848" spans="1:14" x14ac:dyDescent="0.3">
      <c r="A2848" t="s">
        <v>37</v>
      </c>
      <c r="B2848">
        <f>VLOOKUP(M2848,Sheet9!$I$1:$J$17,2,FALSE)</f>
        <v>4</v>
      </c>
      <c r="C2848">
        <f>VLOOKUP(N2848,Sheet9!$M$1:$N$2,2,FALSE)</f>
        <v>1</v>
      </c>
      <c r="D2848">
        <v>16</v>
      </c>
      <c r="E2848" t="s">
        <v>96</v>
      </c>
      <c r="F2848">
        <v>100</v>
      </c>
      <c r="G2848" t="s">
        <v>139</v>
      </c>
      <c r="H2848">
        <v>6</v>
      </c>
      <c r="I2848">
        <v>0.6</v>
      </c>
      <c r="J2848">
        <v>3.6</v>
      </c>
      <c r="K2848">
        <v>1.23</v>
      </c>
      <c r="L2848">
        <v>1.18</v>
      </c>
      <c r="M2848" t="s">
        <v>37</v>
      </c>
      <c r="N2848" t="s">
        <v>162</v>
      </c>
    </row>
    <row r="2849" spans="1:14" x14ac:dyDescent="0.3">
      <c r="A2849" t="s">
        <v>37</v>
      </c>
      <c r="B2849">
        <f>VLOOKUP(M2849,Sheet9!$I$1:$J$17,2,FALSE)</f>
        <v>4</v>
      </c>
      <c r="C2849">
        <f>VLOOKUP(N2849,Sheet9!$M$1:$N$2,2,FALSE)</f>
        <v>1</v>
      </c>
      <c r="D2849">
        <v>16</v>
      </c>
      <c r="E2849" t="s">
        <v>96</v>
      </c>
      <c r="F2849">
        <v>100</v>
      </c>
      <c r="G2849" t="s">
        <v>139</v>
      </c>
      <c r="H2849">
        <v>1</v>
      </c>
      <c r="I2849">
        <v>5</v>
      </c>
      <c r="J2849">
        <v>5</v>
      </c>
      <c r="K2849">
        <v>0.71</v>
      </c>
      <c r="L2849">
        <v>0.68</v>
      </c>
      <c r="M2849" t="s">
        <v>37</v>
      </c>
      <c r="N2849" t="s">
        <v>162</v>
      </c>
    </row>
    <row r="2850" spans="1:14" x14ac:dyDescent="0.3">
      <c r="A2850" t="s">
        <v>37</v>
      </c>
      <c r="B2850">
        <f>VLOOKUP(M2850,Sheet9!$I$1:$J$17,2,FALSE)</f>
        <v>4</v>
      </c>
      <c r="C2850">
        <f>VLOOKUP(N2850,Sheet9!$M$1:$N$2,2,FALSE)</f>
        <v>1</v>
      </c>
      <c r="D2850">
        <v>16</v>
      </c>
      <c r="E2850" t="s">
        <v>96</v>
      </c>
      <c r="F2850">
        <v>100</v>
      </c>
      <c r="G2850" t="s">
        <v>139</v>
      </c>
      <c r="H2850">
        <v>1</v>
      </c>
      <c r="I2850">
        <v>10</v>
      </c>
      <c r="J2850">
        <v>10</v>
      </c>
      <c r="K2850">
        <v>0.71</v>
      </c>
      <c r="L2850">
        <v>0.68</v>
      </c>
      <c r="M2850" t="s">
        <v>37</v>
      </c>
      <c r="N2850" t="s">
        <v>162</v>
      </c>
    </row>
    <row r="2851" spans="1:14" x14ac:dyDescent="0.3">
      <c r="A2851" t="s">
        <v>37</v>
      </c>
      <c r="B2851">
        <f>VLOOKUP(M2851,Sheet9!$I$1:$J$17,2,FALSE)</f>
        <v>4</v>
      </c>
      <c r="C2851">
        <f>VLOOKUP(N2851,Sheet9!$M$1:$N$2,2,FALSE)</f>
        <v>1</v>
      </c>
      <c r="D2851">
        <v>16</v>
      </c>
      <c r="E2851" t="s">
        <v>96</v>
      </c>
      <c r="F2851">
        <v>100</v>
      </c>
      <c r="G2851" t="s">
        <v>139</v>
      </c>
      <c r="H2851">
        <v>12</v>
      </c>
      <c r="I2851">
        <v>1.2</v>
      </c>
      <c r="J2851">
        <v>14.4</v>
      </c>
      <c r="K2851">
        <v>1.02</v>
      </c>
      <c r="L2851">
        <v>0.98</v>
      </c>
      <c r="M2851" t="s">
        <v>37</v>
      </c>
      <c r="N2851" t="s">
        <v>162</v>
      </c>
    </row>
    <row r="2852" spans="1:14" x14ac:dyDescent="0.3">
      <c r="A2852" t="s">
        <v>37</v>
      </c>
      <c r="B2852">
        <f>VLOOKUP(M2852,Sheet9!$I$1:$J$17,2,FALSE)</f>
        <v>4</v>
      </c>
      <c r="C2852">
        <f>VLOOKUP(N2852,Sheet9!$M$1:$N$2,2,FALSE)</f>
        <v>1</v>
      </c>
      <c r="D2852">
        <v>16</v>
      </c>
      <c r="E2852" t="s">
        <v>96</v>
      </c>
      <c r="F2852">
        <v>100</v>
      </c>
      <c r="G2852" t="s">
        <v>139</v>
      </c>
      <c r="H2852">
        <v>32</v>
      </c>
      <c r="I2852">
        <v>0.6</v>
      </c>
      <c r="J2852">
        <v>19.2</v>
      </c>
      <c r="K2852">
        <v>1</v>
      </c>
      <c r="L2852">
        <v>0.77</v>
      </c>
      <c r="M2852" t="s">
        <v>37</v>
      </c>
      <c r="N2852" t="s">
        <v>162</v>
      </c>
    </row>
    <row r="2853" spans="1:14" x14ac:dyDescent="0.3">
      <c r="A2853" t="s">
        <v>37</v>
      </c>
      <c r="B2853">
        <f>VLOOKUP(M2853,Sheet9!$I$1:$J$17,2,FALSE)</f>
        <v>4</v>
      </c>
      <c r="C2853">
        <f>VLOOKUP(N2853,Sheet9!$M$1:$N$2,2,FALSE)</f>
        <v>1</v>
      </c>
      <c r="D2853">
        <v>16</v>
      </c>
      <c r="E2853" t="s">
        <v>168</v>
      </c>
      <c r="F2853">
        <v>100</v>
      </c>
      <c r="G2853" t="s">
        <v>139</v>
      </c>
      <c r="H2853">
        <v>32</v>
      </c>
      <c r="I2853">
        <v>0.6</v>
      </c>
      <c r="J2853">
        <v>19.2</v>
      </c>
      <c r="K2853">
        <v>0.86</v>
      </c>
      <c r="L2853">
        <v>0.83</v>
      </c>
      <c r="M2853" t="s">
        <v>37</v>
      </c>
      <c r="N2853" t="s">
        <v>162</v>
      </c>
    </row>
    <row r="2854" spans="1:14" x14ac:dyDescent="0.3">
      <c r="A2854" t="s">
        <v>37</v>
      </c>
      <c r="B2854">
        <f>VLOOKUP(M2854,Sheet9!$I$1:$J$17,2,FALSE)</f>
        <v>4</v>
      </c>
      <c r="C2854">
        <f>VLOOKUP(N2854,Sheet9!$M$1:$N$2,2,FALSE)</f>
        <v>1</v>
      </c>
      <c r="D2854">
        <v>16</v>
      </c>
      <c r="E2854" t="s">
        <v>168</v>
      </c>
      <c r="F2854">
        <v>100</v>
      </c>
      <c r="G2854" t="s">
        <v>139</v>
      </c>
      <c r="H2854">
        <v>32</v>
      </c>
      <c r="I2854">
        <v>0.6</v>
      </c>
      <c r="J2854">
        <v>19.2</v>
      </c>
      <c r="K2854">
        <v>98</v>
      </c>
      <c r="L2854">
        <v>0.94</v>
      </c>
      <c r="M2854" t="s">
        <v>37</v>
      </c>
      <c r="N2854" t="s">
        <v>162</v>
      </c>
    </row>
    <row r="2855" spans="1:14" x14ac:dyDescent="0.3">
      <c r="A2855" t="s">
        <v>37</v>
      </c>
      <c r="B2855">
        <f>VLOOKUP(M2855,Sheet9!$I$1:$J$17,2,FALSE)</f>
        <v>4</v>
      </c>
      <c r="C2855">
        <f>VLOOKUP(N2855,Sheet9!$M$1:$N$2,2,FALSE)</f>
        <v>1</v>
      </c>
      <c r="D2855">
        <v>16</v>
      </c>
      <c r="E2855" t="s">
        <v>168</v>
      </c>
      <c r="F2855">
        <v>100</v>
      </c>
      <c r="G2855" t="s">
        <v>139</v>
      </c>
      <c r="H2855">
        <v>48</v>
      </c>
      <c r="I2855">
        <v>1.2</v>
      </c>
      <c r="J2855">
        <v>57.599999999999994</v>
      </c>
      <c r="K2855">
        <v>0.89</v>
      </c>
      <c r="L2855">
        <v>0.85</v>
      </c>
      <c r="M2855" t="s">
        <v>37</v>
      </c>
      <c r="N2855" t="s">
        <v>162</v>
      </c>
    </row>
    <row r="2856" spans="1:14" x14ac:dyDescent="0.3">
      <c r="A2856" t="s">
        <v>37</v>
      </c>
      <c r="B2856">
        <f>VLOOKUP(M2856,Sheet9!$I$1:$J$17,2,FALSE)</f>
        <v>4</v>
      </c>
      <c r="C2856">
        <f>VLOOKUP(N2856,Sheet9!$M$1:$N$2,2,FALSE)</f>
        <v>1</v>
      </c>
      <c r="D2856">
        <v>16</v>
      </c>
      <c r="E2856" t="s">
        <v>168</v>
      </c>
      <c r="F2856">
        <v>100</v>
      </c>
      <c r="G2856" t="s">
        <v>139</v>
      </c>
      <c r="H2856">
        <v>64</v>
      </c>
      <c r="I2856">
        <v>1.2</v>
      </c>
      <c r="J2856">
        <v>76.8</v>
      </c>
      <c r="K2856">
        <v>0.85</v>
      </c>
      <c r="L2856">
        <v>0.81</v>
      </c>
      <c r="M2856" t="s">
        <v>37</v>
      </c>
      <c r="N2856" t="s">
        <v>162</v>
      </c>
    </row>
    <row r="2857" spans="1:14" x14ac:dyDescent="0.3">
      <c r="A2857" t="s">
        <v>37</v>
      </c>
      <c r="B2857">
        <f>VLOOKUP(M2857,Sheet9!$I$1:$J$17,2,FALSE)</f>
        <v>4</v>
      </c>
      <c r="C2857">
        <f>VLOOKUP(N2857,Sheet9!$M$1:$N$2,2,FALSE)</f>
        <v>1</v>
      </c>
      <c r="D2857">
        <v>16</v>
      </c>
      <c r="E2857" t="s">
        <v>168</v>
      </c>
      <c r="F2857">
        <v>100</v>
      </c>
      <c r="G2857" t="s">
        <v>139</v>
      </c>
      <c r="H2857">
        <v>96</v>
      </c>
      <c r="I2857">
        <v>0.6</v>
      </c>
      <c r="J2857">
        <v>57.599999999999994</v>
      </c>
      <c r="K2857">
        <v>0.8</v>
      </c>
      <c r="L2857">
        <v>0.76</v>
      </c>
      <c r="M2857" t="s">
        <v>37</v>
      </c>
      <c r="N2857" t="s">
        <v>162</v>
      </c>
    </row>
    <row r="2858" spans="1:14" x14ac:dyDescent="0.3">
      <c r="A2858" t="s">
        <v>37</v>
      </c>
      <c r="B2858">
        <f>VLOOKUP(M2858,Sheet9!$I$1:$J$17,2,FALSE)</f>
        <v>4</v>
      </c>
      <c r="C2858">
        <f>VLOOKUP(N2858,Sheet9!$M$1:$N$2,2,FALSE)</f>
        <v>1</v>
      </c>
      <c r="D2858">
        <v>16</v>
      </c>
      <c r="E2858" t="s">
        <v>168</v>
      </c>
      <c r="F2858">
        <v>100</v>
      </c>
      <c r="G2858" t="s">
        <v>139</v>
      </c>
      <c r="H2858">
        <v>24</v>
      </c>
      <c r="I2858">
        <v>1.2</v>
      </c>
      <c r="J2858">
        <v>28.799999999999997</v>
      </c>
      <c r="K2858">
        <v>0.88</v>
      </c>
      <c r="L2858">
        <v>0.84</v>
      </c>
      <c r="M2858" t="s">
        <v>37</v>
      </c>
      <c r="N2858" t="s">
        <v>162</v>
      </c>
    </row>
    <row r="2859" spans="1:14" x14ac:dyDescent="0.3">
      <c r="A2859" t="s">
        <v>37</v>
      </c>
      <c r="B2859">
        <f>VLOOKUP(M2859,Sheet9!$I$1:$J$17,2,FALSE)</f>
        <v>4</v>
      </c>
      <c r="C2859">
        <f>VLOOKUP(N2859,Sheet9!$M$1:$N$2,2,FALSE)</f>
        <v>1</v>
      </c>
      <c r="D2859">
        <v>16</v>
      </c>
      <c r="E2859" t="s">
        <v>96</v>
      </c>
      <c r="F2859">
        <v>100</v>
      </c>
      <c r="G2859" t="s">
        <v>139</v>
      </c>
      <c r="H2859">
        <v>48</v>
      </c>
      <c r="I2859">
        <v>1.2</v>
      </c>
      <c r="J2859">
        <v>57.599999999999994</v>
      </c>
      <c r="K2859">
        <v>0.8</v>
      </c>
      <c r="L2859">
        <v>0.76</v>
      </c>
      <c r="M2859" t="s">
        <v>37</v>
      </c>
      <c r="N2859" t="s">
        <v>162</v>
      </c>
    </row>
    <row r="2860" spans="1:14" x14ac:dyDescent="0.3">
      <c r="A2860" t="s">
        <v>37</v>
      </c>
      <c r="B2860">
        <f>VLOOKUP(M2860,Sheet9!$I$1:$J$17,2,FALSE)</f>
        <v>4</v>
      </c>
      <c r="C2860">
        <f>VLOOKUP(N2860,Sheet9!$M$1:$N$2,2,FALSE)</f>
        <v>1</v>
      </c>
      <c r="D2860">
        <v>16</v>
      </c>
      <c r="E2860" t="s">
        <v>96</v>
      </c>
      <c r="F2860">
        <v>120</v>
      </c>
      <c r="G2860" t="s">
        <v>139</v>
      </c>
      <c r="H2860">
        <v>2</v>
      </c>
      <c r="I2860">
        <v>1</v>
      </c>
      <c r="J2860">
        <v>2</v>
      </c>
      <c r="K2860">
        <v>1.83</v>
      </c>
      <c r="L2860">
        <v>1.77</v>
      </c>
      <c r="M2860" t="s">
        <v>37</v>
      </c>
      <c r="N2860" t="s">
        <v>162</v>
      </c>
    </row>
    <row r="2861" spans="1:14" x14ac:dyDescent="0.3">
      <c r="A2861" t="s">
        <v>37</v>
      </c>
      <c r="B2861">
        <f>VLOOKUP(M2861,Sheet9!$I$1:$J$17,2,FALSE)</f>
        <v>4</v>
      </c>
      <c r="C2861">
        <f>VLOOKUP(N2861,Sheet9!$M$1:$N$2,2,FALSE)</f>
        <v>1</v>
      </c>
      <c r="D2861">
        <v>16</v>
      </c>
      <c r="E2861" t="s">
        <v>96</v>
      </c>
      <c r="F2861">
        <v>120</v>
      </c>
      <c r="G2861" t="s">
        <v>139</v>
      </c>
      <c r="H2861">
        <v>6</v>
      </c>
      <c r="I2861">
        <v>0.6</v>
      </c>
      <c r="J2861">
        <v>3.6</v>
      </c>
      <c r="K2861">
        <v>3.04</v>
      </c>
      <c r="L2861">
        <v>2.95</v>
      </c>
      <c r="M2861" t="s">
        <v>37</v>
      </c>
      <c r="N2861" t="s">
        <v>162</v>
      </c>
    </row>
    <row r="2862" spans="1:14" x14ac:dyDescent="0.3">
      <c r="A2862" t="s">
        <v>37</v>
      </c>
      <c r="B2862">
        <f>VLOOKUP(M2862,Sheet9!$I$1:$J$17,2,FALSE)</f>
        <v>4</v>
      </c>
      <c r="C2862">
        <f>VLOOKUP(N2862,Sheet9!$M$1:$N$2,2,FALSE)</f>
        <v>1</v>
      </c>
      <c r="D2862">
        <v>16</v>
      </c>
      <c r="E2862" t="s">
        <v>96</v>
      </c>
      <c r="F2862">
        <v>120</v>
      </c>
      <c r="G2862" t="s">
        <v>139</v>
      </c>
      <c r="H2862">
        <v>1</v>
      </c>
      <c r="I2862">
        <v>5</v>
      </c>
      <c r="J2862">
        <v>5</v>
      </c>
      <c r="K2862">
        <v>1.76</v>
      </c>
      <c r="L2862">
        <v>1.71</v>
      </c>
      <c r="M2862" t="s">
        <v>37</v>
      </c>
      <c r="N2862" t="s">
        <v>162</v>
      </c>
    </row>
    <row r="2863" spans="1:14" x14ac:dyDescent="0.3">
      <c r="A2863" t="s">
        <v>37</v>
      </c>
      <c r="B2863">
        <f>VLOOKUP(M2863,Sheet9!$I$1:$J$17,2,FALSE)</f>
        <v>4</v>
      </c>
      <c r="C2863">
        <f>VLOOKUP(N2863,Sheet9!$M$1:$N$2,2,FALSE)</f>
        <v>1</v>
      </c>
      <c r="D2863">
        <v>16</v>
      </c>
      <c r="E2863" t="s">
        <v>96</v>
      </c>
      <c r="F2863">
        <v>120</v>
      </c>
      <c r="G2863" t="s">
        <v>139</v>
      </c>
      <c r="H2863">
        <v>1</v>
      </c>
      <c r="I2863">
        <v>10</v>
      </c>
      <c r="J2863">
        <v>10</v>
      </c>
      <c r="K2863">
        <v>1.76</v>
      </c>
      <c r="L2863">
        <v>1.71</v>
      </c>
      <c r="M2863" t="s">
        <v>37</v>
      </c>
      <c r="N2863" t="s">
        <v>162</v>
      </c>
    </row>
    <row r="2864" spans="1:14" x14ac:dyDescent="0.3">
      <c r="A2864" t="s">
        <v>37</v>
      </c>
      <c r="B2864">
        <f>VLOOKUP(M2864,Sheet9!$I$1:$J$17,2,FALSE)</f>
        <v>4</v>
      </c>
      <c r="C2864">
        <f>VLOOKUP(N2864,Sheet9!$M$1:$N$2,2,FALSE)</f>
        <v>1</v>
      </c>
      <c r="D2864">
        <v>16</v>
      </c>
      <c r="E2864" t="s">
        <v>96</v>
      </c>
      <c r="F2864">
        <v>120</v>
      </c>
      <c r="G2864" t="s">
        <v>139</v>
      </c>
      <c r="H2864">
        <v>12</v>
      </c>
      <c r="I2864">
        <v>1.2</v>
      </c>
      <c r="J2864">
        <v>14.4</v>
      </c>
      <c r="K2864">
        <v>2.52</v>
      </c>
      <c r="L2864">
        <v>2.44</v>
      </c>
      <c r="M2864" t="s">
        <v>37</v>
      </c>
      <c r="N2864" t="s">
        <v>162</v>
      </c>
    </row>
    <row r="2865" spans="1:14" x14ac:dyDescent="0.3">
      <c r="A2865" t="s">
        <v>37</v>
      </c>
      <c r="B2865">
        <f>VLOOKUP(M2865,Sheet9!$I$1:$J$17,2,FALSE)</f>
        <v>4</v>
      </c>
      <c r="C2865">
        <f>VLOOKUP(N2865,Sheet9!$M$1:$N$2,2,FALSE)</f>
        <v>1</v>
      </c>
      <c r="D2865">
        <v>16</v>
      </c>
      <c r="E2865" t="s">
        <v>96</v>
      </c>
      <c r="F2865">
        <v>120</v>
      </c>
      <c r="G2865" t="s">
        <v>139</v>
      </c>
      <c r="H2865">
        <v>32</v>
      </c>
      <c r="I2865">
        <v>0.6</v>
      </c>
      <c r="J2865">
        <v>19.2</v>
      </c>
      <c r="K2865">
        <v>1.99</v>
      </c>
      <c r="L2865">
        <v>1.93</v>
      </c>
      <c r="M2865" t="s">
        <v>37</v>
      </c>
      <c r="N2865" t="s">
        <v>162</v>
      </c>
    </row>
    <row r="2866" spans="1:14" x14ac:dyDescent="0.3">
      <c r="A2866" t="s">
        <v>37</v>
      </c>
      <c r="B2866">
        <f>VLOOKUP(M2866,Sheet9!$I$1:$J$17,2,FALSE)</f>
        <v>4</v>
      </c>
      <c r="C2866">
        <f>VLOOKUP(N2866,Sheet9!$M$1:$N$2,2,FALSE)</f>
        <v>1</v>
      </c>
      <c r="D2866">
        <v>16</v>
      </c>
      <c r="E2866" t="s">
        <v>168</v>
      </c>
      <c r="F2866">
        <v>120</v>
      </c>
      <c r="G2866" t="s">
        <v>139</v>
      </c>
      <c r="H2866">
        <v>32</v>
      </c>
      <c r="I2866">
        <v>0.6</v>
      </c>
      <c r="J2866">
        <v>19.2</v>
      </c>
      <c r="K2866">
        <v>2.14</v>
      </c>
      <c r="L2866">
        <v>2.0699999999999998</v>
      </c>
      <c r="M2866" t="s">
        <v>37</v>
      </c>
      <c r="N2866" t="s">
        <v>162</v>
      </c>
    </row>
    <row r="2867" spans="1:14" x14ac:dyDescent="0.3">
      <c r="A2867" t="s">
        <v>37</v>
      </c>
      <c r="B2867">
        <f>VLOOKUP(M2867,Sheet9!$I$1:$J$17,2,FALSE)</f>
        <v>4</v>
      </c>
      <c r="C2867">
        <f>VLOOKUP(N2867,Sheet9!$M$1:$N$2,2,FALSE)</f>
        <v>1</v>
      </c>
      <c r="D2867">
        <v>16</v>
      </c>
      <c r="E2867" t="s">
        <v>168</v>
      </c>
      <c r="F2867">
        <v>120</v>
      </c>
      <c r="G2867" t="s">
        <v>139</v>
      </c>
      <c r="H2867">
        <v>32</v>
      </c>
      <c r="I2867">
        <v>0.6</v>
      </c>
      <c r="J2867">
        <v>19.2</v>
      </c>
      <c r="K2867">
        <v>2.4300000000000002</v>
      </c>
      <c r="L2867">
        <v>2.35</v>
      </c>
      <c r="M2867" t="s">
        <v>37</v>
      </c>
      <c r="N2867" t="s">
        <v>162</v>
      </c>
    </row>
    <row r="2868" spans="1:14" x14ac:dyDescent="0.3">
      <c r="A2868" t="s">
        <v>37</v>
      </c>
      <c r="B2868">
        <f>VLOOKUP(M2868,Sheet9!$I$1:$J$17,2,FALSE)</f>
        <v>4</v>
      </c>
      <c r="C2868">
        <f>VLOOKUP(N2868,Sheet9!$M$1:$N$2,2,FALSE)</f>
        <v>1</v>
      </c>
      <c r="D2868">
        <v>16</v>
      </c>
      <c r="E2868" t="s">
        <v>168</v>
      </c>
      <c r="F2868">
        <v>120</v>
      </c>
      <c r="G2868" t="s">
        <v>139</v>
      </c>
      <c r="H2868">
        <v>48</v>
      </c>
      <c r="I2868">
        <v>1.2</v>
      </c>
      <c r="J2868">
        <v>57.599999999999994</v>
      </c>
      <c r="K2868">
        <v>2.2000000000000002</v>
      </c>
      <c r="L2868">
        <v>2.14</v>
      </c>
      <c r="M2868" t="s">
        <v>37</v>
      </c>
      <c r="N2868" t="s">
        <v>162</v>
      </c>
    </row>
    <row r="2869" spans="1:14" x14ac:dyDescent="0.3">
      <c r="A2869" t="s">
        <v>37</v>
      </c>
      <c r="B2869">
        <f>VLOOKUP(M2869,Sheet9!$I$1:$J$17,2,FALSE)</f>
        <v>4</v>
      </c>
      <c r="C2869">
        <f>VLOOKUP(N2869,Sheet9!$M$1:$N$2,2,FALSE)</f>
        <v>1</v>
      </c>
      <c r="D2869">
        <v>16</v>
      </c>
      <c r="E2869" t="s">
        <v>168</v>
      </c>
      <c r="F2869">
        <v>120</v>
      </c>
      <c r="G2869" t="s">
        <v>139</v>
      </c>
      <c r="H2869">
        <v>64</v>
      </c>
      <c r="I2869">
        <v>1.2</v>
      </c>
      <c r="J2869">
        <v>76.8</v>
      </c>
      <c r="K2869">
        <v>2.09</v>
      </c>
      <c r="L2869">
        <v>2.0299999999999998</v>
      </c>
      <c r="M2869" t="s">
        <v>37</v>
      </c>
      <c r="N2869" t="s">
        <v>162</v>
      </c>
    </row>
    <row r="2870" spans="1:14" x14ac:dyDescent="0.3">
      <c r="A2870" t="s">
        <v>37</v>
      </c>
      <c r="B2870">
        <f>VLOOKUP(M2870,Sheet9!$I$1:$J$17,2,FALSE)</f>
        <v>4</v>
      </c>
      <c r="C2870">
        <f>VLOOKUP(N2870,Sheet9!$M$1:$N$2,2,FALSE)</f>
        <v>1</v>
      </c>
      <c r="D2870">
        <v>16</v>
      </c>
      <c r="E2870" t="s">
        <v>168</v>
      </c>
      <c r="F2870">
        <v>120</v>
      </c>
      <c r="G2870" t="s">
        <v>139</v>
      </c>
      <c r="H2870">
        <v>96</v>
      </c>
      <c r="I2870">
        <v>0.6</v>
      </c>
      <c r="J2870">
        <v>57.599999999999994</v>
      </c>
      <c r="K2870">
        <v>1.97</v>
      </c>
      <c r="L2870">
        <v>1.91</v>
      </c>
      <c r="M2870" t="s">
        <v>37</v>
      </c>
      <c r="N2870" t="s">
        <v>162</v>
      </c>
    </row>
    <row r="2871" spans="1:14" x14ac:dyDescent="0.3">
      <c r="A2871" t="s">
        <v>37</v>
      </c>
      <c r="B2871">
        <f>VLOOKUP(M2871,Sheet9!$I$1:$J$17,2,FALSE)</f>
        <v>4</v>
      </c>
      <c r="C2871">
        <f>VLOOKUP(N2871,Sheet9!$M$1:$N$2,2,FALSE)</f>
        <v>1</v>
      </c>
      <c r="D2871">
        <v>16</v>
      </c>
      <c r="E2871" t="s">
        <v>168</v>
      </c>
      <c r="F2871">
        <v>120</v>
      </c>
      <c r="G2871" t="s">
        <v>139</v>
      </c>
      <c r="H2871">
        <v>24</v>
      </c>
      <c r="I2871">
        <v>1.2</v>
      </c>
      <c r="J2871">
        <v>28.799999999999997</v>
      </c>
      <c r="K2871">
        <v>2.17</v>
      </c>
      <c r="L2871">
        <v>2.1</v>
      </c>
      <c r="M2871" t="s">
        <v>37</v>
      </c>
      <c r="N2871" t="s">
        <v>162</v>
      </c>
    </row>
    <row r="2872" spans="1:14" x14ac:dyDescent="0.3">
      <c r="A2872" t="s">
        <v>37</v>
      </c>
      <c r="B2872">
        <f>VLOOKUP(M2872,Sheet9!$I$1:$J$17,2,FALSE)</f>
        <v>4</v>
      </c>
      <c r="C2872">
        <f>VLOOKUP(N2872,Sheet9!$M$1:$N$2,2,FALSE)</f>
        <v>1</v>
      </c>
      <c r="D2872">
        <v>16</v>
      </c>
      <c r="E2872" t="s">
        <v>96</v>
      </c>
      <c r="F2872">
        <v>120</v>
      </c>
      <c r="G2872" t="s">
        <v>139</v>
      </c>
      <c r="H2872">
        <v>48</v>
      </c>
      <c r="I2872">
        <v>1.2</v>
      </c>
      <c r="J2872">
        <v>57.599999999999994</v>
      </c>
      <c r="K2872">
        <v>1.97</v>
      </c>
      <c r="L2872">
        <v>1.91</v>
      </c>
      <c r="M2872" t="s">
        <v>37</v>
      </c>
      <c r="N2872" t="s">
        <v>162</v>
      </c>
    </row>
    <row r="2873" spans="1:14" x14ac:dyDescent="0.3">
      <c r="A2873" t="s">
        <v>37</v>
      </c>
      <c r="B2873">
        <f>VLOOKUP(M2873,Sheet9!$I$1:$J$17,2,FALSE)</f>
        <v>4</v>
      </c>
      <c r="C2873">
        <f>VLOOKUP(N2873,Sheet9!$M$1:$N$2,2,FALSE)</f>
        <v>1</v>
      </c>
      <c r="D2873">
        <v>16</v>
      </c>
      <c r="E2873" t="s">
        <v>96</v>
      </c>
      <c r="F2873">
        <v>150</v>
      </c>
      <c r="G2873" t="s">
        <v>139</v>
      </c>
      <c r="H2873">
        <v>2</v>
      </c>
      <c r="I2873">
        <v>1</v>
      </c>
      <c r="J2873">
        <v>2</v>
      </c>
      <c r="K2873">
        <v>4.78</v>
      </c>
      <c r="L2873">
        <v>4.66</v>
      </c>
      <c r="M2873" t="s">
        <v>37</v>
      </c>
      <c r="N2873" t="s">
        <v>162</v>
      </c>
    </row>
    <row r="2874" spans="1:14" x14ac:dyDescent="0.3">
      <c r="A2874" t="s">
        <v>37</v>
      </c>
      <c r="B2874">
        <f>VLOOKUP(M2874,Sheet9!$I$1:$J$17,2,FALSE)</f>
        <v>4</v>
      </c>
      <c r="C2874">
        <f>VLOOKUP(N2874,Sheet9!$M$1:$N$2,2,FALSE)</f>
        <v>1</v>
      </c>
      <c r="D2874">
        <v>16</v>
      </c>
      <c r="E2874" t="s">
        <v>96</v>
      </c>
      <c r="F2874">
        <v>150</v>
      </c>
      <c r="G2874" t="s">
        <v>139</v>
      </c>
      <c r="H2874">
        <v>6</v>
      </c>
      <c r="I2874">
        <v>0.6</v>
      </c>
      <c r="J2874">
        <v>3.6</v>
      </c>
      <c r="K2874">
        <v>7.97</v>
      </c>
      <c r="L2874">
        <v>7.77</v>
      </c>
      <c r="M2874" t="s">
        <v>37</v>
      </c>
      <c r="N2874" t="s">
        <v>162</v>
      </c>
    </row>
    <row r="2875" spans="1:14" x14ac:dyDescent="0.3">
      <c r="A2875" t="s">
        <v>37</v>
      </c>
      <c r="B2875">
        <f>VLOOKUP(M2875,Sheet9!$I$1:$J$17,2,FALSE)</f>
        <v>4</v>
      </c>
      <c r="C2875">
        <f>VLOOKUP(N2875,Sheet9!$M$1:$N$2,2,FALSE)</f>
        <v>1</v>
      </c>
      <c r="D2875">
        <v>16</v>
      </c>
      <c r="E2875" t="s">
        <v>96</v>
      </c>
      <c r="F2875">
        <v>150</v>
      </c>
      <c r="G2875" t="s">
        <v>139</v>
      </c>
      <c r="H2875">
        <v>1</v>
      </c>
      <c r="I2875">
        <v>5</v>
      </c>
      <c r="J2875">
        <v>5</v>
      </c>
      <c r="K2875">
        <v>4.62</v>
      </c>
      <c r="L2875">
        <v>4.5</v>
      </c>
      <c r="M2875" t="s">
        <v>37</v>
      </c>
      <c r="N2875" t="s">
        <v>162</v>
      </c>
    </row>
    <row r="2876" spans="1:14" x14ac:dyDescent="0.3">
      <c r="A2876" t="s">
        <v>37</v>
      </c>
      <c r="B2876">
        <f>VLOOKUP(M2876,Sheet9!$I$1:$J$17,2,FALSE)</f>
        <v>4</v>
      </c>
      <c r="C2876">
        <f>VLOOKUP(N2876,Sheet9!$M$1:$N$2,2,FALSE)</f>
        <v>1</v>
      </c>
      <c r="D2876">
        <v>16</v>
      </c>
      <c r="E2876" t="s">
        <v>96</v>
      </c>
      <c r="F2876">
        <v>150</v>
      </c>
      <c r="G2876" t="s">
        <v>139</v>
      </c>
      <c r="H2876">
        <v>1</v>
      </c>
      <c r="I2876">
        <v>10</v>
      </c>
      <c r="J2876">
        <v>10</v>
      </c>
      <c r="K2876">
        <v>4.62</v>
      </c>
      <c r="L2876">
        <v>4.5</v>
      </c>
      <c r="M2876" t="s">
        <v>37</v>
      </c>
      <c r="N2876" t="s">
        <v>162</v>
      </c>
    </row>
    <row r="2877" spans="1:14" x14ac:dyDescent="0.3">
      <c r="A2877" t="s">
        <v>37</v>
      </c>
      <c r="B2877">
        <f>VLOOKUP(M2877,Sheet9!$I$1:$J$17,2,FALSE)</f>
        <v>4</v>
      </c>
      <c r="C2877">
        <f>VLOOKUP(N2877,Sheet9!$M$1:$N$2,2,FALSE)</f>
        <v>1</v>
      </c>
      <c r="D2877">
        <v>16</v>
      </c>
      <c r="E2877" t="s">
        <v>96</v>
      </c>
      <c r="F2877">
        <v>150</v>
      </c>
      <c r="G2877" t="s">
        <v>139</v>
      </c>
      <c r="H2877">
        <v>12</v>
      </c>
      <c r="I2877">
        <v>1.2</v>
      </c>
      <c r="J2877">
        <v>14.4</v>
      </c>
      <c r="K2877">
        <v>6.59</v>
      </c>
      <c r="L2877">
        <v>6.42</v>
      </c>
      <c r="M2877" t="s">
        <v>37</v>
      </c>
      <c r="N2877" t="s">
        <v>162</v>
      </c>
    </row>
    <row r="2878" spans="1:14" x14ac:dyDescent="0.3">
      <c r="A2878" t="s">
        <v>37</v>
      </c>
      <c r="B2878">
        <f>VLOOKUP(M2878,Sheet9!$I$1:$J$17,2,FALSE)</f>
        <v>4</v>
      </c>
      <c r="C2878">
        <f>VLOOKUP(N2878,Sheet9!$M$1:$N$2,2,FALSE)</f>
        <v>1</v>
      </c>
      <c r="D2878">
        <v>16</v>
      </c>
      <c r="E2878" t="s">
        <v>96</v>
      </c>
      <c r="F2878">
        <v>150</v>
      </c>
      <c r="G2878" t="s">
        <v>139</v>
      </c>
      <c r="H2878">
        <v>32</v>
      </c>
      <c r="I2878">
        <v>0.6</v>
      </c>
      <c r="J2878">
        <v>19.2</v>
      </c>
      <c r="K2878">
        <v>5.21</v>
      </c>
      <c r="L2878">
        <v>5.08</v>
      </c>
      <c r="M2878" t="s">
        <v>37</v>
      </c>
      <c r="N2878" t="s">
        <v>162</v>
      </c>
    </row>
    <row r="2879" spans="1:14" x14ac:dyDescent="0.3">
      <c r="A2879" t="s">
        <v>37</v>
      </c>
      <c r="B2879">
        <f>VLOOKUP(M2879,Sheet9!$I$1:$J$17,2,FALSE)</f>
        <v>4</v>
      </c>
      <c r="C2879">
        <f>VLOOKUP(N2879,Sheet9!$M$1:$N$2,2,FALSE)</f>
        <v>1</v>
      </c>
      <c r="D2879">
        <v>16</v>
      </c>
      <c r="E2879" t="s">
        <v>168</v>
      </c>
      <c r="F2879">
        <v>150</v>
      </c>
      <c r="G2879" t="s">
        <v>139</v>
      </c>
      <c r="H2879">
        <v>32</v>
      </c>
      <c r="I2879">
        <v>0.6</v>
      </c>
      <c r="J2879">
        <v>19.2</v>
      </c>
      <c r="K2879">
        <v>5.59</v>
      </c>
      <c r="L2879">
        <v>5.45</v>
      </c>
      <c r="M2879" t="s">
        <v>37</v>
      </c>
      <c r="N2879" t="s">
        <v>162</v>
      </c>
    </row>
    <row r="2880" spans="1:14" x14ac:dyDescent="0.3">
      <c r="A2880" t="s">
        <v>37</v>
      </c>
      <c r="B2880">
        <f>VLOOKUP(M2880,Sheet9!$I$1:$J$17,2,FALSE)</f>
        <v>4</v>
      </c>
      <c r="C2880">
        <f>VLOOKUP(N2880,Sheet9!$M$1:$N$2,2,FALSE)</f>
        <v>1</v>
      </c>
      <c r="D2880">
        <v>16</v>
      </c>
      <c r="E2880" t="s">
        <v>168</v>
      </c>
      <c r="F2880">
        <v>150</v>
      </c>
      <c r="G2880" t="s">
        <v>139</v>
      </c>
      <c r="H2880">
        <v>32</v>
      </c>
      <c r="I2880">
        <v>0.6</v>
      </c>
      <c r="J2880">
        <v>19.2</v>
      </c>
      <c r="K2880">
        <v>6.36</v>
      </c>
      <c r="L2880">
        <v>6.2</v>
      </c>
      <c r="M2880" t="s">
        <v>37</v>
      </c>
      <c r="N2880" t="s">
        <v>162</v>
      </c>
    </row>
    <row r="2881" spans="1:14" x14ac:dyDescent="0.3">
      <c r="A2881" t="s">
        <v>37</v>
      </c>
      <c r="B2881">
        <f>VLOOKUP(M2881,Sheet9!$I$1:$J$17,2,FALSE)</f>
        <v>4</v>
      </c>
      <c r="C2881">
        <f>VLOOKUP(N2881,Sheet9!$M$1:$N$2,2,FALSE)</f>
        <v>1</v>
      </c>
      <c r="D2881">
        <v>16</v>
      </c>
      <c r="E2881" t="s">
        <v>168</v>
      </c>
      <c r="F2881">
        <v>150</v>
      </c>
      <c r="G2881" t="s">
        <v>139</v>
      </c>
      <c r="H2881">
        <v>48</v>
      </c>
      <c r="I2881">
        <v>1.2</v>
      </c>
      <c r="J2881">
        <v>57.599999999999994</v>
      </c>
      <c r="K2881">
        <v>5.77</v>
      </c>
      <c r="L2881">
        <v>5.63</v>
      </c>
      <c r="M2881" t="s">
        <v>37</v>
      </c>
      <c r="N2881" t="s">
        <v>162</v>
      </c>
    </row>
    <row r="2882" spans="1:14" x14ac:dyDescent="0.3">
      <c r="A2882" t="s">
        <v>37</v>
      </c>
      <c r="B2882">
        <f>VLOOKUP(M2882,Sheet9!$I$1:$J$17,2,FALSE)</f>
        <v>4</v>
      </c>
      <c r="C2882">
        <f>VLOOKUP(N2882,Sheet9!$M$1:$N$2,2,FALSE)</f>
        <v>1</v>
      </c>
      <c r="D2882">
        <v>16</v>
      </c>
      <c r="E2882" t="s">
        <v>168</v>
      </c>
      <c r="F2882">
        <v>150</v>
      </c>
      <c r="G2882" t="s">
        <v>139</v>
      </c>
      <c r="H2882">
        <v>64</v>
      </c>
      <c r="I2882">
        <v>1.2</v>
      </c>
      <c r="J2882">
        <v>76.8</v>
      </c>
      <c r="K2882">
        <v>5.48</v>
      </c>
      <c r="L2882">
        <v>5.34</v>
      </c>
      <c r="M2882" t="s">
        <v>37</v>
      </c>
      <c r="N2882" t="s">
        <v>162</v>
      </c>
    </row>
    <row r="2883" spans="1:14" x14ac:dyDescent="0.3">
      <c r="A2883" t="s">
        <v>37</v>
      </c>
      <c r="B2883">
        <f>VLOOKUP(M2883,Sheet9!$I$1:$J$17,2,FALSE)</f>
        <v>4</v>
      </c>
      <c r="C2883">
        <f>VLOOKUP(N2883,Sheet9!$M$1:$N$2,2,FALSE)</f>
        <v>1</v>
      </c>
      <c r="D2883">
        <v>16</v>
      </c>
      <c r="E2883" t="s">
        <v>168</v>
      </c>
      <c r="F2883">
        <v>150</v>
      </c>
      <c r="G2883" t="s">
        <v>139</v>
      </c>
      <c r="H2883">
        <v>96</v>
      </c>
      <c r="I2883">
        <v>0.6</v>
      </c>
      <c r="J2883">
        <v>57.599999999999994</v>
      </c>
      <c r="K2883">
        <v>5.15</v>
      </c>
      <c r="L2883">
        <v>5.0199999999999996</v>
      </c>
      <c r="M2883" t="s">
        <v>37</v>
      </c>
      <c r="N2883" t="s">
        <v>162</v>
      </c>
    </row>
    <row r="2884" spans="1:14" x14ac:dyDescent="0.3">
      <c r="A2884" t="s">
        <v>37</v>
      </c>
      <c r="B2884">
        <f>VLOOKUP(M2884,Sheet9!$I$1:$J$17,2,FALSE)</f>
        <v>4</v>
      </c>
      <c r="C2884">
        <f>VLOOKUP(N2884,Sheet9!$M$1:$N$2,2,FALSE)</f>
        <v>1</v>
      </c>
      <c r="D2884">
        <v>16</v>
      </c>
      <c r="E2884" t="s">
        <v>168</v>
      </c>
      <c r="F2884">
        <v>150</v>
      </c>
      <c r="G2884" t="s">
        <v>139</v>
      </c>
      <c r="H2884">
        <v>24</v>
      </c>
      <c r="I2884">
        <v>1.2</v>
      </c>
      <c r="J2884">
        <v>28.799999999999997</v>
      </c>
      <c r="K2884">
        <v>567</v>
      </c>
      <c r="L2884">
        <v>5.53</v>
      </c>
      <c r="M2884" t="s">
        <v>37</v>
      </c>
      <c r="N2884" t="s">
        <v>162</v>
      </c>
    </row>
    <row r="2885" spans="1:14" x14ac:dyDescent="0.3">
      <c r="A2885" t="s">
        <v>37</v>
      </c>
      <c r="B2885">
        <f>VLOOKUP(M2885,Sheet9!$I$1:$J$17,2,FALSE)</f>
        <v>4</v>
      </c>
      <c r="C2885">
        <f>VLOOKUP(N2885,Sheet9!$M$1:$N$2,2,FALSE)</f>
        <v>1</v>
      </c>
      <c r="D2885">
        <v>16</v>
      </c>
      <c r="E2885" t="s">
        <v>96</v>
      </c>
      <c r="F2885">
        <v>150</v>
      </c>
      <c r="G2885" t="s">
        <v>139</v>
      </c>
      <c r="H2885">
        <v>48</v>
      </c>
      <c r="I2885">
        <v>1.2</v>
      </c>
      <c r="J2885">
        <v>57.599999999999994</v>
      </c>
      <c r="K2885">
        <v>5.16</v>
      </c>
      <c r="L2885">
        <v>5.03</v>
      </c>
      <c r="M2885" t="s">
        <v>37</v>
      </c>
      <c r="N2885" t="s">
        <v>162</v>
      </c>
    </row>
    <row r="2886" spans="1:14" x14ac:dyDescent="0.3">
      <c r="A2886" t="s">
        <v>37</v>
      </c>
      <c r="B2886">
        <f>VLOOKUP(M2886,Sheet9!$I$1:$J$17,2,FALSE)</f>
        <v>4</v>
      </c>
      <c r="C2886">
        <f>VLOOKUP(N2886,Sheet9!$M$1:$N$2,2,FALSE)</f>
        <v>1</v>
      </c>
      <c r="D2886">
        <v>32</v>
      </c>
      <c r="E2886" t="s">
        <v>95</v>
      </c>
      <c r="F2886">
        <v>70</v>
      </c>
      <c r="H2886">
        <v>2</v>
      </c>
      <c r="I2886">
        <v>1</v>
      </c>
      <c r="J2886">
        <v>2</v>
      </c>
      <c r="K2886">
        <v>0.57999999999999996</v>
      </c>
      <c r="L2886">
        <v>1.0900000000000001</v>
      </c>
      <c r="M2886" t="s">
        <v>37</v>
      </c>
      <c r="N2886" t="s">
        <v>162</v>
      </c>
    </row>
    <row r="2887" spans="1:14" x14ac:dyDescent="0.3">
      <c r="A2887" t="s">
        <v>37</v>
      </c>
      <c r="B2887">
        <f>VLOOKUP(M2887,Sheet9!$I$1:$J$17,2,FALSE)</f>
        <v>4</v>
      </c>
      <c r="C2887">
        <f>VLOOKUP(N2887,Sheet9!$M$1:$N$2,2,FALSE)</f>
        <v>1</v>
      </c>
      <c r="D2887">
        <v>32</v>
      </c>
      <c r="E2887" t="s">
        <v>95</v>
      </c>
      <c r="F2887">
        <v>70</v>
      </c>
      <c r="H2887">
        <v>6</v>
      </c>
      <c r="I2887">
        <v>0.6</v>
      </c>
      <c r="J2887">
        <v>3.6</v>
      </c>
      <c r="K2887">
        <v>0.97</v>
      </c>
      <c r="L2887">
        <v>1.81</v>
      </c>
      <c r="M2887" t="s">
        <v>37</v>
      </c>
      <c r="N2887" t="s">
        <v>162</v>
      </c>
    </row>
    <row r="2888" spans="1:14" x14ac:dyDescent="0.3">
      <c r="A2888" t="s">
        <v>37</v>
      </c>
      <c r="B2888">
        <f>VLOOKUP(M2888,Sheet9!$I$1:$J$17,2,FALSE)</f>
        <v>4</v>
      </c>
      <c r="C2888">
        <f>VLOOKUP(N2888,Sheet9!$M$1:$N$2,2,FALSE)</f>
        <v>1</v>
      </c>
      <c r="D2888">
        <v>32</v>
      </c>
      <c r="E2888" t="s">
        <v>95</v>
      </c>
      <c r="F2888">
        <v>70</v>
      </c>
      <c r="H2888">
        <v>1</v>
      </c>
      <c r="I2888">
        <v>5</v>
      </c>
      <c r="J2888">
        <v>5</v>
      </c>
      <c r="K2888">
        <v>0.56000000000000005</v>
      </c>
      <c r="L2888">
        <v>1.05</v>
      </c>
      <c r="M2888" t="s">
        <v>37</v>
      </c>
      <c r="N2888" t="s">
        <v>162</v>
      </c>
    </row>
    <row r="2889" spans="1:14" x14ac:dyDescent="0.3">
      <c r="A2889" t="s">
        <v>37</v>
      </c>
      <c r="B2889">
        <f>VLOOKUP(M2889,Sheet9!$I$1:$J$17,2,FALSE)</f>
        <v>4</v>
      </c>
      <c r="C2889">
        <f>VLOOKUP(N2889,Sheet9!$M$1:$N$2,2,FALSE)</f>
        <v>1</v>
      </c>
      <c r="D2889">
        <v>32</v>
      </c>
      <c r="E2889" t="s">
        <v>95</v>
      </c>
      <c r="F2889">
        <v>70</v>
      </c>
      <c r="H2889">
        <v>1</v>
      </c>
      <c r="I2889">
        <v>10</v>
      </c>
      <c r="J2889">
        <v>10</v>
      </c>
      <c r="K2889">
        <v>0.56000000000000005</v>
      </c>
      <c r="L2889">
        <v>1.05</v>
      </c>
      <c r="M2889" t="s">
        <v>37</v>
      </c>
      <c r="N2889" t="s">
        <v>162</v>
      </c>
    </row>
    <row r="2890" spans="1:14" x14ac:dyDescent="0.3">
      <c r="A2890" t="s">
        <v>37</v>
      </c>
      <c r="B2890">
        <f>VLOOKUP(M2890,Sheet9!$I$1:$J$17,2,FALSE)</f>
        <v>4</v>
      </c>
      <c r="C2890">
        <f>VLOOKUP(N2890,Sheet9!$M$1:$N$2,2,FALSE)</f>
        <v>1</v>
      </c>
      <c r="D2890">
        <v>32</v>
      </c>
      <c r="E2890" t="s">
        <v>95</v>
      </c>
      <c r="F2890">
        <v>70</v>
      </c>
      <c r="H2890">
        <v>12</v>
      </c>
      <c r="I2890">
        <v>1.2</v>
      </c>
      <c r="J2890">
        <v>14.4</v>
      </c>
      <c r="K2890">
        <v>0.8</v>
      </c>
      <c r="L2890">
        <v>1.5</v>
      </c>
      <c r="M2890" t="s">
        <v>37</v>
      </c>
      <c r="N2890" t="s">
        <v>162</v>
      </c>
    </row>
    <row r="2891" spans="1:14" x14ac:dyDescent="0.3">
      <c r="A2891" t="s">
        <v>37</v>
      </c>
      <c r="B2891">
        <f>VLOOKUP(M2891,Sheet9!$I$1:$J$17,2,FALSE)</f>
        <v>4</v>
      </c>
      <c r="C2891">
        <f>VLOOKUP(N2891,Sheet9!$M$1:$N$2,2,FALSE)</f>
        <v>1</v>
      </c>
      <c r="D2891">
        <v>32</v>
      </c>
      <c r="E2891" t="s">
        <v>95</v>
      </c>
      <c r="F2891">
        <v>70</v>
      </c>
      <c r="H2891">
        <v>32</v>
      </c>
      <c r="I2891">
        <v>0.6</v>
      </c>
      <c r="J2891">
        <v>19.2</v>
      </c>
      <c r="K2891">
        <v>0.64</v>
      </c>
      <c r="L2891">
        <v>1.18</v>
      </c>
      <c r="M2891" t="s">
        <v>37</v>
      </c>
      <c r="N2891" t="s">
        <v>162</v>
      </c>
    </row>
    <row r="2892" spans="1:14" x14ac:dyDescent="0.3">
      <c r="A2892" t="s">
        <v>37</v>
      </c>
      <c r="B2892">
        <f>VLOOKUP(M2892,Sheet9!$I$1:$J$17,2,FALSE)</f>
        <v>4</v>
      </c>
      <c r="C2892">
        <f>VLOOKUP(N2892,Sheet9!$M$1:$N$2,2,FALSE)</f>
        <v>1</v>
      </c>
      <c r="D2892">
        <v>32</v>
      </c>
      <c r="E2892" t="s">
        <v>167</v>
      </c>
      <c r="F2892">
        <v>70</v>
      </c>
      <c r="H2892">
        <v>32</v>
      </c>
      <c r="I2892">
        <v>0.6</v>
      </c>
      <c r="J2892">
        <v>19.2</v>
      </c>
      <c r="K2892">
        <v>0.68</v>
      </c>
      <c r="L2892">
        <v>1.27</v>
      </c>
      <c r="M2892" t="s">
        <v>37</v>
      </c>
      <c r="N2892" t="s">
        <v>162</v>
      </c>
    </row>
    <row r="2893" spans="1:14" x14ac:dyDescent="0.3">
      <c r="A2893" t="s">
        <v>37</v>
      </c>
      <c r="B2893">
        <f>VLOOKUP(M2893,Sheet9!$I$1:$J$17,2,FALSE)</f>
        <v>4</v>
      </c>
      <c r="C2893">
        <f>VLOOKUP(N2893,Sheet9!$M$1:$N$2,2,FALSE)</f>
        <v>1</v>
      </c>
      <c r="D2893">
        <v>32</v>
      </c>
      <c r="E2893" t="s">
        <v>167</v>
      </c>
      <c r="F2893">
        <v>70</v>
      </c>
      <c r="H2893">
        <v>32</v>
      </c>
      <c r="I2893">
        <v>0.6</v>
      </c>
      <c r="J2893">
        <v>19.2</v>
      </c>
      <c r="K2893">
        <v>0.78</v>
      </c>
      <c r="L2893">
        <v>1.44</v>
      </c>
      <c r="M2893" t="s">
        <v>37</v>
      </c>
      <c r="N2893" t="s">
        <v>162</v>
      </c>
    </row>
    <row r="2894" spans="1:14" x14ac:dyDescent="0.3">
      <c r="A2894" t="s">
        <v>37</v>
      </c>
      <c r="B2894">
        <f>VLOOKUP(M2894,Sheet9!$I$1:$J$17,2,FALSE)</f>
        <v>4</v>
      </c>
      <c r="C2894">
        <f>VLOOKUP(N2894,Sheet9!$M$1:$N$2,2,FALSE)</f>
        <v>1</v>
      </c>
      <c r="D2894">
        <v>32</v>
      </c>
      <c r="E2894" t="s">
        <v>167</v>
      </c>
      <c r="F2894">
        <v>70</v>
      </c>
      <c r="H2894">
        <v>48</v>
      </c>
      <c r="I2894">
        <v>1.2</v>
      </c>
      <c r="J2894">
        <v>57.599999999999994</v>
      </c>
      <c r="K2894">
        <v>0.7</v>
      </c>
      <c r="L2894">
        <v>1.31</v>
      </c>
      <c r="M2894" t="s">
        <v>37</v>
      </c>
      <c r="N2894" t="s">
        <v>162</v>
      </c>
    </row>
    <row r="2895" spans="1:14" x14ac:dyDescent="0.3">
      <c r="A2895" t="s">
        <v>37</v>
      </c>
      <c r="B2895">
        <f>VLOOKUP(M2895,Sheet9!$I$1:$J$17,2,FALSE)</f>
        <v>4</v>
      </c>
      <c r="C2895">
        <f>VLOOKUP(N2895,Sheet9!$M$1:$N$2,2,FALSE)</f>
        <v>1</v>
      </c>
      <c r="D2895">
        <v>32</v>
      </c>
      <c r="E2895" t="s">
        <v>167</v>
      </c>
      <c r="F2895">
        <v>70</v>
      </c>
      <c r="H2895">
        <v>64</v>
      </c>
      <c r="I2895">
        <v>1.2</v>
      </c>
      <c r="J2895">
        <v>76.8</v>
      </c>
      <c r="K2895">
        <v>0.67</v>
      </c>
      <c r="L2895">
        <v>1.24</v>
      </c>
      <c r="M2895" t="s">
        <v>37</v>
      </c>
      <c r="N2895" t="s">
        <v>162</v>
      </c>
    </row>
    <row r="2896" spans="1:14" x14ac:dyDescent="0.3">
      <c r="A2896" t="s">
        <v>37</v>
      </c>
      <c r="B2896">
        <f>VLOOKUP(M2896,Sheet9!$I$1:$J$17,2,FALSE)</f>
        <v>4</v>
      </c>
      <c r="C2896">
        <f>VLOOKUP(N2896,Sheet9!$M$1:$N$2,2,FALSE)</f>
        <v>1</v>
      </c>
      <c r="D2896">
        <v>32</v>
      </c>
      <c r="E2896" t="s">
        <v>167</v>
      </c>
      <c r="F2896">
        <v>70</v>
      </c>
      <c r="H2896">
        <v>96</v>
      </c>
      <c r="I2896">
        <v>0.6</v>
      </c>
      <c r="J2896">
        <v>57.599999999999994</v>
      </c>
      <c r="K2896">
        <v>0.63</v>
      </c>
      <c r="L2896">
        <v>1.17</v>
      </c>
      <c r="M2896" t="s">
        <v>37</v>
      </c>
      <c r="N2896" t="s">
        <v>162</v>
      </c>
    </row>
    <row r="2897" spans="1:14" x14ac:dyDescent="0.3">
      <c r="A2897" t="s">
        <v>37</v>
      </c>
      <c r="B2897">
        <f>VLOOKUP(M2897,Sheet9!$I$1:$J$17,2,FALSE)</f>
        <v>4</v>
      </c>
      <c r="C2897">
        <f>VLOOKUP(N2897,Sheet9!$M$1:$N$2,2,FALSE)</f>
        <v>1</v>
      </c>
      <c r="D2897">
        <v>32</v>
      </c>
      <c r="E2897" t="s">
        <v>167</v>
      </c>
      <c r="F2897">
        <v>70</v>
      </c>
      <c r="H2897">
        <v>24</v>
      </c>
      <c r="I2897">
        <v>1.2</v>
      </c>
      <c r="J2897">
        <v>28.799999999999997</v>
      </c>
      <c r="K2897">
        <v>0.69</v>
      </c>
      <c r="L2897">
        <v>1.29</v>
      </c>
      <c r="M2897" t="s">
        <v>37</v>
      </c>
      <c r="N2897" t="s">
        <v>162</v>
      </c>
    </row>
    <row r="2898" spans="1:14" x14ac:dyDescent="0.3">
      <c r="A2898" t="s">
        <v>37</v>
      </c>
      <c r="B2898">
        <f>VLOOKUP(M2898,Sheet9!$I$1:$J$17,2,FALSE)</f>
        <v>4</v>
      </c>
      <c r="C2898">
        <f>VLOOKUP(N2898,Sheet9!$M$1:$N$2,2,FALSE)</f>
        <v>1</v>
      </c>
      <c r="D2898">
        <v>32</v>
      </c>
      <c r="E2898" t="s">
        <v>95</v>
      </c>
      <c r="F2898">
        <v>70</v>
      </c>
      <c r="H2898">
        <v>48</v>
      </c>
      <c r="I2898">
        <v>1.2</v>
      </c>
      <c r="J2898">
        <v>57.599999999999994</v>
      </c>
      <c r="K2898">
        <v>0.63</v>
      </c>
      <c r="L2898">
        <v>1.17</v>
      </c>
      <c r="M2898" t="s">
        <v>37</v>
      </c>
      <c r="N2898" t="s">
        <v>162</v>
      </c>
    </row>
    <row r="2899" spans="1:14" x14ac:dyDescent="0.3">
      <c r="A2899" t="s">
        <v>37</v>
      </c>
      <c r="B2899">
        <f>VLOOKUP(M2899,Sheet9!$I$1:$J$17,2,FALSE)</f>
        <v>4</v>
      </c>
      <c r="C2899">
        <f>VLOOKUP(N2899,Sheet9!$M$1:$N$2,2,FALSE)</f>
        <v>1</v>
      </c>
      <c r="D2899">
        <v>32</v>
      </c>
      <c r="E2899" t="s">
        <v>95</v>
      </c>
      <c r="F2899">
        <v>80</v>
      </c>
      <c r="H2899">
        <v>2</v>
      </c>
      <c r="I2899">
        <v>1</v>
      </c>
      <c r="J2899">
        <v>2</v>
      </c>
      <c r="K2899">
        <v>1.03</v>
      </c>
      <c r="L2899">
        <v>1.78</v>
      </c>
      <c r="M2899" t="s">
        <v>37</v>
      </c>
      <c r="N2899" t="s">
        <v>162</v>
      </c>
    </row>
    <row r="2900" spans="1:14" x14ac:dyDescent="0.3">
      <c r="A2900" t="s">
        <v>37</v>
      </c>
      <c r="B2900">
        <f>VLOOKUP(M2900,Sheet9!$I$1:$J$17,2,FALSE)</f>
        <v>4</v>
      </c>
      <c r="C2900">
        <f>VLOOKUP(N2900,Sheet9!$M$1:$N$2,2,FALSE)</f>
        <v>1</v>
      </c>
      <c r="D2900">
        <v>32</v>
      </c>
      <c r="E2900" t="s">
        <v>95</v>
      </c>
      <c r="F2900">
        <v>80</v>
      </c>
      <c r="H2900">
        <v>6</v>
      </c>
      <c r="I2900">
        <v>0.6</v>
      </c>
      <c r="J2900">
        <v>3.6</v>
      </c>
      <c r="K2900">
        <v>1.72</v>
      </c>
      <c r="L2900">
        <v>2.97</v>
      </c>
      <c r="M2900" t="s">
        <v>37</v>
      </c>
      <c r="N2900" t="s">
        <v>162</v>
      </c>
    </row>
    <row r="2901" spans="1:14" x14ac:dyDescent="0.3">
      <c r="A2901" t="s">
        <v>37</v>
      </c>
      <c r="B2901">
        <f>VLOOKUP(M2901,Sheet9!$I$1:$J$17,2,FALSE)</f>
        <v>4</v>
      </c>
      <c r="C2901">
        <f>VLOOKUP(N2901,Sheet9!$M$1:$N$2,2,FALSE)</f>
        <v>1</v>
      </c>
      <c r="D2901">
        <v>32</v>
      </c>
      <c r="E2901" t="s">
        <v>95</v>
      </c>
      <c r="F2901">
        <v>80</v>
      </c>
      <c r="H2901">
        <v>1</v>
      </c>
      <c r="I2901">
        <v>5</v>
      </c>
      <c r="J2901">
        <v>5</v>
      </c>
      <c r="K2901">
        <v>1</v>
      </c>
      <c r="L2901">
        <v>1.72</v>
      </c>
      <c r="M2901" t="s">
        <v>37</v>
      </c>
      <c r="N2901" t="s">
        <v>162</v>
      </c>
    </row>
    <row r="2902" spans="1:14" x14ac:dyDescent="0.3">
      <c r="A2902" t="s">
        <v>37</v>
      </c>
      <c r="B2902">
        <f>VLOOKUP(M2902,Sheet9!$I$1:$J$17,2,FALSE)</f>
        <v>4</v>
      </c>
      <c r="C2902">
        <f>VLOOKUP(N2902,Sheet9!$M$1:$N$2,2,FALSE)</f>
        <v>1</v>
      </c>
      <c r="D2902">
        <v>32</v>
      </c>
      <c r="E2902" t="s">
        <v>95</v>
      </c>
      <c r="F2902">
        <v>80</v>
      </c>
      <c r="H2902">
        <v>1</v>
      </c>
      <c r="I2902">
        <v>10</v>
      </c>
      <c r="J2902">
        <v>10</v>
      </c>
      <c r="K2902">
        <v>1</v>
      </c>
      <c r="L2902">
        <v>1.72</v>
      </c>
      <c r="M2902" t="s">
        <v>37</v>
      </c>
      <c r="N2902" t="s">
        <v>162</v>
      </c>
    </row>
    <row r="2903" spans="1:14" x14ac:dyDescent="0.3">
      <c r="A2903" t="s">
        <v>37</v>
      </c>
      <c r="B2903">
        <f>VLOOKUP(M2903,Sheet9!$I$1:$J$17,2,FALSE)</f>
        <v>4</v>
      </c>
      <c r="C2903">
        <f>VLOOKUP(N2903,Sheet9!$M$1:$N$2,2,FALSE)</f>
        <v>1</v>
      </c>
      <c r="D2903">
        <v>32</v>
      </c>
      <c r="E2903" t="s">
        <v>95</v>
      </c>
      <c r="F2903">
        <v>80</v>
      </c>
      <c r="H2903">
        <v>12</v>
      </c>
      <c r="I2903">
        <v>1.2</v>
      </c>
      <c r="J2903">
        <v>14.4</v>
      </c>
      <c r="K2903">
        <v>1.42</v>
      </c>
      <c r="L2903">
        <v>2.46</v>
      </c>
      <c r="M2903" t="s">
        <v>37</v>
      </c>
      <c r="N2903" t="s">
        <v>162</v>
      </c>
    </row>
    <row r="2904" spans="1:14" x14ac:dyDescent="0.3">
      <c r="A2904" t="s">
        <v>37</v>
      </c>
      <c r="B2904">
        <f>VLOOKUP(M2904,Sheet9!$I$1:$J$17,2,FALSE)</f>
        <v>4</v>
      </c>
      <c r="C2904">
        <f>VLOOKUP(N2904,Sheet9!$M$1:$N$2,2,FALSE)</f>
        <v>1</v>
      </c>
      <c r="D2904">
        <v>32</v>
      </c>
      <c r="E2904" t="s">
        <v>95</v>
      </c>
      <c r="F2904">
        <v>80</v>
      </c>
      <c r="H2904">
        <v>32</v>
      </c>
      <c r="I2904">
        <v>0.6</v>
      </c>
      <c r="J2904">
        <v>19.2</v>
      </c>
      <c r="K2904">
        <v>1.1200000000000001</v>
      </c>
      <c r="L2904">
        <v>1.94</v>
      </c>
      <c r="M2904" t="s">
        <v>37</v>
      </c>
      <c r="N2904" t="s">
        <v>162</v>
      </c>
    </row>
    <row r="2905" spans="1:14" x14ac:dyDescent="0.3">
      <c r="A2905" t="s">
        <v>37</v>
      </c>
      <c r="B2905">
        <f>VLOOKUP(M2905,Sheet9!$I$1:$J$17,2,FALSE)</f>
        <v>4</v>
      </c>
      <c r="C2905">
        <f>VLOOKUP(N2905,Sheet9!$M$1:$N$2,2,FALSE)</f>
        <v>1</v>
      </c>
      <c r="D2905">
        <v>32</v>
      </c>
      <c r="E2905" t="s">
        <v>167</v>
      </c>
      <c r="F2905">
        <v>80</v>
      </c>
      <c r="H2905">
        <v>32</v>
      </c>
      <c r="I2905">
        <v>0.6</v>
      </c>
      <c r="J2905">
        <v>19.2</v>
      </c>
      <c r="K2905">
        <v>1.21</v>
      </c>
      <c r="L2905">
        <v>2.08</v>
      </c>
      <c r="M2905" t="s">
        <v>37</v>
      </c>
      <c r="N2905" t="s">
        <v>162</v>
      </c>
    </row>
    <row r="2906" spans="1:14" x14ac:dyDescent="0.3">
      <c r="A2906" t="s">
        <v>37</v>
      </c>
      <c r="B2906">
        <f>VLOOKUP(M2906,Sheet9!$I$1:$J$17,2,FALSE)</f>
        <v>4</v>
      </c>
      <c r="C2906">
        <f>VLOOKUP(N2906,Sheet9!$M$1:$N$2,2,FALSE)</f>
        <v>1</v>
      </c>
      <c r="D2906">
        <v>32</v>
      </c>
      <c r="E2906" t="s">
        <v>167</v>
      </c>
      <c r="F2906">
        <v>80</v>
      </c>
      <c r="H2906">
        <v>32</v>
      </c>
      <c r="I2906">
        <v>0.6</v>
      </c>
      <c r="J2906">
        <v>19.2</v>
      </c>
      <c r="K2906">
        <v>1.37</v>
      </c>
      <c r="L2906">
        <v>2.37</v>
      </c>
      <c r="M2906" t="s">
        <v>37</v>
      </c>
      <c r="N2906" t="s">
        <v>162</v>
      </c>
    </row>
    <row r="2907" spans="1:14" x14ac:dyDescent="0.3">
      <c r="A2907" t="s">
        <v>37</v>
      </c>
      <c r="B2907">
        <f>VLOOKUP(M2907,Sheet9!$I$1:$J$17,2,FALSE)</f>
        <v>4</v>
      </c>
      <c r="C2907">
        <f>VLOOKUP(N2907,Sheet9!$M$1:$N$2,2,FALSE)</f>
        <v>1</v>
      </c>
      <c r="D2907">
        <v>32</v>
      </c>
      <c r="E2907" t="s">
        <v>167</v>
      </c>
      <c r="F2907">
        <v>80</v>
      </c>
      <c r="H2907">
        <v>48</v>
      </c>
      <c r="I2907">
        <v>1.2</v>
      </c>
      <c r="J2907">
        <v>57.599999999999994</v>
      </c>
      <c r="K2907">
        <v>1.24</v>
      </c>
      <c r="L2907">
        <v>2.15</v>
      </c>
      <c r="M2907" t="s">
        <v>37</v>
      </c>
      <c r="N2907" t="s">
        <v>162</v>
      </c>
    </row>
    <row r="2908" spans="1:14" x14ac:dyDescent="0.3">
      <c r="A2908" t="s">
        <v>37</v>
      </c>
      <c r="B2908">
        <f>VLOOKUP(M2908,Sheet9!$I$1:$J$17,2,FALSE)</f>
        <v>4</v>
      </c>
      <c r="C2908">
        <f>VLOOKUP(N2908,Sheet9!$M$1:$N$2,2,FALSE)</f>
        <v>1</v>
      </c>
      <c r="D2908">
        <v>32</v>
      </c>
      <c r="E2908" t="s">
        <v>167</v>
      </c>
      <c r="F2908">
        <v>80</v>
      </c>
      <c r="H2908">
        <v>64</v>
      </c>
      <c r="I2908">
        <v>1.2</v>
      </c>
      <c r="J2908">
        <v>76.8</v>
      </c>
      <c r="K2908">
        <v>1.18</v>
      </c>
      <c r="L2908">
        <v>2.04</v>
      </c>
      <c r="M2908" t="s">
        <v>37</v>
      </c>
      <c r="N2908" t="s">
        <v>162</v>
      </c>
    </row>
    <row r="2909" spans="1:14" x14ac:dyDescent="0.3">
      <c r="A2909" t="s">
        <v>37</v>
      </c>
      <c r="B2909">
        <f>VLOOKUP(M2909,Sheet9!$I$1:$J$17,2,FALSE)</f>
        <v>4</v>
      </c>
      <c r="C2909">
        <f>VLOOKUP(N2909,Sheet9!$M$1:$N$2,2,FALSE)</f>
        <v>1</v>
      </c>
      <c r="D2909">
        <v>32</v>
      </c>
      <c r="E2909" t="s">
        <v>167</v>
      </c>
      <c r="F2909">
        <v>80</v>
      </c>
      <c r="H2909">
        <v>96</v>
      </c>
      <c r="I2909">
        <v>0.6</v>
      </c>
      <c r="J2909">
        <v>57.599999999999994</v>
      </c>
      <c r="K2909">
        <v>1.1100000000000001</v>
      </c>
      <c r="L2909">
        <v>1.92</v>
      </c>
      <c r="M2909" t="s">
        <v>37</v>
      </c>
      <c r="N2909" t="s">
        <v>162</v>
      </c>
    </row>
    <row r="2910" spans="1:14" x14ac:dyDescent="0.3">
      <c r="A2910" t="s">
        <v>37</v>
      </c>
      <c r="B2910">
        <f>VLOOKUP(M2910,Sheet9!$I$1:$J$17,2,FALSE)</f>
        <v>4</v>
      </c>
      <c r="C2910">
        <f>VLOOKUP(N2910,Sheet9!$M$1:$N$2,2,FALSE)</f>
        <v>1</v>
      </c>
      <c r="D2910">
        <v>32</v>
      </c>
      <c r="E2910" t="s">
        <v>167</v>
      </c>
      <c r="F2910">
        <v>80</v>
      </c>
      <c r="H2910">
        <v>24</v>
      </c>
      <c r="I2910">
        <v>1.2</v>
      </c>
      <c r="J2910">
        <v>28.799999999999997</v>
      </c>
      <c r="K2910">
        <v>1.22</v>
      </c>
      <c r="L2910">
        <v>2.11</v>
      </c>
      <c r="M2910" t="s">
        <v>37</v>
      </c>
      <c r="N2910" t="s">
        <v>162</v>
      </c>
    </row>
    <row r="2911" spans="1:14" x14ac:dyDescent="0.3">
      <c r="A2911" t="s">
        <v>37</v>
      </c>
      <c r="B2911">
        <f>VLOOKUP(M2911,Sheet9!$I$1:$J$17,2,FALSE)</f>
        <v>4</v>
      </c>
      <c r="C2911">
        <f>VLOOKUP(N2911,Sheet9!$M$1:$N$2,2,FALSE)</f>
        <v>1</v>
      </c>
      <c r="D2911">
        <v>32</v>
      </c>
      <c r="E2911" t="s">
        <v>95</v>
      </c>
      <c r="F2911">
        <v>80</v>
      </c>
      <c r="H2911">
        <v>48</v>
      </c>
      <c r="I2911">
        <v>1.2</v>
      </c>
      <c r="J2911">
        <v>57.599999999999994</v>
      </c>
      <c r="K2911">
        <v>1.1100000000000001</v>
      </c>
      <c r="L2911">
        <v>1.92</v>
      </c>
      <c r="M2911" t="s">
        <v>37</v>
      </c>
      <c r="N2911" t="s">
        <v>162</v>
      </c>
    </row>
    <row r="2912" spans="1:14" x14ac:dyDescent="0.3">
      <c r="A2912" t="s">
        <v>37</v>
      </c>
      <c r="B2912">
        <f>VLOOKUP(M2912,Sheet9!$I$1:$J$17,2,FALSE)</f>
        <v>4</v>
      </c>
      <c r="C2912">
        <f>VLOOKUP(N2912,Sheet9!$M$1:$N$2,2,FALSE)</f>
        <v>1</v>
      </c>
      <c r="D2912">
        <v>32</v>
      </c>
      <c r="E2912" t="s">
        <v>95</v>
      </c>
      <c r="F2912">
        <v>90</v>
      </c>
      <c r="H2912">
        <v>2</v>
      </c>
      <c r="I2912">
        <v>1</v>
      </c>
      <c r="J2912">
        <v>2</v>
      </c>
      <c r="K2912">
        <v>1.62</v>
      </c>
      <c r="L2912">
        <v>2.68</v>
      </c>
      <c r="M2912" t="s">
        <v>37</v>
      </c>
      <c r="N2912" t="s">
        <v>162</v>
      </c>
    </row>
    <row r="2913" spans="1:14" x14ac:dyDescent="0.3">
      <c r="A2913" t="s">
        <v>37</v>
      </c>
      <c r="B2913">
        <f>VLOOKUP(M2913,Sheet9!$I$1:$J$17,2,FALSE)</f>
        <v>4</v>
      </c>
      <c r="C2913">
        <f>VLOOKUP(N2913,Sheet9!$M$1:$N$2,2,FALSE)</f>
        <v>1</v>
      </c>
      <c r="D2913">
        <v>32</v>
      </c>
      <c r="E2913" t="s">
        <v>95</v>
      </c>
      <c r="F2913">
        <v>90</v>
      </c>
      <c r="H2913">
        <v>6</v>
      </c>
      <c r="I2913">
        <v>0.6</v>
      </c>
      <c r="J2913">
        <v>3.6</v>
      </c>
      <c r="K2913">
        <v>2.69</v>
      </c>
      <c r="L2913">
        <v>4.46</v>
      </c>
      <c r="M2913" t="s">
        <v>37</v>
      </c>
      <c r="N2913" t="s">
        <v>162</v>
      </c>
    </row>
    <row r="2914" spans="1:14" x14ac:dyDescent="0.3">
      <c r="A2914" t="s">
        <v>37</v>
      </c>
      <c r="B2914">
        <f>VLOOKUP(M2914,Sheet9!$I$1:$J$17,2,FALSE)</f>
        <v>4</v>
      </c>
      <c r="C2914">
        <f>VLOOKUP(N2914,Sheet9!$M$1:$N$2,2,FALSE)</f>
        <v>1</v>
      </c>
      <c r="D2914">
        <v>32</v>
      </c>
      <c r="E2914" t="s">
        <v>95</v>
      </c>
      <c r="F2914">
        <v>90</v>
      </c>
      <c r="H2914">
        <v>1</v>
      </c>
      <c r="I2914">
        <v>5</v>
      </c>
      <c r="J2914">
        <v>5</v>
      </c>
      <c r="K2914">
        <v>1.56</v>
      </c>
      <c r="L2914">
        <v>2.59</v>
      </c>
      <c r="M2914" t="s">
        <v>37</v>
      </c>
      <c r="N2914" t="s">
        <v>162</v>
      </c>
    </row>
    <row r="2915" spans="1:14" x14ac:dyDescent="0.3">
      <c r="A2915" t="s">
        <v>37</v>
      </c>
      <c r="B2915">
        <f>VLOOKUP(M2915,Sheet9!$I$1:$J$17,2,FALSE)</f>
        <v>4</v>
      </c>
      <c r="C2915">
        <f>VLOOKUP(N2915,Sheet9!$M$1:$N$2,2,FALSE)</f>
        <v>1</v>
      </c>
      <c r="D2915">
        <v>32</v>
      </c>
      <c r="E2915" t="s">
        <v>95</v>
      </c>
      <c r="F2915">
        <v>90</v>
      </c>
      <c r="H2915">
        <v>1</v>
      </c>
      <c r="I2915">
        <v>10</v>
      </c>
      <c r="J2915">
        <v>10</v>
      </c>
      <c r="K2915">
        <v>1.56</v>
      </c>
      <c r="L2915">
        <v>2.59</v>
      </c>
      <c r="M2915" t="s">
        <v>37</v>
      </c>
      <c r="N2915" t="s">
        <v>162</v>
      </c>
    </row>
    <row r="2916" spans="1:14" x14ac:dyDescent="0.3">
      <c r="A2916" t="s">
        <v>37</v>
      </c>
      <c r="B2916">
        <f>VLOOKUP(M2916,Sheet9!$I$1:$J$17,2,FALSE)</f>
        <v>4</v>
      </c>
      <c r="C2916">
        <f>VLOOKUP(N2916,Sheet9!$M$1:$N$2,2,FALSE)</f>
        <v>1</v>
      </c>
      <c r="D2916">
        <v>32</v>
      </c>
      <c r="E2916" t="s">
        <v>95</v>
      </c>
      <c r="F2916">
        <v>90</v>
      </c>
      <c r="H2916">
        <v>12</v>
      </c>
      <c r="I2916">
        <v>1.2</v>
      </c>
      <c r="J2916">
        <v>14.4</v>
      </c>
      <c r="K2916">
        <v>2.23</v>
      </c>
      <c r="L2916">
        <v>3.69</v>
      </c>
      <c r="M2916" t="s">
        <v>37</v>
      </c>
      <c r="N2916" t="s">
        <v>162</v>
      </c>
    </row>
    <row r="2917" spans="1:14" x14ac:dyDescent="0.3">
      <c r="A2917" t="s">
        <v>37</v>
      </c>
      <c r="B2917">
        <f>VLOOKUP(M2917,Sheet9!$I$1:$J$17,2,FALSE)</f>
        <v>4</v>
      </c>
      <c r="C2917">
        <f>VLOOKUP(N2917,Sheet9!$M$1:$N$2,2,FALSE)</f>
        <v>1</v>
      </c>
      <c r="D2917">
        <v>32</v>
      </c>
      <c r="E2917" t="s">
        <v>95</v>
      </c>
      <c r="F2917">
        <v>90</v>
      </c>
      <c r="H2917">
        <v>32</v>
      </c>
      <c r="I2917">
        <v>0.6</v>
      </c>
      <c r="J2917">
        <v>19.2</v>
      </c>
      <c r="K2917">
        <v>1.76</v>
      </c>
      <c r="L2917">
        <v>2.92</v>
      </c>
      <c r="M2917" t="s">
        <v>37</v>
      </c>
      <c r="N2917" t="s">
        <v>162</v>
      </c>
    </row>
    <row r="2918" spans="1:14" x14ac:dyDescent="0.3">
      <c r="A2918" t="s">
        <v>37</v>
      </c>
      <c r="B2918">
        <f>VLOOKUP(M2918,Sheet9!$I$1:$J$17,2,FALSE)</f>
        <v>4</v>
      </c>
      <c r="C2918">
        <f>VLOOKUP(N2918,Sheet9!$M$1:$N$2,2,FALSE)</f>
        <v>1</v>
      </c>
      <c r="D2918">
        <v>32</v>
      </c>
      <c r="E2918" t="s">
        <v>167</v>
      </c>
      <c r="F2918">
        <v>90</v>
      </c>
      <c r="H2918">
        <v>32</v>
      </c>
      <c r="I2918">
        <v>0.6</v>
      </c>
      <c r="J2918">
        <v>19.2</v>
      </c>
      <c r="K2918">
        <v>1.89</v>
      </c>
      <c r="L2918">
        <v>3.13</v>
      </c>
      <c r="M2918" t="s">
        <v>37</v>
      </c>
      <c r="N2918" t="s">
        <v>162</v>
      </c>
    </row>
    <row r="2919" spans="1:14" x14ac:dyDescent="0.3">
      <c r="A2919" t="s">
        <v>37</v>
      </c>
      <c r="B2919">
        <f>VLOOKUP(M2919,Sheet9!$I$1:$J$17,2,FALSE)</f>
        <v>4</v>
      </c>
      <c r="C2919">
        <f>VLOOKUP(N2919,Sheet9!$M$1:$N$2,2,FALSE)</f>
        <v>1</v>
      </c>
      <c r="D2919">
        <v>32</v>
      </c>
      <c r="E2919" t="s">
        <v>167</v>
      </c>
      <c r="F2919">
        <v>90</v>
      </c>
      <c r="H2919">
        <v>32</v>
      </c>
      <c r="I2919">
        <v>0.6</v>
      </c>
      <c r="J2919">
        <v>19.2</v>
      </c>
      <c r="K2919">
        <v>2.15</v>
      </c>
      <c r="L2919">
        <v>3.56</v>
      </c>
      <c r="M2919" t="s">
        <v>37</v>
      </c>
      <c r="N2919" t="s">
        <v>162</v>
      </c>
    </row>
    <row r="2920" spans="1:14" x14ac:dyDescent="0.3">
      <c r="A2920" t="s">
        <v>37</v>
      </c>
      <c r="B2920">
        <f>VLOOKUP(M2920,Sheet9!$I$1:$J$17,2,FALSE)</f>
        <v>4</v>
      </c>
      <c r="C2920">
        <f>VLOOKUP(N2920,Sheet9!$M$1:$N$2,2,FALSE)</f>
        <v>1</v>
      </c>
      <c r="D2920">
        <v>32</v>
      </c>
      <c r="E2920" t="s">
        <v>167</v>
      </c>
      <c r="F2920">
        <v>90</v>
      </c>
      <c r="H2920">
        <v>48</v>
      </c>
      <c r="I2920">
        <v>1.2</v>
      </c>
      <c r="J2920">
        <v>57.599999999999994</v>
      </c>
      <c r="K2920">
        <v>1.95</v>
      </c>
      <c r="L2920">
        <v>3.23</v>
      </c>
      <c r="M2920" t="s">
        <v>37</v>
      </c>
      <c r="N2920" t="s">
        <v>162</v>
      </c>
    </row>
    <row r="2921" spans="1:14" x14ac:dyDescent="0.3">
      <c r="A2921" t="s">
        <v>37</v>
      </c>
      <c r="B2921">
        <f>VLOOKUP(M2921,Sheet9!$I$1:$J$17,2,FALSE)</f>
        <v>4</v>
      </c>
      <c r="C2921">
        <f>VLOOKUP(N2921,Sheet9!$M$1:$N$2,2,FALSE)</f>
        <v>1</v>
      </c>
      <c r="D2921">
        <v>32</v>
      </c>
      <c r="E2921" t="s">
        <v>167</v>
      </c>
      <c r="F2921">
        <v>90</v>
      </c>
      <c r="H2921">
        <v>64</v>
      </c>
      <c r="I2921">
        <v>1.2</v>
      </c>
      <c r="J2921">
        <v>76.8</v>
      </c>
      <c r="K2921">
        <v>1.85</v>
      </c>
      <c r="L2921">
        <v>3.07</v>
      </c>
      <c r="M2921" t="s">
        <v>37</v>
      </c>
      <c r="N2921" t="s">
        <v>162</v>
      </c>
    </row>
    <row r="2922" spans="1:14" x14ac:dyDescent="0.3">
      <c r="A2922" t="s">
        <v>37</v>
      </c>
      <c r="B2922">
        <f>VLOOKUP(M2922,Sheet9!$I$1:$J$17,2,FALSE)</f>
        <v>4</v>
      </c>
      <c r="C2922">
        <f>VLOOKUP(N2922,Sheet9!$M$1:$N$2,2,FALSE)</f>
        <v>1</v>
      </c>
      <c r="D2922">
        <v>32</v>
      </c>
      <c r="E2922" t="s">
        <v>167</v>
      </c>
      <c r="F2922">
        <v>90</v>
      </c>
      <c r="H2922">
        <v>96</v>
      </c>
      <c r="I2922">
        <v>0.6</v>
      </c>
      <c r="J2922">
        <v>57.599999999999994</v>
      </c>
      <c r="K2922">
        <v>1.7</v>
      </c>
      <c r="L2922">
        <v>2.89</v>
      </c>
      <c r="M2922" t="s">
        <v>37</v>
      </c>
      <c r="N2922" t="s">
        <v>162</v>
      </c>
    </row>
    <row r="2923" spans="1:14" x14ac:dyDescent="0.3">
      <c r="A2923" t="s">
        <v>37</v>
      </c>
      <c r="B2923">
        <f>VLOOKUP(M2923,Sheet9!$I$1:$J$17,2,FALSE)</f>
        <v>4</v>
      </c>
      <c r="C2923">
        <f>VLOOKUP(N2923,Sheet9!$M$1:$N$2,2,FALSE)</f>
        <v>1</v>
      </c>
      <c r="D2923">
        <v>32</v>
      </c>
      <c r="E2923" t="s">
        <v>167</v>
      </c>
      <c r="F2923">
        <v>90</v>
      </c>
      <c r="H2923">
        <v>24</v>
      </c>
      <c r="I2923">
        <v>1.2</v>
      </c>
      <c r="J2923">
        <v>28.799999999999997</v>
      </c>
      <c r="K2923">
        <v>1.92</v>
      </c>
      <c r="L2923">
        <v>3.18</v>
      </c>
      <c r="M2923" t="s">
        <v>37</v>
      </c>
      <c r="N2923" t="s">
        <v>162</v>
      </c>
    </row>
    <row r="2924" spans="1:14" x14ac:dyDescent="0.3">
      <c r="A2924" t="s">
        <v>37</v>
      </c>
      <c r="B2924">
        <f>VLOOKUP(M2924,Sheet9!$I$1:$J$17,2,FALSE)</f>
        <v>4</v>
      </c>
      <c r="C2924">
        <f>VLOOKUP(N2924,Sheet9!$M$1:$N$2,2,FALSE)</f>
        <v>1</v>
      </c>
      <c r="D2924">
        <v>32</v>
      </c>
      <c r="E2924" t="s">
        <v>95</v>
      </c>
      <c r="F2924">
        <v>90</v>
      </c>
      <c r="H2924">
        <v>48</v>
      </c>
      <c r="I2924">
        <v>1.2</v>
      </c>
      <c r="J2924">
        <v>57.599999999999994</v>
      </c>
      <c r="K2924">
        <v>1.74</v>
      </c>
      <c r="L2924">
        <v>2.89</v>
      </c>
      <c r="M2924" t="s">
        <v>37</v>
      </c>
      <c r="N2924" t="s">
        <v>162</v>
      </c>
    </row>
    <row r="2925" spans="1:14" x14ac:dyDescent="0.3">
      <c r="A2925" t="s">
        <v>37</v>
      </c>
      <c r="B2925">
        <f>VLOOKUP(M2925,Sheet9!$I$1:$J$17,2,FALSE)</f>
        <v>4</v>
      </c>
      <c r="C2925">
        <f>VLOOKUP(N2925,Sheet9!$M$1:$N$2,2,FALSE)</f>
        <v>1</v>
      </c>
      <c r="D2925">
        <v>32</v>
      </c>
      <c r="E2925" t="s">
        <v>95</v>
      </c>
      <c r="F2925">
        <v>100</v>
      </c>
      <c r="H2925">
        <v>2</v>
      </c>
      <c r="I2925">
        <v>1</v>
      </c>
      <c r="J2925">
        <v>2</v>
      </c>
      <c r="K2925">
        <v>2.3199999999999998</v>
      </c>
      <c r="L2925">
        <v>3.72</v>
      </c>
      <c r="M2925" t="s">
        <v>37</v>
      </c>
      <c r="N2925" t="s">
        <v>162</v>
      </c>
    </row>
    <row r="2926" spans="1:14" x14ac:dyDescent="0.3">
      <c r="A2926" t="s">
        <v>37</v>
      </c>
      <c r="B2926">
        <f>VLOOKUP(M2926,Sheet9!$I$1:$J$17,2,FALSE)</f>
        <v>4</v>
      </c>
      <c r="C2926">
        <f>VLOOKUP(N2926,Sheet9!$M$1:$N$2,2,FALSE)</f>
        <v>1</v>
      </c>
      <c r="D2926">
        <v>32</v>
      </c>
      <c r="E2926" t="s">
        <v>95</v>
      </c>
      <c r="F2926">
        <v>100</v>
      </c>
      <c r="H2926">
        <v>6</v>
      </c>
      <c r="I2926">
        <v>0.6</v>
      </c>
      <c r="J2926">
        <v>3.6</v>
      </c>
      <c r="K2926">
        <v>3.86</v>
      </c>
      <c r="L2926">
        <v>6.2</v>
      </c>
      <c r="M2926" t="s">
        <v>37</v>
      </c>
      <c r="N2926" t="s">
        <v>162</v>
      </c>
    </row>
    <row r="2927" spans="1:14" x14ac:dyDescent="0.3">
      <c r="A2927" t="s">
        <v>37</v>
      </c>
      <c r="B2927">
        <f>VLOOKUP(M2927,Sheet9!$I$1:$J$17,2,FALSE)</f>
        <v>4</v>
      </c>
      <c r="C2927">
        <f>VLOOKUP(N2927,Sheet9!$M$1:$N$2,2,FALSE)</f>
        <v>1</v>
      </c>
      <c r="D2927">
        <v>32</v>
      </c>
      <c r="E2927" t="s">
        <v>95</v>
      </c>
      <c r="F2927">
        <v>100</v>
      </c>
      <c r="H2927">
        <v>1</v>
      </c>
      <c r="I2927">
        <v>5</v>
      </c>
      <c r="J2927">
        <v>5</v>
      </c>
      <c r="K2927">
        <v>2.2400000000000002</v>
      </c>
      <c r="L2927">
        <v>3.59</v>
      </c>
      <c r="M2927" t="s">
        <v>37</v>
      </c>
      <c r="N2927" t="s">
        <v>162</v>
      </c>
    </row>
    <row r="2928" spans="1:14" x14ac:dyDescent="0.3">
      <c r="A2928" t="s">
        <v>37</v>
      </c>
      <c r="B2928">
        <f>VLOOKUP(M2928,Sheet9!$I$1:$J$17,2,FALSE)</f>
        <v>4</v>
      </c>
      <c r="C2928">
        <f>VLOOKUP(N2928,Sheet9!$M$1:$N$2,2,FALSE)</f>
        <v>1</v>
      </c>
      <c r="D2928">
        <v>32</v>
      </c>
      <c r="E2928" t="s">
        <v>95</v>
      </c>
      <c r="F2928">
        <v>100</v>
      </c>
      <c r="H2928">
        <v>1</v>
      </c>
      <c r="I2928">
        <v>10</v>
      </c>
      <c r="J2928">
        <v>10</v>
      </c>
      <c r="K2928">
        <v>2.2400000000000002</v>
      </c>
      <c r="L2928">
        <v>3.59</v>
      </c>
      <c r="M2928" t="s">
        <v>37</v>
      </c>
      <c r="N2928" t="s">
        <v>162</v>
      </c>
    </row>
    <row r="2929" spans="1:14" x14ac:dyDescent="0.3">
      <c r="A2929" t="s">
        <v>37</v>
      </c>
      <c r="B2929">
        <f>VLOOKUP(M2929,Sheet9!$I$1:$J$17,2,FALSE)</f>
        <v>4</v>
      </c>
      <c r="C2929">
        <f>VLOOKUP(N2929,Sheet9!$M$1:$N$2,2,FALSE)</f>
        <v>1</v>
      </c>
      <c r="D2929">
        <v>32</v>
      </c>
      <c r="E2929" t="s">
        <v>95</v>
      </c>
      <c r="F2929">
        <v>100</v>
      </c>
      <c r="H2929">
        <v>12</v>
      </c>
      <c r="I2929">
        <v>1.2</v>
      </c>
      <c r="J2929">
        <v>14.4</v>
      </c>
      <c r="K2929">
        <v>3.19</v>
      </c>
      <c r="L2929">
        <v>5.13</v>
      </c>
      <c r="M2929" t="s">
        <v>37</v>
      </c>
      <c r="N2929" t="s">
        <v>162</v>
      </c>
    </row>
    <row r="2930" spans="1:14" x14ac:dyDescent="0.3">
      <c r="A2930" t="s">
        <v>37</v>
      </c>
      <c r="B2930">
        <f>VLOOKUP(M2930,Sheet9!$I$1:$J$17,2,FALSE)</f>
        <v>4</v>
      </c>
      <c r="C2930">
        <f>VLOOKUP(N2930,Sheet9!$M$1:$N$2,2,FALSE)</f>
        <v>1</v>
      </c>
      <c r="D2930">
        <v>32</v>
      </c>
      <c r="E2930" t="s">
        <v>95</v>
      </c>
      <c r="F2930">
        <v>100</v>
      </c>
      <c r="H2930">
        <v>32</v>
      </c>
      <c r="I2930">
        <v>0.6</v>
      </c>
      <c r="J2930">
        <v>19.2</v>
      </c>
      <c r="K2930">
        <v>2.52</v>
      </c>
      <c r="L2930">
        <v>4.05</v>
      </c>
      <c r="M2930" t="s">
        <v>37</v>
      </c>
      <c r="N2930" t="s">
        <v>162</v>
      </c>
    </row>
    <row r="2931" spans="1:14" x14ac:dyDescent="0.3">
      <c r="A2931" t="s">
        <v>37</v>
      </c>
      <c r="B2931">
        <f>VLOOKUP(M2931,Sheet9!$I$1:$J$17,2,FALSE)</f>
        <v>4</v>
      </c>
      <c r="C2931">
        <f>VLOOKUP(N2931,Sheet9!$M$1:$N$2,2,FALSE)</f>
        <v>1</v>
      </c>
      <c r="D2931">
        <v>32</v>
      </c>
      <c r="E2931" t="s">
        <v>167</v>
      </c>
      <c r="F2931">
        <v>100</v>
      </c>
      <c r="H2931">
        <v>32</v>
      </c>
      <c r="I2931">
        <v>0.6</v>
      </c>
      <c r="J2931">
        <v>19.2</v>
      </c>
      <c r="K2931">
        <v>2.71</v>
      </c>
      <c r="L2931">
        <v>4.3499999999999996</v>
      </c>
      <c r="M2931" t="s">
        <v>37</v>
      </c>
      <c r="N2931" t="s">
        <v>162</v>
      </c>
    </row>
    <row r="2932" spans="1:14" x14ac:dyDescent="0.3">
      <c r="A2932" t="s">
        <v>37</v>
      </c>
      <c r="B2932">
        <f>VLOOKUP(M2932,Sheet9!$I$1:$J$17,2,FALSE)</f>
        <v>4</v>
      </c>
      <c r="C2932">
        <f>VLOOKUP(N2932,Sheet9!$M$1:$N$2,2,FALSE)</f>
        <v>1</v>
      </c>
      <c r="D2932">
        <v>32</v>
      </c>
      <c r="E2932" t="s">
        <v>167</v>
      </c>
      <c r="F2932">
        <v>100</v>
      </c>
      <c r="H2932">
        <v>32</v>
      </c>
      <c r="I2932">
        <v>0.6</v>
      </c>
      <c r="J2932">
        <v>19.2</v>
      </c>
      <c r="K2932">
        <v>3.08</v>
      </c>
      <c r="L2932">
        <v>4.95</v>
      </c>
      <c r="M2932" t="s">
        <v>37</v>
      </c>
      <c r="N2932" t="s">
        <v>162</v>
      </c>
    </row>
    <row r="2933" spans="1:14" x14ac:dyDescent="0.3">
      <c r="A2933" t="s">
        <v>37</v>
      </c>
      <c r="B2933">
        <f>VLOOKUP(M2933,Sheet9!$I$1:$J$17,2,FALSE)</f>
        <v>4</v>
      </c>
      <c r="C2933">
        <f>VLOOKUP(N2933,Sheet9!$M$1:$N$2,2,FALSE)</f>
        <v>1</v>
      </c>
      <c r="D2933">
        <v>32</v>
      </c>
      <c r="E2933" t="s">
        <v>167</v>
      </c>
      <c r="F2933">
        <v>100</v>
      </c>
      <c r="H2933">
        <v>48</v>
      </c>
      <c r="I2933">
        <v>1.2</v>
      </c>
      <c r="J2933">
        <v>57.599999999999994</v>
      </c>
      <c r="K2933">
        <v>2.8</v>
      </c>
      <c r="L2933">
        <v>4.49</v>
      </c>
      <c r="M2933" t="s">
        <v>37</v>
      </c>
      <c r="N2933" t="s">
        <v>162</v>
      </c>
    </row>
    <row r="2934" spans="1:14" x14ac:dyDescent="0.3">
      <c r="A2934" t="s">
        <v>37</v>
      </c>
      <c r="B2934">
        <f>VLOOKUP(M2934,Sheet9!$I$1:$J$17,2,FALSE)</f>
        <v>4</v>
      </c>
      <c r="C2934">
        <f>VLOOKUP(N2934,Sheet9!$M$1:$N$2,2,FALSE)</f>
        <v>1</v>
      </c>
      <c r="D2934">
        <v>32</v>
      </c>
      <c r="E2934" t="s">
        <v>167</v>
      </c>
      <c r="F2934">
        <v>100</v>
      </c>
      <c r="H2934">
        <v>64</v>
      </c>
      <c r="I2934">
        <v>1.2</v>
      </c>
      <c r="J2934">
        <v>76.8</v>
      </c>
      <c r="K2934">
        <v>2.65</v>
      </c>
      <c r="L2934">
        <v>4.26</v>
      </c>
      <c r="M2934" t="s">
        <v>37</v>
      </c>
      <c r="N2934" t="s">
        <v>162</v>
      </c>
    </row>
    <row r="2935" spans="1:14" x14ac:dyDescent="0.3">
      <c r="A2935" t="s">
        <v>37</v>
      </c>
      <c r="B2935">
        <f>VLOOKUP(M2935,Sheet9!$I$1:$J$17,2,FALSE)</f>
        <v>4</v>
      </c>
      <c r="C2935">
        <f>VLOOKUP(N2935,Sheet9!$M$1:$N$2,2,FALSE)</f>
        <v>1</v>
      </c>
      <c r="D2935">
        <v>32</v>
      </c>
      <c r="E2935" t="s">
        <v>167</v>
      </c>
      <c r="F2935">
        <v>100</v>
      </c>
      <c r="H2935">
        <v>96</v>
      </c>
      <c r="I2935">
        <v>0.6</v>
      </c>
      <c r="J2935">
        <v>57.599999999999994</v>
      </c>
      <c r="K2935">
        <v>2.5</v>
      </c>
      <c r="L2935">
        <v>4.01</v>
      </c>
      <c r="M2935" t="s">
        <v>37</v>
      </c>
      <c r="N2935" t="s">
        <v>162</v>
      </c>
    </row>
    <row r="2936" spans="1:14" x14ac:dyDescent="0.3">
      <c r="A2936" t="s">
        <v>37</v>
      </c>
      <c r="B2936">
        <f>VLOOKUP(M2936,Sheet9!$I$1:$J$17,2,FALSE)</f>
        <v>4</v>
      </c>
      <c r="C2936">
        <f>VLOOKUP(N2936,Sheet9!$M$1:$N$2,2,FALSE)</f>
        <v>1</v>
      </c>
      <c r="D2936">
        <v>32</v>
      </c>
      <c r="E2936" t="s">
        <v>167</v>
      </c>
      <c r="F2936">
        <v>100</v>
      </c>
      <c r="H2936">
        <v>24</v>
      </c>
      <c r="I2936">
        <v>1.2</v>
      </c>
      <c r="J2936">
        <v>28.799999999999997</v>
      </c>
      <c r="K2936">
        <v>2.75</v>
      </c>
      <c r="L2936">
        <v>4.41</v>
      </c>
      <c r="M2936" t="s">
        <v>37</v>
      </c>
      <c r="N2936" t="s">
        <v>162</v>
      </c>
    </row>
    <row r="2937" spans="1:14" x14ac:dyDescent="0.3">
      <c r="A2937" t="s">
        <v>37</v>
      </c>
      <c r="B2937">
        <f>VLOOKUP(M2937,Sheet9!$I$1:$J$17,2,FALSE)</f>
        <v>4</v>
      </c>
      <c r="C2937">
        <f>VLOOKUP(N2937,Sheet9!$M$1:$N$2,2,FALSE)</f>
        <v>1</v>
      </c>
      <c r="D2937">
        <v>32</v>
      </c>
      <c r="E2937" t="s">
        <v>95</v>
      </c>
      <c r="F2937">
        <v>100</v>
      </c>
      <c r="H2937">
        <v>48</v>
      </c>
      <c r="I2937">
        <v>1.2</v>
      </c>
      <c r="J2937">
        <v>57.599999999999994</v>
      </c>
      <c r="K2937">
        <v>2.5</v>
      </c>
      <c r="L2937">
        <v>4.01</v>
      </c>
      <c r="M2937" t="s">
        <v>37</v>
      </c>
      <c r="N2937" t="s">
        <v>162</v>
      </c>
    </row>
    <row r="2938" spans="1:14" x14ac:dyDescent="0.3">
      <c r="A2938" t="s">
        <v>37</v>
      </c>
      <c r="B2938">
        <f>VLOOKUP(M2938,Sheet9!$I$1:$J$17,2,FALSE)</f>
        <v>4</v>
      </c>
      <c r="C2938">
        <f>VLOOKUP(N2938,Sheet9!$M$1:$N$2,2,FALSE)</f>
        <v>1</v>
      </c>
      <c r="D2938">
        <v>32</v>
      </c>
      <c r="E2938" t="s">
        <v>95</v>
      </c>
      <c r="F2938">
        <v>110</v>
      </c>
      <c r="H2938">
        <v>2</v>
      </c>
      <c r="I2938">
        <v>1</v>
      </c>
      <c r="J2938">
        <v>2</v>
      </c>
      <c r="K2938">
        <v>3.11</v>
      </c>
      <c r="L2938">
        <v>4.84</v>
      </c>
      <c r="M2938" t="s">
        <v>37</v>
      </c>
      <c r="N2938" t="s">
        <v>162</v>
      </c>
    </row>
    <row r="2939" spans="1:14" x14ac:dyDescent="0.3">
      <c r="A2939" t="s">
        <v>37</v>
      </c>
      <c r="B2939">
        <f>VLOOKUP(M2939,Sheet9!$I$1:$J$17,2,FALSE)</f>
        <v>4</v>
      </c>
      <c r="C2939">
        <f>VLOOKUP(N2939,Sheet9!$M$1:$N$2,2,FALSE)</f>
        <v>1</v>
      </c>
      <c r="D2939">
        <v>32</v>
      </c>
      <c r="E2939" t="s">
        <v>95</v>
      </c>
      <c r="F2939">
        <v>110</v>
      </c>
      <c r="H2939">
        <v>6</v>
      </c>
      <c r="I2939">
        <v>0.6</v>
      </c>
      <c r="J2939">
        <v>3.6</v>
      </c>
      <c r="K2939">
        <v>5.19</v>
      </c>
      <c r="L2939">
        <v>8.07</v>
      </c>
      <c r="M2939" t="s">
        <v>37</v>
      </c>
      <c r="N2939" t="s">
        <v>162</v>
      </c>
    </row>
    <row r="2940" spans="1:14" x14ac:dyDescent="0.3">
      <c r="A2940" t="s">
        <v>37</v>
      </c>
      <c r="B2940">
        <f>VLOOKUP(M2940,Sheet9!$I$1:$J$17,2,FALSE)</f>
        <v>4</v>
      </c>
      <c r="C2940">
        <f>VLOOKUP(N2940,Sheet9!$M$1:$N$2,2,FALSE)</f>
        <v>1</v>
      </c>
      <c r="D2940">
        <v>32</v>
      </c>
      <c r="E2940" t="s">
        <v>95</v>
      </c>
      <c r="F2940">
        <v>110</v>
      </c>
      <c r="H2940">
        <v>1</v>
      </c>
      <c r="I2940">
        <v>5</v>
      </c>
      <c r="J2940">
        <v>5</v>
      </c>
      <c r="K2940">
        <v>3.01</v>
      </c>
      <c r="L2940">
        <v>4.68</v>
      </c>
      <c r="M2940" t="s">
        <v>37</v>
      </c>
      <c r="N2940" t="s">
        <v>162</v>
      </c>
    </row>
    <row r="2941" spans="1:14" x14ac:dyDescent="0.3">
      <c r="A2941" t="s">
        <v>37</v>
      </c>
      <c r="B2941">
        <f>VLOOKUP(M2941,Sheet9!$I$1:$J$17,2,FALSE)</f>
        <v>4</v>
      </c>
      <c r="C2941">
        <f>VLOOKUP(N2941,Sheet9!$M$1:$N$2,2,FALSE)</f>
        <v>1</v>
      </c>
      <c r="D2941">
        <v>32</v>
      </c>
      <c r="E2941" t="s">
        <v>95</v>
      </c>
      <c r="F2941">
        <v>110</v>
      </c>
      <c r="H2941">
        <v>1</v>
      </c>
      <c r="I2941">
        <v>10</v>
      </c>
      <c r="J2941">
        <v>10</v>
      </c>
      <c r="K2941">
        <v>3.01</v>
      </c>
      <c r="L2941">
        <v>4.68</v>
      </c>
      <c r="M2941" t="s">
        <v>37</v>
      </c>
      <c r="N2941" t="s">
        <v>162</v>
      </c>
    </row>
    <row r="2942" spans="1:14" x14ac:dyDescent="0.3">
      <c r="A2942" t="s">
        <v>37</v>
      </c>
      <c r="B2942">
        <f>VLOOKUP(M2942,Sheet9!$I$1:$J$17,2,FALSE)</f>
        <v>4</v>
      </c>
      <c r="C2942">
        <f>VLOOKUP(N2942,Sheet9!$M$1:$N$2,2,FALSE)</f>
        <v>1</v>
      </c>
      <c r="D2942">
        <v>32</v>
      </c>
      <c r="E2942" t="s">
        <v>95</v>
      </c>
      <c r="F2942">
        <v>110</v>
      </c>
      <c r="H2942">
        <v>12</v>
      </c>
      <c r="I2942">
        <v>1.2</v>
      </c>
      <c r="J2942">
        <v>14.4</v>
      </c>
      <c r="K2942">
        <v>4.29</v>
      </c>
      <c r="L2942">
        <v>6.67</v>
      </c>
      <c r="M2942" t="s">
        <v>37</v>
      </c>
      <c r="N2942" t="s">
        <v>162</v>
      </c>
    </row>
    <row r="2943" spans="1:14" x14ac:dyDescent="0.3">
      <c r="A2943" t="s">
        <v>37</v>
      </c>
      <c r="B2943">
        <f>VLOOKUP(M2943,Sheet9!$I$1:$J$17,2,FALSE)</f>
        <v>4</v>
      </c>
      <c r="C2943">
        <f>VLOOKUP(N2943,Sheet9!$M$1:$N$2,2,FALSE)</f>
        <v>1</v>
      </c>
      <c r="D2943">
        <v>32</v>
      </c>
      <c r="E2943" t="s">
        <v>95</v>
      </c>
      <c r="F2943">
        <v>110</v>
      </c>
      <c r="H2943">
        <v>32</v>
      </c>
      <c r="I2943">
        <v>0.6</v>
      </c>
      <c r="J2943">
        <v>19.2</v>
      </c>
      <c r="K2943">
        <v>3.39</v>
      </c>
      <c r="L2943">
        <v>5.28</v>
      </c>
      <c r="M2943" t="s">
        <v>37</v>
      </c>
      <c r="N2943" t="s">
        <v>162</v>
      </c>
    </row>
    <row r="2944" spans="1:14" x14ac:dyDescent="0.3">
      <c r="A2944" t="s">
        <v>37</v>
      </c>
      <c r="B2944">
        <f>VLOOKUP(M2944,Sheet9!$I$1:$J$17,2,FALSE)</f>
        <v>4</v>
      </c>
      <c r="C2944">
        <f>VLOOKUP(N2944,Sheet9!$M$1:$N$2,2,FALSE)</f>
        <v>1</v>
      </c>
      <c r="D2944">
        <v>32</v>
      </c>
      <c r="E2944" t="s">
        <v>167</v>
      </c>
      <c r="F2944">
        <v>110</v>
      </c>
      <c r="H2944">
        <v>32</v>
      </c>
      <c r="I2944">
        <v>0.6</v>
      </c>
      <c r="J2944">
        <v>19.2</v>
      </c>
      <c r="K2944">
        <v>3.64</v>
      </c>
      <c r="L2944">
        <v>5.66</v>
      </c>
      <c r="M2944" t="s">
        <v>37</v>
      </c>
      <c r="N2944" t="s">
        <v>162</v>
      </c>
    </row>
    <row r="2945" spans="1:14" x14ac:dyDescent="0.3">
      <c r="A2945" t="s">
        <v>37</v>
      </c>
      <c r="B2945">
        <f>VLOOKUP(M2945,Sheet9!$I$1:$J$17,2,FALSE)</f>
        <v>4</v>
      </c>
      <c r="C2945">
        <f>VLOOKUP(N2945,Sheet9!$M$1:$N$2,2,FALSE)</f>
        <v>1</v>
      </c>
      <c r="D2945">
        <v>32</v>
      </c>
      <c r="E2945" t="s">
        <v>167</v>
      </c>
      <c r="F2945">
        <v>110</v>
      </c>
      <c r="H2945">
        <v>32</v>
      </c>
      <c r="I2945">
        <v>0.6</v>
      </c>
      <c r="J2945">
        <v>19.2</v>
      </c>
      <c r="K2945">
        <v>4.1399999999999997</v>
      </c>
      <c r="L2945">
        <v>6.44</v>
      </c>
      <c r="M2945" t="s">
        <v>37</v>
      </c>
      <c r="N2945" t="s">
        <v>162</v>
      </c>
    </row>
    <row r="2946" spans="1:14" x14ac:dyDescent="0.3">
      <c r="A2946" t="s">
        <v>37</v>
      </c>
      <c r="B2946">
        <f>VLOOKUP(M2946,Sheet9!$I$1:$J$17,2,FALSE)</f>
        <v>4</v>
      </c>
      <c r="C2946">
        <f>VLOOKUP(N2946,Sheet9!$M$1:$N$2,2,FALSE)</f>
        <v>1</v>
      </c>
      <c r="D2946">
        <v>32</v>
      </c>
      <c r="E2946" t="s">
        <v>167</v>
      </c>
      <c r="F2946">
        <v>110</v>
      </c>
      <c r="H2946">
        <v>48</v>
      </c>
      <c r="I2946">
        <v>1.2</v>
      </c>
      <c r="J2946">
        <v>57.599999999999994</v>
      </c>
      <c r="K2946">
        <v>3.76</v>
      </c>
      <c r="L2946">
        <v>5.85</v>
      </c>
      <c r="M2946" t="s">
        <v>37</v>
      </c>
      <c r="N2946" t="s">
        <v>162</v>
      </c>
    </row>
    <row r="2947" spans="1:14" x14ac:dyDescent="0.3">
      <c r="A2947" t="s">
        <v>37</v>
      </c>
      <c r="B2947">
        <f>VLOOKUP(M2947,Sheet9!$I$1:$J$17,2,FALSE)</f>
        <v>4</v>
      </c>
      <c r="C2947">
        <f>VLOOKUP(N2947,Sheet9!$M$1:$N$2,2,FALSE)</f>
        <v>1</v>
      </c>
      <c r="D2947">
        <v>32</v>
      </c>
      <c r="E2947" t="s">
        <v>167</v>
      </c>
      <c r="F2947">
        <v>110</v>
      </c>
      <c r="H2947">
        <v>64</v>
      </c>
      <c r="I2947">
        <v>1.2</v>
      </c>
      <c r="J2947">
        <v>76.8</v>
      </c>
      <c r="K2947">
        <v>3.57</v>
      </c>
      <c r="L2947">
        <v>5.55</v>
      </c>
      <c r="M2947" t="s">
        <v>37</v>
      </c>
      <c r="N2947" t="s">
        <v>162</v>
      </c>
    </row>
    <row r="2948" spans="1:14" x14ac:dyDescent="0.3">
      <c r="A2948" t="s">
        <v>37</v>
      </c>
      <c r="B2948">
        <f>VLOOKUP(M2948,Sheet9!$I$1:$J$17,2,FALSE)</f>
        <v>4</v>
      </c>
      <c r="C2948">
        <f>VLOOKUP(N2948,Sheet9!$M$1:$N$2,2,FALSE)</f>
        <v>1</v>
      </c>
      <c r="D2948">
        <v>32</v>
      </c>
      <c r="E2948" t="s">
        <v>167</v>
      </c>
      <c r="F2948">
        <v>110</v>
      </c>
      <c r="H2948">
        <v>96</v>
      </c>
      <c r="I2948">
        <v>0.6</v>
      </c>
      <c r="J2948">
        <v>57.599999999999994</v>
      </c>
      <c r="K2948">
        <v>3.36</v>
      </c>
      <c r="L2948">
        <v>5.22</v>
      </c>
      <c r="M2948" t="s">
        <v>37</v>
      </c>
      <c r="N2948" t="s">
        <v>162</v>
      </c>
    </row>
    <row r="2949" spans="1:14" x14ac:dyDescent="0.3">
      <c r="A2949" t="s">
        <v>37</v>
      </c>
      <c r="B2949">
        <f>VLOOKUP(M2949,Sheet9!$I$1:$J$17,2,FALSE)</f>
        <v>4</v>
      </c>
      <c r="C2949">
        <f>VLOOKUP(N2949,Sheet9!$M$1:$N$2,2,FALSE)</f>
        <v>1</v>
      </c>
      <c r="D2949">
        <v>32</v>
      </c>
      <c r="E2949" t="s">
        <v>167</v>
      </c>
      <c r="F2949">
        <v>110</v>
      </c>
      <c r="H2949">
        <v>24</v>
      </c>
      <c r="I2949">
        <v>1.2</v>
      </c>
      <c r="J2949">
        <v>28.799999999999997</v>
      </c>
      <c r="K2949">
        <v>3.69</v>
      </c>
      <c r="L2949">
        <v>5.74</v>
      </c>
      <c r="M2949" t="s">
        <v>37</v>
      </c>
      <c r="N2949" t="s">
        <v>162</v>
      </c>
    </row>
    <row r="2950" spans="1:14" x14ac:dyDescent="0.3">
      <c r="A2950" t="s">
        <v>37</v>
      </c>
      <c r="B2950">
        <f>VLOOKUP(M2950,Sheet9!$I$1:$J$17,2,FALSE)</f>
        <v>4</v>
      </c>
      <c r="C2950">
        <f>VLOOKUP(N2950,Sheet9!$M$1:$N$2,2,FALSE)</f>
        <v>1</v>
      </c>
      <c r="D2950">
        <v>32</v>
      </c>
      <c r="E2950" t="s">
        <v>95</v>
      </c>
      <c r="F2950">
        <v>110</v>
      </c>
      <c r="H2950">
        <v>48</v>
      </c>
      <c r="I2950">
        <v>1.2</v>
      </c>
      <c r="J2950">
        <v>57.599999999999994</v>
      </c>
      <c r="K2950">
        <v>3.36</v>
      </c>
      <c r="L2950">
        <v>5.22</v>
      </c>
      <c r="M2950" t="s">
        <v>37</v>
      </c>
      <c r="N2950" t="s">
        <v>162</v>
      </c>
    </row>
    <row r="2951" spans="1:14" x14ac:dyDescent="0.3">
      <c r="A2951" t="s">
        <v>37</v>
      </c>
      <c r="B2951">
        <f>VLOOKUP(M2951,Sheet9!$I$1:$J$17,2,FALSE)</f>
        <v>4</v>
      </c>
      <c r="C2951">
        <f>VLOOKUP(N2951,Sheet9!$M$1:$N$2,2,FALSE)</f>
        <v>1</v>
      </c>
      <c r="D2951">
        <v>32</v>
      </c>
      <c r="E2951" t="s">
        <v>95</v>
      </c>
      <c r="F2951">
        <v>120</v>
      </c>
      <c r="H2951">
        <v>2</v>
      </c>
      <c r="I2951">
        <v>1</v>
      </c>
      <c r="J2951">
        <v>2</v>
      </c>
      <c r="K2951">
        <v>4.0199999999999996</v>
      </c>
      <c r="L2951">
        <v>6.2</v>
      </c>
      <c r="M2951" t="s">
        <v>37</v>
      </c>
      <c r="N2951" t="s">
        <v>162</v>
      </c>
    </row>
    <row r="2952" spans="1:14" x14ac:dyDescent="0.3">
      <c r="A2952" t="s">
        <v>37</v>
      </c>
      <c r="B2952">
        <f>VLOOKUP(M2952,Sheet9!$I$1:$J$17,2,FALSE)</f>
        <v>4</v>
      </c>
      <c r="C2952">
        <f>VLOOKUP(N2952,Sheet9!$M$1:$N$2,2,FALSE)</f>
        <v>1</v>
      </c>
      <c r="D2952">
        <v>32</v>
      </c>
      <c r="E2952" t="s">
        <v>95</v>
      </c>
      <c r="F2952">
        <v>120</v>
      </c>
      <c r="H2952">
        <v>6</v>
      </c>
      <c r="I2952">
        <v>0.6</v>
      </c>
      <c r="J2952">
        <v>3.6</v>
      </c>
      <c r="K2952">
        <v>6.69</v>
      </c>
      <c r="L2952">
        <v>10.34</v>
      </c>
      <c r="M2952" t="s">
        <v>37</v>
      </c>
      <c r="N2952" t="s">
        <v>162</v>
      </c>
    </row>
    <row r="2953" spans="1:14" x14ac:dyDescent="0.3">
      <c r="A2953" t="s">
        <v>37</v>
      </c>
      <c r="B2953">
        <f>VLOOKUP(M2953,Sheet9!$I$1:$J$17,2,FALSE)</f>
        <v>4</v>
      </c>
      <c r="C2953">
        <f>VLOOKUP(N2953,Sheet9!$M$1:$N$2,2,FALSE)</f>
        <v>1</v>
      </c>
      <c r="D2953">
        <v>32</v>
      </c>
      <c r="E2953" t="s">
        <v>95</v>
      </c>
      <c r="F2953">
        <v>120</v>
      </c>
      <c r="H2953">
        <v>1</v>
      </c>
      <c r="I2953">
        <v>5</v>
      </c>
      <c r="J2953">
        <v>5</v>
      </c>
      <c r="K2953">
        <v>3.88</v>
      </c>
      <c r="L2953">
        <v>5.99</v>
      </c>
      <c r="M2953" t="s">
        <v>37</v>
      </c>
      <c r="N2953" t="s">
        <v>162</v>
      </c>
    </row>
    <row r="2954" spans="1:14" x14ac:dyDescent="0.3">
      <c r="A2954" t="s">
        <v>37</v>
      </c>
      <c r="B2954">
        <f>VLOOKUP(M2954,Sheet9!$I$1:$J$17,2,FALSE)</f>
        <v>4</v>
      </c>
      <c r="C2954">
        <f>VLOOKUP(N2954,Sheet9!$M$1:$N$2,2,FALSE)</f>
        <v>1</v>
      </c>
      <c r="D2954">
        <v>32</v>
      </c>
      <c r="E2954" t="s">
        <v>95</v>
      </c>
      <c r="F2954">
        <v>120</v>
      </c>
      <c r="H2954">
        <v>1</v>
      </c>
      <c r="I2954">
        <v>10</v>
      </c>
      <c r="J2954">
        <v>10</v>
      </c>
      <c r="K2954">
        <v>3.88</v>
      </c>
      <c r="L2954">
        <v>5.99</v>
      </c>
      <c r="M2954" t="s">
        <v>37</v>
      </c>
      <c r="N2954" t="s">
        <v>162</v>
      </c>
    </row>
    <row r="2955" spans="1:14" x14ac:dyDescent="0.3">
      <c r="A2955" t="s">
        <v>37</v>
      </c>
      <c r="B2955">
        <f>VLOOKUP(M2955,Sheet9!$I$1:$J$17,2,FALSE)</f>
        <v>4</v>
      </c>
      <c r="C2955">
        <f>VLOOKUP(N2955,Sheet9!$M$1:$N$2,2,FALSE)</f>
        <v>1</v>
      </c>
      <c r="D2955">
        <v>32</v>
      </c>
      <c r="E2955" t="s">
        <v>95</v>
      </c>
      <c r="F2955">
        <v>120</v>
      </c>
      <c r="H2955">
        <v>12</v>
      </c>
      <c r="I2955">
        <v>1.2</v>
      </c>
      <c r="J2955">
        <v>14.4</v>
      </c>
      <c r="K2955">
        <v>5.53</v>
      </c>
      <c r="L2955">
        <v>8.5500000000000007</v>
      </c>
      <c r="M2955" t="s">
        <v>37</v>
      </c>
      <c r="N2955" t="s">
        <v>162</v>
      </c>
    </row>
    <row r="2956" spans="1:14" x14ac:dyDescent="0.3">
      <c r="A2956" t="s">
        <v>37</v>
      </c>
      <c r="B2956">
        <f>VLOOKUP(M2956,Sheet9!$I$1:$J$17,2,FALSE)</f>
        <v>4</v>
      </c>
      <c r="C2956">
        <f>VLOOKUP(N2956,Sheet9!$M$1:$N$2,2,FALSE)</f>
        <v>1</v>
      </c>
      <c r="D2956">
        <v>32</v>
      </c>
      <c r="E2956" t="s">
        <v>95</v>
      </c>
      <c r="F2956">
        <v>120</v>
      </c>
      <c r="H2956">
        <v>32</v>
      </c>
      <c r="I2956">
        <v>0.6</v>
      </c>
      <c r="J2956">
        <v>19.2</v>
      </c>
      <c r="K2956">
        <v>4.38</v>
      </c>
      <c r="L2956">
        <v>6.76</v>
      </c>
      <c r="M2956" t="s">
        <v>37</v>
      </c>
      <c r="N2956" t="s">
        <v>162</v>
      </c>
    </row>
    <row r="2957" spans="1:14" x14ac:dyDescent="0.3">
      <c r="A2957" t="s">
        <v>37</v>
      </c>
      <c r="B2957">
        <f>VLOOKUP(M2957,Sheet9!$I$1:$J$17,2,FALSE)</f>
        <v>4</v>
      </c>
      <c r="C2957">
        <f>VLOOKUP(N2957,Sheet9!$M$1:$N$2,2,FALSE)</f>
        <v>1</v>
      </c>
      <c r="D2957">
        <v>32</v>
      </c>
      <c r="E2957" t="s">
        <v>167</v>
      </c>
      <c r="F2957">
        <v>120</v>
      </c>
      <c r="H2957">
        <v>32</v>
      </c>
      <c r="I2957">
        <v>0.6</v>
      </c>
      <c r="J2957">
        <v>19.2</v>
      </c>
      <c r="K2957">
        <v>4.7</v>
      </c>
      <c r="L2957">
        <v>7.26</v>
      </c>
      <c r="M2957" t="s">
        <v>37</v>
      </c>
      <c r="N2957" t="s">
        <v>162</v>
      </c>
    </row>
    <row r="2958" spans="1:14" x14ac:dyDescent="0.3">
      <c r="A2958" t="s">
        <v>37</v>
      </c>
      <c r="B2958">
        <f>VLOOKUP(M2958,Sheet9!$I$1:$J$17,2,FALSE)</f>
        <v>4</v>
      </c>
      <c r="C2958">
        <f>VLOOKUP(N2958,Sheet9!$M$1:$N$2,2,FALSE)</f>
        <v>1</v>
      </c>
      <c r="D2958">
        <v>32</v>
      </c>
      <c r="E2958" t="s">
        <v>167</v>
      </c>
      <c r="F2958">
        <v>120</v>
      </c>
      <c r="H2958">
        <v>32</v>
      </c>
      <c r="I2958">
        <v>0.6</v>
      </c>
      <c r="J2958">
        <v>19.2</v>
      </c>
      <c r="K2958">
        <v>5.34</v>
      </c>
      <c r="L2958">
        <v>8.25</v>
      </c>
      <c r="M2958" t="s">
        <v>37</v>
      </c>
      <c r="N2958" t="s">
        <v>162</v>
      </c>
    </row>
    <row r="2959" spans="1:14" x14ac:dyDescent="0.3">
      <c r="A2959" t="s">
        <v>37</v>
      </c>
      <c r="B2959">
        <f>VLOOKUP(M2959,Sheet9!$I$1:$J$17,2,FALSE)</f>
        <v>4</v>
      </c>
      <c r="C2959">
        <f>VLOOKUP(N2959,Sheet9!$M$1:$N$2,2,FALSE)</f>
        <v>1</v>
      </c>
      <c r="D2959">
        <v>32</v>
      </c>
      <c r="E2959" t="s">
        <v>167</v>
      </c>
      <c r="F2959">
        <v>120</v>
      </c>
      <c r="H2959">
        <v>48</v>
      </c>
      <c r="I2959">
        <v>1.2</v>
      </c>
      <c r="J2959">
        <v>57.599999999999994</v>
      </c>
      <c r="K2959">
        <v>4.8499999999999996</v>
      </c>
      <c r="L2959">
        <v>7.49</v>
      </c>
      <c r="M2959" t="s">
        <v>37</v>
      </c>
      <c r="N2959" t="s">
        <v>162</v>
      </c>
    </row>
    <row r="2960" spans="1:14" x14ac:dyDescent="0.3">
      <c r="A2960" t="s">
        <v>37</v>
      </c>
      <c r="B2960">
        <f>VLOOKUP(M2960,Sheet9!$I$1:$J$17,2,FALSE)</f>
        <v>4</v>
      </c>
      <c r="C2960">
        <f>VLOOKUP(N2960,Sheet9!$M$1:$N$2,2,FALSE)</f>
        <v>1</v>
      </c>
      <c r="D2960">
        <v>32</v>
      </c>
      <c r="E2960" t="s">
        <v>167</v>
      </c>
      <c r="F2960">
        <v>120</v>
      </c>
      <c r="H2960">
        <v>64</v>
      </c>
      <c r="I2960">
        <v>1.2</v>
      </c>
      <c r="J2960">
        <v>76.8</v>
      </c>
      <c r="K2960">
        <v>4.5999999999999996</v>
      </c>
      <c r="L2960">
        <v>7.11</v>
      </c>
      <c r="M2960" t="s">
        <v>37</v>
      </c>
      <c r="N2960" t="s">
        <v>162</v>
      </c>
    </row>
    <row r="2961" spans="1:14" x14ac:dyDescent="0.3">
      <c r="A2961" t="s">
        <v>37</v>
      </c>
      <c r="B2961">
        <f>VLOOKUP(M2961,Sheet9!$I$1:$J$17,2,FALSE)</f>
        <v>4</v>
      </c>
      <c r="C2961">
        <f>VLOOKUP(N2961,Sheet9!$M$1:$N$2,2,FALSE)</f>
        <v>1</v>
      </c>
      <c r="D2961">
        <v>32</v>
      </c>
      <c r="E2961" t="s">
        <v>167</v>
      </c>
      <c r="F2961">
        <v>120</v>
      </c>
      <c r="H2961">
        <v>96</v>
      </c>
      <c r="I2961">
        <v>0.6</v>
      </c>
      <c r="J2961">
        <v>57.599999999999994</v>
      </c>
      <c r="K2961">
        <v>4.33</v>
      </c>
      <c r="L2961">
        <v>6.69</v>
      </c>
      <c r="M2961" t="s">
        <v>37</v>
      </c>
      <c r="N2961" t="s">
        <v>162</v>
      </c>
    </row>
    <row r="2962" spans="1:14" x14ac:dyDescent="0.3">
      <c r="A2962" t="s">
        <v>37</v>
      </c>
      <c r="B2962">
        <f>VLOOKUP(M2962,Sheet9!$I$1:$J$17,2,FALSE)</f>
        <v>4</v>
      </c>
      <c r="C2962">
        <f>VLOOKUP(N2962,Sheet9!$M$1:$N$2,2,FALSE)</f>
        <v>1</v>
      </c>
      <c r="D2962">
        <v>32</v>
      </c>
      <c r="E2962" t="s">
        <v>167</v>
      </c>
      <c r="F2962">
        <v>120</v>
      </c>
      <c r="H2962">
        <v>24</v>
      </c>
      <c r="I2962">
        <v>1.2</v>
      </c>
      <c r="J2962">
        <v>28.799999999999997</v>
      </c>
      <c r="K2962">
        <v>4.76</v>
      </c>
      <c r="L2962">
        <v>7.36</v>
      </c>
      <c r="M2962" t="s">
        <v>37</v>
      </c>
      <c r="N2962" t="s">
        <v>162</v>
      </c>
    </row>
    <row r="2963" spans="1:14" x14ac:dyDescent="0.3">
      <c r="A2963" t="s">
        <v>37</v>
      </c>
      <c r="B2963">
        <f>VLOOKUP(M2963,Sheet9!$I$1:$J$17,2,FALSE)</f>
        <v>4</v>
      </c>
      <c r="C2963">
        <f>VLOOKUP(N2963,Sheet9!$M$1:$N$2,2,FALSE)</f>
        <v>1</v>
      </c>
      <c r="D2963">
        <v>32</v>
      </c>
      <c r="E2963" t="s">
        <v>95</v>
      </c>
      <c r="F2963">
        <v>120</v>
      </c>
      <c r="H2963">
        <v>48</v>
      </c>
      <c r="I2963">
        <v>1.2</v>
      </c>
      <c r="J2963">
        <v>57.599999999999994</v>
      </c>
      <c r="K2963">
        <v>4.33</v>
      </c>
      <c r="L2963">
        <v>6.69</v>
      </c>
      <c r="M2963" t="s">
        <v>37</v>
      </c>
      <c r="N2963" t="s">
        <v>162</v>
      </c>
    </row>
    <row r="2964" spans="1:14" x14ac:dyDescent="0.3">
      <c r="A2964" t="s">
        <v>37</v>
      </c>
      <c r="B2964">
        <f>VLOOKUP(M2964,Sheet9!$I$1:$J$17,2,FALSE)</f>
        <v>4</v>
      </c>
      <c r="C2964">
        <f>VLOOKUP(N2964,Sheet9!$M$1:$N$2,2,FALSE)</f>
        <v>1</v>
      </c>
      <c r="D2964">
        <v>32</v>
      </c>
      <c r="E2964" t="s">
        <v>95</v>
      </c>
      <c r="F2964">
        <v>130</v>
      </c>
      <c r="H2964">
        <v>2</v>
      </c>
      <c r="I2964">
        <v>1</v>
      </c>
      <c r="J2964">
        <v>2</v>
      </c>
      <c r="K2964">
        <v>4.97</v>
      </c>
      <c r="L2964">
        <v>7.58</v>
      </c>
      <c r="M2964" t="s">
        <v>37</v>
      </c>
      <c r="N2964" t="s">
        <v>162</v>
      </c>
    </row>
    <row r="2965" spans="1:14" x14ac:dyDescent="0.3">
      <c r="A2965" t="s">
        <v>37</v>
      </c>
      <c r="B2965">
        <f>VLOOKUP(M2965,Sheet9!$I$1:$J$17,2,FALSE)</f>
        <v>4</v>
      </c>
      <c r="C2965">
        <f>VLOOKUP(N2965,Sheet9!$M$1:$N$2,2,FALSE)</f>
        <v>1</v>
      </c>
      <c r="D2965">
        <v>32</v>
      </c>
      <c r="E2965" t="s">
        <v>95</v>
      </c>
      <c r="F2965">
        <v>130</v>
      </c>
      <c r="H2965">
        <v>6</v>
      </c>
      <c r="I2965">
        <v>0.6</v>
      </c>
      <c r="J2965">
        <v>3.6</v>
      </c>
      <c r="K2965">
        <v>8.2799999999999994</v>
      </c>
      <c r="L2965">
        <v>12.63</v>
      </c>
      <c r="M2965" t="s">
        <v>37</v>
      </c>
      <c r="N2965" t="s">
        <v>162</v>
      </c>
    </row>
    <row r="2966" spans="1:14" x14ac:dyDescent="0.3">
      <c r="A2966" t="s">
        <v>37</v>
      </c>
      <c r="B2966">
        <f>VLOOKUP(M2966,Sheet9!$I$1:$J$17,2,FALSE)</f>
        <v>4</v>
      </c>
      <c r="C2966">
        <f>VLOOKUP(N2966,Sheet9!$M$1:$N$2,2,FALSE)</f>
        <v>1</v>
      </c>
      <c r="D2966">
        <v>32</v>
      </c>
      <c r="E2966" t="s">
        <v>95</v>
      </c>
      <c r="F2966">
        <v>130</v>
      </c>
      <c r="H2966">
        <v>1</v>
      </c>
      <c r="I2966">
        <v>5</v>
      </c>
      <c r="J2966">
        <v>5</v>
      </c>
      <c r="K2966">
        <v>4.8</v>
      </c>
      <c r="L2966">
        <v>7.32</v>
      </c>
      <c r="M2966" t="s">
        <v>37</v>
      </c>
      <c r="N2966" t="s">
        <v>162</v>
      </c>
    </row>
    <row r="2967" spans="1:14" x14ac:dyDescent="0.3">
      <c r="A2967" t="s">
        <v>37</v>
      </c>
      <c r="B2967">
        <f>VLOOKUP(M2967,Sheet9!$I$1:$J$17,2,FALSE)</f>
        <v>4</v>
      </c>
      <c r="C2967">
        <f>VLOOKUP(N2967,Sheet9!$M$1:$N$2,2,FALSE)</f>
        <v>1</v>
      </c>
      <c r="D2967">
        <v>32</v>
      </c>
      <c r="E2967" t="s">
        <v>95</v>
      </c>
      <c r="F2967">
        <v>130</v>
      </c>
      <c r="H2967">
        <v>1</v>
      </c>
      <c r="I2967">
        <v>10</v>
      </c>
      <c r="J2967">
        <v>10</v>
      </c>
      <c r="K2967">
        <v>4.8</v>
      </c>
      <c r="L2967">
        <v>7.32</v>
      </c>
      <c r="M2967" t="s">
        <v>37</v>
      </c>
      <c r="N2967" t="s">
        <v>162</v>
      </c>
    </row>
    <row r="2968" spans="1:14" x14ac:dyDescent="0.3">
      <c r="A2968" t="s">
        <v>37</v>
      </c>
      <c r="B2968">
        <f>VLOOKUP(M2968,Sheet9!$I$1:$J$17,2,FALSE)</f>
        <v>4</v>
      </c>
      <c r="C2968">
        <f>VLOOKUP(N2968,Sheet9!$M$1:$N$2,2,FALSE)</f>
        <v>1</v>
      </c>
      <c r="D2968">
        <v>32</v>
      </c>
      <c r="E2968" t="s">
        <v>95</v>
      </c>
      <c r="F2968">
        <v>130</v>
      </c>
      <c r="H2968">
        <v>12</v>
      </c>
      <c r="I2968">
        <v>1.2</v>
      </c>
      <c r="J2968">
        <v>14.4</v>
      </c>
      <c r="K2968">
        <v>6.84</v>
      </c>
      <c r="L2968">
        <v>10.44</v>
      </c>
      <c r="M2968" t="s">
        <v>37</v>
      </c>
      <c r="N2968" t="s">
        <v>162</v>
      </c>
    </row>
    <row r="2969" spans="1:14" x14ac:dyDescent="0.3">
      <c r="A2969" t="s">
        <v>37</v>
      </c>
      <c r="B2969">
        <f>VLOOKUP(M2969,Sheet9!$I$1:$J$17,2,FALSE)</f>
        <v>4</v>
      </c>
      <c r="C2969">
        <f>VLOOKUP(N2969,Sheet9!$M$1:$N$2,2,FALSE)</f>
        <v>1</v>
      </c>
      <c r="D2969">
        <v>32</v>
      </c>
      <c r="E2969" t="s">
        <v>95</v>
      </c>
      <c r="F2969">
        <v>130</v>
      </c>
      <c r="H2969">
        <v>32</v>
      </c>
      <c r="I2969">
        <v>0.6</v>
      </c>
      <c r="J2969">
        <v>19.2</v>
      </c>
      <c r="K2969">
        <v>5.41</v>
      </c>
      <c r="L2969">
        <v>8.26</v>
      </c>
      <c r="M2969" t="s">
        <v>37</v>
      </c>
      <c r="N2969" t="s">
        <v>162</v>
      </c>
    </row>
    <row r="2970" spans="1:14" x14ac:dyDescent="0.3">
      <c r="A2970" t="s">
        <v>37</v>
      </c>
      <c r="B2970">
        <f>VLOOKUP(M2970,Sheet9!$I$1:$J$17,2,FALSE)</f>
        <v>4</v>
      </c>
      <c r="C2970">
        <f>VLOOKUP(N2970,Sheet9!$M$1:$N$2,2,FALSE)</f>
        <v>1</v>
      </c>
      <c r="D2970">
        <v>32</v>
      </c>
      <c r="E2970" t="s">
        <v>167</v>
      </c>
      <c r="F2970">
        <v>130</v>
      </c>
      <c r="H2970">
        <v>32</v>
      </c>
      <c r="I2970">
        <v>0.6</v>
      </c>
      <c r="J2970">
        <v>19.2</v>
      </c>
      <c r="K2970">
        <v>5.81</v>
      </c>
      <c r="L2970">
        <v>8.86</v>
      </c>
      <c r="M2970" t="s">
        <v>37</v>
      </c>
      <c r="N2970" t="s">
        <v>162</v>
      </c>
    </row>
    <row r="2971" spans="1:14" x14ac:dyDescent="0.3">
      <c r="A2971" t="s">
        <v>37</v>
      </c>
      <c r="B2971">
        <f>VLOOKUP(M2971,Sheet9!$I$1:$J$17,2,FALSE)</f>
        <v>4</v>
      </c>
      <c r="C2971">
        <f>VLOOKUP(N2971,Sheet9!$M$1:$N$2,2,FALSE)</f>
        <v>1</v>
      </c>
      <c r="D2971">
        <v>32</v>
      </c>
      <c r="E2971" t="s">
        <v>167</v>
      </c>
      <c r="F2971">
        <v>130</v>
      </c>
      <c r="H2971">
        <v>32</v>
      </c>
      <c r="I2971">
        <v>0.6</v>
      </c>
      <c r="J2971">
        <v>19.2</v>
      </c>
      <c r="K2971">
        <v>6.6</v>
      </c>
      <c r="L2971">
        <v>10.08</v>
      </c>
      <c r="M2971" t="s">
        <v>37</v>
      </c>
      <c r="N2971" t="s">
        <v>162</v>
      </c>
    </row>
    <row r="2972" spans="1:14" x14ac:dyDescent="0.3">
      <c r="A2972" t="s">
        <v>37</v>
      </c>
      <c r="B2972">
        <f>VLOOKUP(M2972,Sheet9!$I$1:$J$17,2,FALSE)</f>
        <v>4</v>
      </c>
      <c r="C2972">
        <f>VLOOKUP(N2972,Sheet9!$M$1:$N$2,2,FALSE)</f>
        <v>1</v>
      </c>
      <c r="D2972">
        <v>32</v>
      </c>
      <c r="E2972" t="s">
        <v>167</v>
      </c>
      <c r="F2972">
        <v>130</v>
      </c>
      <c r="H2972">
        <v>48</v>
      </c>
      <c r="I2972">
        <v>1.2</v>
      </c>
      <c r="J2972">
        <v>57.599999999999994</v>
      </c>
      <c r="K2972">
        <v>5.99</v>
      </c>
      <c r="L2972">
        <v>9.15</v>
      </c>
      <c r="M2972" t="s">
        <v>37</v>
      </c>
      <c r="N2972" t="s">
        <v>162</v>
      </c>
    </row>
    <row r="2973" spans="1:14" x14ac:dyDescent="0.3">
      <c r="A2973" t="s">
        <v>37</v>
      </c>
      <c r="B2973">
        <f>VLOOKUP(M2973,Sheet9!$I$1:$J$17,2,FALSE)</f>
        <v>4</v>
      </c>
      <c r="C2973">
        <f>VLOOKUP(N2973,Sheet9!$M$1:$N$2,2,FALSE)</f>
        <v>1</v>
      </c>
      <c r="D2973">
        <v>32</v>
      </c>
      <c r="E2973" t="s">
        <v>167</v>
      </c>
      <c r="F2973">
        <v>130</v>
      </c>
      <c r="H2973">
        <v>64</v>
      </c>
      <c r="I2973">
        <v>1.2</v>
      </c>
      <c r="J2973">
        <v>76.8</v>
      </c>
      <c r="K2973">
        <v>5.69</v>
      </c>
      <c r="L2973">
        <v>8.67</v>
      </c>
      <c r="M2973" t="s">
        <v>37</v>
      </c>
      <c r="N2973" t="s">
        <v>162</v>
      </c>
    </row>
    <row r="2974" spans="1:14" x14ac:dyDescent="0.3">
      <c r="A2974" t="s">
        <v>37</v>
      </c>
      <c r="B2974">
        <f>VLOOKUP(M2974,Sheet9!$I$1:$J$17,2,FALSE)</f>
        <v>4</v>
      </c>
      <c r="C2974">
        <f>VLOOKUP(N2974,Sheet9!$M$1:$N$2,2,FALSE)</f>
        <v>1</v>
      </c>
      <c r="D2974">
        <v>32</v>
      </c>
      <c r="E2974" t="s">
        <v>167</v>
      </c>
      <c r="F2974">
        <v>130</v>
      </c>
      <c r="H2974">
        <v>96</v>
      </c>
      <c r="I2974">
        <v>0.6</v>
      </c>
      <c r="J2974">
        <v>57.599999999999994</v>
      </c>
      <c r="K2974">
        <v>5.35</v>
      </c>
      <c r="L2974">
        <v>8.17</v>
      </c>
      <c r="M2974" t="s">
        <v>37</v>
      </c>
      <c r="N2974" t="s">
        <v>162</v>
      </c>
    </row>
    <row r="2975" spans="1:14" x14ac:dyDescent="0.3">
      <c r="A2975" t="s">
        <v>37</v>
      </c>
      <c r="B2975">
        <f>VLOOKUP(M2975,Sheet9!$I$1:$J$17,2,FALSE)</f>
        <v>4</v>
      </c>
      <c r="C2975">
        <f>VLOOKUP(N2975,Sheet9!$M$1:$N$2,2,FALSE)</f>
        <v>1</v>
      </c>
      <c r="D2975">
        <v>32</v>
      </c>
      <c r="E2975" t="s">
        <v>167</v>
      </c>
      <c r="F2975">
        <v>130</v>
      </c>
      <c r="H2975">
        <v>24</v>
      </c>
      <c r="I2975">
        <v>1.2</v>
      </c>
      <c r="J2975">
        <v>28.799999999999997</v>
      </c>
      <c r="K2975">
        <v>5.89</v>
      </c>
      <c r="L2975">
        <v>8.98</v>
      </c>
      <c r="M2975" t="s">
        <v>37</v>
      </c>
      <c r="N2975" t="s">
        <v>162</v>
      </c>
    </row>
    <row r="2976" spans="1:14" x14ac:dyDescent="0.3">
      <c r="A2976" t="s">
        <v>37</v>
      </c>
      <c r="B2976">
        <f>VLOOKUP(M2976,Sheet9!$I$1:$J$17,2,FALSE)</f>
        <v>4</v>
      </c>
      <c r="C2976">
        <f>VLOOKUP(N2976,Sheet9!$M$1:$N$2,2,FALSE)</f>
        <v>1</v>
      </c>
      <c r="D2976">
        <v>32</v>
      </c>
      <c r="E2976" t="s">
        <v>95</v>
      </c>
      <c r="F2976">
        <v>130</v>
      </c>
      <c r="H2976">
        <v>48</v>
      </c>
      <c r="I2976">
        <v>1.2</v>
      </c>
      <c r="J2976">
        <v>57.599999999999994</v>
      </c>
      <c r="K2976">
        <v>5.36</v>
      </c>
      <c r="L2976">
        <v>8.17</v>
      </c>
      <c r="M2976" t="s">
        <v>37</v>
      </c>
      <c r="N2976" t="s">
        <v>162</v>
      </c>
    </row>
    <row r="2977" spans="1:14" x14ac:dyDescent="0.3">
      <c r="A2977" t="s">
        <v>37</v>
      </c>
      <c r="B2977">
        <f>VLOOKUP(M2977,Sheet9!$I$1:$J$17,2,FALSE)</f>
        <v>4</v>
      </c>
      <c r="C2977">
        <f>VLOOKUP(N2977,Sheet9!$M$1:$N$2,2,FALSE)</f>
        <v>1</v>
      </c>
      <c r="D2977">
        <v>32</v>
      </c>
      <c r="E2977" t="s">
        <v>95</v>
      </c>
      <c r="F2977">
        <v>140</v>
      </c>
      <c r="H2977">
        <v>2</v>
      </c>
      <c r="I2977">
        <v>1</v>
      </c>
      <c r="J2977">
        <v>2</v>
      </c>
      <c r="K2977">
        <v>5.98</v>
      </c>
      <c r="L2977">
        <v>9.0500000000000007</v>
      </c>
      <c r="M2977" t="s">
        <v>37</v>
      </c>
      <c r="N2977" t="s">
        <v>162</v>
      </c>
    </row>
    <row r="2978" spans="1:14" x14ac:dyDescent="0.3">
      <c r="A2978" t="s">
        <v>37</v>
      </c>
      <c r="B2978">
        <f>VLOOKUP(M2978,Sheet9!$I$1:$J$17,2,FALSE)</f>
        <v>4</v>
      </c>
      <c r="C2978">
        <f>VLOOKUP(N2978,Sheet9!$M$1:$N$2,2,FALSE)</f>
        <v>1</v>
      </c>
      <c r="D2978">
        <v>32</v>
      </c>
      <c r="E2978" t="s">
        <v>95</v>
      </c>
      <c r="F2978">
        <v>140</v>
      </c>
      <c r="H2978">
        <v>6</v>
      </c>
      <c r="I2978">
        <v>0.6</v>
      </c>
      <c r="J2978">
        <v>3.6</v>
      </c>
      <c r="K2978">
        <v>9.9700000000000006</v>
      </c>
      <c r="L2978">
        <v>15.08</v>
      </c>
      <c r="M2978" t="s">
        <v>37</v>
      </c>
      <c r="N2978" t="s">
        <v>162</v>
      </c>
    </row>
    <row r="2979" spans="1:14" x14ac:dyDescent="0.3">
      <c r="A2979" t="s">
        <v>37</v>
      </c>
      <c r="B2979">
        <f>VLOOKUP(M2979,Sheet9!$I$1:$J$17,2,FALSE)</f>
        <v>4</v>
      </c>
      <c r="C2979">
        <f>VLOOKUP(N2979,Sheet9!$M$1:$N$2,2,FALSE)</f>
        <v>1</v>
      </c>
      <c r="D2979">
        <v>32</v>
      </c>
      <c r="E2979" t="s">
        <v>95</v>
      </c>
      <c r="F2979">
        <v>140</v>
      </c>
      <c r="H2979">
        <v>1</v>
      </c>
      <c r="I2979">
        <v>5</v>
      </c>
      <c r="J2979">
        <v>5</v>
      </c>
      <c r="K2979">
        <v>5.78</v>
      </c>
      <c r="L2979">
        <v>8.74</v>
      </c>
      <c r="M2979" t="s">
        <v>37</v>
      </c>
      <c r="N2979" t="s">
        <v>162</v>
      </c>
    </row>
    <row r="2980" spans="1:14" x14ac:dyDescent="0.3">
      <c r="A2980" t="s">
        <v>37</v>
      </c>
      <c r="B2980">
        <f>VLOOKUP(M2980,Sheet9!$I$1:$J$17,2,FALSE)</f>
        <v>4</v>
      </c>
      <c r="C2980">
        <f>VLOOKUP(N2980,Sheet9!$M$1:$N$2,2,FALSE)</f>
        <v>1</v>
      </c>
      <c r="D2980">
        <v>32</v>
      </c>
      <c r="E2980" t="s">
        <v>95</v>
      </c>
      <c r="F2980">
        <v>140</v>
      </c>
      <c r="H2980">
        <v>1</v>
      </c>
      <c r="I2980">
        <v>10</v>
      </c>
      <c r="J2980">
        <v>10</v>
      </c>
      <c r="K2980">
        <v>5.78</v>
      </c>
      <c r="L2980">
        <v>8.74</v>
      </c>
      <c r="M2980" t="s">
        <v>37</v>
      </c>
      <c r="N2980" t="s">
        <v>162</v>
      </c>
    </row>
    <row r="2981" spans="1:14" x14ac:dyDescent="0.3">
      <c r="A2981" t="s">
        <v>37</v>
      </c>
      <c r="B2981">
        <f>VLOOKUP(M2981,Sheet9!$I$1:$J$17,2,FALSE)</f>
        <v>4</v>
      </c>
      <c r="C2981">
        <f>VLOOKUP(N2981,Sheet9!$M$1:$N$2,2,FALSE)</f>
        <v>1</v>
      </c>
      <c r="D2981">
        <v>32</v>
      </c>
      <c r="E2981" t="s">
        <v>95</v>
      </c>
      <c r="F2981">
        <v>140</v>
      </c>
      <c r="H2981">
        <v>12</v>
      </c>
      <c r="I2981">
        <v>1.2</v>
      </c>
      <c r="J2981">
        <v>14.4</v>
      </c>
      <c r="K2981">
        <v>8.25</v>
      </c>
      <c r="L2981">
        <v>12.47</v>
      </c>
      <c r="M2981" t="s">
        <v>37</v>
      </c>
      <c r="N2981" t="s">
        <v>162</v>
      </c>
    </row>
    <row r="2982" spans="1:14" x14ac:dyDescent="0.3">
      <c r="A2982" t="s">
        <v>37</v>
      </c>
      <c r="B2982">
        <f>VLOOKUP(M2982,Sheet9!$I$1:$J$17,2,FALSE)</f>
        <v>4</v>
      </c>
      <c r="C2982">
        <f>VLOOKUP(N2982,Sheet9!$M$1:$N$2,2,FALSE)</f>
        <v>1</v>
      </c>
      <c r="D2982">
        <v>32</v>
      </c>
      <c r="E2982" t="s">
        <v>95</v>
      </c>
      <c r="F2982">
        <v>140</v>
      </c>
      <c r="H2982">
        <v>32</v>
      </c>
      <c r="I2982">
        <v>0.6</v>
      </c>
      <c r="J2982">
        <v>19.2</v>
      </c>
      <c r="K2982">
        <v>6.52</v>
      </c>
      <c r="L2982">
        <v>9.86</v>
      </c>
      <c r="M2982" t="s">
        <v>37</v>
      </c>
      <c r="N2982" t="s">
        <v>162</v>
      </c>
    </row>
    <row r="2983" spans="1:14" x14ac:dyDescent="0.3">
      <c r="A2983" t="s">
        <v>37</v>
      </c>
      <c r="B2983">
        <f>VLOOKUP(M2983,Sheet9!$I$1:$J$17,2,FALSE)</f>
        <v>4</v>
      </c>
      <c r="C2983">
        <f>VLOOKUP(N2983,Sheet9!$M$1:$N$2,2,FALSE)</f>
        <v>1</v>
      </c>
      <c r="D2983">
        <v>32</v>
      </c>
      <c r="E2983" t="s">
        <v>167</v>
      </c>
      <c r="F2983">
        <v>140</v>
      </c>
      <c r="H2983">
        <v>32</v>
      </c>
      <c r="I2983">
        <v>0.6</v>
      </c>
      <c r="J2983">
        <v>19.2</v>
      </c>
      <c r="K2983">
        <v>7</v>
      </c>
      <c r="L2983">
        <v>10.58</v>
      </c>
      <c r="M2983" t="s">
        <v>37</v>
      </c>
      <c r="N2983" t="s">
        <v>162</v>
      </c>
    </row>
    <row r="2984" spans="1:14" x14ac:dyDescent="0.3">
      <c r="A2984" t="s">
        <v>37</v>
      </c>
      <c r="B2984">
        <f>VLOOKUP(M2984,Sheet9!$I$1:$J$17,2,FALSE)</f>
        <v>4</v>
      </c>
      <c r="C2984">
        <f>VLOOKUP(N2984,Sheet9!$M$1:$N$2,2,FALSE)</f>
        <v>1</v>
      </c>
      <c r="D2984">
        <v>32</v>
      </c>
      <c r="E2984" t="s">
        <v>167</v>
      </c>
      <c r="F2984">
        <v>140</v>
      </c>
      <c r="H2984">
        <v>32</v>
      </c>
      <c r="I2984">
        <v>0.6</v>
      </c>
      <c r="J2984">
        <v>19.2</v>
      </c>
      <c r="K2984">
        <v>7.96</v>
      </c>
      <c r="L2984">
        <v>12.03</v>
      </c>
      <c r="M2984" t="s">
        <v>37</v>
      </c>
      <c r="N2984" t="s">
        <v>162</v>
      </c>
    </row>
    <row r="2985" spans="1:14" x14ac:dyDescent="0.3">
      <c r="A2985" t="s">
        <v>37</v>
      </c>
      <c r="B2985">
        <f>VLOOKUP(M2985,Sheet9!$I$1:$J$17,2,FALSE)</f>
        <v>4</v>
      </c>
      <c r="C2985">
        <f>VLOOKUP(N2985,Sheet9!$M$1:$N$2,2,FALSE)</f>
        <v>1</v>
      </c>
      <c r="D2985">
        <v>32</v>
      </c>
      <c r="E2985" t="s">
        <v>167</v>
      </c>
      <c r="F2985">
        <v>140</v>
      </c>
      <c r="H2985">
        <v>48</v>
      </c>
      <c r="I2985">
        <v>1.2</v>
      </c>
      <c r="J2985">
        <v>57.599999999999994</v>
      </c>
      <c r="K2985">
        <v>7.23</v>
      </c>
      <c r="L2985">
        <v>10.92</v>
      </c>
      <c r="M2985" t="s">
        <v>37</v>
      </c>
      <c r="N2985" t="s">
        <v>162</v>
      </c>
    </row>
    <row r="2986" spans="1:14" x14ac:dyDescent="0.3">
      <c r="A2986" t="s">
        <v>37</v>
      </c>
      <c r="B2986">
        <f>VLOOKUP(M2986,Sheet9!$I$1:$J$17,2,FALSE)</f>
        <v>4</v>
      </c>
      <c r="C2986">
        <f>VLOOKUP(N2986,Sheet9!$M$1:$N$2,2,FALSE)</f>
        <v>1</v>
      </c>
      <c r="D2986">
        <v>32</v>
      </c>
      <c r="E2986" t="s">
        <v>167</v>
      </c>
      <c r="F2986">
        <v>140</v>
      </c>
      <c r="H2986">
        <v>64</v>
      </c>
      <c r="I2986">
        <v>1.2</v>
      </c>
      <c r="J2986">
        <v>76.8</v>
      </c>
      <c r="K2986">
        <v>6.86</v>
      </c>
      <c r="L2986">
        <v>10.36</v>
      </c>
      <c r="M2986" t="s">
        <v>37</v>
      </c>
      <c r="N2986" t="s">
        <v>162</v>
      </c>
    </row>
    <row r="2987" spans="1:14" x14ac:dyDescent="0.3">
      <c r="A2987" t="s">
        <v>37</v>
      </c>
      <c r="B2987">
        <f>VLOOKUP(M2987,Sheet9!$I$1:$J$17,2,FALSE)</f>
        <v>4</v>
      </c>
      <c r="C2987">
        <f>VLOOKUP(N2987,Sheet9!$M$1:$N$2,2,FALSE)</f>
        <v>1</v>
      </c>
      <c r="D2987">
        <v>32</v>
      </c>
      <c r="E2987" t="s">
        <v>167</v>
      </c>
      <c r="F2987">
        <v>140</v>
      </c>
      <c r="H2987">
        <v>96</v>
      </c>
      <c r="I2987">
        <v>0.6</v>
      </c>
      <c r="J2987">
        <v>57.599999999999994</v>
      </c>
      <c r="K2987">
        <v>6.45</v>
      </c>
      <c r="L2987">
        <v>9.75</v>
      </c>
      <c r="M2987" t="s">
        <v>37</v>
      </c>
      <c r="N2987" t="s">
        <v>162</v>
      </c>
    </row>
    <row r="2988" spans="1:14" x14ac:dyDescent="0.3">
      <c r="A2988" t="s">
        <v>37</v>
      </c>
      <c r="B2988">
        <f>VLOOKUP(M2988,Sheet9!$I$1:$J$17,2,FALSE)</f>
        <v>4</v>
      </c>
      <c r="C2988">
        <f>VLOOKUP(N2988,Sheet9!$M$1:$N$2,2,FALSE)</f>
        <v>1</v>
      </c>
      <c r="D2988">
        <v>32</v>
      </c>
      <c r="E2988" t="s">
        <v>167</v>
      </c>
      <c r="F2988">
        <v>140</v>
      </c>
      <c r="H2988">
        <v>24</v>
      </c>
      <c r="I2988">
        <v>1.2</v>
      </c>
      <c r="J2988">
        <v>28.799999999999997</v>
      </c>
      <c r="K2988">
        <v>7.1</v>
      </c>
      <c r="L2988">
        <v>10.73</v>
      </c>
      <c r="M2988" t="s">
        <v>37</v>
      </c>
      <c r="N2988" t="s">
        <v>162</v>
      </c>
    </row>
    <row r="2989" spans="1:14" x14ac:dyDescent="0.3">
      <c r="A2989" t="s">
        <v>37</v>
      </c>
      <c r="B2989">
        <f>VLOOKUP(M2989,Sheet9!$I$1:$J$17,2,FALSE)</f>
        <v>4</v>
      </c>
      <c r="C2989">
        <f>VLOOKUP(N2989,Sheet9!$M$1:$N$2,2,FALSE)</f>
        <v>1</v>
      </c>
      <c r="D2989">
        <v>32</v>
      </c>
      <c r="E2989" t="s">
        <v>95</v>
      </c>
      <c r="F2989">
        <v>140</v>
      </c>
      <c r="H2989">
        <v>48</v>
      </c>
      <c r="I2989">
        <v>1.2</v>
      </c>
      <c r="J2989">
        <v>57.599999999999994</v>
      </c>
      <c r="K2989">
        <v>6.46</v>
      </c>
      <c r="L2989">
        <v>9.76</v>
      </c>
      <c r="M2989" t="s">
        <v>37</v>
      </c>
      <c r="N2989" t="s">
        <v>162</v>
      </c>
    </row>
    <row r="2990" spans="1:14" x14ac:dyDescent="0.3">
      <c r="A2990" t="s">
        <v>37</v>
      </c>
      <c r="B2990">
        <f>VLOOKUP(M2990,Sheet9!$I$1:$J$17,2,FALSE)</f>
        <v>4</v>
      </c>
      <c r="C2990">
        <f>VLOOKUP(N2990,Sheet9!$M$1:$N$2,2,FALSE)</f>
        <v>1</v>
      </c>
      <c r="D2990">
        <v>32</v>
      </c>
      <c r="E2990" t="s">
        <v>95</v>
      </c>
      <c r="F2990">
        <v>150</v>
      </c>
      <c r="H2990">
        <v>2</v>
      </c>
      <c r="I2990">
        <v>1</v>
      </c>
      <c r="J2990">
        <v>2</v>
      </c>
      <c r="K2990">
        <v>7.07</v>
      </c>
      <c r="L2990">
        <v>10.61</v>
      </c>
      <c r="M2990" t="s">
        <v>37</v>
      </c>
      <c r="N2990" t="s">
        <v>162</v>
      </c>
    </row>
    <row r="2991" spans="1:14" x14ac:dyDescent="0.3">
      <c r="A2991" t="s">
        <v>37</v>
      </c>
      <c r="B2991">
        <f>VLOOKUP(M2991,Sheet9!$I$1:$J$17,2,FALSE)</f>
        <v>4</v>
      </c>
      <c r="C2991">
        <f>VLOOKUP(N2991,Sheet9!$M$1:$N$2,2,FALSE)</f>
        <v>1</v>
      </c>
      <c r="D2991">
        <v>32</v>
      </c>
      <c r="E2991" t="s">
        <v>95</v>
      </c>
      <c r="F2991">
        <v>150</v>
      </c>
      <c r="H2991">
        <v>6</v>
      </c>
      <c r="I2991">
        <v>0.6</v>
      </c>
      <c r="J2991">
        <v>3.6</v>
      </c>
      <c r="K2991">
        <v>11.79</v>
      </c>
      <c r="L2991">
        <v>17.68</v>
      </c>
      <c r="M2991" t="s">
        <v>37</v>
      </c>
      <c r="N2991" t="s">
        <v>162</v>
      </c>
    </row>
    <row r="2992" spans="1:14" x14ac:dyDescent="0.3">
      <c r="A2992" t="s">
        <v>37</v>
      </c>
      <c r="B2992">
        <f>VLOOKUP(M2992,Sheet9!$I$1:$J$17,2,FALSE)</f>
        <v>4</v>
      </c>
      <c r="C2992">
        <f>VLOOKUP(N2992,Sheet9!$M$1:$N$2,2,FALSE)</f>
        <v>1</v>
      </c>
      <c r="D2992">
        <v>32</v>
      </c>
      <c r="E2992" t="s">
        <v>95</v>
      </c>
      <c r="F2992">
        <v>150</v>
      </c>
      <c r="H2992">
        <v>1</v>
      </c>
      <c r="I2992">
        <v>5</v>
      </c>
      <c r="J2992">
        <v>5</v>
      </c>
      <c r="K2992">
        <v>6.83</v>
      </c>
      <c r="L2992">
        <v>10.25</v>
      </c>
      <c r="M2992" t="s">
        <v>37</v>
      </c>
      <c r="N2992" t="s">
        <v>162</v>
      </c>
    </row>
    <row r="2993" spans="1:14" x14ac:dyDescent="0.3">
      <c r="A2993" t="s">
        <v>37</v>
      </c>
      <c r="B2993">
        <f>VLOOKUP(M2993,Sheet9!$I$1:$J$17,2,FALSE)</f>
        <v>4</v>
      </c>
      <c r="C2993">
        <f>VLOOKUP(N2993,Sheet9!$M$1:$N$2,2,FALSE)</f>
        <v>1</v>
      </c>
      <c r="D2993">
        <v>32</v>
      </c>
      <c r="E2993" t="s">
        <v>95</v>
      </c>
      <c r="F2993">
        <v>150</v>
      </c>
      <c r="H2993">
        <v>1</v>
      </c>
      <c r="I2993">
        <v>10</v>
      </c>
      <c r="J2993">
        <v>10</v>
      </c>
      <c r="K2993">
        <v>6.83</v>
      </c>
      <c r="L2993">
        <v>10.25</v>
      </c>
      <c r="M2993" t="s">
        <v>37</v>
      </c>
      <c r="N2993" t="s">
        <v>162</v>
      </c>
    </row>
    <row r="2994" spans="1:14" x14ac:dyDescent="0.3">
      <c r="A2994" t="s">
        <v>37</v>
      </c>
      <c r="B2994">
        <f>VLOOKUP(M2994,Sheet9!$I$1:$J$17,2,FALSE)</f>
        <v>4</v>
      </c>
      <c r="C2994">
        <f>VLOOKUP(N2994,Sheet9!$M$1:$N$2,2,FALSE)</f>
        <v>1</v>
      </c>
      <c r="D2994">
        <v>32</v>
      </c>
      <c r="E2994" t="s">
        <v>95</v>
      </c>
      <c r="F2994">
        <v>150</v>
      </c>
      <c r="H2994">
        <v>12</v>
      </c>
      <c r="I2994">
        <v>1.2</v>
      </c>
      <c r="J2994">
        <v>14.4</v>
      </c>
      <c r="K2994">
        <v>9.75</v>
      </c>
      <c r="L2994">
        <v>14.62</v>
      </c>
      <c r="M2994" t="s">
        <v>37</v>
      </c>
      <c r="N2994" t="s">
        <v>162</v>
      </c>
    </row>
    <row r="2995" spans="1:14" x14ac:dyDescent="0.3">
      <c r="A2995" t="s">
        <v>37</v>
      </c>
      <c r="B2995">
        <f>VLOOKUP(M2995,Sheet9!$I$1:$J$17,2,FALSE)</f>
        <v>4</v>
      </c>
      <c r="C2995">
        <f>VLOOKUP(N2995,Sheet9!$M$1:$N$2,2,FALSE)</f>
        <v>1</v>
      </c>
      <c r="D2995">
        <v>32</v>
      </c>
      <c r="E2995" t="s">
        <v>95</v>
      </c>
      <c r="F2995">
        <v>150</v>
      </c>
      <c r="H2995">
        <v>32</v>
      </c>
      <c r="I2995">
        <v>0.6</v>
      </c>
      <c r="J2995">
        <v>19.2</v>
      </c>
      <c r="K2995">
        <v>7.71</v>
      </c>
      <c r="L2995">
        <v>11.56</v>
      </c>
      <c r="M2995" t="s">
        <v>37</v>
      </c>
      <c r="N2995" t="s">
        <v>162</v>
      </c>
    </row>
    <row r="2996" spans="1:14" x14ac:dyDescent="0.3">
      <c r="A2996" t="s">
        <v>37</v>
      </c>
      <c r="B2996">
        <f>VLOOKUP(M2996,Sheet9!$I$1:$J$17,2,FALSE)</f>
        <v>4</v>
      </c>
      <c r="C2996">
        <f>VLOOKUP(N2996,Sheet9!$M$1:$N$2,2,FALSE)</f>
        <v>1</v>
      </c>
      <c r="D2996">
        <v>32</v>
      </c>
      <c r="E2996" t="s">
        <v>167</v>
      </c>
      <c r="F2996">
        <v>150</v>
      </c>
      <c r="H2996">
        <v>32</v>
      </c>
      <c r="I2996">
        <v>0.6</v>
      </c>
      <c r="J2996">
        <v>19.2</v>
      </c>
      <c r="K2996">
        <v>8.25</v>
      </c>
      <c r="L2996">
        <v>12.41</v>
      </c>
      <c r="M2996" t="s">
        <v>37</v>
      </c>
      <c r="N2996" t="s">
        <v>162</v>
      </c>
    </row>
    <row r="2997" spans="1:14" x14ac:dyDescent="0.3">
      <c r="A2997" t="s">
        <v>37</v>
      </c>
      <c r="B2997">
        <f>VLOOKUP(M2997,Sheet9!$I$1:$J$17,2,FALSE)</f>
        <v>4</v>
      </c>
      <c r="C2997">
        <f>VLOOKUP(N2997,Sheet9!$M$1:$N$2,2,FALSE)</f>
        <v>1</v>
      </c>
      <c r="D2997">
        <v>32</v>
      </c>
      <c r="E2997" t="s">
        <v>167</v>
      </c>
      <c r="F2997">
        <v>150</v>
      </c>
      <c r="H2997">
        <v>32</v>
      </c>
      <c r="I2997">
        <v>0.6</v>
      </c>
      <c r="J2997">
        <v>19.2</v>
      </c>
      <c r="K2997">
        <v>9.41</v>
      </c>
      <c r="L2997">
        <v>14.11</v>
      </c>
      <c r="M2997" t="s">
        <v>37</v>
      </c>
      <c r="N2997" t="s">
        <v>162</v>
      </c>
    </row>
    <row r="2998" spans="1:14" x14ac:dyDescent="0.3">
      <c r="A2998" t="s">
        <v>37</v>
      </c>
      <c r="B2998">
        <f>VLOOKUP(M2998,Sheet9!$I$1:$J$17,2,FALSE)</f>
        <v>4</v>
      </c>
      <c r="C2998">
        <f>VLOOKUP(N2998,Sheet9!$M$1:$N$2,2,FALSE)</f>
        <v>1</v>
      </c>
      <c r="D2998">
        <v>32</v>
      </c>
      <c r="E2998" t="s">
        <v>167</v>
      </c>
      <c r="F2998">
        <v>150</v>
      </c>
      <c r="H2998">
        <v>48</v>
      </c>
      <c r="I2998">
        <v>1.2</v>
      </c>
      <c r="J2998">
        <v>57.599999999999994</v>
      </c>
      <c r="K2998">
        <v>8.5399999999999991</v>
      </c>
      <c r="L2998">
        <v>12.81</v>
      </c>
      <c r="M2998" t="s">
        <v>37</v>
      </c>
      <c r="N2998" t="s">
        <v>162</v>
      </c>
    </row>
    <row r="2999" spans="1:14" x14ac:dyDescent="0.3">
      <c r="A2999" t="s">
        <v>37</v>
      </c>
      <c r="B2999">
        <f>VLOOKUP(M2999,Sheet9!$I$1:$J$17,2,FALSE)</f>
        <v>4</v>
      </c>
      <c r="C2999">
        <f>VLOOKUP(N2999,Sheet9!$M$1:$N$2,2,FALSE)</f>
        <v>1</v>
      </c>
      <c r="D2999">
        <v>32</v>
      </c>
      <c r="E2999" t="s">
        <v>167</v>
      </c>
      <c r="F2999">
        <v>150</v>
      </c>
      <c r="H2999">
        <v>64</v>
      </c>
      <c r="I2999">
        <v>1.2</v>
      </c>
      <c r="J2999">
        <v>76.8</v>
      </c>
      <c r="K2999">
        <v>8.11</v>
      </c>
      <c r="L2999">
        <v>12.15</v>
      </c>
      <c r="M2999" t="s">
        <v>37</v>
      </c>
      <c r="N2999" t="s">
        <v>162</v>
      </c>
    </row>
    <row r="3000" spans="1:14" x14ac:dyDescent="0.3">
      <c r="A3000" t="s">
        <v>37</v>
      </c>
      <c r="B3000">
        <f>VLOOKUP(M3000,Sheet9!$I$1:$J$17,2,FALSE)</f>
        <v>4</v>
      </c>
      <c r="C3000">
        <f>VLOOKUP(N3000,Sheet9!$M$1:$N$2,2,FALSE)</f>
        <v>1</v>
      </c>
      <c r="D3000">
        <v>32</v>
      </c>
      <c r="E3000" t="s">
        <v>167</v>
      </c>
      <c r="F3000">
        <v>150</v>
      </c>
      <c r="H3000">
        <v>96</v>
      </c>
      <c r="I3000">
        <v>0.6</v>
      </c>
      <c r="J3000">
        <v>57.599999999999994</v>
      </c>
      <c r="K3000">
        <v>8.6199999999999992</v>
      </c>
      <c r="L3000">
        <v>11.43</v>
      </c>
      <c r="M3000" t="s">
        <v>37</v>
      </c>
      <c r="N3000" t="s">
        <v>162</v>
      </c>
    </row>
    <row r="3001" spans="1:14" x14ac:dyDescent="0.3">
      <c r="A3001" t="s">
        <v>37</v>
      </c>
      <c r="B3001">
        <f>VLOOKUP(M3001,Sheet9!$I$1:$J$17,2,FALSE)</f>
        <v>4</v>
      </c>
      <c r="C3001">
        <f>VLOOKUP(N3001,Sheet9!$M$1:$N$2,2,FALSE)</f>
        <v>1</v>
      </c>
      <c r="D3001">
        <v>32</v>
      </c>
      <c r="E3001" t="s">
        <v>167</v>
      </c>
      <c r="F3001">
        <v>150</v>
      </c>
      <c r="H3001">
        <v>24</v>
      </c>
      <c r="I3001">
        <v>1.2</v>
      </c>
      <c r="J3001">
        <v>28.799999999999997</v>
      </c>
      <c r="K3001">
        <v>8.39</v>
      </c>
      <c r="L3001">
        <v>12.58</v>
      </c>
      <c r="M3001" t="s">
        <v>37</v>
      </c>
      <c r="N3001" t="s">
        <v>162</v>
      </c>
    </row>
    <row r="3002" spans="1:14" x14ac:dyDescent="0.3">
      <c r="A3002" t="s">
        <v>37</v>
      </c>
      <c r="B3002">
        <f>VLOOKUP(M3002,Sheet9!$I$1:$J$17,2,FALSE)</f>
        <v>4</v>
      </c>
      <c r="C3002">
        <f>VLOOKUP(N3002,Sheet9!$M$1:$N$2,2,FALSE)</f>
        <v>1</v>
      </c>
      <c r="D3002">
        <v>32</v>
      </c>
      <c r="E3002" t="s">
        <v>95</v>
      </c>
      <c r="F3002">
        <v>150</v>
      </c>
      <c r="H3002">
        <v>48</v>
      </c>
      <c r="I3002">
        <v>1.2</v>
      </c>
      <c r="J3002">
        <v>57.599999999999994</v>
      </c>
      <c r="K3002">
        <v>7.63</v>
      </c>
      <c r="L3002">
        <v>11.44</v>
      </c>
      <c r="M3002" t="s">
        <v>37</v>
      </c>
      <c r="N3002" t="s">
        <v>162</v>
      </c>
    </row>
    <row r="3003" spans="1:14" x14ac:dyDescent="0.3">
      <c r="A3003" t="s">
        <v>37</v>
      </c>
      <c r="B3003">
        <f>VLOOKUP(M3003,Sheet9!$I$1:$J$17,2,FALSE)</f>
        <v>4</v>
      </c>
      <c r="C3003">
        <f>VLOOKUP(N3003,Sheet9!$M$1:$N$2,2,FALSE)</f>
        <v>1</v>
      </c>
      <c r="D3003">
        <v>32</v>
      </c>
      <c r="E3003" t="s">
        <v>95</v>
      </c>
      <c r="F3003">
        <v>100</v>
      </c>
      <c r="G3003" t="s">
        <v>139</v>
      </c>
      <c r="H3003">
        <v>2</v>
      </c>
      <c r="I3003">
        <v>1</v>
      </c>
      <c r="J3003">
        <v>2</v>
      </c>
      <c r="K3003">
        <v>0.28000000000000003</v>
      </c>
      <c r="L3003">
        <v>0.39</v>
      </c>
      <c r="M3003" t="s">
        <v>37</v>
      </c>
      <c r="N3003" t="s">
        <v>162</v>
      </c>
    </row>
    <row r="3004" spans="1:14" x14ac:dyDescent="0.3">
      <c r="A3004" t="s">
        <v>37</v>
      </c>
      <c r="B3004">
        <f>VLOOKUP(M3004,Sheet9!$I$1:$J$17,2,FALSE)</f>
        <v>4</v>
      </c>
      <c r="C3004">
        <f>VLOOKUP(N3004,Sheet9!$M$1:$N$2,2,FALSE)</f>
        <v>1</v>
      </c>
      <c r="D3004">
        <v>32</v>
      </c>
      <c r="E3004" t="s">
        <v>95</v>
      </c>
      <c r="F3004">
        <v>100</v>
      </c>
      <c r="G3004" t="s">
        <v>139</v>
      </c>
      <c r="H3004">
        <v>6</v>
      </c>
      <c r="I3004">
        <v>0.6</v>
      </c>
      <c r="J3004">
        <v>3.6</v>
      </c>
      <c r="K3004">
        <v>0.47</v>
      </c>
      <c r="L3004">
        <v>0.66</v>
      </c>
      <c r="M3004" t="s">
        <v>37</v>
      </c>
      <c r="N3004" t="s">
        <v>162</v>
      </c>
    </row>
    <row r="3005" spans="1:14" x14ac:dyDescent="0.3">
      <c r="A3005" t="s">
        <v>37</v>
      </c>
      <c r="B3005">
        <f>VLOOKUP(M3005,Sheet9!$I$1:$J$17,2,FALSE)</f>
        <v>4</v>
      </c>
      <c r="C3005">
        <f>VLOOKUP(N3005,Sheet9!$M$1:$N$2,2,FALSE)</f>
        <v>1</v>
      </c>
      <c r="D3005">
        <v>32</v>
      </c>
      <c r="E3005" t="s">
        <v>95</v>
      </c>
      <c r="F3005">
        <v>100</v>
      </c>
      <c r="G3005" t="s">
        <v>139</v>
      </c>
      <c r="H3005">
        <v>1</v>
      </c>
      <c r="I3005">
        <v>5</v>
      </c>
      <c r="J3005">
        <v>5</v>
      </c>
      <c r="K3005">
        <v>0.27</v>
      </c>
      <c r="L3005">
        <v>0.38</v>
      </c>
      <c r="M3005" t="s">
        <v>37</v>
      </c>
      <c r="N3005" t="s">
        <v>162</v>
      </c>
    </row>
    <row r="3006" spans="1:14" x14ac:dyDescent="0.3">
      <c r="A3006" t="s">
        <v>37</v>
      </c>
      <c r="B3006">
        <f>VLOOKUP(M3006,Sheet9!$I$1:$J$17,2,FALSE)</f>
        <v>4</v>
      </c>
      <c r="C3006">
        <f>VLOOKUP(N3006,Sheet9!$M$1:$N$2,2,FALSE)</f>
        <v>1</v>
      </c>
      <c r="D3006">
        <v>32</v>
      </c>
      <c r="E3006" t="s">
        <v>95</v>
      </c>
      <c r="F3006">
        <v>100</v>
      </c>
      <c r="G3006" t="s">
        <v>139</v>
      </c>
      <c r="H3006">
        <v>1</v>
      </c>
      <c r="I3006">
        <v>10</v>
      </c>
      <c r="J3006">
        <v>10</v>
      </c>
      <c r="K3006">
        <v>0.27</v>
      </c>
      <c r="L3006">
        <v>0.38</v>
      </c>
      <c r="M3006" t="s">
        <v>37</v>
      </c>
      <c r="N3006" t="s">
        <v>162</v>
      </c>
    </row>
    <row r="3007" spans="1:14" x14ac:dyDescent="0.3">
      <c r="A3007" t="s">
        <v>37</v>
      </c>
      <c r="B3007">
        <f>VLOOKUP(M3007,Sheet9!$I$1:$J$17,2,FALSE)</f>
        <v>4</v>
      </c>
      <c r="C3007">
        <f>VLOOKUP(N3007,Sheet9!$M$1:$N$2,2,FALSE)</f>
        <v>1</v>
      </c>
      <c r="D3007">
        <v>32</v>
      </c>
      <c r="E3007" t="s">
        <v>95</v>
      </c>
      <c r="F3007">
        <v>100</v>
      </c>
      <c r="G3007" t="s">
        <v>139</v>
      </c>
      <c r="H3007">
        <v>12</v>
      </c>
      <c r="I3007">
        <v>1.2</v>
      </c>
      <c r="J3007">
        <v>14.4</v>
      </c>
      <c r="K3007">
        <v>0.38</v>
      </c>
      <c r="L3007">
        <v>0.54</v>
      </c>
      <c r="M3007" t="s">
        <v>37</v>
      </c>
      <c r="N3007" t="s">
        <v>162</v>
      </c>
    </row>
    <row r="3008" spans="1:14" x14ac:dyDescent="0.3">
      <c r="A3008" t="s">
        <v>37</v>
      </c>
      <c r="B3008">
        <f>VLOOKUP(M3008,Sheet9!$I$1:$J$17,2,FALSE)</f>
        <v>4</v>
      </c>
      <c r="C3008">
        <f>VLOOKUP(N3008,Sheet9!$M$1:$N$2,2,FALSE)</f>
        <v>1</v>
      </c>
      <c r="D3008">
        <v>32</v>
      </c>
      <c r="E3008" t="s">
        <v>95</v>
      </c>
      <c r="F3008">
        <v>100</v>
      </c>
      <c r="G3008" t="s">
        <v>139</v>
      </c>
      <c r="H3008">
        <v>32</v>
      </c>
      <c r="I3008">
        <v>0.6</v>
      </c>
      <c r="J3008">
        <v>19.2</v>
      </c>
      <c r="K3008">
        <v>0.3</v>
      </c>
      <c r="L3008">
        <v>0.43</v>
      </c>
      <c r="M3008" t="s">
        <v>37</v>
      </c>
      <c r="N3008" t="s">
        <v>162</v>
      </c>
    </row>
    <row r="3009" spans="1:14" x14ac:dyDescent="0.3">
      <c r="A3009" t="s">
        <v>37</v>
      </c>
      <c r="B3009">
        <f>VLOOKUP(M3009,Sheet9!$I$1:$J$17,2,FALSE)</f>
        <v>4</v>
      </c>
      <c r="C3009">
        <f>VLOOKUP(N3009,Sheet9!$M$1:$N$2,2,FALSE)</f>
        <v>1</v>
      </c>
      <c r="D3009">
        <v>32</v>
      </c>
      <c r="E3009" t="s">
        <v>167</v>
      </c>
      <c r="F3009">
        <v>100</v>
      </c>
      <c r="G3009" t="s">
        <v>139</v>
      </c>
      <c r="H3009">
        <v>32</v>
      </c>
      <c r="I3009">
        <v>0.6</v>
      </c>
      <c r="J3009">
        <v>19.2</v>
      </c>
      <c r="K3009">
        <v>0.33</v>
      </c>
      <c r="L3009">
        <v>0.46</v>
      </c>
      <c r="M3009" t="s">
        <v>37</v>
      </c>
      <c r="N3009" t="s">
        <v>162</v>
      </c>
    </row>
    <row r="3010" spans="1:14" x14ac:dyDescent="0.3">
      <c r="A3010" t="s">
        <v>37</v>
      </c>
      <c r="B3010">
        <f>VLOOKUP(M3010,Sheet9!$I$1:$J$17,2,FALSE)</f>
        <v>4</v>
      </c>
      <c r="C3010">
        <f>VLOOKUP(N3010,Sheet9!$M$1:$N$2,2,FALSE)</f>
        <v>1</v>
      </c>
      <c r="D3010">
        <v>32</v>
      </c>
      <c r="E3010" t="s">
        <v>167</v>
      </c>
      <c r="F3010">
        <v>100</v>
      </c>
      <c r="G3010" t="s">
        <v>139</v>
      </c>
      <c r="H3010">
        <v>32</v>
      </c>
      <c r="I3010">
        <v>0.6</v>
      </c>
      <c r="J3010">
        <v>19.2</v>
      </c>
      <c r="K3010">
        <v>0.37</v>
      </c>
      <c r="L3010">
        <v>0.52</v>
      </c>
      <c r="M3010" t="s">
        <v>37</v>
      </c>
      <c r="N3010" t="s">
        <v>162</v>
      </c>
    </row>
    <row r="3011" spans="1:14" x14ac:dyDescent="0.3">
      <c r="A3011" t="s">
        <v>37</v>
      </c>
      <c r="B3011">
        <f>VLOOKUP(M3011,Sheet9!$I$1:$J$17,2,FALSE)</f>
        <v>4</v>
      </c>
      <c r="C3011">
        <f>VLOOKUP(N3011,Sheet9!$M$1:$N$2,2,FALSE)</f>
        <v>1</v>
      </c>
      <c r="D3011">
        <v>32</v>
      </c>
      <c r="E3011" t="s">
        <v>167</v>
      </c>
      <c r="F3011">
        <v>100</v>
      </c>
      <c r="G3011" t="s">
        <v>139</v>
      </c>
      <c r="H3011">
        <v>48</v>
      </c>
      <c r="I3011">
        <v>1.2</v>
      </c>
      <c r="J3011">
        <v>57.599999999999994</v>
      </c>
      <c r="K3011">
        <v>0.34</v>
      </c>
      <c r="L3011">
        <v>0.47</v>
      </c>
      <c r="M3011" t="s">
        <v>37</v>
      </c>
      <c r="N3011" t="s">
        <v>162</v>
      </c>
    </row>
    <row r="3012" spans="1:14" x14ac:dyDescent="0.3">
      <c r="A3012" t="s">
        <v>37</v>
      </c>
      <c r="B3012">
        <f>VLOOKUP(M3012,Sheet9!$I$1:$J$17,2,FALSE)</f>
        <v>4</v>
      </c>
      <c r="C3012">
        <f>VLOOKUP(N3012,Sheet9!$M$1:$N$2,2,FALSE)</f>
        <v>1</v>
      </c>
      <c r="D3012">
        <v>32</v>
      </c>
      <c r="E3012" t="s">
        <v>167</v>
      </c>
      <c r="F3012">
        <v>100</v>
      </c>
      <c r="G3012" t="s">
        <v>139</v>
      </c>
      <c r="H3012">
        <v>64</v>
      </c>
      <c r="I3012">
        <v>1.2</v>
      </c>
      <c r="J3012">
        <v>76.8</v>
      </c>
      <c r="K3012">
        <v>0.32</v>
      </c>
      <c r="L3012">
        <v>0.45</v>
      </c>
      <c r="M3012" t="s">
        <v>37</v>
      </c>
      <c r="N3012" t="s">
        <v>162</v>
      </c>
    </row>
    <row r="3013" spans="1:14" x14ac:dyDescent="0.3">
      <c r="A3013" t="s">
        <v>37</v>
      </c>
      <c r="B3013">
        <f>VLOOKUP(M3013,Sheet9!$I$1:$J$17,2,FALSE)</f>
        <v>4</v>
      </c>
      <c r="C3013">
        <f>VLOOKUP(N3013,Sheet9!$M$1:$N$2,2,FALSE)</f>
        <v>1</v>
      </c>
      <c r="D3013">
        <v>32</v>
      </c>
      <c r="E3013" t="s">
        <v>167</v>
      </c>
      <c r="F3013">
        <v>100</v>
      </c>
      <c r="G3013" t="s">
        <v>139</v>
      </c>
      <c r="H3013">
        <v>96</v>
      </c>
      <c r="I3013">
        <v>0.6</v>
      </c>
      <c r="J3013">
        <v>57.599999999999994</v>
      </c>
      <c r="K3013">
        <v>0.3</v>
      </c>
      <c r="L3013">
        <v>0.42</v>
      </c>
      <c r="M3013" t="s">
        <v>37</v>
      </c>
      <c r="N3013" t="s">
        <v>162</v>
      </c>
    </row>
    <row r="3014" spans="1:14" x14ac:dyDescent="0.3">
      <c r="A3014" t="s">
        <v>37</v>
      </c>
      <c r="B3014">
        <f>VLOOKUP(M3014,Sheet9!$I$1:$J$17,2,FALSE)</f>
        <v>4</v>
      </c>
      <c r="C3014">
        <f>VLOOKUP(N3014,Sheet9!$M$1:$N$2,2,FALSE)</f>
        <v>1</v>
      </c>
      <c r="D3014">
        <v>32</v>
      </c>
      <c r="E3014" t="s">
        <v>167</v>
      </c>
      <c r="F3014">
        <v>100</v>
      </c>
      <c r="G3014" t="s">
        <v>139</v>
      </c>
      <c r="H3014">
        <v>24</v>
      </c>
      <c r="I3014">
        <v>1.2</v>
      </c>
      <c r="J3014">
        <v>28.799999999999997</v>
      </c>
      <c r="K3014">
        <v>0.33</v>
      </c>
      <c r="L3014">
        <v>0.47</v>
      </c>
      <c r="M3014" t="s">
        <v>37</v>
      </c>
      <c r="N3014" t="s">
        <v>162</v>
      </c>
    </row>
    <row r="3015" spans="1:14" x14ac:dyDescent="0.3">
      <c r="A3015" t="s">
        <v>37</v>
      </c>
      <c r="B3015">
        <f>VLOOKUP(M3015,Sheet9!$I$1:$J$17,2,FALSE)</f>
        <v>4</v>
      </c>
      <c r="C3015">
        <f>VLOOKUP(N3015,Sheet9!$M$1:$N$2,2,FALSE)</f>
        <v>1</v>
      </c>
      <c r="D3015">
        <v>32</v>
      </c>
      <c r="E3015" t="s">
        <v>95</v>
      </c>
      <c r="F3015">
        <v>100</v>
      </c>
      <c r="G3015" t="s">
        <v>139</v>
      </c>
      <c r="H3015">
        <v>48</v>
      </c>
      <c r="I3015">
        <v>1.2</v>
      </c>
      <c r="J3015">
        <v>57.599999999999994</v>
      </c>
      <c r="K3015">
        <v>0.3</v>
      </c>
      <c r="L3015">
        <v>0.42</v>
      </c>
      <c r="M3015" t="s">
        <v>37</v>
      </c>
      <c r="N3015" t="s">
        <v>162</v>
      </c>
    </row>
    <row r="3016" spans="1:14" x14ac:dyDescent="0.3">
      <c r="A3016" t="s">
        <v>37</v>
      </c>
      <c r="B3016">
        <f>VLOOKUP(M3016,Sheet9!$I$1:$J$17,2,FALSE)</f>
        <v>4</v>
      </c>
      <c r="C3016">
        <f>VLOOKUP(N3016,Sheet9!$M$1:$N$2,2,FALSE)</f>
        <v>1</v>
      </c>
      <c r="D3016">
        <v>32</v>
      </c>
      <c r="E3016" t="s">
        <v>95</v>
      </c>
      <c r="F3016">
        <v>120</v>
      </c>
      <c r="G3016" t="s">
        <v>139</v>
      </c>
      <c r="H3016">
        <v>2</v>
      </c>
      <c r="I3016">
        <v>1</v>
      </c>
      <c r="J3016">
        <v>2</v>
      </c>
      <c r="K3016">
        <v>0.71</v>
      </c>
      <c r="L3016">
        <v>1</v>
      </c>
      <c r="M3016" t="s">
        <v>37</v>
      </c>
      <c r="N3016" t="s">
        <v>162</v>
      </c>
    </row>
    <row r="3017" spans="1:14" x14ac:dyDescent="0.3">
      <c r="A3017" t="s">
        <v>37</v>
      </c>
      <c r="B3017">
        <f>VLOOKUP(M3017,Sheet9!$I$1:$J$17,2,FALSE)</f>
        <v>4</v>
      </c>
      <c r="C3017">
        <f>VLOOKUP(N3017,Sheet9!$M$1:$N$2,2,FALSE)</f>
        <v>1</v>
      </c>
      <c r="D3017">
        <v>32</v>
      </c>
      <c r="E3017" t="s">
        <v>95</v>
      </c>
      <c r="F3017">
        <v>120</v>
      </c>
      <c r="G3017" t="s">
        <v>139</v>
      </c>
      <c r="H3017">
        <v>6</v>
      </c>
      <c r="I3017">
        <v>0.6</v>
      </c>
      <c r="J3017">
        <v>3.6</v>
      </c>
      <c r="K3017">
        <v>1.19</v>
      </c>
      <c r="L3017">
        <v>1.67</v>
      </c>
      <c r="M3017" t="s">
        <v>37</v>
      </c>
      <c r="N3017" t="s">
        <v>162</v>
      </c>
    </row>
    <row r="3018" spans="1:14" x14ac:dyDescent="0.3">
      <c r="A3018" t="s">
        <v>37</v>
      </c>
      <c r="B3018">
        <f>VLOOKUP(M3018,Sheet9!$I$1:$J$17,2,FALSE)</f>
        <v>4</v>
      </c>
      <c r="C3018">
        <f>VLOOKUP(N3018,Sheet9!$M$1:$N$2,2,FALSE)</f>
        <v>1</v>
      </c>
      <c r="D3018">
        <v>32</v>
      </c>
      <c r="E3018" t="s">
        <v>95</v>
      </c>
      <c r="F3018">
        <v>120</v>
      </c>
      <c r="G3018" t="s">
        <v>139</v>
      </c>
      <c r="H3018">
        <v>1</v>
      </c>
      <c r="I3018">
        <v>5</v>
      </c>
      <c r="J3018">
        <v>5</v>
      </c>
      <c r="K3018">
        <v>0.69</v>
      </c>
      <c r="L3018">
        <v>0.97</v>
      </c>
      <c r="M3018" t="s">
        <v>37</v>
      </c>
      <c r="N3018" t="s">
        <v>162</v>
      </c>
    </row>
    <row r="3019" spans="1:14" x14ac:dyDescent="0.3">
      <c r="A3019" t="s">
        <v>37</v>
      </c>
      <c r="B3019">
        <f>VLOOKUP(M3019,Sheet9!$I$1:$J$17,2,FALSE)</f>
        <v>4</v>
      </c>
      <c r="C3019">
        <f>VLOOKUP(N3019,Sheet9!$M$1:$N$2,2,FALSE)</f>
        <v>1</v>
      </c>
      <c r="D3019">
        <v>32</v>
      </c>
      <c r="E3019" t="s">
        <v>95</v>
      </c>
      <c r="F3019">
        <v>120</v>
      </c>
      <c r="G3019" t="s">
        <v>139</v>
      </c>
      <c r="H3019">
        <v>1</v>
      </c>
      <c r="I3019">
        <v>10</v>
      </c>
      <c r="J3019">
        <v>10</v>
      </c>
      <c r="K3019">
        <v>0.69</v>
      </c>
      <c r="L3019">
        <v>0.97</v>
      </c>
      <c r="M3019" t="s">
        <v>37</v>
      </c>
      <c r="N3019" t="s">
        <v>162</v>
      </c>
    </row>
    <row r="3020" spans="1:14" x14ac:dyDescent="0.3">
      <c r="A3020" t="s">
        <v>37</v>
      </c>
      <c r="B3020">
        <f>VLOOKUP(M3020,Sheet9!$I$1:$J$17,2,FALSE)</f>
        <v>4</v>
      </c>
      <c r="C3020">
        <f>VLOOKUP(N3020,Sheet9!$M$1:$N$2,2,FALSE)</f>
        <v>1</v>
      </c>
      <c r="D3020">
        <v>32</v>
      </c>
      <c r="E3020" t="s">
        <v>95</v>
      </c>
      <c r="F3020">
        <v>120</v>
      </c>
      <c r="G3020" t="s">
        <v>139</v>
      </c>
      <c r="H3020">
        <v>12</v>
      </c>
      <c r="I3020">
        <v>1.2</v>
      </c>
      <c r="J3020">
        <v>14.4</v>
      </c>
      <c r="K3020">
        <v>0.99</v>
      </c>
      <c r="L3020">
        <v>1.38</v>
      </c>
      <c r="M3020" t="s">
        <v>37</v>
      </c>
      <c r="N3020" t="s">
        <v>162</v>
      </c>
    </row>
    <row r="3021" spans="1:14" x14ac:dyDescent="0.3">
      <c r="A3021" t="s">
        <v>37</v>
      </c>
      <c r="B3021">
        <f>VLOOKUP(M3021,Sheet9!$I$1:$J$17,2,FALSE)</f>
        <v>4</v>
      </c>
      <c r="C3021">
        <f>VLOOKUP(N3021,Sheet9!$M$1:$N$2,2,FALSE)</f>
        <v>1</v>
      </c>
      <c r="D3021">
        <v>32</v>
      </c>
      <c r="E3021" t="s">
        <v>95</v>
      </c>
      <c r="F3021">
        <v>120</v>
      </c>
      <c r="G3021" t="s">
        <v>139</v>
      </c>
      <c r="H3021">
        <v>32</v>
      </c>
      <c r="I3021">
        <v>0.6</v>
      </c>
      <c r="J3021">
        <v>19.2</v>
      </c>
      <c r="K3021">
        <v>0.78</v>
      </c>
      <c r="L3021">
        <v>1.0900000000000001</v>
      </c>
      <c r="M3021" t="s">
        <v>37</v>
      </c>
      <c r="N3021" t="s">
        <v>162</v>
      </c>
    </row>
    <row r="3022" spans="1:14" x14ac:dyDescent="0.3">
      <c r="A3022" t="s">
        <v>37</v>
      </c>
      <c r="B3022">
        <f>VLOOKUP(M3022,Sheet9!$I$1:$J$17,2,FALSE)</f>
        <v>4</v>
      </c>
      <c r="C3022">
        <f>VLOOKUP(N3022,Sheet9!$M$1:$N$2,2,FALSE)</f>
        <v>1</v>
      </c>
      <c r="D3022">
        <v>32</v>
      </c>
      <c r="E3022" t="s">
        <v>167</v>
      </c>
      <c r="F3022">
        <v>120</v>
      </c>
      <c r="G3022" t="s">
        <v>139</v>
      </c>
      <c r="H3022">
        <v>32</v>
      </c>
      <c r="I3022">
        <v>0.6</v>
      </c>
      <c r="J3022">
        <v>19.2</v>
      </c>
      <c r="K3022">
        <v>0.84</v>
      </c>
      <c r="L3022">
        <v>1.17</v>
      </c>
      <c r="M3022" t="s">
        <v>37</v>
      </c>
      <c r="N3022" t="s">
        <v>162</v>
      </c>
    </row>
    <row r="3023" spans="1:14" x14ac:dyDescent="0.3">
      <c r="A3023" t="s">
        <v>37</v>
      </c>
      <c r="B3023">
        <f>VLOOKUP(M3023,Sheet9!$I$1:$J$17,2,FALSE)</f>
        <v>4</v>
      </c>
      <c r="C3023">
        <f>VLOOKUP(N3023,Sheet9!$M$1:$N$2,2,FALSE)</f>
        <v>1</v>
      </c>
      <c r="D3023">
        <v>32</v>
      </c>
      <c r="E3023" t="s">
        <v>167</v>
      </c>
      <c r="F3023">
        <v>120</v>
      </c>
      <c r="G3023" t="s">
        <v>139</v>
      </c>
      <c r="H3023">
        <v>32</v>
      </c>
      <c r="I3023">
        <v>0.6</v>
      </c>
      <c r="J3023">
        <v>19.2</v>
      </c>
      <c r="K3023">
        <v>0.95</v>
      </c>
      <c r="L3023">
        <v>1.33</v>
      </c>
      <c r="M3023" t="s">
        <v>37</v>
      </c>
      <c r="N3023" t="s">
        <v>162</v>
      </c>
    </row>
    <row r="3024" spans="1:14" x14ac:dyDescent="0.3">
      <c r="A3024" t="s">
        <v>37</v>
      </c>
      <c r="B3024">
        <f>VLOOKUP(M3024,Sheet9!$I$1:$J$17,2,FALSE)</f>
        <v>4</v>
      </c>
      <c r="C3024">
        <f>VLOOKUP(N3024,Sheet9!$M$1:$N$2,2,FALSE)</f>
        <v>1</v>
      </c>
      <c r="D3024">
        <v>32</v>
      </c>
      <c r="E3024" t="s">
        <v>167</v>
      </c>
      <c r="F3024">
        <v>120</v>
      </c>
      <c r="G3024" t="s">
        <v>139</v>
      </c>
      <c r="H3024">
        <v>48</v>
      </c>
      <c r="I3024">
        <v>1.2</v>
      </c>
      <c r="J3024">
        <v>57.599999999999994</v>
      </c>
      <c r="K3024">
        <v>0.86</v>
      </c>
      <c r="L3024">
        <v>1.21</v>
      </c>
      <c r="M3024" t="s">
        <v>37</v>
      </c>
      <c r="N3024" t="s">
        <v>162</v>
      </c>
    </row>
    <row r="3025" spans="1:14" x14ac:dyDescent="0.3">
      <c r="A3025" t="s">
        <v>37</v>
      </c>
      <c r="B3025">
        <f>VLOOKUP(M3025,Sheet9!$I$1:$J$17,2,FALSE)</f>
        <v>4</v>
      </c>
      <c r="C3025">
        <f>VLOOKUP(N3025,Sheet9!$M$1:$N$2,2,FALSE)</f>
        <v>1</v>
      </c>
      <c r="D3025">
        <v>32</v>
      </c>
      <c r="E3025" t="s">
        <v>167</v>
      </c>
      <c r="F3025">
        <v>120</v>
      </c>
      <c r="G3025" t="s">
        <v>139</v>
      </c>
      <c r="H3025">
        <v>64</v>
      </c>
      <c r="I3025">
        <v>1.2</v>
      </c>
      <c r="J3025">
        <v>76.8</v>
      </c>
      <c r="K3025">
        <v>0.82</v>
      </c>
      <c r="L3025">
        <v>1.1499999999999999</v>
      </c>
      <c r="M3025" t="s">
        <v>37</v>
      </c>
      <c r="N3025" t="s">
        <v>162</v>
      </c>
    </row>
    <row r="3026" spans="1:14" x14ac:dyDescent="0.3">
      <c r="A3026" t="s">
        <v>37</v>
      </c>
      <c r="B3026">
        <f>VLOOKUP(M3026,Sheet9!$I$1:$J$17,2,FALSE)</f>
        <v>4</v>
      </c>
      <c r="C3026">
        <f>VLOOKUP(N3026,Sheet9!$M$1:$N$2,2,FALSE)</f>
        <v>1</v>
      </c>
      <c r="D3026">
        <v>32</v>
      </c>
      <c r="E3026" t="s">
        <v>167</v>
      </c>
      <c r="F3026">
        <v>120</v>
      </c>
      <c r="G3026" t="s">
        <v>139</v>
      </c>
      <c r="H3026">
        <v>96</v>
      </c>
      <c r="I3026">
        <v>0.6</v>
      </c>
      <c r="J3026">
        <v>57.599999999999994</v>
      </c>
      <c r="K3026">
        <v>0.77</v>
      </c>
      <c r="L3026">
        <v>1.08</v>
      </c>
      <c r="M3026" t="s">
        <v>37</v>
      </c>
      <c r="N3026" t="s">
        <v>162</v>
      </c>
    </row>
    <row r="3027" spans="1:14" x14ac:dyDescent="0.3">
      <c r="A3027" t="s">
        <v>37</v>
      </c>
      <c r="B3027">
        <f>VLOOKUP(M3027,Sheet9!$I$1:$J$17,2,FALSE)</f>
        <v>4</v>
      </c>
      <c r="C3027">
        <f>VLOOKUP(N3027,Sheet9!$M$1:$N$2,2,FALSE)</f>
        <v>1</v>
      </c>
      <c r="D3027">
        <v>32</v>
      </c>
      <c r="E3027" t="s">
        <v>167</v>
      </c>
      <c r="F3027">
        <v>120</v>
      </c>
      <c r="G3027" t="s">
        <v>139</v>
      </c>
      <c r="H3027">
        <v>24</v>
      </c>
      <c r="I3027">
        <v>1.2</v>
      </c>
      <c r="J3027">
        <v>28.799999999999997</v>
      </c>
      <c r="K3027">
        <v>0.85</v>
      </c>
      <c r="L3027">
        <v>1.19</v>
      </c>
      <c r="M3027" t="s">
        <v>37</v>
      </c>
      <c r="N3027" t="s">
        <v>162</v>
      </c>
    </row>
    <row r="3028" spans="1:14" x14ac:dyDescent="0.3">
      <c r="A3028" t="s">
        <v>37</v>
      </c>
      <c r="B3028">
        <f>VLOOKUP(M3028,Sheet9!$I$1:$J$17,2,FALSE)</f>
        <v>4</v>
      </c>
      <c r="C3028">
        <f>VLOOKUP(N3028,Sheet9!$M$1:$N$2,2,FALSE)</f>
        <v>1</v>
      </c>
      <c r="D3028">
        <v>32</v>
      </c>
      <c r="E3028" t="s">
        <v>95</v>
      </c>
      <c r="F3028">
        <v>120</v>
      </c>
      <c r="G3028" t="s">
        <v>139</v>
      </c>
      <c r="H3028">
        <v>48</v>
      </c>
      <c r="I3028">
        <v>1.2</v>
      </c>
      <c r="J3028">
        <v>57.599999999999994</v>
      </c>
      <c r="K3028">
        <v>0.77</v>
      </c>
      <c r="L3028">
        <v>1.08</v>
      </c>
      <c r="M3028" t="s">
        <v>37</v>
      </c>
      <c r="N3028" t="s">
        <v>162</v>
      </c>
    </row>
    <row r="3029" spans="1:14" x14ac:dyDescent="0.3">
      <c r="A3029" t="s">
        <v>37</v>
      </c>
      <c r="B3029">
        <f>VLOOKUP(M3029,Sheet9!$I$1:$J$17,2,FALSE)</f>
        <v>4</v>
      </c>
      <c r="C3029">
        <f>VLOOKUP(N3029,Sheet9!$M$1:$N$2,2,FALSE)</f>
        <v>1</v>
      </c>
      <c r="D3029">
        <v>32</v>
      </c>
      <c r="E3029" t="s">
        <v>95</v>
      </c>
      <c r="F3029">
        <v>150</v>
      </c>
      <c r="G3029" t="s">
        <v>139</v>
      </c>
      <c r="H3029">
        <v>2</v>
      </c>
      <c r="I3029">
        <v>1</v>
      </c>
      <c r="J3029">
        <v>2</v>
      </c>
      <c r="K3029">
        <v>1.96</v>
      </c>
      <c r="L3029">
        <v>2.7</v>
      </c>
      <c r="M3029" t="s">
        <v>37</v>
      </c>
      <c r="N3029" t="s">
        <v>162</v>
      </c>
    </row>
    <row r="3030" spans="1:14" x14ac:dyDescent="0.3">
      <c r="A3030" t="s">
        <v>37</v>
      </c>
      <c r="B3030">
        <f>VLOOKUP(M3030,Sheet9!$I$1:$J$17,2,FALSE)</f>
        <v>4</v>
      </c>
      <c r="C3030">
        <f>VLOOKUP(N3030,Sheet9!$M$1:$N$2,2,FALSE)</f>
        <v>1</v>
      </c>
      <c r="D3030">
        <v>32</v>
      </c>
      <c r="E3030" t="s">
        <v>95</v>
      </c>
      <c r="F3030">
        <v>150</v>
      </c>
      <c r="G3030" t="s">
        <v>139</v>
      </c>
      <c r="H3030">
        <v>6</v>
      </c>
      <c r="I3030">
        <v>0.6</v>
      </c>
      <c r="J3030">
        <v>3.6</v>
      </c>
      <c r="K3030">
        <v>3.27</v>
      </c>
      <c r="L3030">
        <v>4.51</v>
      </c>
      <c r="M3030" t="s">
        <v>37</v>
      </c>
      <c r="N3030" t="s">
        <v>162</v>
      </c>
    </row>
    <row r="3031" spans="1:14" x14ac:dyDescent="0.3">
      <c r="A3031" t="s">
        <v>37</v>
      </c>
      <c r="B3031">
        <f>VLOOKUP(M3031,Sheet9!$I$1:$J$17,2,FALSE)</f>
        <v>4</v>
      </c>
      <c r="C3031">
        <f>VLOOKUP(N3031,Sheet9!$M$1:$N$2,2,FALSE)</f>
        <v>1</v>
      </c>
      <c r="D3031">
        <v>32</v>
      </c>
      <c r="E3031" t="s">
        <v>95</v>
      </c>
      <c r="F3031">
        <v>150</v>
      </c>
      <c r="G3031" t="s">
        <v>139</v>
      </c>
      <c r="H3031">
        <v>1</v>
      </c>
      <c r="I3031">
        <v>5</v>
      </c>
      <c r="J3031">
        <v>5</v>
      </c>
      <c r="K3031">
        <v>1.89</v>
      </c>
      <c r="L3031">
        <v>2.61</v>
      </c>
      <c r="M3031" t="s">
        <v>37</v>
      </c>
      <c r="N3031" t="s">
        <v>162</v>
      </c>
    </row>
    <row r="3032" spans="1:14" x14ac:dyDescent="0.3">
      <c r="A3032" t="s">
        <v>37</v>
      </c>
      <c r="B3032">
        <f>VLOOKUP(M3032,Sheet9!$I$1:$J$17,2,FALSE)</f>
        <v>4</v>
      </c>
      <c r="C3032">
        <f>VLOOKUP(N3032,Sheet9!$M$1:$N$2,2,FALSE)</f>
        <v>1</v>
      </c>
      <c r="D3032">
        <v>32</v>
      </c>
      <c r="E3032" t="s">
        <v>95</v>
      </c>
      <c r="F3032">
        <v>150</v>
      </c>
      <c r="G3032" t="s">
        <v>139</v>
      </c>
      <c r="H3032">
        <v>1</v>
      </c>
      <c r="I3032">
        <v>10</v>
      </c>
      <c r="J3032">
        <v>10</v>
      </c>
      <c r="K3032">
        <v>1.89</v>
      </c>
      <c r="L3032">
        <v>2.61</v>
      </c>
      <c r="M3032" t="s">
        <v>37</v>
      </c>
      <c r="N3032" t="s">
        <v>162</v>
      </c>
    </row>
    <row r="3033" spans="1:14" x14ac:dyDescent="0.3">
      <c r="A3033" t="s">
        <v>37</v>
      </c>
      <c r="B3033">
        <f>VLOOKUP(M3033,Sheet9!$I$1:$J$17,2,FALSE)</f>
        <v>4</v>
      </c>
      <c r="C3033">
        <f>VLOOKUP(N3033,Sheet9!$M$1:$N$2,2,FALSE)</f>
        <v>1</v>
      </c>
      <c r="D3033">
        <v>32</v>
      </c>
      <c r="E3033" t="s">
        <v>95</v>
      </c>
      <c r="F3033">
        <v>150</v>
      </c>
      <c r="G3033" t="s">
        <v>139</v>
      </c>
      <c r="H3033">
        <v>12</v>
      </c>
      <c r="I3033">
        <v>1.2</v>
      </c>
      <c r="J3033">
        <v>14.4</v>
      </c>
      <c r="K3033">
        <v>2.7</v>
      </c>
      <c r="L3033">
        <v>3.73</v>
      </c>
      <c r="M3033" t="s">
        <v>37</v>
      </c>
      <c r="N3033" t="s">
        <v>162</v>
      </c>
    </row>
    <row r="3034" spans="1:14" x14ac:dyDescent="0.3">
      <c r="A3034" t="s">
        <v>37</v>
      </c>
      <c r="B3034">
        <f>VLOOKUP(M3034,Sheet9!$I$1:$J$17,2,FALSE)</f>
        <v>4</v>
      </c>
      <c r="C3034">
        <f>VLOOKUP(N3034,Sheet9!$M$1:$N$2,2,FALSE)</f>
        <v>1</v>
      </c>
      <c r="D3034">
        <v>32</v>
      </c>
      <c r="E3034" t="s">
        <v>95</v>
      </c>
      <c r="F3034">
        <v>150</v>
      </c>
      <c r="G3034" t="s">
        <v>139</v>
      </c>
      <c r="H3034">
        <v>32</v>
      </c>
      <c r="I3034">
        <v>0.6</v>
      </c>
      <c r="J3034">
        <v>19.2</v>
      </c>
      <c r="K3034">
        <v>2.14</v>
      </c>
      <c r="L3034">
        <v>2.95</v>
      </c>
      <c r="M3034" t="s">
        <v>37</v>
      </c>
      <c r="N3034" t="s">
        <v>162</v>
      </c>
    </row>
    <row r="3035" spans="1:14" x14ac:dyDescent="0.3">
      <c r="A3035" t="s">
        <v>37</v>
      </c>
      <c r="B3035">
        <f>VLOOKUP(M3035,Sheet9!$I$1:$J$17,2,FALSE)</f>
        <v>4</v>
      </c>
      <c r="C3035">
        <f>VLOOKUP(N3035,Sheet9!$M$1:$N$2,2,FALSE)</f>
        <v>1</v>
      </c>
      <c r="D3035">
        <v>32</v>
      </c>
      <c r="E3035" t="s">
        <v>167</v>
      </c>
      <c r="F3035">
        <v>150</v>
      </c>
      <c r="G3035" t="s">
        <v>139</v>
      </c>
      <c r="H3035">
        <v>32</v>
      </c>
      <c r="I3035">
        <v>0.6</v>
      </c>
      <c r="J3035">
        <v>19.2</v>
      </c>
      <c r="K3035">
        <v>2.29</v>
      </c>
      <c r="L3035">
        <v>3.16</v>
      </c>
      <c r="M3035" t="s">
        <v>37</v>
      </c>
      <c r="N3035" t="s">
        <v>162</v>
      </c>
    </row>
    <row r="3036" spans="1:14" x14ac:dyDescent="0.3">
      <c r="A3036" t="s">
        <v>37</v>
      </c>
      <c r="B3036">
        <f>VLOOKUP(M3036,Sheet9!$I$1:$J$17,2,FALSE)</f>
        <v>4</v>
      </c>
      <c r="C3036">
        <f>VLOOKUP(N3036,Sheet9!$M$1:$N$2,2,FALSE)</f>
        <v>1</v>
      </c>
      <c r="D3036">
        <v>32</v>
      </c>
      <c r="E3036" t="s">
        <v>167</v>
      </c>
      <c r="F3036">
        <v>150</v>
      </c>
      <c r="G3036" t="s">
        <v>139</v>
      </c>
      <c r="H3036">
        <v>32</v>
      </c>
      <c r="I3036">
        <v>0.6</v>
      </c>
      <c r="J3036">
        <v>19.2</v>
      </c>
      <c r="K3036">
        <v>2.61</v>
      </c>
      <c r="L3036">
        <v>3.6</v>
      </c>
      <c r="M3036" t="s">
        <v>37</v>
      </c>
      <c r="N3036" t="s">
        <v>162</v>
      </c>
    </row>
    <row r="3037" spans="1:14" x14ac:dyDescent="0.3">
      <c r="A3037" t="s">
        <v>37</v>
      </c>
      <c r="B3037">
        <f>VLOOKUP(M3037,Sheet9!$I$1:$J$17,2,FALSE)</f>
        <v>4</v>
      </c>
      <c r="C3037">
        <f>VLOOKUP(N3037,Sheet9!$M$1:$N$2,2,FALSE)</f>
        <v>1</v>
      </c>
      <c r="D3037">
        <v>32</v>
      </c>
      <c r="E3037" t="s">
        <v>167</v>
      </c>
      <c r="F3037">
        <v>150</v>
      </c>
      <c r="G3037" t="s">
        <v>139</v>
      </c>
      <c r="H3037">
        <v>48</v>
      </c>
      <c r="I3037">
        <v>1.2</v>
      </c>
      <c r="J3037">
        <v>57.599999999999994</v>
      </c>
      <c r="K3037">
        <v>2.37</v>
      </c>
      <c r="L3037">
        <v>3.26</v>
      </c>
      <c r="M3037" t="s">
        <v>37</v>
      </c>
      <c r="N3037" t="s">
        <v>162</v>
      </c>
    </row>
    <row r="3038" spans="1:14" x14ac:dyDescent="0.3">
      <c r="A3038" t="s">
        <v>37</v>
      </c>
      <c r="B3038">
        <f>VLOOKUP(M3038,Sheet9!$I$1:$J$17,2,FALSE)</f>
        <v>4</v>
      </c>
      <c r="C3038">
        <f>VLOOKUP(N3038,Sheet9!$M$1:$N$2,2,FALSE)</f>
        <v>1</v>
      </c>
      <c r="D3038">
        <v>32</v>
      </c>
      <c r="E3038" t="s">
        <v>167</v>
      </c>
      <c r="F3038">
        <v>150</v>
      </c>
      <c r="G3038" t="s">
        <v>139</v>
      </c>
      <c r="H3038">
        <v>64</v>
      </c>
      <c r="I3038">
        <v>1.2</v>
      </c>
      <c r="J3038">
        <v>76.8</v>
      </c>
      <c r="K3038">
        <v>2.25</v>
      </c>
      <c r="L3038">
        <v>3.1</v>
      </c>
      <c r="M3038" t="s">
        <v>37</v>
      </c>
      <c r="N3038" t="s">
        <v>162</v>
      </c>
    </row>
    <row r="3039" spans="1:14" x14ac:dyDescent="0.3">
      <c r="A3039" t="s">
        <v>37</v>
      </c>
      <c r="B3039">
        <f>VLOOKUP(M3039,Sheet9!$I$1:$J$17,2,FALSE)</f>
        <v>4</v>
      </c>
      <c r="C3039">
        <f>VLOOKUP(N3039,Sheet9!$M$1:$N$2,2,FALSE)</f>
        <v>1</v>
      </c>
      <c r="D3039">
        <v>32</v>
      </c>
      <c r="E3039" t="s">
        <v>167</v>
      </c>
      <c r="F3039">
        <v>150</v>
      </c>
      <c r="G3039" t="s">
        <v>139</v>
      </c>
      <c r="H3039">
        <v>96</v>
      </c>
      <c r="I3039">
        <v>0.6</v>
      </c>
      <c r="J3039">
        <v>57.599999999999994</v>
      </c>
      <c r="K3039">
        <v>2.11</v>
      </c>
      <c r="L3039">
        <v>2.92</v>
      </c>
      <c r="M3039" t="s">
        <v>37</v>
      </c>
      <c r="N3039" t="s">
        <v>162</v>
      </c>
    </row>
    <row r="3040" spans="1:14" x14ac:dyDescent="0.3">
      <c r="A3040" t="s">
        <v>37</v>
      </c>
      <c r="B3040">
        <f>VLOOKUP(M3040,Sheet9!$I$1:$J$17,2,FALSE)</f>
        <v>4</v>
      </c>
      <c r="C3040">
        <f>VLOOKUP(N3040,Sheet9!$M$1:$N$2,2,FALSE)</f>
        <v>1</v>
      </c>
      <c r="D3040">
        <v>32</v>
      </c>
      <c r="E3040" t="s">
        <v>167</v>
      </c>
      <c r="F3040">
        <v>150</v>
      </c>
      <c r="G3040" t="s">
        <v>139</v>
      </c>
      <c r="H3040">
        <v>24</v>
      </c>
      <c r="I3040">
        <v>1.2</v>
      </c>
      <c r="J3040">
        <v>28.799999999999997</v>
      </c>
      <c r="K3040">
        <v>2.3199999999999998</v>
      </c>
      <c r="L3040">
        <v>3.21</v>
      </c>
      <c r="M3040" t="s">
        <v>37</v>
      </c>
      <c r="N3040" t="s">
        <v>162</v>
      </c>
    </row>
    <row r="3041" spans="1:14" x14ac:dyDescent="0.3">
      <c r="A3041" t="s">
        <v>37</v>
      </c>
      <c r="B3041">
        <f>VLOOKUP(M3041,Sheet9!$I$1:$J$17,2,FALSE)</f>
        <v>4</v>
      </c>
      <c r="C3041">
        <f>VLOOKUP(N3041,Sheet9!$M$1:$N$2,2,FALSE)</f>
        <v>1</v>
      </c>
      <c r="D3041">
        <v>32</v>
      </c>
      <c r="E3041" t="s">
        <v>95</v>
      </c>
      <c r="F3041">
        <v>150</v>
      </c>
      <c r="G3041" t="s">
        <v>139</v>
      </c>
      <c r="H3041">
        <v>48</v>
      </c>
      <c r="I3041">
        <v>1.2</v>
      </c>
      <c r="J3041">
        <v>57.599999999999994</v>
      </c>
      <c r="K3041">
        <v>2.11</v>
      </c>
      <c r="L3041">
        <v>2.92</v>
      </c>
      <c r="M3041" t="s">
        <v>37</v>
      </c>
      <c r="N3041" t="s">
        <v>162</v>
      </c>
    </row>
    <row r="3042" spans="1:14" x14ac:dyDescent="0.3">
      <c r="A3042" t="s">
        <v>37</v>
      </c>
      <c r="B3042">
        <f>VLOOKUP(M3042,Sheet9!$I$1:$J$17,2,FALSE)</f>
        <v>4</v>
      </c>
      <c r="C3042">
        <f>VLOOKUP(N3042,Sheet9!$M$1:$N$2,2,FALSE)</f>
        <v>1</v>
      </c>
      <c r="D3042">
        <v>32</v>
      </c>
      <c r="E3042" t="s">
        <v>96</v>
      </c>
      <c r="F3042">
        <v>70</v>
      </c>
      <c r="H3042">
        <v>2</v>
      </c>
      <c r="I3042">
        <v>1</v>
      </c>
      <c r="J3042">
        <v>2</v>
      </c>
      <c r="K3042">
        <v>0.51</v>
      </c>
      <c r="L3042">
        <v>0.83</v>
      </c>
      <c r="M3042" t="s">
        <v>37</v>
      </c>
      <c r="N3042" t="s">
        <v>162</v>
      </c>
    </row>
    <row r="3043" spans="1:14" x14ac:dyDescent="0.3">
      <c r="A3043" t="s">
        <v>37</v>
      </c>
      <c r="B3043">
        <f>VLOOKUP(M3043,Sheet9!$I$1:$J$17,2,FALSE)</f>
        <v>4</v>
      </c>
      <c r="C3043">
        <f>VLOOKUP(N3043,Sheet9!$M$1:$N$2,2,FALSE)</f>
        <v>1</v>
      </c>
      <c r="D3043">
        <v>32</v>
      </c>
      <c r="E3043" t="s">
        <v>96</v>
      </c>
      <c r="F3043">
        <v>70</v>
      </c>
      <c r="H3043">
        <v>6</v>
      </c>
      <c r="I3043">
        <v>0.6</v>
      </c>
      <c r="J3043">
        <v>3.6</v>
      </c>
      <c r="K3043">
        <v>0.84</v>
      </c>
      <c r="L3043">
        <v>1.39</v>
      </c>
      <c r="M3043" t="s">
        <v>37</v>
      </c>
      <c r="N3043" t="s">
        <v>162</v>
      </c>
    </row>
    <row r="3044" spans="1:14" x14ac:dyDescent="0.3">
      <c r="A3044" t="s">
        <v>37</v>
      </c>
      <c r="B3044">
        <f>VLOOKUP(M3044,Sheet9!$I$1:$J$17,2,FALSE)</f>
        <v>4</v>
      </c>
      <c r="C3044">
        <f>VLOOKUP(N3044,Sheet9!$M$1:$N$2,2,FALSE)</f>
        <v>1</v>
      </c>
      <c r="D3044">
        <v>32</v>
      </c>
      <c r="E3044" t="s">
        <v>96</v>
      </c>
      <c r="F3044">
        <v>70</v>
      </c>
      <c r="H3044">
        <v>1</v>
      </c>
      <c r="I3044">
        <v>5</v>
      </c>
      <c r="J3044">
        <v>5</v>
      </c>
      <c r="K3044">
        <v>0.49</v>
      </c>
      <c r="L3044">
        <v>0.81</v>
      </c>
      <c r="M3044" t="s">
        <v>37</v>
      </c>
      <c r="N3044" t="s">
        <v>162</v>
      </c>
    </row>
    <row r="3045" spans="1:14" x14ac:dyDescent="0.3">
      <c r="A3045" t="s">
        <v>37</v>
      </c>
      <c r="B3045">
        <f>VLOOKUP(M3045,Sheet9!$I$1:$J$17,2,FALSE)</f>
        <v>4</v>
      </c>
      <c r="C3045">
        <f>VLOOKUP(N3045,Sheet9!$M$1:$N$2,2,FALSE)</f>
        <v>1</v>
      </c>
      <c r="D3045">
        <v>32</v>
      </c>
      <c r="E3045" t="s">
        <v>96</v>
      </c>
      <c r="F3045">
        <v>70</v>
      </c>
      <c r="H3045">
        <v>1</v>
      </c>
      <c r="I3045">
        <v>10</v>
      </c>
      <c r="J3045">
        <v>10</v>
      </c>
      <c r="K3045">
        <v>0.49</v>
      </c>
      <c r="L3045">
        <v>0.81</v>
      </c>
      <c r="M3045" t="s">
        <v>37</v>
      </c>
      <c r="N3045" t="s">
        <v>162</v>
      </c>
    </row>
    <row r="3046" spans="1:14" x14ac:dyDescent="0.3">
      <c r="A3046" t="s">
        <v>37</v>
      </c>
      <c r="B3046">
        <f>VLOOKUP(M3046,Sheet9!$I$1:$J$17,2,FALSE)</f>
        <v>4</v>
      </c>
      <c r="C3046">
        <f>VLOOKUP(N3046,Sheet9!$M$1:$N$2,2,FALSE)</f>
        <v>1</v>
      </c>
      <c r="D3046">
        <v>32</v>
      </c>
      <c r="E3046" t="s">
        <v>96</v>
      </c>
      <c r="F3046">
        <v>70</v>
      </c>
      <c r="H3046">
        <v>12</v>
      </c>
      <c r="I3046">
        <v>1.2</v>
      </c>
      <c r="J3046">
        <v>14.4</v>
      </c>
      <c r="K3046">
        <v>0.7</v>
      </c>
      <c r="L3046">
        <v>1.1499999999999999</v>
      </c>
      <c r="M3046" t="s">
        <v>37</v>
      </c>
      <c r="N3046" t="s">
        <v>162</v>
      </c>
    </row>
    <row r="3047" spans="1:14" x14ac:dyDescent="0.3">
      <c r="A3047" t="s">
        <v>37</v>
      </c>
      <c r="B3047">
        <f>VLOOKUP(M3047,Sheet9!$I$1:$J$17,2,FALSE)</f>
        <v>4</v>
      </c>
      <c r="C3047">
        <f>VLOOKUP(N3047,Sheet9!$M$1:$N$2,2,FALSE)</f>
        <v>1</v>
      </c>
      <c r="D3047">
        <v>32</v>
      </c>
      <c r="E3047" t="s">
        <v>96</v>
      </c>
      <c r="F3047">
        <v>70</v>
      </c>
      <c r="H3047">
        <v>32</v>
      </c>
      <c r="I3047">
        <v>0.6</v>
      </c>
      <c r="J3047">
        <v>19.2</v>
      </c>
      <c r="K3047">
        <v>0.55000000000000004</v>
      </c>
      <c r="L3047">
        <v>0.91</v>
      </c>
      <c r="M3047" t="s">
        <v>37</v>
      </c>
      <c r="N3047" t="s">
        <v>162</v>
      </c>
    </row>
    <row r="3048" spans="1:14" x14ac:dyDescent="0.3">
      <c r="A3048" t="s">
        <v>37</v>
      </c>
      <c r="B3048">
        <f>VLOOKUP(M3048,Sheet9!$I$1:$J$17,2,FALSE)</f>
        <v>4</v>
      </c>
      <c r="C3048">
        <f>VLOOKUP(N3048,Sheet9!$M$1:$N$2,2,FALSE)</f>
        <v>1</v>
      </c>
      <c r="D3048">
        <v>32</v>
      </c>
      <c r="E3048" t="s">
        <v>168</v>
      </c>
      <c r="F3048">
        <v>70</v>
      </c>
      <c r="H3048">
        <v>32</v>
      </c>
      <c r="I3048">
        <v>0.6</v>
      </c>
      <c r="J3048">
        <v>19.2</v>
      </c>
      <c r="K3048">
        <v>0.59</v>
      </c>
      <c r="L3048">
        <v>0.98</v>
      </c>
      <c r="M3048" t="s">
        <v>37</v>
      </c>
      <c r="N3048" t="s">
        <v>162</v>
      </c>
    </row>
    <row r="3049" spans="1:14" x14ac:dyDescent="0.3">
      <c r="A3049" t="s">
        <v>37</v>
      </c>
      <c r="B3049">
        <f>VLOOKUP(M3049,Sheet9!$I$1:$J$17,2,FALSE)</f>
        <v>4</v>
      </c>
      <c r="C3049">
        <f>VLOOKUP(N3049,Sheet9!$M$1:$N$2,2,FALSE)</f>
        <v>1</v>
      </c>
      <c r="D3049">
        <v>32</v>
      </c>
      <c r="E3049" t="s">
        <v>168</v>
      </c>
      <c r="F3049">
        <v>70</v>
      </c>
      <c r="H3049">
        <v>32</v>
      </c>
      <c r="I3049">
        <v>0.6</v>
      </c>
      <c r="J3049">
        <v>19.2</v>
      </c>
      <c r="K3049">
        <v>0.67</v>
      </c>
      <c r="L3049">
        <v>1.1100000000000001</v>
      </c>
      <c r="M3049" t="s">
        <v>37</v>
      </c>
      <c r="N3049" t="s">
        <v>162</v>
      </c>
    </row>
    <row r="3050" spans="1:14" x14ac:dyDescent="0.3">
      <c r="A3050" t="s">
        <v>37</v>
      </c>
      <c r="B3050">
        <f>VLOOKUP(M3050,Sheet9!$I$1:$J$17,2,FALSE)</f>
        <v>4</v>
      </c>
      <c r="C3050">
        <f>VLOOKUP(N3050,Sheet9!$M$1:$N$2,2,FALSE)</f>
        <v>1</v>
      </c>
      <c r="D3050">
        <v>32</v>
      </c>
      <c r="E3050" t="s">
        <v>168</v>
      </c>
      <c r="F3050">
        <v>70</v>
      </c>
      <c r="H3050">
        <v>48</v>
      </c>
      <c r="I3050">
        <v>1.2</v>
      </c>
      <c r="J3050">
        <v>57.599999999999994</v>
      </c>
      <c r="K3050">
        <v>0.61</v>
      </c>
      <c r="L3050">
        <v>1.01</v>
      </c>
      <c r="M3050" t="s">
        <v>37</v>
      </c>
      <c r="N3050" t="s">
        <v>162</v>
      </c>
    </row>
    <row r="3051" spans="1:14" x14ac:dyDescent="0.3">
      <c r="A3051" t="s">
        <v>37</v>
      </c>
      <c r="B3051">
        <f>VLOOKUP(M3051,Sheet9!$I$1:$J$17,2,FALSE)</f>
        <v>4</v>
      </c>
      <c r="C3051">
        <f>VLOOKUP(N3051,Sheet9!$M$1:$N$2,2,FALSE)</f>
        <v>1</v>
      </c>
      <c r="D3051">
        <v>32</v>
      </c>
      <c r="E3051" t="s">
        <v>168</v>
      </c>
      <c r="F3051">
        <v>70</v>
      </c>
      <c r="H3051">
        <v>64</v>
      </c>
      <c r="I3051">
        <v>1.2</v>
      </c>
      <c r="J3051">
        <v>76.8</v>
      </c>
      <c r="K3051">
        <v>0.57999999999999996</v>
      </c>
      <c r="L3051">
        <v>0.96</v>
      </c>
      <c r="M3051" t="s">
        <v>37</v>
      </c>
      <c r="N3051" t="s">
        <v>162</v>
      </c>
    </row>
    <row r="3052" spans="1:14" x14ac:dyDescent="0.3">
      <c r="A3052" t="s">
        <v>37</v>
      </c>
      <c r="B3052">
        <f>VLOOKUP(M3052,Sheet9!$I$1:$J$17,2,FALSE)</f>
        <v>4</v>
      </c>
      <c r="C3052">
        <f>VLOOKUP(N3052,Sheet9!$M$1:$N$2,2,FALSE)</f>
        <v>1</v>
      </c>
      <c r="D3052">
        <v>32</v>
      </c>
      <c r="E3052" t="s">
        <v>168</v>
      </c>
      <c r="F3052">
        <v>70</v>
      </c>
      <c r="H3052">
        <v>96</v>
      </c>
      <c r="I3052">
        <v>0.6</v>
      </c>
      <c r="J3052">
        <v>57.599999999999994</v>
      </c>
      <c r="K3052">
        <v>0.54</v>
      </c>
      <c r="L3052">
        <v>0.9</v>
      </c>
      <c r="M3052" t="s">
        <v>37</v>
      </c>
      <c r="N3052" t="s">
        <v>162</v>
      </c>
    </row>
    <row r="3053" spans="1:14" x14ac:dyDescent="0.3">
      <c r="A3053" t="s">
        <v>37</v>
      </c>
      <c r="B3053">
        <f>VLOOKUP(M3053,Sheet9!$I$1:$J$17,2,FALSE)</f>
        <v>4</v>
      </c>
      <c r="C3053">
        <f>VLOOKUP(N3053,Sheet9!$M$1:$N$2,2,FALSE)</f>
        <v>1</v>
      </c>
      <c r="D3053">
        <v>32</v>
      </c>
      <c r="E3053" t="s">
        <v>168</v>
      </c>
      <c r="F3053">
        <v>70</v>
      </c>
      <c r="H3053">
        <v>24</v>
      </c>
      <c r="I3053">
        <v>1.2</v>
      </c>
      <c r="J3053">
        <v>28.799999999999997</v>
      </c>
      <c r="K3053">
        <v>0.6</v>
      </c>
      <c r="L3053">
        <v>0.99</v>
      </c>
      <c r="M3053" t="s">
        <v>37</v>
      </c>
      <c r="N3053" t="s">
        <v>162</v>
      </c>
    </row>
    <row r="3054" spans="1:14" x14ac:dyDescent="0.3">
      <c r="A3054" t="s">
        <v>37</v>
      </c>
      <c r="B3054">
        <f>VLOOKUP(M3054,Sheet9!$I$1:$J$17,2,FALSE)</f>
        <v>4</v>
      </c>
      <c r="C3054">
        <f>VLOOKUP(N3054,Sheet9!$M$1:$N$2,2,FALSE)</f>
        <v>1</v>
      </c>
      <c r="D3054">
        <v>32</v>
      </c>
      <c r="E3054" t="s">
        <v>96</v>
      </c>
      <c r="F3054">
        <v>70</v>
      </c>
      <c r="H3054">
        <v>48</v>
      </c>
      <c r="I3054">
        <v>1.2</v>
      </c>
      <c r="J3054">
        <v>57.599999999999994</v>
      </c>
      <c r="K3054">
        <v>0.55000000000000004</v>
      </c>
      <c r="L3054">
        <v>0.9</v>
      </c>
      <c r="M3054" t="s">
        <v>37</v>
      </c>
      <c r="N3054" t="s">
        <v>162</v>
      </c>
    </row>
    <row r="3055" spans="1:14" x14ac:dyDescent="0.3">
      <c r="A3055" t="s">
        <v>37</v>
      </c>
      <c r="B3055">
        <f>VLOOKUP(M3055,Sheet9!$I$1:$J$17,2,FALSE)</f>
        <v>4</v>
      </c>
      <c r="C3055">
        <f>VLOOKUP(N3055,Sheet9!$M$1:$N$2,2,FALSE)</f>
        <v>1</v>
      </c>
      <c r="D3055">
        <v>32</v>
      </c>
      <c r="E3055" t="s">
        <v>96</v>
      </c>
      <c r="F3055">
        <v>80</v>
      </c>
      <c r="H3055">
        <v>2</v>
      </c>
      <c r="I3055">
        <v>1</v>
      </c>
      <c r="J3055">
        <v>2</v>
      </c>
      <c r="K3055">
        <v>0.9</v>
      </c>
      <c r="L3055">
        <v>1.36</v>
      </c>
      <c r="M3055" t="s">
        <v>37</v>
      </c>
      <c r="N3055" t="s">
        <v>162</v>
      </c>
    </row>
    <row r="3056" spans="1:14" x14ac:dyDescent="0.3">
      <c r="A3056" t="s">
        <v>37</v>
      </c>
      <c r="B3056">
        <f>VLOOKUP(M3056,Sheet9!$I$1:$J$17,2,FALSE)</f>
        <v>4</v>
      </c>
      <c r="C3056">
        <f>VLOOKUP(N3056,Sheet9!$M$1:$N$2,2,FALSE)</f>
        <v>1</v>
      </c>
      <c r="D3056">
        <v>32</v>
      </c>
      <c r="E3056" t="s">
        <v>96</v>
      </c>
      <c r="F3056">
        <v>80</v>
      </c>
      <c r="H3056">
        <v>6</v>
      </c>
      <c r="I3056">
        <v>0.6</v>
      </c>
      <c r="J3056">
        <v>3.6</v>
      </c>
      <c r="K3056">
        <v>1.49</v>
      </c>
      <c r="L3056">
        <v>2.27</v>
      </c>
      <c r="M3056" t="s">
        <v>37</v>
      </c>
      <c r="N3056" t="s">
        <v>162</v>
      </c>
    </row>
    <row r="3057" spans="1:14" x14ac:dyDescent="0.3">
      <c r="A3057" t="s">
        <v>37</v>
      </c>
      <c r="B3057">
        <f>VLOOKUP(M3057,Sheet9!$I$1:$J$17,2,FALSE)</f>
        <v>4</v>
      </c>
      <c r="C3057">
        <f>VLOOKUP(N3057,Sheet9!$M$1:$N$2,2,FALSE)</f>
        <v>1</v>
      </c>
      <c r="D3057">
        <v>32</v>
      </c>
      <c r="E3057" t="s">
        <v>96</v>
      </c>
      <c r="F3057">
        <v>80</v>
      </c>
      <c r="H3057">
        <v>1</v>
      </c>
      <c r="I3057">
        <v>5</v>
      </c>
      <c r="J3057">
        <v>5</v>
      </c>
      <c r="K3057">
        <v>0.87</v>
      </c>
      <c r="L3057">
        <v>1.32</v>
      </c>
      <c r="M3057" t="s">
        <v>37</v>
      </c>
      <c r="N3057" t="s">
        <v>162</v>
      </c>
    </row>
    <row r="3058" spans="1:14" x14ac:dyDescent="0.3">
      <c r="A3058" t="s">
        <v>37</v>
      </c>
      <c r="B3058">
        <f>VLOOKUP(M3058,Sheet9!$I$1:$J$17,2,FALSE)</f>
        <v>4</v>
      </c>
      <c r="C3058">
        <f>VLOOKUP(N3058,Sheet9!$M$1:$N$2,2,FALSE)</f>
        <v>1</v>
      </c>
      <c r="D3058">
        <v>32</v>
      </c>
      <c r="E3058" t="s">
        <v>96</v>
      </c>
      <c r="F3058">
        <v>80</v>
      </c>
      <c r="H3058">
        <v>1</v>
      </c>
      <c r="I3058">
        <v>10</v>
      </c>
      <c r="J3058">
        <v>10</v>
      </c>
      <c r="K3058">
        <v>0.87</v>
      </c>
      <c r="L3058">
        <v>1.32</v>
      </c>
      <c r="M3058" t="s">
        <v>37</v>
      </c>
      <c r="N3058" t="s">
        <v>162</v>
      </c>
    </row>
    <row r="3059" spans="1:14" x14ac:dyDescent="0.3">
      <c r="A3059" t="s">
        <v>37</v>
      </c>
      <c r="B3059">
        <f>VLOOKUP(M3059,Sheet9!$I$1:$J$17,2,FALSE)</f>
        <v>4</v>
      </c>
      <c r="C3059">
        <f>VLOOKUP(N3059,Sheet9!$M$1:$N$2,2,FALSE)</f>
        <v>1</v>
      </c>
      <c r="D3059">
        <v>32</v>
      </c>
      <c r="E3059" t="s">
        <v>96</v>
      </c>
      <c r="F3059">
        <v>80</v>
      </c>
      <c r="H3059">
        <v>12</v>
      </c>
      <c r="I3059">
        <v>1.2</v>
      </c>
      <c r="J3059">
        <v>14.4</v>
      </c>
      <c r="K3059">
        <v>1.23</v>
      </c>
      <c r="L3059">
        <v>1.88</v>
      </c>
      <c r="M3059" t="s">
        <v>37</v>
      </c>
      <c r="N3059" t="s">
        <v>162</v>
      </c>
    </row>
    <row r="3060" spans="1:14" x14ac:dyDescent="0.3">
      <c r="A3060" t="s">
        <v>37</v>
      </c>
      <c r="B3060">
        <f>VLOOKUP(M3060,Sheet9!$I$1:$J$17,2,FALSE)</f>
        <v>4</v>
      </c>
      <c r="C3060">
        <f>VLOOKUP(N3060,Sheet9!$M$1:$N$2,2,FALSE)</f>
        <v>1</v>
      </c>
      <c r="D3060">
        <v>32</v>
      </c>
      <c r="E3060" t="s">
        <v>96</v>
      </c>
      <c r="F3060">
        <v>80</v>
      </c>
      <c r="H3060">
        <v>32</v>
      </c>
      <c r="I3060">
        <v>0.6</v>
      </c>
      <c r="J3060">
        <v>19.2</v>
      </c>
      <c r="K3060">
        <v>0.98</v>
      </c>
      <c r="L3060">
        <v>1.48</v>
      </c>
      <c r="M3060" t="s">
        <v>37</v>
      </c>
      <c r="N3060" t="s">
        <v>162</v>
      </c>
    </row>
    <row r="3061" spans="1:14" x14ac:dyDescent="0.3">
      <c r="A3061" t="s">
        <v>37</v>
      </c>
      <c r="B3061">
        <f>VLOOKUP(M3061,Sheet9!$I$1:$J$17,2,FALSE)</f>
        <v>4</v>
      </c>
      <c r="C3061">
        <f>VLOOKUP(N3061,Sheet9!$M$1:$N$2,2,FALSE)</f>
        <v>1</v>
      </c>
      <c r="D3061">
        <v>32</v>
      </c>
      <c r="E3061" t="s">
        <v>168</v>
      </c>
      <c r="F3061">
        <v>80</v>
      </c>
      <c r="H3061">
        <v>32</v>
      </c>
      <c r="I3061">
        <v>0.6</v>
      </c>
      <c r="J3061">
        <v>19.2</v>
      </c>
      <c r="K3061">
        <v>1.05</v>
      </c>
      <c r="L3061">
        <v>1.59</v>
      </c>
      <c r="M3061" t="s">
        <v>37</v>
      </c>
      <c r="N3061" t="s">
        <v>162</v>
      </c>
    </row>
    <row r="3062" spans="1:14" x14ac:dyDescent="0.3">
      <c r="A3062" t="s">
        <v>37</v>
      </c>
      <c r="B3062">
        <f>VLOOKUP(M3062,Sheet9!$I$1:$J$17,2,FALSE)</f>
        <v>4</v>
      </c>
      <c r="C3062">
        <f>VLOOKUP(N3062,Sheet9!$M$1:$N$2,2,FALSE)</f>
        <v>1</v>
      </c>
      <c r="D3062">
        <v>32</v>
      </c>
      <c r="E3062" t="s">
        <v>168</v>
      </c>
      <c r="F3062">
        <v>80</v>
      </c>
      <c r="H3062">
        <v>32</v>
      </c>
      <c r="I3062">
        <v>0.6</v>
      </c>
      <c r="J3062">
        <v>19.2</v>
      </c>
      <c r="K3062">
        <v>1.19</v>
      </c>
      <c r="L3062">
        <v>1.81</v>
      </c>
      <c r="M3062" t="s">
        <v>37</v>
      </c>
      <c r="N3062" t="s">
        <v>162</v>
      </c>
    </row>
    <row r="3063" spans="1:14" x14ac:dyDescent="0.3">
      <c r="A3063" t="s">
        <v>37</v>
      </c>
      <c r="B3063">
        <f>VLOOKUP(M3063,Sheet9!$I$1:$J$17,2,FALSE)</f>
        <v>4</v>
      </c>
      <c r="C3063">
        <f>VLOOKUP(N3063,Sheet9!$M$1:$N$2,2,FALSE)</f>
        <v>1</v>
      </c>
      <c r="D3063">
        <v>32</v>
      </c>
      <c r="E3063" t="s">
        <v>168</v>
      </c>
      <c r="F3063">
        <v>80</v>
      </c>
      <c r="H3063">
        <v>48</v>
      </c>
      <c r="I3063">
        <v>1.2</v>
      </c>
      <c r="J3063">
        <v>57.599999999999994</v>
      </c>
      <c r="K3063">
        <v>1.08</v>
      </c>
      <c r="L3063">
        <v>1.64</v>
      </c>
      <c r="M3063" t="s">
        <v>37</v>
      </c>
      <c r="N3063" t="s">
        <v>162</v>
      </c>
    </row>
    <row r="3064" spans="1:14" x14ac:dyDescent="0.3">
      <c r="A3064" t="s">
        <v>37</v>
      </c>
      <c r="B3064">
        <f>VLOOKUP(M3064,Sheet9!$I$1:$J$17,2,FALSE)</f>
        <v>4</v>
      </c>
      <c r="C3064">
        <f>VLOOKUP(N3064,Sheet9!$M$1:$N$2,2,FALSE)</f>
        <v>1</v>
      </c>
      <c r="D3064">
        <v>32</v>
      </c>
      <c r="E3064" t="s">
        <v>168</v>
      </c>
      <c r="F3064">
        <v>80</v>
      </c>
      <c r="H3064">
        <v>64</v>
      </c>
      <c r="I3064">
        <v>1.2</v>
      </c>
      <c r="J3064">
        <v>76.8</v>
      </c>
      <c r="K3064">
        <v>1.03</v>
      </c>
      <c r="L3064">
        <v>1.56</v>
      </c>
      <c r="M3064" t="s">
        <v>37</v>
      </c>
      <c r="N3064" t="s">
        <v>162</v>
      </c>
    </row>
    <row r="3065" spans="1:14" x14ac:dyDescent="0.3">
      <c r="A3065" t="s">
        <v>37</v>
      </c>
      <c r="B3065">
        <f>VLOOKUP(M3065,Sheet9!$I$1:$J$17,2,FALSE)</f>
        <v>4</v>
      </c>
      <c r="C3065">
        <f>VLOOKUP(N3065,Sheet9!$M$1:$N$2,2,FALSE)</f>
        <v>1</v>
      </c>
      <c r="D3065">
        <v>32</v>
      </c>
      <c r="E3065" t="s">
        <v>168</v>
      </c>
      <c r="F3065">
        <v>80</v>
      </c>
      <c r="H3065">
        <v>96</v>
      </c>
      <c r="I3065">
        <v>0.6</v>
      </c>
      <c r="J3065">
        <v>57.599999999999994</v>
      </c>
      <c r="K3065">
        <v>0.97</v>
      </c>
      <c r="L3065">
        <v>1.47</v>
      </c>
      <c r="M3065" t="s">
        <v>37</v>
      </c>
      <c r="N3065" t="s">
        <v>162</v>
      </c>
    </row>
    <row r="3066" spans="1:14" x14ac:dyDescent="0.3">
      <c r="A3066" t="s">
        <v>37</v>
      </c>
      <c r="B3066">
        <f>VLOOKUP(M3066,Sheet9!$I$1:$J$17,2,FALSE)</f>
        <v>4</v>
      </c>
      <c r="C3066">
        <f>VLOOKUP(N3066,Sheet9!$M$1:$N$2,2,FALSE)</f>
        <v>1</v>
      </c>
      <c r="D3066">
        <v>32</v>
      </c>
      <c r="E3066" t="s">
        <v>168</v>
      </c>
      <c r="F3066">
        <v>80</v>
      </c>
      <c r="H3066">
        <v>24</v>
      </c>
      <c r="I3066">
        <v>1.2</v>
      </c>
      <c r="J3066">
        <v>28.799999999999997</v>
      </c>
      <c r="K3066">
        <v>1.06</v>
      </c>
      <c r="L3066">
        <v>1.61</v>
      </c>
      <c r="M3066" t="s">
        <v>37</v>
      </c>
      <c r="N3066" t="s">
        <v>162</v>
      </c>
    </row>
    <row r="3067" spans="1:14" x14ac:dyDescent="0.3">
      <c r="A3067" t="s">
        <v>37</v>
      </c>
      <c r="B3067">
        <f>VLOOKUP(M3067,Sheet9!$I$1:$J$17,2,FALSE)</f>
        <v>4</v>
      </c>
      <c r="C3067">
        <f>VLOOKUP(N3067,Sheet9!$M$1:$N$2,2,FALSE)</f>
        <v>1</v>
      </c>
      <c r="D3067">
        <v>32</v>
      </c>
      <c r="E3067" t="s">
        <v>96</v>
      </c>
      <c r="F3067">
        <v>80</v>
      </c>
      <c r="H3067">
        <v>48</v>
      </c>
      <c r="I3067">
        <v>1.2</v>
      </c>
      <c r="J3067">
        <v>57.599999999999994</v>
      </c>
      <c r="K3067">
        <v>0.97</v>
      </c>
      <c r="L3067">
        <v>1.47</v>
      </c>
      <c r="M3067" t="s">
        <v>37</v>
      </c>
      <c r="N3067" t="s">
        <v>162</v>
      </c>
    </row>
    <row r="3068" spans="1:14" x14ac:dyDescent="0.3">
      <c r="A3068" t="s">
        <v>37</v>
      </c>
      <c r="B3068">
        <f>VLOOKUP(M3068,Sheet9!$I$1:$J$17,2,FALSE)</f>
        <v>4</v>
      </c>
      <c r="C3068">
        <f>VLOOKUP(N3068,Sheet9!$M$1:$N$2,2,FALSE)</f>
        <v>1</v>
      </c>
      <c r="D3068">
        <v>32</v>
      </c>
      <c r="E3068" t="s">
        <v>96</v>
      </c>
      <c r="F3068">
        <v>90</v>
      </c>
      <c r="H3068">
        <v>2</v>
      </c>
      <c r="I3068">
        <v>1</v>
      </c>
      <c r="J3068">
        <v>2</v>
      </c>
      <c r="K3068">
        <v>1.4</v>
      </c>
      <c r="L3068">
        <v>2.1</v>
      </c>
      <c r="M3068" t="s">
        <v>37</v>
      </c>
      <c r="N3068" t="s">
        <v>162</v>
      </c>
    </row>
    <row r="3069" spans="1:14" x14ac:dyDescent="0.3">
      <c r="A3069" t="s">
        <v>37</v>
      </c>
      <c r="B3069">
        <f>VLOOKUP(M3069,Sheet9!$I$1:$J$17,2,FALSE)</f>
        <v>4</v>
      </c>
      <c r="C3069">
        <f>VLOOKUP(N3069,Sheet9!$M$1:$N$2,2,FALSE)</f>
        <v>1</v>
      </c>
      <c r="D3069">
        <v>32</v>
      </c>
      <c r="E3069" t="s">
        <v>96</v>
      </c>
      <c r="F3069">
        <v>90</v>
      </c>
      <c r="H3069">
        <v>6</v>
      </c>
      <c r="I3069">
        <v>0.6</v>
      </c>
      <c r="J3069">
        <v>3.6</v>
      </c>
      <c r="K3069">
        <v>2.34</v>
      </c>
      <c r="L3069">
        <v>3.49</v>
      </c>
      <c r="M3069" t="s">
        <v>37</v>
      </c>
      <c r="N3069" t="s">
        <v>162</v>
      </c>
    </row>
    <row r="3070" spans="1:14" x14ac:dyDescent="0.3">
      <c r="A3070" t="s">
        <v>37</v>
      </c>
      <c r="B3070">
        <f>VLOOKUP(M3070,Sheet9!$I$1:$J$17,2,FALSE)</f>
        <v>4</v>
      </c>
      <c r="C3070">
        <f>VLOOKUP(N3070,Sheet9!$M$1:$N$2,2,FALSE)</f>
        <v>1</v>
      </c>
      <c r="D3070">
        <v>32</v>
      </c>
      <c r="E3070" t="s">
        <v>96</v>
      </c>
      <c r="F3070">
        <v>90</v>
      </c>
      <c r="H3070">
        <v>1</v>
      </c>
      <c r="I3070">
        <v>5</v>
      </c>
      <c r="J3070">
        <v>5</v>
      </c>
      <c r="K3070">
        <v>1.35</v>
      </c>
      <c r="L3070">
        <v>2.02</v>
      </c>
      <c r="M3070" t="s">
        <v>37</v>
      </c>
      <c r="N3070" t="s">
        <v>162</v>
      </c>
    </row>
    <row r="3071" spans="1:14" x14ac:dyDescent="0.3">
      <c r="A3071" t="s">
        <v>37</v>
      </c>
      <c r="B3071">
        <f>VLOOKUP(M3071,Sheet9!$I$1:$J$17,2,FALSE)</f>
        <v>4</v>
      </c>
      <c r="C3071">
        <f>VLOOKUP(N3071,Sheet9!$M$1:$N$2,2,FALSE)</f>
        <v>1</v>
      </c>
      <c r="D3071">
        <v>32</v>
      </c>
      <c r="E3071" t="s">
        <v>96</v>
      </c>
      <c r="F3071">
        <v>90</v>
      </c>
      <c r="H3071">
        <v>1</v>
      </c>
      <c r="I3071">
        <v>10</v>
      </c>
      <c r="J3071">
        <v>10</v>
      </c>
      <c r="K3071">
        <v>1.35</v>
      </c>
      <c r="L3071">
        <v>2.02</v>
      </c>
      <c r="M3071" t="s">
        <v>37</v>
      </c>
      <c r="N3071" t="s">
        <v>162</v>
      </c>
    </row>
    <row r="3072" spans="1:14" x14ac:dyDescent="0.3">
      <c r="A3072" t="s">
        <v>37</v>
      </c>
      <c r="B3072">
        <f>VLOOKUP(M3072,Sheet9!$I$1:$J$17,2,FALSE)</f>
        <v>4</v>
      </c>
      <c r="C3072">
        <f>VLOOKUP(N3072,Sheet9!$M$1:$N$2,2,FALSE)</f>
        <v>1</v>
      </c>
      <c r="D3072">
        <v>32</v>
      </c>
      <c r="E3072" t="s">
        <v>96</v>
      </c>
      <c r="F3072">
        <v>90</v>
      </c>
      <c r="H3072">
        <v>12</v>
      </c>
      <c r="I3072">
        <v>1.2</v>
      </c>
      <c r="J3072">
        <v>14.4</v>
      </c>
      <c r="K3072">
        <v>1.93</v>
      </c>
      <c r="L3072">
        <v>2.89</v>
      </c>
      <c r="M3072" t="s">
        <v>37</v>
      </c>
      <c r="N3072" t="s">
        <v>162</v>
      </c>
    </row>
    <row r="3073" spans="1:14" x14ac:dyDescent="0.3">
      <c r="A3073" t="s">
        <v>37</v>
      </c>
      <c r="B3073">
        <f>VLOOKUP(M3073,Sheet9!$I$1:$J$17,2,FALSE)</f>
        <v>4</v>
      </c>
      <c r="C3073">
        <f>VLOOKUP(N3073,Sheet9!$M$1:$N$2,2,FALSE)</f>
        <v>1</v>
      </c>
      <c r="D3073">
        <v>32</v>
      </c>
      <c r="E3073" t="s">
        <v>96</v>
      </c>
      <c r="F3073">
        <v>90</v>
      </c>
      <c r="H3073">
        <v>32</v>
      </c>
      <c r="I3073">
        <v>0.6</v>
      </c>
      <c r="J3073">
        <v>19.2</v>
      </c>
      <c r="K3073">
        <v>1.53</v>
      </c>
      <c r="L3073">
        <v>2.2799999999999998</v>
      </c>
      <c r="M3073" t="s">
        <v>37</v>
      </c>
      <c r="N3073" t="s">
        <v>162</v>
      </c>
    </row>
    <row r="3074" spans="1:14" x14ac:dyDescent="0.3">
      <c r="A3074" t="s">
        <v>37</v>
      </c>
      <c r="B3074">
        <f>VLOOKUP(M3074,Sheet9!$I$1:$J$17,2,FALSE)</f>
        <v>4</v>
      </c>
      <c r="C3074">
        <f>VLOOKUP(N3074,Sheet9!$M$1:$N$2,2,FALSE)</f>
        <v>1</v>
      </c>
      <c r="D3074">
        <v>32</v>
      </c>
      <c r="E3074" t="s">
        <v>168</v>
      </c>
      <c r="F3074">
        <v>90</v>
      </c>
      <c r="H3074">
        <v>32</v>
      </c>
      <c r="I3074">
        <v>0.6</v>
      </c>
      <c r="J3074">
        <v>19.2</v>
      </c>
      <c r="K3074">
        <v>1.64</v>
      </c>
      <c r="L3074">
        <v>2.4500000000000002</v>
      </c>
      <c r="M3074" t="s">
        <v>37</v>
      </c>
      <c r="N3074" t="s">
        <v>162</v>
      </c>
    </row>
    <row r="3075" spans="1:14" x14ac:dyDescent="0.3">
      <c r="A3075" t="s">
        <v>37</v>
      </c>
      <c r="B3075">
        <f>VLOOKUP(M3075,Sheet9!$I$1:$J$17,2,FALSE)</f>
        <v>4</v>
      </c>
      <c r="C3075">
        <f>VLOOKUP(N3075,Sheet9!$M$1:$N$2,2,FALSE)</f>
        <v>1</v>
      </c>
      <c r="D3075">
        <v>32</v>
      </c>
      <c r="E3075" t="s">
        <v>168</v>
      </c>
      <c r="F3075">
        <v>90</v>
      </c>
      <c r="H3075">
        <v>32</v>
      </c>
      <c r="I3075">
        <v>0.6</v>
      </c>
      <c r="J3075">
        <v>19.2</v>
      </c>
      <c r="K3075">
        <v>1.87</v>
      </c>
      <c r="L3075">
        <v>2.79</v>
      </c>
      <c r="M3075" t="s">
        <v>37</v>
      </c>
      <c r="N3075" t="s">
        <v>162</v>
      </c>
    </row>
    <row r="3076" spans="1:14" x14ac:dyDescent="0.3">
      <c r="A3076" t="s">
        <v>37</v>
      </c>
      <c r="B3076">
        <f>VLOOKUP(M3076,Sheet9!$I$1:$J$17,2,FALSE)</f>
        <v>4</v>
      </c>
      <c r="C3076">
        <f>VLOOKUP(N3076,Sheet9!$M$1:$N$2,2,FALSE)</f>
        <v>1</v>
      </c>
      <c r="D3076">
        <v>32</v>
      </c>
      <c r="E3076" t="s">
        <v>168</v>
      </c>
      <c r="F3076">
        <v>90</v>
      </c>
      <c r="H3076">
        <v>48</v>
      </c>
      <c r="I3076">
        <v>1.2</v>
      </c>
      <c r="J3076">
        <v>57.599999999999994</v>
      </c>
      <c r="K3076">
        <v>1.69</v>
      </c>
      <c r="L3076">
        <v>2.5299999999999998</v>
      </c>
      <c r="M3076" t="s">
        <v>37</v>
      </c>
      <c r="N3076" t="s">
        <v>162</v>
      </c>
    </row>
    <row r="3077" spans="1:14" x14ac:dyDescent="0.3">
      <c r="A3077" t="s">
        <v>37</v>
      </c>
      <c r="B3077">
        <f>VLOOKUP(M3077,Sheet9!$I$1:$J$17,2,FALSE)</f>
        <v>4</v>
      </c>
      <c r="C3077">
        <f>VLOOKUP(N3077,Sheet9!$M$1:$N$2,2,FALSE)</f>
        <v>1</v>
      </c>
      <c r="D3077">
        <v>32</v>
      </c>
      <c r="E3077" t="s">
        <v>168</v>
      </c>
      <c r="F3077">
        <v>90</v>
      </c>
      <c r="H3077">
        <v>64</v>
      </c>
      <c r="I3077">
        <v>1.2</v>
      </c>
      <c r="J3077">
        <v>76.8</v>
      </c>
      <c r="K3077">
        <v>1.61</v>
      </c>
      <c r="L3077">
        <v>2.4</v>
      </c>
      <c r="M3077" t="s">
        <v>37</v>
      </c>
      <c r="N3077" t="s">
        <v>162</v>
      </c>
    </row>
    <row r="3078" spans="1:14" x14ac:dyDescent="0.3">
      <c r="A3078" t="s">
        <v>37</v>
      </c>
      <c r="B3078">
        <f>VLOOKUP(M3078,Sheet9!$I$1:$J$17,2,FALSE)</f>
        <v>4</v>
      </c>
      <c r="C3078">
        <f>VLOOKUP(N3078,Sheet9!$M$1:$N$2,2,FALSE)</f>
        <v>1</v>
      </c>
      <c r="D3078">
        <v>32</v>
      </c>
      <c r="E3078" t="s">
        <v>168</v>
      </c>
      <c r="F3078">
        <v>90</v>
      </c>
      <c r="H3078">
        <v>96</v>
      </c>
      <c r="I3078">
        <v>0.6</v>
      </c>
      <c r="J3078">
        <v>57.599999999999994</v>
      </c>
      <c r="K3078">
        <v>1.51</v>
      </c>
      <c r="L3078">
        <v>2.2599999999999998</v>
      </c>
      <c r="M3078" t="s">
        <v>37</v>
      </c>
      <c r="N3078" t="s">
        <v>162</v>
      </c>
    </row>
    <row r="3079" spans="1:14" x14ac:dyDescent="0.3">
      <c r="A3079" t="s">
        <v>37</v>
      </c>
      <c r="B3079">
        <f>VLOOKUP(M3079,Sheet9!$I$1:$J$17,2,FALSE)</f>
        <v>4</v>
      </c>
      <c r="C3079">
        <f>VLOOKUP(N3079,Sheet9!$M$1:$N$2,2,FALSE)</f>
        <v>1</v>
      </c>
      <c r="D3079">
        <v>32</v>
      </c>
      <c r="E3079" t="s">
        <v>168</v>
      </c>
      <c r="F3079">
        <v>90</v>
      </c>
      <c r="H3079">
        <v>24</v>
      </c>
      <c r="I3079">
        <v>1.2</v>
      </c>
      <c r="J3079">
        <v>28.799999999999997</v>
      </c>
      <c r="K3079">
        <v>1.66</v>
      </c>
      <c r="L3079">
        <v>2.4900000000000002</v>
      </c>
      <c r="M3079" t="s">
        <v>37</v>
      </c>
      <c r="N3079" t="s">
        <v>162</v>
      </c>
    </row>
    <row r="3080" spans="1:14" x14ac:dyDescent="0.3">
      <c r="A3080" t="s">
        <v>37</v>
      </c>
      <c r="B3080">
        <f>VLOOKUP(M3080,Sheet9!$I$1:$J$17,2,FALSE)</f>
        <v>4</v>
      </c>
      <c r="C3080">
        <f>VLOOKUP(N3080,Sheet9!$M$1:$N$2,2,FALSE)</f>
        <v>1</v>
      </c>
      <c r="D3080">
        <v>32</v>
      </c>
      <c r="E3080" t="s">
        <v>96</v>
      </c>
      <c r="F3080">
        <v>90</v>
      </c>
      <c r="H3080">
        <v>48</v>
      </c>
      <c r="I3080">
        <v>1.2</v>
      </c>
      <c r="J3080">
        <v>57.599999999999994</v>
      </c>
      <c r="K3080">
        <v>1.51</v>
      </c>
      <c r="L3080">
        <v>2.2599999999999998</v>
      </c>
      <c r="M3080" t="s">
        <v>37</v>
      </c>
      <c r="N3080" t="s">
        <v>162</v>
      </c>
    </row>
    <row r="3081" spans="1:14" x14ac:dyDescent="0.3">
      <c r="A3081" t="s">
        <v>37</v>
      </c>
      <c r="B3081">
        <f>VLOOKUP(M3081,Sheet9!$I$1:$J$17,2,FALSE)</f>
        <v>4</v>
      </c>
      <c r="C3081">
        <f>VLOOKUP(N3081,Sheet9!$M$1:$N$2,2,FALSE)</f>
        <v>1</v>
      </c>
      <c r="D3081">
        <v>32</v>
      </c>
      <c r="E3081" t="s">
        <v>96</v>
      </c>
      <c r="F3081">
        <v>100</v>
      </c>
      <c r="H3081">
        <v>2</v>
      </c>
      <c r="I3081">
        <v>1</v>
      </c>
      <c r="J3081">
        <v>2</v>
      </c>
      <c r="K3081">
        <v>2.04</v>
      </c>
      <c r="L3081">
        <v>2.94</v>
      </c>
      <c r="M3081" t="s">
        <v>37</v>
      </c>
      <c r="N3081" t="s">
        <v>162</v>
      </c>
    </row>
    <row r="3082" spans="1:14" x14ac:dyDescent="0.3">
      <c r="A3082" t="s">
        <v>37</v>
      </c>
      <c r="B3082">
        <f>VLOOKUP(M3082,Sheet9!$I$1:$J$17,2,FALSE)</f>
        <v>4</v>
      </c>
      <c r="C3082">
        <f>VLOOKUP(N3082,Sheet9!$M$1:$N$2,2,FALSE)</f>
        <v>1</v>
      </c>
      <c r="D3082">
        <v>32</v>
      </c>
      <c r="E3082" t="s">
        <v>96</v>
      </c>
      <c r="F3082">
        <v>100</v>
      </c>
      <c r="H3082">
        <v>6</v>
      </c>
      <c r="I3082">
        <v>0.6</v>
      </c>
      <c r="J3082">
        <v>3.6</v>
      </c>
      <c r="K3082">
        <v>3.41</v>
      </c>
      <c r="L3082">
        <v>4.9000000000000004</v>
      </c>
      <c r="M3082" t="s">
        <v>37</v>
      </c>
      <c r="N3082" t="s">
        <v>162</v>
      </c>
    </row>
    <row r="3083" spans="1:14" x14ac:dyDescent="0.3">
      <c r="A3083" t="s">
        <v>37</v>
      </c>
      <c r="B3083">
        <f>VLOOKUP(M3083,Sheet9!$I$1:$J$17,2,FALSE)</f>
        <v>4</v>
      </c>
      <c r="C3083">
        <f>VLOOKUP(N3083,Sheet9!$M$1:$N$2,2,FALSE)</f>
        <v>1</v>
      </c>
      <c r="D3083">
        <v>32</v>
      </c>
      <c r="E3083" t="s">
        <v>96</v>
      </c>
      <c r="F3083">
        <v>100</v>
      </c>
      <c r="H3083">
        <v>1</v>
      </c>
      <c r="I3083">
        <v>5</v>
      </c>
      <c r="J3083">
        <v>5</v>
      </c>
      <c r="K3083">
        <v>1.98</v>
      </c>
      <c r="L3083">
        <v>2.84</v>
      </c>
      <c r="M3083" t="s">
        <v>37</v>
      </c>
      <c r="N3083" t="s">
        <v>162</v>
      </c>
    </row>
    <row r="3084" spans="1:14" x14ac:dyDescent="0.3">
      <c r="A3084" t="s">
        <v>37</v>
      </c>
      <c r="B3084">
        <f>VLOOKUP(M3084,Sheet9!$I$1:$J$17,2,FALSE)</f>
        <v>4</v>
      </c>
      <c r="C3084">
        <f>VLOOKUP(N3084,Sheet9!$M$1:$N$2,2,FALSE)</f>
        <v>1</v>
      </c>
      <c r="D3084">
        <v>32</v>
      </c>
      <c r="E3084" t="s">
        <v>96</v>
      </c>
      <c r="F3084">
        <v>100</v>
      </c>
      <c r="H3084">
        <v>1</v>
      </c>
      <c r="I3084">
        <v>10</v>
      </c>
      <c r="J3084">
        <v>10</v>
      </c>
      <c r="K3084">
        <v>1.98</v>
      </c>
      <c r="L3084">
        <v>2.84</v>
      </c>
      <c r="M3084" t="s">
        <v>37</v>
      </c>
      <c r="N3084" t="s">
        <v>162</v>
      </c>
    </row>
    <row r="3085" spans="1:14" x14ac:dyDescent="0.3">
      <c r="A3085" t="s">
        <v>37</v>
      </c>
      <c r="B3085">
        <f>VLOOKUP(M3085,Sheet9!$I$1:$J$17,2,FALSE)</f>
        <v>4</v>
      </c>
      <c r="C3085">
        <f>VLOOKUP(N3085,Sheet9!$M$1:$N$2,2,FALSE)</f>
        <v>1</v>
      </c>
      <c r="D3085">
        <v>32</v>
      </c>
      <c r="E3085" t="s">
        <v>96</v>
      </c>
      <c r="F3085">
        <v>100</v>
      </c>
      <c r="H3085">
        <v>12</v>
      </c>
      <c r="I3085">
        <v>1.2</v>
      </c>
      <c r="J3085">
        <v>14.4</v>
      </c>
      <c r="K3085">
        <v>2.82</v>
      </c>
      <c r="L3085">
        <v>4.05</v>
      </c>
      <c r="M3085" t="s">
        <v>37</v>
      </c>
      <c r="N3085" t="s">
        <v>162</v>
      </c>
    </row>
    <row r="3086" spans="1:14" x14ac:dyDescent="0.3">
      <c r="A3086" t="s">
        <v>37</v>
      </c>
      <c r="B3086">
        <f>VLOOKUP(M3086,Sheet9!$I$1:$J$17,2,FALSE)</f>
        <v>4</v>
      </c>
      <c r="C3086">
        <f>VLOOKUP(N3086,Sheet9!$M$1:$N$2,2,FALSE)</f>
        <v>1</v>
      </c>
      <c r="D3086">
        <v>32</v>
      </c>
      <c r="E3086" t="s">
        <v>96</v>
      </c>
      <c r="F3086">
        <v>100</v>
      </c>
      <c r="H3086">
        <v>32</v>
      </c>
      <c r="I3086">
        <v>0.6</v>
      </c>
      <c r="J3086">
        <v>19.2</v>
      </c>
      <c r="K3086">
        <v>2.23</v>
      </c>
      <c r="L3086">
        <v>3.2</v>
      </c>
      <c r="M3086" t="s">
        <v>37</v>
      </c>
      <c r="N3086" t="s">
        <v>162</v>
      </c>
    </row>
    <row r="3087" spans="1:14" x14ac:dyDescent="0.3">
      <c r="A3087" t="s">
        <v>37</v>
      </c>
      <c r="B3087">
        <f>VLOOKUP(M3087,Sheet9!$I$1:$J$17,2,FALSE)</f>
        <v>4</v>
      </c>
      <c r="C3087">
        <f>VLOOKUP(N3087,Sheet9!$M$1:$N$2,2,FALSE)</f>
        <v>1</v>
      </c>
      <c r="D3087">
        <v>32</v>
      </c>
      <c r="E3087" t="s">
        <v>168</v>
      </c>
      <c r="F3087">
        <v>100</v>
      </c>
      <c r="H3087">
        <v>32</v>
      </c>
      <c r="I3087">
        <v>0.6</v>
      </c>
      <c r="J3087">
        <v>19.2</v>
      </c>
      <c r="K3087">
        <v>2.39</v>
      </c>
      <c r="L3087">
        <v>3.44</v>
      </c>
      <c r="M3087" t="s">
        <v>37</v>
      </c>
      <c r="N3087" t="s">
        <v>162</v>
      </c>
    </row>
    <row r="3088" spans="1:14" x14ac:dyDescent="0.3">
      <c r="A3088" t="s">
        <v>37</v>
      </c>
      <c r="B3088">
        <f>VLOOKUP(M3088,Sheet9!$I$1:$J$17,2,FALSE)</f>
        <v>4</v>
      </c>
      <c r="C3088">
        <f>VLOOKUP(N3088,Sheet9!$M$1:$N$2,2,FALSE)</f>
        <v>1</v>
      </c>
      <c r="D3088">
        <v>32</v>
      </c>
      <c r="E3088" t="s">
        <v>168</v>
      </c>
      <c r="F3088">
        <v>100</v>
      </c>
      <c r="H3088">
        <v>32</v>
      </c>
      <c r="I3088">
        <v>0.6</v>
      </c>
      <c r="J3088">
        <v>19.2</v>
      </c>
      <c r="K3088">
        <v>2.72</v>
      </c>
      <c r="L3088">
        <v>3.91</v>
      </c>
      <c r="M3088" t="s">
        <v>37</v>
      </c>
      <c r="N3088" t="s">
        <v>162</v>
      </c>
    </row>
    <row r="3089" spans="1:14" x14ac:dyDescent="0.3">
      <c r="A3089" t="s">
        <v>37</v>
      </c>
      <c r="B3089">
        <f>VLOOKUP(M3089,Sheet9!$I$1:$J$17,2,FALSE)</f>
        <v>4</v>
      </c>
      <c r="C3089">
        <f>VLOOKUP(N3089,Sheet9!$M$1:$N$2,2,FALSE)</f>
        <v>1</v>
      </c>
      <c r="D3089">
        <v>32</v>
      </c>
      <c r="E3089" t="s">
        <v>168</v>
      </c>
      <c r="F3089">
        <v>100</v>
      </c>
      <c r="H3089">
        <v>48</v>
      </c>
      <c r="I3089">
        <v>1.2</v>
      </c>
      <c r="J3089">
        <v>57.599999999999994</v>
      </c>
      <c r="K3089">
        <v>2.4700000000000002</v>
      </c>
      <c r="L3089">
        <v>3.55</v>
      </c>
      <c r="M3089" t="s">
        <v>37</v>
      </c>
      <c r="N3089" t="s">
        <v>162</v>
      </c>
    </row>
    <row r="3090" spans="1:14" x14ac:dyDescent="0.3">
      <c r="A3090" t="s">
        <v>37</v>
      </c>
      <c r="B3090">
        <f>VLOOKUP(M3090,Sheet9!$I$1:$J$17,2,FALSE)</f>
        <v>4</v>
      </c>
      <c r="C3090">
        <f>VLOOKUP(N3090,Sheet9!$M$1:$N$2,2,FALSE)</f>
        <v>1</v>
      </c>
      <c r="D3090">
        <v>32</v>
      </c>
      <c r="E3090" t="s">
        <v>168</v>
      </c>
      <c r="F3090">
        <v>100</v>
      </c>
      <c r="H3090">
        <v>64</v>
      </c>
      <c r="I3090">
        <v>1.2</v>
      </c>
      <c r="J3090">
        <v>76.8</v>
      </c>
      <c r="K3090">
        <v>2.34</v>
      </c>
      <c r="L3090">
        <v>3.37</v>
      </c>
      <c r="M3090" t="s">
        <v>37</v>
      </c>
      <c r="N3090" t="s">
        <v>162</v>
      </c>
    </row>
    <row r="3091" spans="1:14" x14ac:dyDescent="0.3">
      <c r="A3091" t="s">
        <v>37</v>
      </c>
      <c r="B3091">
        <f>VLOOKUP(M3091,Sheet9!$I$1:$J$17,2,FALSE)</f>
        <v>4</v>
      </c>
      <c r="C3091">
        <f>VLOOKUP(N3091,Sheet9!$M$1:$N$2,2,FALSE)</f>
        <v>1</v>
      </c>
      <c r="D3091">
        <v>32</v>
      </c>
      <c r="E3091" t="s">
        <v>168</v>
      </c>
      <c r="F3091">
        <v>100</v>
      </c>
      <c r="H3091">
        <v>96</v>
      </c>
      <c r="I3091">
        <v>0.6</v>
      </c>
      <c r="J3091">
        <v>57.599999999999994</v>
      </c>
      <c r="K3091">
        <v>2.2000000000000002</v>
      </c>
      <c r="L3091">
        <v>3.17</v>
      </c>
      <c r="M3091" t="s">
        <v>37</v>
      </c>
      <c r="N3091" t="s">
        <v>162</v>
      </c>
    </row>
    <row r="3092" spans="1:14" x14ac:dyDescent="0.3">
      <c r="A3092" t="s">
        <v>37</v>
      </c>
      <c r="B3092">
        <f>VLOOKUP(M3092,Sheet9!$I$1:$J$17,2,FALSE)</f>
        <v>4</v>
      </c>
      <c r="C3092">
        <f>VLOOKUP(N3092,Sheet9!$M$1:$N$2,2,FALSE)</f>
        <v>1</v>
      </c>
      <c r="D3092">
        <v>32</v>
      </c>
      <c r="E3092" t="s">
        <v>168</v>
      </c>
      <c r="F3092">
        <v>100</v>
      </c>
      <c r="H3092">
        <v>24</v>
      </c>
      <c r="I3092">
        <v>1.2</v>
      </c>
      <c r="J3092">
        <v>28.799999999999997</v>
      </c>
      <c r="K3092">
        <v>2.42</v>
      </c>
      <c r="L3092">
        <v>3.48</v>
      </c>
      <c r="M3092" t="s">
        <v>37</v>
      </c>
      <c r="N3092" t="s">
        <v>162</v>
      </c>
    </row>
    <row r="3093" spans="1:14" x14ac:dyDescent="0.3">
      <c r="A3093" t="s">
        <v>37</v>
      </c>
      <c r="B3093">
        <f>VLOOKUP(M3093,Sheet9!$I$1:$J$17,2,FALSE)</f>
        <v>4</v>
      </c>
      <c r="C3093">
        <f>VLOOKUP(N3093,Sheet9!$M$1:$N$2,2,FALSE)</f>
        <v>1</v>
      </c>
      <c r="D3093">
        <v>32</v>
      </c>
      <c r="E3093" t="s">
        <v>96</v>
      </c>
      <c r="F3093">
        <v>100</v>
      </c>
      <c r="H3093">
        <v>48</v>
      </c>
      <c r="I3093">
        <v>1.2</v>
      </c>
      <c r="J3093">
        <v>57.599999999999994</v>
      </c>
      <c r="K3093">
        <v>2.21</v>
      </c>
      <c r="L3093">
        <v>3.17</v>
      </c>
      <c r="M3093" t="s">
        <v>37</v>
      </c>
      <c r="N3093" t="s">
        <v>162</v>
      </c>
    </row>
    <row r="3094" spans="1:14" x14ac:dyDescent="0.3">
      <c r="A3094" t="s">
        <v>37</v>
      </c>
      <c r="B3094">
        <f>VLOOKUP(M3094,Sheet9!$I$1:$J$17,2,FALSE)</f>
        <v>4</v>
      </c>
      <c r="C3094">
        <f>VLOOKUP(N3094,Sheet9!$M$1:$N$2,2,FALSE)</f>
        <v>1</v>
      </c>
      <c r="D3094">
        <v>32</v>
      </c>
      <c r="E3094" t="s">
        <v>96</v>
      </c>
      <c r="F3094">
        <v>110</v>
      </c>
      <c r="H3094">
        <v>2</v>
      </c>
      <c r="I3094">
        <v>1</v>
      </c>
      <c r="J3094">
        <v>2</v>
      </c>
      <c r="K3094">
        <v>2.75</v>
      </c>
      <c r="L3094">
        <v>3.89</v>
      </c>
      <c r="M3094" t="s">
        <v>37</v>
      </c>
      <c r="N3094" t="s">
        <v>162</v>
      </c>
    </row>
    <row r="3095" spans="1:14" x14ac:dyDescent="0.3">
      <c r="A3095" t="s">
        <v>37</v>
      </c>
      <c r="B3095">
        <f>VLOOKUP(M3095,Sheet9!$I$1:$J$17,2,FALSE)</f>
        <v>4</v>
      </c>
      <c r="C3095">
        <f>VLOOKUP(N3095,Sheet9!$M$1:$N$2,2,FALSE)</f>
        <v>1</v>
      </c>
      <c r="D3095">
        <v>32</v>
      </c>
      <c r="E3095" t="s">
        <v>96</v>
      </c>
      <c r="F3095">
        <v>110</v>
      </c>
      <c r="H3095">
        <v>6</v>
      </c>
      <c r="I3095">
        <v>0.6</v>
      </c>
      <c r="J3095">
        <v>3.6</v>
      </c>
      <c r="K3095">
        <v>4.59</v>
      </c>
      <c r="L3095">
        <v>6.48</v>
      </c>
      <c r="M3095" t="s">
        <v>37</v>
      </c>
      <c r="N3095" t="s">
        <v>162</v>
      </c>
    </row>
    <row r="3096" spans="1:14" x14ac:dyDescent="0.3">
      <c r="A3096" t="s">
        <v>37</v>
      </c>
      <c r="B3096">
        <f>VLOOKUP(M3096,Sheet9!$I$1:$J$17,2,FALSE)</f>
        <v>4</v>
      </c>
      <c r="C3096">
        <f>VLOOKUP(N3096,Sheet9!$M$1:$N$2,2,FALSE)</f>
        <v>1</v>
      </c>
      <c r="D3096">
        <v>32</v>
      </c>
      <c r="E3096" t="s">
        <v>96</v>
      </c>
      <c r="F3096">
        <v>110</v>
      </c>
      <c r="H3096">
        <v>1</v>
      </c>
      <c r="I3096">
        <v>5</v>
      </c>
      <c r="J3096">
        <v>5</v>
      </c>
      <c r="K3096">
        <v>2.66</v>
      </c>
      <c r="L3096">
        <v>3.76</v>
      </c>
      <c r="M3096" t="s">
        <v>37</v>
      </c>
      <c r="N3096" t="s">
        <v>162</v>
      </c>
    </row>
    <row r="3097" spans="1:14" x14ac:dyDescent="0.3">
      <c r="A3097" t="s">
        <v>37</v>
      </c>
      <c r="B3097">
        <f>VLOOKUP(M3097,Sheet9!$I$1:$J$17,2,FALSE)</f>
        <v>4</v>
      </c>
      <c r="C3097">
        <f>VLOOKUP(N3097,Sheet9!$M$1:$N$2,2,FALSE)</f>
        <v>1</v>
      </c>
      <c r="D3097">
        <v>32</v>
      </c>
      <c r="E3097" t="s">
        <v>96</v>
      </c>
      <c r="F3097">
        <v>110</v>
      </c>
      <c r="H3097">
        <v>1</v>
      </c>
      <c r="I3097">
        <v>10</v>
      </c>
      <c r="J3097">
        <v>10</v>
      </c>
      <c r="K3097">
        <v>2.66</v>
      </c>
      <c r="L3097">
        <v>3.76</v>
      </c>
      <c r="M3097" t="s">
        <v>37</v>
      </c>
      <c r="N3097" t="s">
        <v>162</v>
      </c>
    </row>
    <row r="3098" spans="1:14" x14ac:dyDescent="0.3">
      <c r="A3098" t="s">
        <v>37</v>
      </c>
      <c r="B3098">
        <f>VLOOKUP(M3098,Sheet9!$I$1:$J$17,2,FALSE)</f>
        <v>4</v>
      </c>
      <c r="C3098">
        <f>VLOOKUP(N3098,Sheet9!$M$1:$N$2,2,FALSE)</f>
        <v>1</v>
      </c>
      <c r="D3098">
        <v>32</v>
      </c>
      <c r="E3098" t="s">
        <v>96</v>
      </c>
      <c r="F3098">
        <v>110</v>
      </c>
      <c r="H3098">
        <v>12</v>
      </c>
      <c r="I3098">
        <v>1.2</v>
      </c>
      <c r="J3098">
        <v>14.4</v>
      </c>
      <c r="K3098">
        <v>3.79</v>
      </c>
      <c r="L3098">
        <v>5.36</v>
      </c>
      <c r="M3098" t="s">
        <v>37</v>
      </c>
      <c r="N3098" t="s">
        <v>162</v>
      </c>
    </row>
    <row r="3099" spans="1:14" x14ac:dyDescent="0.3">
      <c r="A3099" t="s">
        <v>37</v>
      </c>
      <c r="B3099">
        <f>VLOOKUP(M3099,Sheet9!$I$1:$J$17,2,FALSE)</f>
        <v>4</v>
      </c>
      <c r="C3099">
        <f>VLOOKUP(N3099,Sheet9!$M$1:$N$2,2,FALSE)</f>
        <v>1</v>
      </c>
      <c r="D3099">
        <v>32</v>
      </c>
      <c r="E3099" t="s">
        <v>96</v>
      </c>
      <c r="F3099">
        <v>110</v>
      </c>
      <c r="H3099">
        <v>32</v>
      </c>
      <c r="I3099">
        <v>0.6</v>
      </c>
      <c r="J3099">
        <v>19.2</v>
      </c>
      <c r="K3099">
        <v>3</v>
      </c>
      <c r="L3099">
        <v>4.24</v>
      </c>
      <c r="M3099" t="s">
        <v>37</v>
      </c>
      <c r="N3099" t="s">
        <v>162</v>
      </c>
    </row>
    <row r="3100" spans="1:14" x14ac:dyDescent="0.3">
      <c r="A3100" t="s">
        <v>37</v>
      </c>
      <c r="B3100">
        <f>VLOOKUP(M3100,Sheet9!$I$1:$J$17,2,FALSE)</f>
        <v>4</v>
      </c>
      <c r="C3100">
        <f>VLOOKUP(N3100,Sheet9!$M$1:$N$2,2,FALSE)</f>
        <v>1</v>
      </c>
      <c r="D3100">
        <v>32</v>
      </c>
      <c r="E3100" t="s">
        <v>168</v>
      </c>
      <c r="F3100">
        <v>110</v>
      </c>
      <c r="H3100">
        <v>32</v>
      </c>
      <c r="I3100">
        <v>0.6</v>
      </c>
      <c r="J3100">
        <v>19.2</v>
      </c>
      <c r="K3100">
        <v>3.22</v>
      </c>
      <c r="L3100">
        <v>4.55</v>
      </c>
      <c r="M3100" t="s">
        <v>37</v>
      </c>
      <c r="N3100" t="s">
        <v>162</v>
      </c>
    </row>
    <row r="3101" spans="1:14" x14ac:dyDescent="0.3">
      <c r="A3101" t="s">
        <v>37</v>
      </c>
      <c r="B3101">
        <f>VLOOKUP(M3101,Sheet9!$I$1:$J$17,2,FALSE)</f>
        <v>4</v>
      </c>
      <c r="C3101">
        <f>VLOOKUP(N3101,Sheet9!$M$1:$N$2,2,FALSE)</f>
        <v>1</v>
      </c>
      <c r="D3101">
        <v>32</v>
      </c>
      <c r="E3101" t="s">
        <v>168</v>
      </c>
      <c r="F3101">
        <v>110</v>
      </c>
      <c r="H3101">
        <v>32</v>
      </c>
      <c r="I3101">
        <v>0.6</v>
      </c>
      <c r="J3101">
        <v>19.2</v>
      </c>
      <c r="K3101">
        <v>3.66</v>
      </c>
      <c r="L3101">
        <v>5.17</v>
      </c>
      <c r="M3101" t="s">
        <v>37</v>
      </c>
      <c r="N3101" t="s">
        <v>162</v>
      </c>
    </row>
    <row r="3102" spans="1:14" x14ac:dyDescent="0.3">
      <c r="A3102" t="s">
        <v>37</v>
      </c>
      <c r="B3102">
        <f>VLOOKUP(M3102,Sheet9!$I$1:$J$17,2,FALSE)</f>
        <v>4</v>
      </c>
      <c r="C3102">
        <f>VLOOKUP(N3102,Sheet9!$M$1:$N$2,2,FALSE)</f>
        <v>1</v>
      </c>
      <c r="D3102">
        <v>32</v>
      </c>
      <c r="E3102" t="s">
        <v>168</v>
      </c>
      <c r="F3102">
        <v>110</v>
      </c>
      <c r="H3102">
        <v>48</v>
      </c>
      <c r="I3102">
        <v>1.2</v>
      </c>
      <c r="J3102">
        <v>57.599999999999994</v>
      </c>
      <c r="K3102">
        <v>3.32</v>
      </c>
      <c r="L3102">
        <v>4.6900000000000004</v>
      </c>
      <c r="M3102" t="s">
        <v>37</v>
      </c>
      <c r="N3102" t="s">
        <v>162</v>
      </c>
    </row>
    <row r="3103" spans="1:14" x14ac:dyDescent="0.3">
      <c r="A3103" t="s">
        <v>37</v>
      </c>
      <c r="B3103">
        <f>VLOOKUP(M3103,Sheet9!$I$1:$J$17,2,FALSE)</f>
        <v>4</v>
      </c>
      <c r="C3103">
        <f>VLOOKUP(N3103,Sheet9!$M$1:$N$2,2,FALSE)</f>
        <v>1</v>
      </c>
      <c r="D3103">
        <v>32</v>
      </c>
      <c r="E3103" t="s">
        <v>168</v>
      </c>
      <c r="F3103">
        <v>110</v>
      </c>
      <c r="H3103">
        <v>64</v>
      </c>
      <c r="I3103">
        <v>1.2</v>
      </c>
      <c r="J3103">
        <v>76.8</v>
      </c>
      <c r="K3103">
        <v>3.5</v>
      </c>
      <c r="L3103">
        <v>4.45</v>
      </c>
      <c r="M3103" t="s">
        <v>37</v>
      </c>
      <c r="N3103" t="s">
        <v>162</v>
      </c>
    </row>
    <row r="3104" spans="1:14" x14ac:dyDescent="0.3">
      <c r="A3104" t="s">
        <v>37</v>
      </c>
      <c r="B3104">
        <f>VLOOKUP(M3104,Sheet9!$I$1:$J$17,2,FALSE)</f>
        <v>4</v>
      </c>
      <c r="C3104">
        <f>VLOOKUP(N3104,Sheet9!$M$1:$N$2,2,FALSE)</f>
        <v>1</v>
      </c>
      <c r="D3104">
        <v>32</v>
      </c>
      <c r="E3104" t="s">
        <v>168</v>
      </c>
      <c r="F3104">
        <v>110</v>
      </c>
      <c r="H3104">
        <v>96</v>
      </c>
      <c r="I3104">
        <v>0.6</v>
      </c>
      <c r="J3104">
        <v>57.599999999999994</v>
      </c>
      <c r="K3104">
        <v>2.97</v>
      </c>
      <c r="L3104">
        <v>4.1900000000000004</v>
      </c>
      <c r="M3104" t="s">
        <v>37</v>
      </c>
      <c r="N3104" t="s">
        <v>162</v>
      </c>
    </row>
    <row r="3105" spans="1:14" x14ac:dyDescent="0.3">
      <c r="A3105" t="s">
        <v>37</v>
      </c>
      <c r="B3105">
        <f>VLOOKUP(M3105,Sheet9!$I$1:$J$17,2,FALSE)</f>
        <v>4</v>
      </c>
      <c r="C3105">
        <f>VLOOKUP(N3105,Sheet9!$M$1:$N$2,2,FALSE)</f>
        <v>1</v>
      </c>
      <c r="D3105">
        <v>32</v>
      </c>
      <c r="E3105" t="s">
        <v>168</v>
      </c>
      <c r="F3105">
        <v>110</v>
      </c>
      <c r="H3105">
        <v>24</v>
      </c>
      <c r="I3105">
        <v>1.2</v>
      </c>
      <c r="J3105">
        <v>28.799999999999997</v>
      </c>
      <c r="K3105">
        <v>3.26</v>
      </c>
      <c r="L3105">
        <v>4.6100000000000003</v>
      </c>
      <c r="M3105" t="s">
        <v>37</v>
      </c>
      <c r="N3105" t="s">
        <v>162</v>
      </c>
    </row>
    <row r="3106" spans="1:14" x14ac:dyDescent="0.3">
      <c r="A3106" t="s">
        <v>37</v>
      </c>
      <c r="B3106">
        <f>VLOOKUP(M3106,Sheet9!$I$1:$J$17,2,FALSE)</f>
        <v>4</v>
      </c>
      <c r="C3106">
        <f>VLOOKUP(N3106,Sheet9!$M$1:$N$2,2,FALSE)</f>
        <v>1</v>
      </c>
      <c r="D3106">
        <v>32</v>
      </c>
      <c r="E3106" t="s">
        <v>96</v>
      </c>
      <c r="F3106">
        <v>110</v>
      </c>
      <c r="H3106">
        <v>48</v>
      </c>
      <c r="I3106">
        <v>1.2</v>
      </c>
      <c r="J3106">
        <v>57.599999999999994</v>
      </c>
      <c r="K3106">
        <v>2.97</v>
      </c>
      <c r="L3106">
        <v>4.1900000000000004</v>
      </c>
      <c r="M3106" t="s">
        <v>37</v>
      </c>
      <c r="N3106" t="s">
        <v>162</v>
      </c>
    </row>
    <row r="3107" spans="1:14" x14ac:dyDescent="0.3">
      <c r="A3107" t="s">
        <v>37</v>
      </c>
      <c r="B3107">
        <f>VLOOKUP(M3107,Sheet9!$I$1:$J$17,2,FALSE)</f>
        <v>4</v>
      </c>
      <c r="C3107">
        <f>VLOOKUP(N3107,Sheet9!$M$1:$N$2,2,FALSE)</f>
        <v>1</v>
      </c>
      <c r="D3107">
        <v>32</v>
      </c>
      <c r="E3107" t="s">
        <v>96</v>
      </c>
      <c r="F3107">
        <v>120</v>
      </c>
      <c r="H3107">
        <v>2</v>
      </c>
      <c r="I3107">
        <v>1</v>
      </c>
      <c r="J3107">
        <v>2</v>
      </c>
      <c r="K3107">
        <v>3.56</v>
      </c>
      <c r="L3107">
        <v>4.95</v>
      </c>
      <c r="M3107" t="s">
        <v>37</v>
      </c>
      <c r="N3107" t="s">
        <v>162</v>
      </c>
    </row>
    <row r="3108" spans="1:14" x14ac:dyDescent="0.3">
      <c r="A3108" t="s">
        <v>37</v>
      </c>
      <c r="B3108">
        <f>VLOOKUP(M3108,Sheet9!$I$1:$J$17,2,FALSE)</f>
        <v>4</v>
      </c>
      <c r="C3108">
        <f>VLOOKUP(N3108,Sheet9!$M$1:$N$2,2,FALSE)</f>
        <v>1</v>
      </c>
      <c r="D3108">
        <v>32</v>
      </c>
      <c r="E3108" t="s">
        <v>96</v>
      </c>
      <c r="F3108">
        <v>120</v>
      </c>
      <c r="H3108">
        <v>6</v>
      </c>
      <c r="I3108">
        <v>0.6</v>
      </c>
      <c r="J3108">
        <v>3.6</v>
      </c>
      <c r="K3108">
        <v>5.94</v>
      </c>
      <c r="L3108">
        <v>8.26</v>
      </c>
      <c r="M3108" t="s">
        <v>37</v>
      </c>
      <c r="N3108" t="s">
        <v>162</v>
      </c>
    </row>
    <row r="3109" spans="1:14" x14ac:dyDescent="0.3">
      <c r="A3109" t="s">
        <v>37</v>
      </c>
      <c r="B3109">
        <f>VLOOKUP(M3109,Sheet9!$I$1:$J$17,2,FALSE)</f>
        <v>4</v>
      </c>
      <c r="C3109">
        <f>VLOOKUP(N3109,Sheet9!$M$1:$N$2,2,FALSE)</f>
        <v>1</v>
      </c>
      <c r="D3109">
        <v>32</v>
      </c>
      <c r="E3109" t="s">
        <v>96</v>
      </c>
      <c r="F3109">
        <v>120</v>
      </c>
      <c r="H3109">
        <v>1</v>
      </c>
      <c r="I3109">
        <v>5</v>
      </c>
      <c r="J3109">
        <v>5</v>
      </c>
      <c r="K3109">
        <v>3.44</v>
      </c>
      <c r="L3109">
        <v>4.79</v>
      </c>
      <c r="M3109" t="s">
        <v>37</v>
      </c>
      <c r="N3109" t="s">
        <v>162</v>
      </c>
    </row>
    <row r="3110" spans="1:14" x14ac:dyDescent="0.3">
      <c r="A3110" t="s">
        <v>37</v>
      </c>
      <c r="B3110">
        <f>VLOOKUP(M3110,Sheet9!$I$1:$J$17,2,FALSE)</f>
        <v>4</v>
      </c>
      <c r="C3110">
        <f>VLOOKUP(N3110,Sheet9!$M$1:$N$2,2,FALSE)</f>
        <v>1</v>
      </c>
      <c r="D3110">
        <v>32</v>
      </c>
      <c r="E3110" t="s">
        <v>96</v>
      </c>
      <c r="F3110">
        <v>120</v>
      </c>
      <c r="H3110">
        <v>1</v>
      </c>
      <c r="I3110">
        <v>10</v>
      </c>
      <c r="J3110">
        <v>10</v>
      </c>
      <c r="K3110">
        <v>3.44</v>
      </c>
      <c r="L3110">
        <v>4.79</v>
      </c>
      <c r="M3110" t="s">
        <v>37</v>
      </c>
      <c r="N3110" t="s">
        <v>162</v>
      </c>
    </row>
    <row r="3111" spans="1:14" x14ac:dyDescent="0.3">
      <c r="A3111" t="s">
        <v>37</v>
      </c>
      <c r="B3111">
        <f>VLOOKUP(M3111,Sheet9!$I$1:$J$17,2,FALSE)</f>
        <v>4</v>
      </c>
      <c r="C3111">
        <f>VLOOKUP(N3111,Sheet9!$M$1:$N$2,2,FALSE)</f>
        <v>1</v>
      </c>
      <c r="D3111">
        <v>32</v>
      </c>
      <c r="E3111" t="s">
        <v>96</v>
      </c>
      <c r="F3111">
        <v>120</v>
      </c>
      <c r="H3111">
        <v>12</v>
      </c>
      <c r="I3111">
        <v>1.2</v>
      </c>
      <c r="J3111">
        <v>14.4</v>
      </c>
      <c r="K3111">
        <v>4.91</v>
      </c>
      <c r="L3111">
        <v>6.83</v>
      </c>
      <c r="M3111" t="s">
        <v>37</v>
      </c>
      <c r="N3111" t="s">
        <v>162</v>
      </c>
    </row>
    <row r="3112" spans="1:14" x14ac:dyDescent="0.3">
      <c r="A3112" t="s">
        <v>37</v>
      </c>
      <c r="B3112">
        <f>VLOOKUP(M3112,Sheet9!$I$1:$J$17,2,FALSE)</f>
        <v>4</v>
      </c>
      <c r="C3112">
        <f>VLOOKUP(N3112,Sheet9!$M$1:$N$2,2,FALSE)</f>
        <v>1</v>
      </c>
      <c r="D3112">
        <v>32</v>
      </c>
      <c r="E3112" t="s">
        <v>96</v>
      </c>
      <c r="F3112">
        <v>120</v>
      </c>
      <c r="H3112">
        <v>32</v>
      </c>
      <c r="I3112">
        <v>0.6</v>
      </c>
      <c r="J3112">
        <v>19.2</v>
      </c>
      <c r="K3112">
        <v>3.88</v>
      </c>
      <c r="L3112">
        <v>5.4</v>
      </c>
      <c r="M3112" t="s">
        <v>37</v>
      </c>
      <c r="N3112" t="s">
        <v>162</v>
      </c>
    </row>
    <row r="3113" spans="1:14" x14ac:dyDescent="0.3">
      <c r="A3113" t="s">
        <v>37</v>
      </c>
      <c r="B3113">
        <f>VLOOKUP(M3113,Sheet9!$I$1:$J$17,2,FALSE)</f>
        <v>4</v>
      </c>
      <c r="C3113">
        <f>VLOOKUP(N3113,Sheet9!$M$1:$N$2,2,FALSE)</f>
        <v>1</v>
      </c>
      <c r="D3113">
        <v>32</v>
      </c>
      <c r="E3113" t="s">
        <v>168</v>
      </c>
      <c r="F3113">
        <v>120</v>
      </c>
      <c r="H3113">
        <v>32</v>
      </c>
      <c r="I3113">
        <v>0.6</v>
      </c>
      <c r="J3113">
        <v>19.2</v>
      </c>
      <c r="K3113">
        <v>4.17</v>
      </c>
      <c r="L3113">
        <v>5.8</v>
      </c>
      <c r="M3113" t="s">
        <v>37</v>
      </c>
      <c r="N3113" t="s">
        <v>162</v>
      </c>
    </row>
    <row r="3114" spans="1:14" x14ac:dyDescent="0.3">
      <c r="A3114" t="s">
        <v>37</v>
      </c>
      <c r="B3114">
        <f>VLOOKUP(M3114,Sheet9!$I$1:$J$17,2,FALSE)</f>
        <v>4</v>
      </c>
      <c r="C3114">
        <f>VLOOKUP(N3114,Sheet9!$M$1:$N$2,2,FALSE)</f>
        <v>1</v>
      </c>
      <c r="D3114">
        <v>32</v>
      </c>
      <c r="E3114" t="s">
        <v>168</v>
      </c>
      <c r="F3114">
        <v>120</v>
      </c>
      <c r="H3114">
        <v>32</v>
      </c>
      <c r="I3114">
        <v>0.6</v>
      </c>
      <c r="J3114">
        <v>19.2</v>
      </c>
      <c r="K3114">
        <v>4.74</v>
      </c>
      <c r="L3114">
        <v>6.59</v>
      </c>
      <c r="M3114" t="s">
        <v>37</v>
      </c>
      <c r="N3114" t="s">
        <v>162</v>
      </c>
    </row>
    <row r="3115" spans="1:14" x14ac:dyDescent="0.3">
      <c r="A3115" t="s">
        <v>37</v>
      </c>
      <c r="B3115">
        <f>VLOOKUP(M3115,Sheet9!$I$1:$J$17,2,FALSE)</f>
        <v>4</v>
      </c>
      <c r="C3115">
        <f>VLOOKUP(N3115,Sheet9!$M$1:$N$2,2,FALSE)</f>
        <v>1</v>
      </c>
      <c r="D3115">
        <v>32</v>
      </c>
      <c r="E3115" t="s">
        <v>168</v>
      </c>
      <c r="F3115">
        <v>120</v>
      </c>
      <c r="H3115">
        <v>48</v>
      </c>
      <c r="I3115">
        <v>1.2</v>
      </c>
      <c r="J3115">
        <v>57.599999999999994</v>
      </c>
      <c r="K3115">
        <v>4.3</v>
      </c>
      <c r="L3115">
        <v>5.98</v>
      </c>
      <c r="M3115" t="s">
        <v>37</v>
      </c>
      <c r="N3115" t="s">
        <v>162</v>
      </c>
    </row>
    <row r="3116" spans="1:14" x14ac:dyDescent="0.3">
      <c r="A3116" t="s">
        <v>37</v>
      </c>
      <c r="B3116">
        <f>VLOOKUP(M3116,Sheet9!$I$1:$J$17,2,FALSE)</f>
        <v>4</v>
      </c>
      <c r="C3116">
        <f>VLOOKUP(N3116,Sheet9!$M$1:$N$2,2,FALSE)</f>
        <v>1</v>
      </c>
      <c r="D3116">
        <v>32</v>
      </c>
      <c r="E3116" t="s">
        <v>168</v>
      </c>
      <c r="F3116">
        <v>120</v>
      </c>
      <c r="H3116">
        <v>64</v>
      </c>
      <c r="I3116">
        <v>1.2</v>
      </c>
      <c r="J3116">
        <v>76.8</v>
      </c>
      <c r="K3116">
        <v>4.08</v>
      </c>
      <c r="L3116">
        <v>5.68</v>
      </c>
      <c r="M3116" t="s">
        <v>37</v>
      </c>
      <c r="N3116" t="s">
        <v>162</v>
      </c>
    </row>
    <row r="3117" spans="1:14" x14ac:dyDescent="0.3">
      <c r="A3117" t="s">
        <v>37</v>
      </c>
      <c r="B3117">
        <f>VLOOKUP(M3117,Sheet9!$I$1:$J$17,2,FALSE)</f>
        <v>4</v>
      </c>
      <c r="C3117">
        <f>VLOOKUP(N3117,Sheet9!$M$1:$N$2,2,FALSE)</f>
        <v>1</v>
      </c>
      <c r="D3117">
        <v>32</v>
      </c>
      <c r="E3117" t="s">
        <v>168</v>
      </c>
      <c r="F3117">
        <v>120</v>
      </c>
      <c r="H3117">
        <v>96</v>
      </c>
      <c r="I3117">
        <v>0.6</v>
      </c>
      <c r="J3117">
        <v>57.599999999999994</v>
      </c>
      <c r="K3117">
        <v>3.84</v>
      </c>
      <c r="L3117">
        <v>5.34</v>
      </c>
      <c r="M3117" t="s">
        <v>37</v>
      </c>
      <c r="N3117" t="s">
        <v>162</v>
      </c>
    </row>
    <row r="3118" spans="1:14" x14ac:dyDescent="0.3">
      <c r="A3118" t="s">
        <v>37</v>
      </c>
      <c r="B3118">
        <f>VLOOKUP(M3118,Sheet9!$I$1:$J$17,2,FALSE)</f>
        <v>4</v>
      </c>
      <c r="C3118">
        <f>VLOOKUP(N3118,Sheet9!$M$1:$N$2,2,FALSE)</f>
        <v>1</v>
      </c>
      <c r="D3118">
        <v>32</v>
      </c>
      <c r="E3118" t="s">
        <v>168</v>
      </c>
      <c r="F3118">
        <v>120</v>
      </c>
      <c r="H3118">
        <v>24</v>
      </c>
      <c r="I3118">
        <v>1.2</v>
      </c>
      <c r="J3118">
        <v>28.799999999999997</v>
      </c>
      <c r="K3118">
        <v>4.2300000000000004</v>
      </c>
      <c r="L3118">
        <v>5.87</v>
      </c>
      <c r="M3118" t="s">
        <v>37</v>
      </c>
      <c r="N3118" t="s">
        <v>162</v>
      </c>
    </row>
    <row r="3119" spans="1:14" x14ac:dyDescent="0.3">
      <c r="A3119" t="s">
        <v>37</v>
      </c>
      <c r="B3119">
        <f>VLOOKUP(M3119,Sheet9!$I$1:$J$17,2,FALSE)</f>
        <v>4</v>
      </c>
      <c r="C3119">
        <f>VLOOKUP(N3119,Sheet9!$M$1:$N$2,2,FALSE)</f>
        <v>1</v>
      </c>
      <c r="D3119">
        <v>32</v>
      </c>
      <c r="E3119" t="s">
        <v>96</v>
      </c>
      <c r="F3119">
        <v>120</v>
      </c>
      <c r="H3119">
        <v>48</v>
      </c>
      <c r="I3119">
        <v>1.2</v>
      </c>
      <c r="J3119">
        <v>57.599999999999994</v>
      </c>
      <c r="K3119">
        <v>3.85</v>
      </c>
      <c r="L3119">
        <v>5.34</v>
      </c>
      <c r="M3119" t="s">
        <v>37</v>
      </c>
      <c r="N3119" t="s">
        <v>162</v>
      </c>
    </row>
    <row r="3120" spans="1:14" x14ac:dyDescent="0.3">
      <c r="A3120" t="s">
        <v>37</v>
      </c>
      <c r="B3120">
        <f>VLOOKUP(M3120,Sheet9!$I$1:$J$17,2,FALSE)</f>
        <v>4</v>
      </c>
      <c r="C3120">
        <f>VLOOKUP(N3120,Sheet9!$M$1:$N$2,2,FALSE)</f>
        <v>1</v>
      </c>
      <c r="D3120">
        <v>32</v>
      </c>
      <c r="E3120" t="s">
        <v>96</v>
      </c>
      <c r="F3120">
        <v>130</v>
      </c>
      <c r="H3120">
        <v>2</v>
      </c>
      <c r="I3120">
        <v>1</v>
      </c>
      <c r="J3120">
        <v>2</v>
      </c>
      <c r="K3120">
        <v>4.42</v>
      </c>
      <c r="L3120">
        <v>6.08</v>
      </c>
      <c r="M3120" t="s">
        <v>37</v>
      </c>
      <c r="N3120" t="s">
        <v>162</v>
      </c>
    </row>
    <row r="3121" spans="1:14" x14ac:dyDescent="0.3">
      <c r="A3121" t="s">
        <v>37</v>
      </c>
      <c r="B3121">
        <f>VLOOKUP(M3121,Sheet9!$I$1:$J$17,2,FALSE)</f>
        <v>4</v>
      </c>
      <c r="C3121">
        <f>VLOOKUP(N3121,Sheet9!$M$1:$N$2,2,FALSE)</f>
        <v>1</v>
      </c>
      <c r="D3121">
        <v>32</v>
      </c>
      <c r="E3121" t="s">
        <v>96</v>
      </c>
      <c r="F3121">
        <v>130</v>
      </c>
      <c r="H3121">
        <v>6</v>
      </c>
      <c r="I3121">
        <v>0.6</v>
      </c>
      <c r="J3121">
        <v>3.6</v>
      </c>
      <c r="K3121">
        <v>7.37</v>
      </c>
      <c r="L3121">
        <v>10.130000000000001</v>
      </c>
      <c r="M3121" t="s">
        <v>37</v>
      </c>
      <c r="N3121" t="s">
        <v>162</v>
      </c>
    </row>
    <row r="3122" spans="1:14" x14ac:dyDescent="0.3">
      <c r="A3122" t="s">
        <v>37</v>
      </c>
      <c r="B3122">
        <f>VLOOKUP(M3122,Sheet9!$I$1:$J$17,2,FALSE)</f>
        <v>4</v>
      </c>
      <c r="C3122">
        <f>VLOOKUP(N3122,Sheet9!$M$1:$N$2,2,FALSE)</f>
        <v>1</v>
      </c>
      <c r="D3122">
        <v>32</v>
      </c>
      <c r="E3122" t="s">
        <v>96</v>
      </c>
      <c r="F3122">
        <v>130</v>
      </c>
      <c r="H3122">
        <v>1</v>
      </c>
      <c r="I3122">
        <v>5</v>
      </c>
      <c r="J3122">
        <v>5</v>
      </c>
      <c r="K3122">
        <v>4.2699999999999996</v>
      </c>
      <c r="L3122">
        <v>5.87</v>
      </c>
      <c r="M3122" t="s">
        <v>37</v>
      </c>
      <c r="N3122" t="s">
        <v>162</v>
      </c>
    </row>
    <row r="3123" spans="1:14" x14ac:dyDescent="0.3">
      <c r="A3123" t="s">
        <v>37</v>
      </c>
      <c r="B3123">
        <f>VLOOKUP(M3123,Sheet9!$I$1:$J$17,2,FALSE)</f>
        <v>4</v>
      </c>
      <c r="C3123">
        <f>VLOOKUP(N3123,Sheet9!$M$1:$N$2,2,FALSE)</f>
        <v>1</v>
      </c>
      <c r="D3123">
        <v>32</v>
      </c>
      <c r="E3123" t="s">
        <v>96</v>
      </c>
      <c r="F3123">
        <v>130</v>
      </c>
      <c r="H3123">
        <v>1</v>
      </c>
      <c r="I3123">
        <v>10</v>
      </c>
      <c r="J3123">
        <v>10</v>
      </c>
      <c r="K3123">
        <v>4.2699999999999996</v>
      </c>
      <c r="L3123">
        <v>5.87</v>
      </c>
      <c r="M3123" t="s">
        <v>37</v>
      </c>
      <c r="N3123" t="s">
        <v>162</v>
      </c>
    </row>
    <row r="3124" spans="1:14" x14ac:dyDescent="0.3">
      <c r="A3124" t="s">
        <v>37</v>
      </c>
      <c r="B3124">
        <f>VLOOKUP(M3124,Sheet9!$I$1:$J$17,2,FALSE)</f>
        <v>4</v>
      </c>
      <c r="C3124">
        <f>VLOOKUP(N3124,Sheet9!$M$1:$N$2,2,FALSE)</f>
        <v>1</v>
      </c>
      <c r="D3124">
        <v>32</v>
      </c>
      <c r="E3124" t="s">
        <v>96</v>
      </c>
      <c r="F3124">
        <v>130</v>
      </c>
      <c r="H3124">
        <v>12</v>
      </c>
      <c r="I3124">
        <v>1.2</v>
      </c>
      <c r="J3124">
        <v>14.4</v>
      </c>
      <c r="K3124">
        <v>609</v>
      </c>
      <c r="L3124">
        <v>8.3800000000000008</v>
      </c>
      <c r="M3124" t="s">
        <v>37</v>
      </c>
      <c r="N3124" t="s">
        <v>162</v>
      </c>
    </row>
    <row r="3125" spans="1:14" x14ac:dyDescent="0.3">
      <c r="A3125" t="s">
        <v>37</v>
      </c>
      <c r="B3125">
        <f>VLOOKUP(M3125,Sheet9!$I$1:$J$17,2,FALSE)</f>
        <v>4</v>
      </c>
      <c r="C3125">
        <f>VLOOKUP(N3125,Sheet9!$M$1:$N$2,2,FALSE)</f>
        <v>1</v>
      </c>
      <c r="D3125">
        <v>32</v>
      </c>
      <c r="E3125" t="s">
        <v>96</v>
      </c>
      <c r="F3125">
        <v>130</v>
      </c>
      <c r="H3125">
        <v>32</v>
      </c>
      <c r="I3125">
        <v>0.6</v>
      </c>
      <c r="J3125">
        <v>19.2</v>
      </c>
      <c r="K3125">
        <v>4.82</v>
      </c>
      <c r="L3125">
        <v>6.63</v>
      </c>
      <c r="M3125" t="s">
        <v>37</v>
      </c>
      <c r="N3125" t="s">
        <v>162</v>
      </c>
    </row>
    <row r="3126" spans="1:14" x14ac:dyDescent="0.3">
      <c r="A3126" t="s">
        <v>37</v>
      </c>
      <c r="B3126">
        <f>VLOOKUP(M3126,Sheet9!$I$1:$J$17,2,FALSE)</f>
        <v>4</v>
      </c>
      <c r="C3126">
        <f>VLOOKUP(N3126,Sheet9!$M$1:$N$2,2,FALSE)</f>
        <v>1</v>
      </c>
      <c r="D3126">
        <v>32</v>
      </c>
      <c r="E3126" t="s">
        <v>168</v>
      </c>
      <c r="F3126">
        <v>130</v>
      </c>
      <c r="H3126">
        <v>32</v>
      </c>
      <c r="I3126">
        <v>0.6</v>
      </c>
      <c r="J3126">
        <v>19.2</v>
      </c>
      <c r="K3126">
        <v>5.17</v>
      </c>
      <c r="L3126">
        <v>7.11</v>
      </c>
      <c r="M3126" t="s">
        <v>37</v>
      </c>
      <c r="N3126" t="s">
        <v>162</v>
      </c>
    </row>
    <row r="3127" spans="1:14" x14ac:dyDescent="0.3">
      <c r="A3127" t="s">
        <v>37</v>
      </c>
      <c r="B3127">
        <f>VLOOKUP(M3127,Sheet9!$I$1:$J$17,2,FALSE)</f>
        <v>4</v>
      </c>
      <c r="C3127">
        <f>VLOOKUP(N3127,Sheet9!$M$1:$N$2,2,FALSE)</f>
        <v>1</v>
      </c>
      <c r="D3127">
        <v>32</v>
      </c>
      <c r="E3127" t="s">
        <v>168</v>
      </c>
      <c r="F3127">
        <v>130</v>
      </c>
      <c r="H3127">
        <v>32</v>
      </c>
      <c r="I3127">
        <v>0.6</v>
      </c>
      <c r="J3127">
        <v>19.2</v>
      </c>
      <c r="K3127">
        <v>5.88</v>
      </c>
      <c r="L3127">
        <v>8.09</v>
      </c>
      <c r="M3127" t="s">
        <v>37</v>
      </c>
      <c r="N3127" t="s">
        <v>162</v>
      </c>
    </row>
    <row r="3128" spans="1:14" x14ac:dyDescent="0.3">
      <c r="A3128" t="s">
        <v>37</v>
      </c>
      <c r="B3128">
        <f>VLOOKUP(M3128,Sheet9!$I$1:$J$17,2,FALSE)</f>
        <v>4</v>
      </c>
      <c r="C3128">
        <f>VLOOKUP(N3128,Sheet9!$M$1:$N$2,2,FALSE)</f>
        <v>1</v>
      </c>
      <c r="D3128">
        <v>32</v>
      </c>
      <c r="E3128" t="s">
        <v>168</v>
      </c>
      <c r="F3128">
        <v>130</v>
      </c>
      <c r="H3128">
        <v>48</v>
      </c>
      <c r="I3128">
        <v>1.2</v>
      </c>
      <c r="J3128">
        <v>57.599999999999994</v>
      </c>
      <c r="K3128">
        <v>5.34</v>
      </c>
      <c r="L3128">
        <v>7.34</v>
      </c>
      <c r="M3128" t="s">
        <v>37</v>
      </c>
      <c r="N3128" t="s">
        <v>162</v>
      </c>
    </row>
    <row r="3129" spans="1:14" x14ac:dyDescent="0.3">
      <c r="A3129" t="s">
        <v>37</v>
      </c>
      <c r="B3129">
        <f>VLOOKUP(M3129,Sheet9!$I$1:$J$17,2,FALSE)</f>
        <v>4</v>
      </c>
      <c r="C3129">
        <f>VLOOKUP(N3129,Sheet9!$M$1:$N$2,2,FALSE)</f>
        <v>1</v>
      </c>
      <c r="D3129">
        <v>32</v>
      </c>
      <c r="E3129" t="s">
        <v>168</v>
      </c>
      <c r="F3129">
        <v>130</v>
      </c>
      <c r="H3129">
        <v>64</v>
      </c>
      <c r="I3129">
        <v>1.2</v>
      </c>
      <c r="J3129">
        <v>76.8</v>
      </c>
      <c r="K3129">
        <v>5.07</v>
      </c>
      <c r="L3129">
        <v>6.97</v>
      </c>
      <c r="M3129" t="s">
        <v>37</v>
      </c>
      <c r="N3129" t="s">
        <v>162</v>
      </c>
    </row>
    <row r="3130" spans="1:14" x14ac:dyDescent="0.3">
      <c r="A3130" t="s">
        <v>37</v>
      </c>
      <c r="B3130">
        <f>VLOOKUP(M3130,Sheet9!$I$1:$J$17,2,FALSE)</f>
        <v>4</v>
      </c>
      <c r="C3130">
        <f>VLOOKUP(N3130,Sheet9!$M$1:$N$2,2,FALSE)</f>
        <v>1</v>
      </c>
      <c r="D3130">
        <v>32</v>
      </c>
      <c r="E3130" t="s">
        <v>168</v>
      </c>
      <c r="F3130">
        <v>130</v>
      </c>
      <c r="H3130">
        <v>96</v>
      </c>
      <c r="I3130">
        <v>0.6</v>
      </c>
      <c r="J3130">
        <v>57.599999999999994</v>
      </c>
      <c r="K3130">
        <v>4.7699999999999996</v>
      </c>
      <c r="L3130">
        <v>6.55</v>
      </c>
      <c r="M3130" t="s">
        <v>37</v>
      </c>
      <c r="N3130" t="s">
        <v>162</v>
      </c>
    </row>
    <row r="3131" spans="1:14" x14ac:dyDescent="0.3">
      <c r="A3131" t="s">
        <v>37</v>
      </c>
      <c r="B3131">
        <f>VLOOKUP(M3131,Sheet9!$I$1:$J$17,2,FALSE)</f>
        <v>4</v>
      </c>
      <c r="C3131">
        <f>VLOOKUP(N3131,Sheet9!$M$1:$N$2,2,FALSE)</f>
        <v>1</v>
      </c>
      <c r="D3131">
        <v>32</v>
      </c>
      <c r="E3131" t="s">
        <v>168</v>
      </c>
      <c r="F3131">
        <v>130</v>
      </c>
      <c r="H3131">
        <v>24</v>
      </c>
      <c r="I3131">
        <v>1.2</v>
      </c>
      <c r="J3131">
        <v>28.799999999999997</v>
      </c>
      <c r="K3131">
        <v>5.24</v>
      </c>
      <c r="L3131">
        <v>7.21</v>
      </c>
      <c r="M3131" t="s">
        <v>37</v>
      </c>
      <c r="N3131" t="s">
        <v>162</v>
      </c>
    </row>
    <row r="3132" spans="1:14" x14ac:dyDescent="0.3">
      <c r="A3132" t="s">
        <v>37</v>
      </c>
      <c r="B3132">
        <f>VLOOKUP(M3132,Sheet9!$I$1:$J$17,2,FALSE)</f>
        <v>4</v>
      </c>
      <c r="C3132">
        <f>VLOOKUP(N3132,Sheet9!$M$1:$N$2,2,FALSE)</f>
        <v>1</v>
      </c>
      <c r="D3132">
        <v>32</v>
      </c>
      <c r="E3132" t="s">
        <v>96</v>
      </c>
      <c r="F3132">
        <v>130</v>
      </c>
      <c r="H3132">
        <v>48</v>
      </c>
      <c r="I3132">
        <v>1.2</v>
      </c>
      <c r="J3132">
        <v>57.599999999999994</v>
      </c>
      <c r="K3132">
        <v>4.7699999999999996</v>
      </c>
      <c r="L3132">
        <v>6.56</v>
      </c>
      <c r="M3132" t="s">
        <v>37</v>
      </c>
      <c r="N3132" t="s">
        <v>162</v>
      </c>
    </row>
    <row r="3133" spans="1:14" x14ac:dyDescent="0.3">
      <c r="A3133" t="s">
        <v>37</v>
      </c>
      <c r="B3133">
        <f>VLOOKUP(M3133,Sheet9!$I$1:$J$17,2,FALSE)</f>
        <v>4</v>
      </c>
      <c r="C3133">
        <f>VLOOKUP(N3133,Sheet9!$M$1:$N$2,2,FALSE)</f>
        <v>1</v>
      </c>
      <c r="D3133">
        <v>32</v>
      </c>
      <c r="E3133" t="s">
        <v>96</v>
      </c>
      <c r="F3133">
        <v>140</v>
      </c>
      <c r="H3133">
        <v>2</v>
      </c>
      <c r="I3133">
        <v>1</v>
      </c>
      <c r="J3133">
        <v>2</v>
      </c>
      <c r="K3133">
        <v>5.34</v>
      </c>
      <c r="L3133">
        <v>7.28</v>
      </c>
      <c r="M3133" t="s">
        <v>37</v>
      </c>
      <c r="N3133" t="s">
        <v>162</v>
      </c>
    </row>
    <row r="3134" spans="1:14" x14ac:dyDescent="0.3">
      <c r="A3134" t="s">
        <v>37</v>
      </c>
      <c r="B3134">
        <f>VLOOKUP(M3134,Sheet9!$I$1:$J$17,2,FALSE)</f>
        <v>4</v>
      </c>
      <c r="C3134">
        <f>VLOOKUP(N3134,Sheet9!$M$1:$N$2,2,FALSE)</f>
        <v>1</v>
      </c>
      <c r="D3134">
        <v>32</v>
      </c>
      <c r="E3134" t="s">
        <v>96</v>
      </c>
      <c r="F3134">
        <v>140</v>
      </c>
      <c r="H3134">
        <v>6</v>
      </c>
      <c r="I3134">
        <v>0.6</v>
      </c>
      <c r="J3134">
        <v>3.6</v>
      </c>
      <c r="K3134">
        <v>8.9</v>
      </c>
      <c r="L3134">
        <v>12.14</v>
      </c>
      <c r="M3134" t="s">
        <v>37</v>
      </c>
      <c r="N3134" t="s">
        <v>162</v>
      </c>
    </row>
    <row r="3135" spans="1:14" x14ac:dyDescent="0.3">
      <c r="A3135" t="s">
        <v>37</v>
      </c>
      <c r="B3135">
        <f>VLOOKUP(M3135,Sheet9!$I$1:$J$17,2,FALSE)</f>
        <v>4</v>
      </c>
      <c r="C3135">
        <f>VLOOKUP(N3135,Sheet9!$M$1:$N$2,2,FALSE)</f>
        <v>1</v>
      </c>
      <c r="D3135">
        <v>32</v>
      </c>
      <c r="E3135" t="s">
        <v>96</v>
      </c>
      <c r="F3135">
        <v>140</v>
      </c>
      <c r="H3135">
        <v>1</v>
      </c>
      <c r="I3135">
        <v>5</v>
      </c>
      <c r="J3135">
        <v>5</v>
      </c>
      <c r="K3135">
        <v>5.16</v>
      </c>
      <c r="L3135">
        <v>7.04</v>
      </c>
      <c r="M3135" t="s">
        <v>37</v>
      </c>
      <c r="N3135" t="s">
        <v>162</v>
      </c>
    </row>
    <row r="3136" spans="1:14" x14ac:dyDescent="0.3">
      <c r="A3136" t="s">
        <v>37</v>
      </c>
      <c r="B3136">
        <f>VLOOKUP(M3136,Sheet9!$I$1:$J$17,2,FALSE)</f>
        <v>4</v>
      </c>
      <c r="C3136">
        <f>VLOOKUP(N3136,Sheet9!$M$1:$N$2,2,FALSE)</f>
        <v>1</v>
      </c>
      <c r="D3136">
        <v>32</v>
      </c>
      <c r="E3136" t="s">
        <v>96</v>
      </c>
      <c r="F3136">
        <v>140</v>
      </c>
      <c r="H3136">
        <v>1</v>
      </c>
      <c r="I3136">
        <v>10</v>
      </c>
      <c r="J3136">
        <v>10</v>
      </c>
      <c r="K3136">
        <v>5.16</v>
      </c>
      <c r="L3136">
        <v>7.04</v>
      </c>
      <c r="M3136" t="s">
        <v>37</v>
      </c>
      <c r="N3136" t="s">
        <v>162</v>
      </c>
    </row>
    <row r="3137" spans="1:14" x14ac:dyDescent="0.3">
      <c r="A3137" t="s">
        <v>37</v>
      </c>
      <c r="B3137">
        <f>VLOOKUP(M3137,Sheet9!$I$1:$J$17,2,FALSE)</f>
        <v>4</v>
      </c>
      <c r="C3137">
        <f>VLOOKUP(N3137,Sheet9!$M$1:$N$2,2,FALSE)</f>
        <v>1</v>
      </c>
      <c r="D3137">
        <v>32</v>
      </c>
      <c r="E3137" t="s">
        <v>96</v>
      </c>
      <c r="F3137">
        <v>140</v>
      </c>
      <c r="H3137">
        <v>12</v>
      </c>
      <c r="I3137">
        <v>1.2</v>
      </c>
      <c r="J3137">
        <v>14.4</v>
      </c>
      <c r="K3137">
        <v>7.36</v>
      </c>
      <c r="L3137">
        <v>10.039999999999999</v>
      </c>
      <c r="M3137" t="s">
        <v>37</v>
      </c>
      <c r="N3137" t="s">
        <v>162</v>
      </c>
    </row>
    <row r="3138" spans="1:14" x14ac:dyDescent="0.3">
      <c r="A3138" t="s">
        <v>37</v>
      </c>
      <c r="B3138">
        <f>VLOOKUP(M3138,Sheet9!$I$1:$J$17,2,FALSE)</f>
        <v>4</v>
      </c>
      <c r="C3138">
        <f>VLOOKUP(N3138,Sheet9!$M$1:$N$2,2,FALSE)</f>
        <v>1</v>
      </c>
      <c r="D3138">
        <v>32</v>
      </c>
      <c r="E3138" t="s">
        <v>96</v>
      </c>
      <c r="F3138">
        <v>140</v>
      </c>
      <c r="H3138">
        <v>32</v>
      </c>
      <c r="I3138">
        <v>0.6</v>
      </c>
      <c r="J3138">
        <v>19.2</v>
      </c>
      <c r="K3138">
        <v>5.82</v>
      </c>
      <c r="L3138">
        <v>7.94</v>
      </c>
      <c r="M3138" t="s">
        <v>37</v>
      </c>
      <c r="N3138" t="s">
        <v>162</v>
      </c>
    </row>
    <row r="3139" spans="1:14" x14ac:dyDescent="0.3">
      <c r="A3139" t="s">
        <v>37</v>
      </c>
      <c r="B3139">
        <f>VLOOKUP(M3139,Sheet9!$I$1:$J$17,2,FALSE)</f>
        <v>4</v>
      </c>
      <c r="C3139">
        <f>VLOOKUP(N3139,Sheet9!$M$1:$N$2,2,FALSE)</f>
        <v>1</v>
      </c>
      <c r="D3139">
        <v>32</v>
      </c>
      <c r="E3139" t="s">
        <v>168</v>
      </c>
      <c r="F3139">
        <v>140</v>
      </c>
      <c r="H3139">
        <v>32</v>
      </c>
      <c r="I3139">
        <v>0.6</v>
      </c>
      <c r="J3139">
        <v>19.2</v>
      </c>
      <c r="K3139">
        <v>6.25</v>
      </c>
      <c r="L3139">
        <v>8.52</v>
      </c>
      <c r="M3139" t="s">
        <v>37</v>
      </c>
      <c r="N3139" t="s">
        <v>162</v>
      </c>
    </row>
    <row r="3140" spans="1:14" x14ac:dyDescent="0.3">
      <c r="A3140" t="s">
        <v>37</v>
      </c>
      <c r="B3140">
        <f>VLOOKUP(M3140,Sheet9!$I$1:$J$17,2,FALSE)</f>
        <v>4</v>
      </c>
      <c r="C3140">
        <f>VLOOKUP(N3140,Sheet9!$M$1:$N$2,2,FALSE)</f>
        <v>1</v>
      </c>
      <c r="D3140">
        <v>32</v>
      </c>
      <c r="E3140" t="s">
        <v>168</v>
      </c>
      <c r="F3140">
        <v>140</v>
      </c>
      <c r="H3140">
        <v>32</v>
      </c>
      <c r="I3140">
        <v>0.6</v>
      </c>
      <c r="J3140">
        <v>19.2</v>
      </c>
      <c r="K3140">
        <v>7.1</v>
      </c>
      <c r="L3140">
        <v>9.69</v>
      </c>
      <c r="M3140" t="s">
        <v>37</v>
      </c>
      <c r="N3140" t="s">
        <v>162</v>
      </c>
    </row>
    <row r="3141" spans="1:14" x14ac:dyDescent="0.3">
      <c r="A3141" t="s">
        <v>37</v>
      </c>
      <c r="B3141">
        <f>VLOOKUP(M3141,Sheet9!$I$1:$J$17,2,FALSE)</f>
        <v>4</v>
      </c>
      <c r="C3141">
        <f>VLOOKUP(N3141,Sheet9!$M$1:$N$2,2,FALSE)</f>
        <v>1</v>
      </c>
      <c r="D3141">
        <v>32</v>
      </c>
      <c r="E3141" t="s">
        <v>168</v>
      </c>
      <c r="F3141">
        <v>140</v>
      </c>
      <c r="H3141">
        <v>48</v>
      </c>
      <c r="I3141">
        <v>1.2</v>
      </c>
      <c r="J3141">
        <v>57.599999999999994</v>
      </c>
      <c r="K3141">
        <v>6.45</v>
      </c>
      <c r="L3141">
        <v>8.7899999999999991</v>
      </c>
      <c r="M3141" t="s">
        <v>37</v>
      </c>
      <c r="N3141" t="s">
        <v>162</v>
      </c>
    </row>
    <row r="3142" spans="1:14" x14ac:dyDescent="0.3">
      <c r="A3142" t="s">
        <v>37</v>
      </c>
      <c r="B3142">
        <f>VLOOKUP(M3142,Sheet9!$I$1:$J$17,2,FALSE)</f>
        <v>4</v>
      </c>
      <c r="C3142">
        <f>VLOOKUP(N3142,Sheet9!$M$1:$N$2,2,FALSE)</f>
        <v>1</v>
      </c>
      <c r="D3142">
        <v>32</v>
      </c>
      <c r="E3142" t="s">
        <v>168</v>
      </c>
      <c r="F3142">
        <v>140</v>
      </c>
      <c r="H3142">
        <v>64</v>
      </c>
      <c r="I3142">
        <v>1.2</v>
      </c>
      <c r="J3142">
        <v>76.8</v>
      </c>
      <c r="K3142">
        <v>6.12</v>
      </c>
      <c r="L3142">
        <v>8.35</v>
      </c>
      <c r="M3142" t="s">
        <v>37</v>
      </c>
      <c r="N3142" t="s">
        <v>162</v>
      </c>
    </row>
    <row r="3143" spans="1:14" x14ac:dyDescent="0.3">
      <c r="A3143" t="s">
        <v>37</v>
      </c>
      <c r="B3143">
        <f>VLOOKUP(M3143,Sheet9!$I$1:$J$17,2,FALSE)</f>
        <v>4</v>
      </c>
      <c r="C3143">
        <f>VLOOKUP(N3143,Sheet9!$M$1:$N$2,2,FALSE)</f>
        <v>1</v>
      </c>
      <c r="D3143">
        <v>32</v>
      </c>
      <c r="E3143" t="s">
        <v>168</v>
      </c>
      <c r="F3143">
        <v>140</v>
      </c>
      <c r="H3143">
        <v>96</v>
      </c>
      <c r="I3143">
        <v>0.6</v>
      </c>
      <c r="J3143">
        <v>57.599999999999994</v>
      </c>
      <c r="K3143">
        <v>5.76</v>
      </c>
      <c r="L3143">
        <v>7.85</v>
      </c>
      <c r="M3143" t="s">
        <v>37</v>
      </c>
      <c r="N3143" t="s">
        <v>162</v>
      </c>
    </row>
    <row r="3144" spans="1:14" x14ac:dyDescent="0.3">
      <c r="A3144" t="s">
        <v>37</v>
      </c>
      <c r="B3144">
        <f>VLOOKUP(M3144,Sheet9!$I$1:$J$17,2,FALSE)</f>
        <v>4</v>
      </c>
      <c r="C3144">
        <f>VLOOKUP(N3144,Sheet9!$M$1:$N$2,2,FALSE)</f>
        <v>1</v>
      </c>
      <c r="D3144">
        <v>32</v>
      </c>
      <c r="E3144" t="s">
        <v>168</v>
      </c>
      <c r="F3144">
        <v>140</v>
      </c>
      <c r="H3144">
        <v>24</v>
      </c>
      <c r="I3144">
        <v>1.2</v>
      </c>
      <c r="J3144">
        <v>28.799999999999997</v>
      </c>
      <c r="K3144">
        <v>6.33</v>
      </c>
      <c r="L3144">
        <v>8.64</v>
      </c>
      <c r="M3144" t="s">
        <v>37</v>
      </c>
      <c r="N3144" t="s">
        <v>162</v>
      </c>
    </row>
    <row r="3145" spans="1:14" x14ac:dyDescent="0.3">
      <c r="A3145" t="s">
        <v>37</v>
      </c>
      <c r="B3145">
        <f>VLOOKUP(M3145,Sheet9!$I$1:$J$17,2,FALSE)</f>
        <v>4</v>
      </c>
      <c r="C3145">
        <f>VLOOKUP(N3145,Sheet9!$M$1:$N$2,2,FALSE)</f>
        <v>1</v>
      </c>
      <c r="D3145">
        <v>32</v>
      </c>
      <c r="E3145" t="s">
        <v>96</v>
      </c>
      <c r="F3145">
        <v>140</v>
      </c>
      <c r="H3145">
        <v>48</v>
      </c>
      <c r="I3145">
        <v>1.2</v>
      </c>
      <c r="J3145">
        <v>57.599999999999994</v>
      </c>
      <c r="K3145">
        <v>5.76</v>
      </c>
      <c r="L3145">
        <v>7.86</v>
      </c>
      <c r="M3145" t="s">
        <v>37</v>
      </c>
      <c r="N3145" t="s">
        <v>162</v>
      </c>
    </row>
    <row r="3146" spans="1:14" x14ac:dyDescent="0.3">
      <c r="A3146" t="s">
        <v>37</v>
      </c>
      <c r="B3146">
        <f>VLOOKUP(M3146,Sheet9!$I$1:$J$17,2,FALSE)</f>
        <v>4</v>
      </c>
      <c r="C3146">
        <f>VLOOKUP(N3146,Sheet9!$M$1:$N$2,2,FALSE)</f>
        <v>1</v>
      </c>
      <c r="D3146">
        <v>32</v>
      </c>
      <c r="E3146" t="s">
        <v>96</v>
      </c>
      <c r="F3146">
        <v>150</v>
      </c>
      <c r="H3146">
        <v>2</v>
      </c>
      <c r="I3146">
        <v>1</v>
      </c>
      <c r="J3146">
        <v>2</v>
      </c>
      <c r="K3146">
        <v>6.33</v>
      </c>
      <c r="L3146">
        <v>8.56</v>
      </c>
      <c r="M3146" t="s">
        <v>37</v>
      </c>
      <c r="N3146" t="s">
        <v>162</v>
      </c>
    </row>
    <row r="3147" spans="1:14" x14ac:dyDescent="0.3">
      <c r="A3147" t="s">
        <v>37</v>
      </c>
      <c r="B3147">
        <f>VLOOKUP(M3147,Sheet9!$I$1:$J$17,2,FALSE)</f>
        <v>4</v>
      </c>
      <c r="C3147">
        <f>VLOOKUP(N3147,Sheet9!$M$1:$N$2,2,FALSE)</f>
        <v>1</v>
      </c>
      <c r="D3147">
        <v>32</v>
      </c>
      <c r="E3147" t="s">
        <v>96</v>
      </c>
      <c r="F3147">
        <v>150</v>
      </c>
      <c r="H3147">
        <v>6</v>
      </c>
      <c r="I3147">
        <v>0.6</v>
      </c>
      <c r="J3147">
        <v>3.6</v>
      </c>
      <c r="K3147">
        <v>10.56</v>
      </c>
      <c r="L3147">
        <v>14.27</v>
      </c>
      <c r="M3147" t="s">
        <v>37</v>
      </c>
      <c r="N3147" t="s">
        <v>162</v>
      </c>
    </row>
    <row r="3148" spans="1:14" x14ac:dyDescent="0.3">
      <c r="A3148" t="s">
        <v>37</v>
      </c>
      <c r="B3148">
        <f>VLOOKUP(M3148,Sheet9!$I$1:$J$17,2,FALSE)</f>
        <v>4</v>
      </c>
      <c r="C3148">
        <f>VLOOKUP(N3148,Sheet9!$M$1:$N$2,2,FALSE)</f>
        <v>1</v>
      </c>
      <c r="D3148">
        <v>32</v>
      </c>
      <c r="E3148" t="s">
        <v>96</v>
      </c>
      <c r="F3148">
        <v>150</v>
      </c>
      <c r="H3148">
        <v>1</v>
      </c>
      <c r="I3148">
        <v>5</v>
      </c>
      <c r="J3148">
        <v>5</v>
      </c>
      <c r="K3148">
        <v>6.12</v>
      </c>
      <c r="L3148">
        <v>8.27</v>
      </c>
      <c r="M3148" t="s">
        <v>37</v>
      </c>
      <c r="N3148" t="s">
        <v>162</v>
      </c>
    </row>
    <row r="3149" spans="1:14" x14ac:dyDescent="0.3">
      <c r="A3149" t="s">
        <v>37</v>
      </c>
      <c r="B3149">
        <f>VLOOKUP(M3149,Sheet9!$I$1:$J$17,2,FALSE)</f>
        <v>4</v>
      </c>
      <c r="C3149">
        <f>VLOOKUP(N3149,Sheet9!$M$1:$N$2,2,FALSE)</f>
        <v>1</v>
      </c>
      <c r="D3149">
        <v>32</v>
      </c>
      <c r="E3149" t="s">
        <v>96</v>
      </c>
      <c r="F3149">
        <v>150</v>
      </c>
      <c r="H3149">
        <v>1</v>
      </c>
      <c r="I3149">
        <v>10</v>
      </c>
      <c r="J3149">
        <v>10</v>
      </c>
      <c r="K3149">
        <v>6.12</v>
      </c>
      <c r="L3149">
        <v>8.27</v>
      </c>
      <c r="M3149" t="s">
        <v>37</v>
      </c>
      <c r="N3149" t="s">
        <v>162</v>
      </c>
    </row>
    <row r="3150" spans="1:14" x14ac:dyDescent="0.3">
      <c r="A3150" t="s">
        <v>37</v>
      </c>
      <c r="B3150">
        <f>VLOOKUP(M3150,Sheet9!$I$1:$J$17,2,FALSE)</f>
        <v>4</v>
      </c>
      <c r="C3150">
        <f>VLOOKUP(N3150,Sheet9!$M$1:$N$2,2,FALSE)</f>
        <v>1</v>
      </c>
      <c r="D3150">
        <v>32</v>
      </c>
      <c r="E3150" t="s">
        <v>96</v>
      </c>
      <c r="F3150">
        <v>150</v>
      </c>
      <c r="H3150">
        <v>12</v>
      </c>
      <c r="I3150">
        <v>1.2</v>
      </c>
      <c r="J3150">
        <v>14.4</v>
      </c>
      <c r="K3150">
        <v>8.73</v>
      </c>
      <c r="L3150">
        <v>11.8</v>
      </c>
      <c r="M3150" t="s">
        <v>37</v>
      </c>
      <c r="N3150" t="s">
        <v>162</v>
      </c>
    </row>
    <row r="3151" spans="1:14" x14ac:dyDescent="0.3">
      <c r="A3151" t="s">
        <v>37</v>
      </c>
      <c r="B3151">
        <f>VLOOKUP(M3151,Sheet9!$I$1:$J$17,2,FALSE)</f>
        <v>4</v>
      </c>
      <c r="C3151">
        <f>VLOOKUP(N3151,Sheet9!$M$1:$N$2,2,FALSE)</f>
        <v>1</v>
      </c>
      <c r="D3151">
        <v>32</v>
      </c>
      <c r="E3151" t="s">
        <v>96</v>
      </c>
      <c r="F3151">
        <v>150</v>
      </c>
      <c r="H3151">
        <v>32</v>
      </c>
      <c r="I3151">
        <v>0.6</v>
      </c>
      <c r="J3151">
        <v>19.2</v>
      </c>
      <c r="K3151">
        <v>6.9</v>
      </c>
      <c r="L3151">
        <v>9.33</v>
      </c>
      <c r="M3151" t="s">
        <v>37</v>
      </c>
      <c r="N3151" t="s">
        <v>162</v>
      </c>
    </row>
    <row r="3152" spans="1:14" x14ac:dyDescent="0.3">
      <c r="A3152" t="s">
        <v>37</v>
      </c>
      <c r="B3152">
        <f>VLOOKUP(M3152,Sheet9!$I$1:$J$17,2,FALSE)</f>
        <v>4</v>
      </c>
      <c r="C3152">
        <f>VLOOKUP(N3152,Sheet9!$M$1:$N$2,2,FALSE)</f>
        <v>1</v>
      </c>
      <c r="D3152">
        <v>32</v>
      </c>
      <c r="E3152" t="s">
        <v>168</v>
      </c>
      <c r="F3152">
        <v>150</v>
      </c>
      <c r="H3152">
        <v>32</v>
      </c>
      <c r="I3152">
        <v>0.6</v>
      </c>
      <c r="J3152">
        <v>19.2</v>
      </c>
      <c r="K3152">
        <v>7.41</v>
      </c>
      <c r="L3152">
        <v>10.02</v>
      </c>
      <c r="M3152" t="s">
        <v>37</v>
      </c>
      <c r="N3152" t="s">
        <v>162</v>
      </c>
    </row>
    <row r="3153" spans="1:14" x14ac:dyDescent="0.3">
      <c r="A3153" t="s">
        <v>37</v>
      </c>
      <c r="B3153">
        <f>VLOOKUP(M3153,Sheet9!$I$1:$J$17,2,FALSE)</f>
        <v>4</v>
      </c>
      <c r="C3153">
        <f>VLOOKUP(N3153,Sheet9!$M$1:$N$2,2,FALSE)</f>
        <v>1</v>
      </c>
      <c r="D3153">
        <v>32</v>
      </c>
      <c r="E3153" t="s">
        <v>168</v>
      </c>
      <c r="F3153">
        <v>150</v>
      </c>
      <c r="H3153">
        <v>32</v>
      </c>
      <c r="I3153">
        <v>0.6</v>
      </c>
      <c r="J3153">
        <v>19.2</v>
      </c>
      <c r="K3153">
        <v>8.42</v>
      </c>
      <c r="L3153">
        <v>11.39</v>
      </c>
      <c r="M3153" t="s">
        <v>37</v>
      </c>
      <c r="N3153" t="s">
        <v>162</v>
      </c>
    </row>
    <row r="3154" spans="1:14" x14ac:dyDescent="0.3">
      <c r="A3154" t="s">
        <v>37</v>
      </c>
      <c r="B3154">
        <f>VLOOKUP(M3154,Sheet9!$I$1:$J$17,2,FALSE)</f>
        <v>4</v>
      </c>
      <c r="C3154">
        <f>VLOOKUP(N3154,Sheet9!$M$1:$N$2,2,FALSE)</f>
        <v>1</v>
      </c>
      <c r="D3154">
        <v>32</v>
      </c>
      <c r="E3154" t="s">
        <v>168</v>
      </c>
      <c r="F3154">
        <v>150</v>
      </c>
      <c r="H3154">
        <v>48</v>
      </c>
      <c r="I3154">
        <v>1.2</v>
      </c>
      <c r="J3154">
        <v>57.599999999999994</v>
      </c>
      <c r="K3154">
        <v>7.65</v>
      </c>
      <c r="L3154">
        <v>10.34</v>
      </c>
      <c r="M3154" t="s">
        <v>37</v>
      </c>
      <c r="N3154" t="s">
        <v>162</v>
      </c>
    </row>
    <row r="3155" spans="1:14" x14ac:dyDescent="0.3">
      <c r="A3155" t="s">
        <v>37</v>
      </c>
      <c r="B3155">
        <f>VLOOKUP(M3155,Sheet9!$I$1:$J$17,2,FALSE)</f>
        <v>4</v>
      </c>
      <c r="C3155">
        <f>VLOOKUP(N3155,Sheet9!$M$1:$N$2,2,FALSE)</f>
        <v>1</v>
      </c>
      <c r="D3155">
        <v>32</v>
      </c>
      <c r="E3155" t="s">
        <v>168</v>
      </c>
      <c r="F3155">
        <v>150</v>
      </c>
      <c r="H3155">
        <v>64</v>
      </c>
      <c r="I3155">
        <v>1.2</v>
      </c>
      <c r="J3155">
        <v>76.8</v>
      </c>
      <c r="K3155">
        <v>7.26</v>
      </c>
      <c r="L3155">
        <v>9.81</v>
      </c>
      <c r="M3155" t="s">
        <v>37</v>
      </c>
      <c r="N3155" t="s">
        <v>162</v>
      </c>
    </row>
    <row r="3156" spans="1:14" x14ac:dyDescent="0.3">
      <c r="A3156" t="s">
        <v>37</v>
      </c>
      <c r="B3156">
        <f>VLOOKUP(M3156,Sheet9!$I$1:$J$17,2,FALSE)</f>
        <v>4</v>
      </c>
      <c r="C3156">
        <f>VLOOKUP(N3156,Sheet9!$M$1:$N$2,2,FALSE)</f>
        <v>1</v>
      </c>
      <c r="D3156">
        <v>32</v>
      </c>
      <c r="E3156" t="s">
        <v>168</v>
      </c>
      <c r="F3156">
        <v>150</v>
      </c>
      <c r="H3156">
        <v>96</v>
      </c>
      <c r="I3156">
        <v>0.6</v>
      </c>
      <c r="J3156">
        <v>57.599999999999994</v>
      </c>
      <c r="K3156">
        <v>6.83</v>
      </c>
      <c r="L3156">
        <v>9.23</v>
      </c>
      <c r="M3156" t="s">
        <v>37</v>
      </c>
      <c r="N3156" t="s">
        <v>162</v>
      </c>
    </row>
    <row r="3157" spans="1:14" x14ac:dyDescent="0.3">
      <c r="A3157" t="s">
        <v>37</v>
      </c>
      <c r="B3157">
        <f>VLOOKUP(M3157,Sheet9!$I$1:$J$17,2,FALSE)</f>
        <v>4</v>
      </c>
      <c r="C3157">
        <f>VLOOKUP(N3157,Sheet9!$M$1:$N$2,2,FALSE)</f>
        <v>1</v>
      </c>
      <c r="D3157">
        <v>32</v>
      </c>
      <c r="E3157" t="s">
        <v>168</v>
      </c>
      <c r="F3157">
        <v>150</v>
      </c>
      <c r="H3157">
        <v>24</v>
      </c>
      <c r="I3157">
        <v>1.2</v>
      </c>
      <c r="J3157">
        <v>28.799999999999997</v>
      </c>
      <c r="K3157">
        <v>7.51</v>
      </c>
      <c r="L3157">
        <v>10.16</v>
      </c>
      <c r="M3157" t="s">
        <v>37</v>
      </c>
      <c r="N3157" t="s">
        <v>162</v>
      </c>
    </row>
    <row r="3158" spans="1:14" x14ac:dyDescent="0.3">
      <c r="A3158" t="s">
        <v>37</v>
      </c>
      <c r="B3158">
        <f>VLOOKUP(M3158,Sheet9!$I$1:$J$17,2,FALSE)</f>
        <v>4</v>
      </c>
      <c r="C3158">
        <f>VLOOKUP(N3158,Sheet9!$M$1:$N$2,2,FALSE)</f>
        <v>1</v>
      </c>
      <c r="D3158">
        <v>32</v>
      </c>
      <c r="E3158" t="s">
        <v>96</v>
      </c>
      <c r="F3158">
        <v>150</v>
      </c>
      <c r="H3158">
        <v>48</v>
      </c>
      <c r="I3158">
        <v>1.2</v>
      </c>
      <c r="J3158">
        <v>57.599999999999994</v>
      </c>
      <c r="K3158">
        <v>6.83</v>
      </c>
      <c r="L3158">
        <v>9.24</v>
      </c>
      <c r="M3158" t="s">
        <v>37</v>
      </c>
      <c r="N3158" t="s">
        <v>162</v>
      </c>
    </row>
    <row r="3159" spans="1:14" x14ac:dyDescent="0.3">
      <c r="A3159" t="s">
        <v>37</v>
      </c>
      <c r="B3159">
        <f>VLOOKUP(M3159,Sheet9!$I$1:$J$17,2,FALSE)</f>
        <v>4</v>
      </c>
      <c r="C3159">
        <f>VLOOKUP(N3159,Sheet9!$M$1:$N$2,2,FALSE)</f>
        <v>1</v>
      </c>
      <c r="D3159">
        <v>32</v>
      </c>
      <c r="E3159" t="s">
        <v>96</v>
      </c>
      <c r="F3159">
        <v>100</v>
      </c>
      <c r="G3159" t="s">
        <v>139</v>
      </c>
      <c r="H3159">
        <v>2</v>
      </c>
      <c r="I3159">
        <v>1</v>
      </c>
      <c r="J3159">
        <v>2</v>
      </c>
      <c r="K3159">
        <v>0.25</v>
      </c>
      <c r="L3159">
        <v>0.32</v>
      </c>
      <c r="M3159" t="s">
        <v>37</v>
      </c>
      <c r="N3159" t="s">
        <v>162</v>
      </c>
    </row>
    <row r="3160" spans="1:14" x14ac:dyDescent="0.3">
      <c r="A3160" t="s">
        <v>37</v>
      </c>
      <c r="B3160">
        <f>VLOOKUP(M3160,Sheet9!$I$1:$J$17,2,FALSE)</f>
        <v>4</v>
      </c>
      <c r="C3160">
        <f>VLOOKUP(N3160,Sheet9!$M$1:$N$2,2,FALSE)</f>
        <v>1</v>
      </c>
      <c r="D3160">
        <v>32</v>
      </c>
      <c r="E3160" t="s">
        <v>96</v>
      </c>
      <c r="F3160">
        <v>100</v>
      </c>
      <c r="G3160" t="s">
        <v>139</v>
      </c>
      <c r="H3160">
        <v>6</v>
      </c>
      <c r="I3160">
        <v>0.6</v>
      </c>
      <c r="J3160">
        <v>3.6</v>
      </c>
      <c r="K3160">
        <v>0.42</v>
      </c>
      <c r="L3160">
        <v>0.53</v>
      </c>
      <c r="M3160" t="s">
        <v>37</v>
      </c>
      <c r="N3160" t="s">
        <v>162</v>
      </c>
    </row>
    <row r="3161" spans="1:14" x14ac:dyDescent="0.3">
      <c r="A3161" t="s">
        <v>37</v>
      </c>
      <c r="B3161">
        <f>VLOOKUP(M3161,Sheet9!$I$1:$J$17,2,FALSE)</f>
        <v>4</v>
      </c>
      <c r="C3161">
        <f>VLOOKUP(N3161,Sheet9!$M$1:$N$2,2,FALSE)</f>
        <v>1</v>
      </c>
      <c r="D3161">
        <v>32</v>
      </c>
      <c r="E3161" t="s">
        <v>96</v>
      </c>
      <c r="F3161">
        <v>100</v>
      </c>
      <c r="G3161" t="s">
        <v>139</v>
      </c>
      <c r="H3161">
        <v>1</v>
      </c>
      <c r="I3161">
        <v>5</v>
      </c>
      <c r="J3161">
        <v>5</v>
      </c>
      <c r="K3161">
        <v>0.24</v>
      </c>
      <c r="L3161">
        <v>0.31</v>
      </c>
      <c r="M3161" t="s">
        <v>37</v>
      </c>
      <c r="N3161" t="s">
        <v>162</v>
      </c>
    </row>
    <row r="3162" spans="1:14" x14ac:dyDescent="0.3">
      <c r="A3162" t="s">
        <v>37</v>
      </c>
      <c r="B3162">
        <f>VLOOKUP(M3162,Sheet9!$I$1:$J$17,2,FALSE)</f>
        <v>4</v>
      </c>
      <c r="C3162">
        <f>VLOOKUP(N3162,Sheet9!$M$1:$N$2,2,FALSE)</f>
        <v>1</v>
      </c>
      <c r="D3162">
        <v>32</v>
      </c>
      <c r="E3162" t="s">
        <v>96</v>
      </c>
      <c r="F3162">
        <v>100</v>
      </c>
      <c r="G3162" t="s">
        <v>139</v>
      </c>
      <c r="H3162">
        <v>1</v>
      </c>
      <c r="I3162">
        <v>10</v>
      </c>
      <c r="J3162">
        <v>10</v>
      </c>
      <c r="K3162">
        <v>0.24</v>
      </c>
      <c r="L3162">
        <v>0.31</v>
      </c>
      <c r="M3162" t="s">
        <v>37</v>
      </c>
      <c r="N3162" t="s">
        <v>162</v>
      </c>
    </row>
    <row r="3163" spans="1:14" x14ac:dyDescent="0.3">
      <c r="A3163" t="s">
        <v>37</v>
      </c>
      <c r="B3163">
        <f>VLOOKUP(M3163,Sheet9!$I$1:$J$17,2,FALSE)</f>
        <v>4</v>
      </c>
      <c r="C3163">
        <f>VLOOKUP(N3163,Sheet9!$M$1:$N$2,2,FALSE)</f>
        <v>1</v>
      </c>
      <c r="D3163">
        <v>32</v>
      </c>
      <c r="E3163" t="s">
        <v>96</v>
      </c>
      <c r="F3163">
        <v>100</v>
      </c>
      <c r="G3163" t="s">
        <v>139</v>
      </c>
      <c r="H3163">
        <v>12</v>
      </c>
      <c r="I3163">
        <v>1.2</v>
      </c>
      <c r="J3163">
        <v>14.4</v>
      </c>
      <c r="K3163">
        <v>0.35</v>
      </c>
      <c r="L3163">
        <v>0.44</v>
      </c>
      <c r="M3163" t="s">
        <v>37</v>
      </c>
      <c r="N3163" t="s">
        <v>162</v>
      </c>
    </row>
    <row r="3164" spans="1:14" x14ac:dyDescent="0.3">
      <c r="A3164" t="s">
        <v>37</v>
      </c>
      <c r="B3164">
        <f>VLOOKUP(M3164,Sheet9!$I$1:$J$17,2,FALSE)</f>
        <v>4</v>
      </c>
      <c r="C3164">
        <f>VLOOKUP(N3164,Sheet9!$M$1:$N$2,2,FALSE)</f>
        <v>1</v>
      </c>
      <c r="D3164">
        <v>32</v>
      </c>
      <c r="E3164" t="s">
        <v>96</v>
      </c>
      <c r="F3164">
        <v>100</v>
      </c>
      <c r="G3164" t="s">
        <v>139</v>
      </c>
      <c r="H3164">
        <v>32</v>
      </c>
      <c r="I3164">
        <v>0.6</v>
      </c>
      <c r="J3164">
        <v>19.2</v>
      </c>
      <c r="K3164">
        <v>0.27</v>
      </c>
      <c r="L3164">
        <v>0.35</v>
      </c>
      <c r="M3164" t="s">
        <v>37</v>
      </c>
      <c r="N3164" t="s">
        <v>162</v>
      </c>
    </row>
    <row r="3165" spans="1:14" x14ac:dyDescent="0.3">
      <c r="A3165" t="s">
        <v>37</v>
      </c>
      <c r="B3165">
        <f>VLOOKUP(M3165,Sheet9!$I$1:$J$17,2,FALSE)</f>
        <v>4</v>
      </c>
      <c r="C3165">
        <f>VLOOKUP(N3165,Sheet9!$M$1:$N$2,2,FALSE)</f>
        <v>1</v>
      </c>
      <c r="D3165">
        <v>32</v>
      </c>
      <c r="E3165" t="s">
        <v>168</v>
      </c>
      <c r="F3165">
        <v>100</v>
      </c>
      <c r="G3165" t="s">
        <v>139</v>
      </c>
      <c r="H3165">
        <v>32</v>
      </c>
      <c r="I3165">
        <v>0.6</v>
      </c>
      <c r="J3165">
        <v>19.2</v>
      </c>
      <c r="K3165">
        <v>0.28999999999999998</v>
      </c>
      <c r="L3165">
        <v>0.38</v>
      </c>
      <c r="M3165" t="s">
        <v>37</v>
      </c>
      <c r="N3165" t="s">
        <v>162</v>
      </c>
    </row>
    <row r="3166" spans="1:14" x14ac:dyDescent="0.3">
      <c r="A3166" t="s">
        <v>37</v>
      </c>
      <c r="B3166">
        <f>VLOOKUP(M3166,Sheet9!$I$1:$J$17,2,FALSE)</f>
        <v>4</v>
      </c>
      <c r="C3166">
        <f>VLOOKUP(N3166,Sheet9!$M$1:$N$2,2,FALSE)</f>
        <v>1</v>
      </c>
      <c r="D3166">
        <v>32</v>
      </c>
      <c r="E3166" t="s">
        <v>168</v>
      </c>
      <c r="F3166">
        <v>100</v>
      </c>
      <c r="G3166" t="s">
        <v>139</v>
      </c>
      <c r="H3166">
        <v>32</v>
      </c>
      <c r="I3166">
        <v>0.6</v>
      </c>
      <c r="J3166">
        <v>19.2</v>
      </c>
      <c r="K3166">
        <v>0.33</v>
      </c>
      <c r="L3166">
        <v>0.43</v>
      </c>
      <c r="M3166" t="s">
        <v>37</v>
      </c>
      <c r="N3166" t="s">
        <v>162</v>
      </c>
    </row>
    <row r="3167" spans="1:14" x14ac:dyDescent="0.3">
      <c r="A3167" t="s">
        <v>37</v>
      </c>
      <c r="B3167">
        <f>VLOOKUP(M3167,Sheet9!$I$1:$J$17,2,FALSE)</f>
        <v>4</v>
      </c>
      <c r="C3167">
        <f>VLOOKUP(N3167,Sheet9!$M$1:$N$2,2,FALSE)</f>
        <v>1</v>
      </c>
      <c r="D3167">
        <v>32</v>
      </c>
      <c r="E3167" t="s">
        <v>168</v>
      </c>
      <c r="F3167">
        <v>100</v>
      </c>
      <c r="G3167" t="s">
        <v>139</v>
      </c>
      <c r="H3167">
        <v>48</v>
      </c>
      <c r="I3167">
        <v>1.2</v>
      </c>
      <c r="J3167">
        <v>57.599999999999994</v>
      </c>
      <c r="K3167">
        <v>0.3</v>
      </c>
      <c r="L3167">
        <v>0.39</v>
      </c>
      <c r="M3167" t="s">
        <v>37</v>
      </c>
      <c r="N3167" t="s">
        <v>162</v>
      </c>
    </row>
    <row r="3168" spans="1:14" x14ac:dyDescent="0.3">
      <c r="A3168" t="s">
        <v>37</v>
      </c>
      <c r="B3168">
        <f>VLOOKUP(M3168,Sheet9!$I$1:$J$17,2,FALSE)</f>
        <v>4</v>
      </c>
      <c r="C3168">
        <f>VLOOKUP(N3168,Sheet9!$M$1:$N$2,2,FALSE)</f>
        <v>1</v>
      </c>
      <c r="D3168">
        <v>32</v>
      </c>
      <c r="E3168" t="s">
        <v>168</v>
      </c>
      <c r="F3168">
        <v>100</v>
      </c>
      <c r="G3168" t="s">
        <v>139</v>
      </c>
      <c r="H3168">
        <v>64</v>
      </c>
      <c r="I3168">
        <v>1.2</v>
      </c>
      <c r="J3168">
        <v>76.8</v>
      </c>
      <c r="K3168">
        <v>0.28999999999999998</v>
      </c>
      <c r="L3168">
        <v>0.37</v>
      </c>
      <c r="M3168" t="s">
        <v>37</v>
      </c>
      <c r="N3168" t="s">
        <v>162</v>
      </c>
    </row>
    <row r="3169" spans="1:14" x14ac:dyDescent="0.3">
      <c r="A3169" t="s">
        <v>37</v>
      </c>
      <c r="B3169">
        <f>VLOOKUP(M3169,Sheet9!$I$1:$J$17,2,FALSE)</f>
        <v>4</v>
      </c>
      <c r="C3169">
        <f>VLOOKUP(N3169,Sheet9!$M$1:$N$2,2,FALSE)</f>
        <v>1</v>
      </c>
      <c r="D3169">
        <v>32</v>
      </c>
      <c r="E3169" t="s">
        <v>168</v>
      </c>
      <c r="F3169">
        <v>100</v>
      </c>
      <c r="G3169" t="s">
        <v>139</v>
      </c>
      <c r="H3169">
        <v>96</v>
      </c>
      <c r="I3169">
        <v>0.6</v>
      </c>
      <c r="J3169">
        <v>57.599999999999994</v>
      </c>
      <c r="K3169">
        <v>0.27</v>
      </c>
      <c r="L3169">
        <v>0.35</v>
      </c>
      <c r="M3169" t="s">
        <v>37</v>
      </c>
      <c r="N3169" t="s">
        <v>162</v>
      </c>
    </row>
    <row r="3170" spans="1:14" x14ac:dyDescent="0.3">
      <c r="A3170" t="s">
        <v>37</v>
      </c>
      <c r="B3170">
        <f>VLOOKUP(M3170,Sheet9!$I$1:$J$17,2,FALSE)</f>
        <v>4</v>
      </c>
      <c r="C3170">
        <f>VLOOKUP(N3170,Sheet9!$M$1:$N$2,2,FALSE)</f>
        <v>1</v>
      </c>
      <c r="D3170">
        <v>32</v>
      </c>
      <c r="E3170" t="s">
        <v>168</v>
      </c>
      <c r="F3170">
        <v>100</v>
      </c>
      <c r="G3170" t="s">
        <v>139</v>
      </c>
      <c r="H3170">
        <v>24</v>
      </c>
      <c r="I3170">
        <v>1.2</v>
      </c>
      <c r="J3170">
        <v>28.799999999999997</v>
      </c>
      <c r="K3170">
        <v>0.3</v>
      </c>
      <c r="L3170">
        <v>0.38</v>
      </c>
      <c r="M3170" t="s">
        <v>37</v>
      </c>
      <c r="N3170" t="s">
        <v>162</v>
      </c>
    </row>
    <row r="3171" spans="1:14" x14ac:dyDescent="0.3">
      <c r="A3171" t="s">
        <v>37</v>
      </c>
      <c r="B3171">
        <f>VLOOKUP(M3171,Sheet9!$I$1:$J$17,2,FALSE)</f>
        <v>4</v>
      </c>
      <c r="C3171">
        <f>VLOOKUP(N3171,Sheet9!$M$1:$N$2,2,FALSE)</f>
        <v>1</v>
      </c>
      <c r="D3171">
        <v>32</v>
      </c>
      <c r="E3171" t="s">
        <v>96</v>
      </c>
      <c r="F3171">
        <v>100</v>
      </c>
      <c r="G3171" t="s">
        <v>139</v>
      </c>
      <c r="H3171">
        <v>48</v>
      </c>
      <c r="I3171">
        <v>1.2</v>
      </c>
      <c r="J3171">
        <v>57.599999999999994</v>
      </c>
      <c r="K3171">
        <v>0.27</v>
      </c>
      <c r="L3171">
        <v>0.35</v>
      </c>
      <c r="M3171" t="s">
        <v>37</v>
      </c>
      <c r="N3171" t="s">
        <v>162</v>
      </c>
    </row>
    <row r="3172" spans="1:14" x14ac:dyDescent="0.3">
      <c r="A3172" t="s">
        <v>37</v>
      </c>
      <c r="B3172">
        <f>VLOOKUP(M3172,Sheet9!$I$1:$J$17,2,FALSE)</f>
        <v>4</v>
      </c>
      <c r="C3172">
        <f>VLOOKUP(N3172,Sheet9!$M$1:$N$2,2,FALSE)</f>
        <v>1</v>
      </c>
      <c r="D3172">
        <v>32</v>
      </c>
      <c r="E3172" t="s">
        <v>96</v>
      </c>
      <c r="F3172">
        <v>120</v>
      </c>
      <c r="G3172" t="s">
        <v>139</v>
      </c>
      <c r="H3172">
        <v>2</v>
      </c>
      <c r="I3172">
        <v>1</v>
      </c>
      <c r="J3172">
        <v>2</v>
      </c>
      <c r="K3172">
        <v>0.65</v>
      </c>
      <c r="L3172">
        <v>0.83</v>
      </c>
      <c r="M3172" t="s">
        <v>37</v>
      </c>
      <c r="N3172" t="s">
        <v>162</v>
      </c>
    </row>
    <row r="3173" spans="1:14" x14ac:dyDescent="0.3">
      <c r="A3173" t="s">
        <v>37</v>
      </c>
      <c r="B3173">
        <f>VLOOKUP(M3173,Sheet9!$I$1:$J$17,2,FALSE)</f>
        <v>4</v>
      </c>
      <c r="C3173">
        <f>VLOOKUP(N3173,Sheet9!$M$1:$N$2,2,FALSE)</f>
        <v>1</v>
      </c>
      <c r="D3173">
        <v>32</v>
      </c>
      <c r="E3173" t="s">
        <v>96</v>
      </c>
      <c r="F3173">
        <v>120</v>
      </c>
      <c r="G3173" t="s">
        <v>139</v>
      </c>
      <c r="H3173">
        <v>6</v>
      </c>
      <c r="I3173">
        <v>0.6</v>
      </c>
      <c r="J3173">
        <v>3.6</v>
      </c>
      <c r="K3173">
        <v>1.08</v>
      </c>
      <c r="L3173">
        <v>1.38</v>
      </c>
      <c r="M3173" t="s">
        <v>37</v>
      </c>
      <c r="N3173" t="s">
        <v>162</v>
      </c>
    </row>
    <row r="3174" spans="1:14" x14ac:dyDescent="0.3">
      <c r="A3174" t="s">
        <v>37</v>
      </c>
      <c r="B3174">
        <f>VLOOKUP(M3174,Sheet9!$I$1:$J$17,2,FALSE)</f>
        <v>4</v>
      </c>
      <c r="C3174">
        <f>VLOOKUP(N3174,Sheet9!$M$1:$N$2,2,FALSE)</f>
        <v>1</v>
      </c>
      <c r="D3174">
        <v>32</v>
      </c>
      <c r="E3174" t="s">
        <v>96</v>
      </c>
      <c r="F3174">
        <v>120</v>
      </c>
      <c r="G3174" t="s">
        <v>139</v>
      </c>
      <c r="H3174">
        <v>1</v>
      </c>
      <c r="I3174">
        <v>5</v>
      </c>
      <c r="J3174">
        <v>5</v>
      </c>
      <c r="K3174">
        <v>0.62</v>
      </c>
      <c r="L3174">
        <v>0.8</v>
      </c>
      <c r="M3174" t="s">
        <v>37</v>
      </c>
      <c r="N3174" t="s">
        <v>162</v>
      </c>
    </row>
    <row r="3175" spans="1:14" x14ac:dyDescent="0.3">
      <c r="A3175" t="s">
        <v>37</v>
      </c>
      <c r="B3175">
        <f>VLOOKUP(M3175,Sheet9!$I$1:$J$17,2,FALSE)</f>
        <v>4</v>
      </c>
      <c r="C3175">
        <f>VLOOKUP(N3175,Sheet9!$M$1:$N$2,2,FALSE)</f>
        <v>1</v>
      </c>
      <c r="D3175">
        <v>32</v>
      </c>
      <c r="E3175" t="s">
        <v>96</v>
      </c>
      <c r="F3175">
        <v>120</v>
      </c>
      <c r="G3175" t="s">
        <v>139</v>
      </c>
      <c r="H3175">
        <v>1</v>
      </c>
      <c r="I3175">
        <v>10</v>
      </c>
      <c r="J3175">
        <v>10</v>
      </c>
      <c r="K3175">
        <v>0.62</v>
      </c>
      <c r="L3175">
        <v>0.8</v>
      </c>
      <c r="M3175" t="s">
        <v>37</v>
      </c>
      <c r="N3175" t="s">
        <v>162</v>
      </c>
    </row>
    <row r="3176" spans="1:14" x14ac:dyDescent="0.3">
      <c r="A3176" t="s">
        <v>37</v>
      </c>
      <c r="B3176">
        <f>VLOOKUP(M3176,Sheet9!$I$1:$J$17,2,FALSE)</f>
        <v>4</v>
      </c>
      <c r="C3176">
        <f>VLOOKUP(N3176,Sheet9!$M$1:$N$2,2,FALSE)</f>
        <v>1</v>
      </c>
      <c r="D3176">
        <v>32</v>
      </c>
      <c r="E3176" t="s">
        <v>96</v>
      </c>
      <c r="F3176">
        <v>120</v>
      </c>
      <c r="G3176" t="s">
        <v>139</v>
      </c>
      <c r="H3176">
        <v>12</v>
      </c>
      <c r="I3176">
        <v>1.2</v>
      </c>
      <c r="J3176">
        <v>14.4</v>
      </c>
      <c r="K3176">
        <v>0.89</v>
      </c>
      <c r="L3176">
        <v>1.1399999999999999</v>
      </c>
      <c r="M3176" t="s">
        <v>37</v>
      </c>
      <c r="N3176" t="s">
        <v>162</v>
      </c>
    </row>
    <row r="3177" spans="1:14" x14ac:dyDescent="0.3">
      <c r="A3177" t="s">
        <v>37</v>
      </c>
      <c r="B3177">
        <f>VLOOKUP(M3177,Sheet9!$I$1:$J$17,2,FALSE)</f>
        <v>4</v>
      </c>
      <c r="C3177">
        <f>VLOOKUP(N3177,Sheet9!$M$1:$N$2,2,FALSE)</f>
        <v>1</v>
      </c>
      <c r="D3177">
        <v>32</v>
      </c>
      <c r="E3177" t="s">
        <v>96</v>
      </c>
      <c r="F3177">
        <v>120</v>
      </c>
      <c r="G3177" t="s">
        <v>139</v>
      </c>
      <c r="H3177">
        <v>32</v>
      </c>
      <c r="I3177">
        <v>0.6</v>
      </c>
      <c r="J3177">
        <v>19.2</v>
      </c>
      <c r="K3177">
        <v>0.7</v>
      </c>
      <c r="L3177">
        <v>0.9</v>
      </c>
      <c r="M3177" t="s">
        <v>37</v>
      </c>
      <c r="N3177" t="s">
        <v>162</v>
      </c>
    </row>
    <row r="3178" spans="1:14" x14ac:dyDescent="0.3">
      <c r="A3178" t="s">
        <v>37</v>
      </c>
      <c r="B3178">
        <f>VLOOKUP(M3178,Sheet9!$I$1:$J$17,2,FALSE)</f>
        <v>4</v>
      </c>
      <c r="C3178">
        <f>VLOOKUP(N3178,Sheet9!$M$1:$N$2,2,FALSE)</f>
        <v>1</v>
      </c>
      <c r="D3178">
        <v>32</v>
      </c>
      <c r="E3178" t="s">
        <v>168</v>
      </c>
      <c r="F3178">
        <v>120</v>
      </c>
      <c r="G3178" t="s">
        <v>139</v>
      </c>
      <c r="H3178">
        <v>32</v>
      </c>
      <c r="I3178">
        <v>0.6</v>
      </c>
      <c r="J3178">
        <v>19.2</v>
      </c>
      <c r="K3178">
        <v>0.76</v>
      </c>
      <c r="L3178">
        <v>0.97</v>
      </c>
      <c r="M3178" t="s">
        <v>37</v>
      </c>
      <c r="N3178" t="s">
        <v>162</v>
      </c>
    </row>
    <row r="3179" spans="1:14" x14ac:dyDescent="0.3">
      <c r="A3179" t="s">
        <v>37</v>
      </c>
      <c r="B3179">
        <f>VLOOKUP(M3179,Sheet9!$I$1:$J$17,2,FALSE)</f>
        <v>4</v>
      </c>
      <c r="C3179">
        <f>VLOOKUP(N3179,Sheet9!$M$1:$N$2,2,FALSE)</f>
        <v>1</v>
      </c>
      <c r="D3179">
        <v>32</v>
      </c>
      <c r="E3179" t="s">
        <v>168</v>
      </c>
      <c r="F3179">
        <v>120</v>
      </c>
      <c r="G3179" t="s">
        <v>139</v>
      </c>
      <c r="H3179">
        <v>32</v>
      </c>
      <c r="I3179">
        <v>0.6</v>
      </c>
      <c r="J3179">
        <v>19.2</v>
      </c>
      <c r="K3179">
        <v>0.86</v>
      </c>
      <c r="L3179">
        <v>1.1000000000000001</v>
      </c>
      <c r="M3179" t="s">
        <v>37</v>
      </c>
      <c r="N3179" t="s">
        <v>162</v>
      </c>
    </row>
    <row r="3180" spans="1:14" x14ac:dyDescent="0.3">
      <c r="A3180" t="s">
        <v>37</v>
      </c>
      <c r="B3180">
        <f>VLOOKUP(M3180,Sheet9!$I$1:$J$17,2,FALSE)</f>
        <v>4</v>
      </c>
      <c r="C3180">
        <f>VLOOKUP(N3180,Sheet9!$M$1:$N$2,2,FALSE)</f>
        <v>1</v>
      </c>
      <c r="D3180">
        <v>32</v>
      </c>
      <c r="E3180" t="s">
        <v>168</v>
      </c>
      <c r="F3180">
        <v>120</v>
      </c>
      <c r="G3180" t="s">
        <v>139</v>
      </c>
      <c r="H3180">
        <v>48</v>
      </c>
      <c r="I3180">
        <v>1.2</v>
      </c>
      <c r="J3180">
        <v>57.599999999999994</v>
      </c>
      <c r="K3180">
        <v>0.78</v>
      </c>
      <c r="L3180">
        <v>1</v>
      </c>
      <c r="M3180" t="s">
        <v>37</v>
      </c>
      <c r="N3180" t="s">
        <v>162</v>
      </c>
    </row>
    <row r="3181" spans="1:14" x14ac:dyDescent="0.3">
      <c r="A3181" t="s">
        <v>37</v>
      </c>
      <c r="B3181">
        <f>VLOOKUP(M3181,Sheet9!$I$1:$J$17,2,FALSE)</f>
        <v>4</v>
      </c>
      <c r="C3181">
        <f>VLOOKUP(N3181,Sheet9!$M$1:$N$2,2,FALSE)</f>
        <v>1</v>
      </c>
      <c r="D3181">
        <v>32</v>
      </c>
      <c r="E3181" t="s">
        <v>168</v>
      </c>
      <c r="F3181">
        <v>120</v>
      </c>
      <c r="G3181" t="s">
        <v>139</v>
      </c>
      <c r="H3181">
        <v>64</v>
      </c>
      <c r="I3181">
        <v>1.2</v>
      </c>
      <c r="J3181">
        <v>76.8</v>
      </c>
      <c r="K3181">
        <v>0.74</v>
      </c>
      <c r="L3181">
        <v>0.95</v>
      </c>
      <c r="M3181" t="s">
        <v>37</v>
      </c>
      <c r="N3181" t="s">
        <v>162</v>
      </c>
    </row>
    <row r="3182" spans="1:14" x14ac:dyDescent="0.3">
      <c r="A3182" t="s">
        <v>37</v>
      </c>
      <c r="B3182">
        <f>VLOOKUP(M3182,Sheet9!$I$1:$J$17,2,FALSE)</f>
        <v>4</v>
      </c>
      <c r="C3182">
        <f>VLOOKUP(N3182,Sheet9!$M$1:$N$2,2,FALSE)</f>
        <v>1</v>
      </c>
      <c r="D3182">
        <v>32</v>
      </c>
      <c r="E3182" t="s">
        <v>168</v>
      </c>
      <c r="F3182">
        <v>120</v>
      </c>
      <c r="G3182" t="s">
        <v>139</v>
      </c>
      <c r="H3182">
        <v>96</v>
      </c>
      <c r="I3182">
        <v>0.6</v>
      </c>
      <c r="J3182">
        <v>57.599999999999994</v>
      </c>
      <c r="K3182">
        <v>0.7</v>
      </c>
      <c r="L3182">
        <v>0.89</v>
      </c>
      <c r="M3182" t="s">
        <v>37</v>
      </c>
      <c r="N3182" t="s">
        <v>162</v>
      </c>
    </row>
    <row r="3183" spans="1:14" x14ac:dyDescent="0.3">
      <c r="A3183" t="s">
        <v>37</v>
      </c>
      <c r="B3183">
        <f>VLOOKUP(M3183,Sheet9!$I$1:$J$17,2,FALSE)</f>
        <v>4</v>
      </c>
      <c r="C3183">
        <f>VLOOKUP(N3183,Sheet9!$M$1:$N$2,2,FALSE)</f>
        <v>1</v>
      </c>
      <c r="D3183">
        <v>32</v>
      </c>
      <c r="E3183" t="s">
        <v>168</v>
      </c>
      <c r="F3183">
        <v>120</v>
      </c>
      <c r="G3183" t="s">
        <v>139</v>
      </c>
      <c r="H3183">
        <v>24</v>
      </c>
      <c r="I3183">
        <v>1.2</v>
      </c>
      <c r="J3183">
        <v>28.799999999999997</v>
      </c>
      <c r="K3183">
        <v>0.77</v>
      </c>
      <c r="L3183">
        <v>0.98</v>
      </c>
      <c r="M3183" t="s">
        <v>37</v>
      </c>
      <c r="N3183" t="s">
        <v>162</v>
      </c>
    </row>
    <row r="3184" spans="1:14" x14ac:dyDescent="0.3">
      <c r="A3184" t="s">
        <v>37</v>
      </c>
      <c r="B3184">
        <f>VLOOKUP(M3184,Sheet9!$I$1:$J$17,2,FALSE)</f>
        <v>4</v>
      </c>
      <c r="C3184">
        <f>VLOOKUP(N3184,Sheet9!$M$1:$N$2,2,FALSE)</f>
        <v>1</v>
      </c>
      <c r="D3184">
        <v>32</v>
      </c>
      <c r="E3184" t="s">
        <v>96</v>
      </c>
      <c r="F3184">
        <v>120</v>
      </c>
      <c r="G3184" t="s">
        <v>139</v>
      </c>
      <c r="H3184">
        <v>48</v>
      </c>
      <c r="I3184">
        <v>1.2</v>
      </c>
      <c r="J3184">
        <v>57.599999999999994</v>
      </c>
      <c r="K3184">
        <v>0.7</v>
      </c>
      <c r="L3184">
        <v>0.89</v>
      </c>
      <c r="M3184" t="s">
        <v>37</v>
      </c>
      <c r="N3184" t="s">
        <v>162</v>
      </c>
    </row>
    <row r="3185" spans="1:14" x14ac:dyDescent="0.3">
      <c r="A3185" t="s">
        <v>37</v>
      </c>
      <c r="B3185">
        <f>VLOOKUP(M3185,Sheet9!$I$1:$J$17,2,FALSE)</f>
        <v>4</v>
      </c>
      <c r="C3185">
        <f>VLOOKUP(N3185,Sheet9!$M$1:$N$2,2,FALSE)</f>
        <v>1</v>
      </c>
      <c r="D3185">
        <v>32</v>
      </c>
      <c r="E3185" t="s">
        <v>96</v>
      </c>
      <c r="F3185">
        <v>150</v>
      </c>
      <c r="G3185" t="s">
        <v>139</v>
      </c>
      <c r="H3185">
        <v>2</v>
      </c>
      <c r="I3185">
        <v>1</v>
      </c>
      <c r="J3185">
        <v>2</v>
      </c>
      <c r="K3185">
        <v>1.78</v>
      </c>
      <c r="L3185">
        <v>2.2599999999999998</v>
      </c>
      <c r="M3185" t="s">
        <v>37</v>
      </c>
      <c r="N3185" t="s">
        <v>162</v>
      </c>
    </row>
    <row r="3186" spans="1:14" x14ac:dyDescent="0.3">
      <c r="A3186" t="s">
        <v>37</v>
      </c>
      <c r="B3186">
        <f>VLOOKUP(M3186,Sheet9!$I$1:$J$17,2,FALSE)</f>
        <v>4</v>
      </c>
      <c r="C3186">
        <f>VLOOKUP(N3186,Sheet9!$M$1:$N$2,2,FALSE)</f>
        <v>1</v>
      </c>
      <c r="D3186">
        <v>32</v>
      </c>
      <c r="E3186" t="s">
        <v>96</v>
      </c>
      <c r="F3186">
        <v>150</v>
      </c>
      <c r="G3186" t="s">
        <v>139</v>
      </c>
      <c r="H3186">
        <v>6</v>
      </c>
      <c r="I3186">
        <v>0.6</v>
      </c>
      <c r="J3186">
        <v>3.6</v>
      </c>
      <c r="K3186">
        <v>2.97</v>
      </c>
      <c r="L3186">
        <v>3.77</v>
      </c>
      <c r="M3186" t="s">
        <v>37</v>
      </c>
      <c r="N3186" t="s">
        <v>162</v>
      </c>
    </row>
    <row r="3187" spans="1:14" x14ac:dyDescent="0.3">
      <c r="A3187" t="s">
        <v>37</v>
      </c>
      <c r="B3187">
        <f>VLOOKUP(M3187,Sheet9!$I$1:$J$17,2,FALSE)</f>
        <v>4</v>
      </c>
      <c r="C3187">
        <f>VLOOKUP(N3187,Sheet9!$M$1:$N$2,2,FALSE)</f>
        <v>1</v>
      </c>
      <c r="D3187">
        <v>32</v>
      </c>
      <c r="E3187" t="s">
        <v>96</v>
      </c>
      <c r="F3187">
        <v>150</v>
      </c>
      <c r="G3187" t="s">
        <v>139</v>
      </c>
      <c r="H3187">
        <v>1</v>
      </c>
      <c r="I3187">
        <v>5</v>
      </c>
      <c r="J3187">
        <v>5</v>
      </c>
      <c r="K3187">
        <v>1.72</v>
      </c>
      <c r="L3187">
        <v>2.1800000000000002</v>
      </c>
      <c r="M3187" t="s">
        <v>37</v>
      </c>
      <c r="N3187" t="s">
        <v>162</v>
      </c>
    </row>
    <row r="3188" spans="1:14" x14ac:dyDescent="0.3">
      <c r="A3188" t="s">
        <v>37</v>
      </c>
      <c r="B3188">
        <f>VLOOKUP(M3188,Sheet9!$I$1:$J$17,2,FALSE)</f>
        <v>4</v>
      </c>
      <c r="C3188">
        <f>VLOOKUP(N3188,Sheet9!$M$1:$N$2,2,FALSE)</f>
        <v>1</v>
      </c>
      <c r="D3188">
        <v>32</v>
      </c>
      <c r="E3188" t="s">
        <v>96</v>
      </c>
      <c r="F3188">
        <v>150</v>
      </c>
      <c r="G3188" t="s">
        <v>139</v>
      </c>
      <c r="H3188">
        <v>1</v>
      </c>
      <c r="I3188">
        <v>10</v>
      </c>
      <c r="J3188">
        <v>10</v>
      </c>
      <c r="K3188">
        <v>1.72</v>
      </c>
      <c r="L3188">
        <v>2.1800000000000002</v>
      </c>
      <c r="M3188" t="s">
        <v>37</v>
      </c>
      <c r="N3188" t="s">
        <v>162</v>
      </c>
    </row>
    <row r="3189" spans="1:14" x14ac:dyDescent="0.3">
      <c r="A3189" t="s">
        <v>37</v>
      </c>
      <c r="B3189">
        <f>VLOOKUP(M3189,Sheet9!$I$1:$J$17,2,FALSE)</f>
        <v>4</v>
      </c>
      <c r="C3189">
        <f>VLOOKUP(N3189,Sheet9!$M$1:$N$2,2,FALSE)</f>
        <v>1</v>
      </c>
      <c r="D3189">
        <v>32</v>
      </c>
      <c r="E3189" t="s">
        <v>96</v>
      </c>
      <c r="F3189">
        <v>150</v>
      </c>
      <c r="G3189" t="s">
        <v>139</v>
      </c>
      <c r="H3189">
        <v>12</v>
      </c>
      <c r="I3189">
        <v>1.2</v>
      </c>
      <c r="J3189">
        <v>14.4</v>
      </c>
      <c r="K3189">
        <v>2.46</v>
      </c>
      <c r="L3189">
        <v>3.12</v>
      </c>
      <c r="M3189" t="s">
        <v>37</v>
      </c>
      <c r="N3189" t="s">
        <v>162</v>
      </c>
    </row>
    <row r="3190" spans="1:14" x14ac:dyDescent="0.3">
      <c r="A3190" t="s">
        <v>37</v>
      </c>
      <c r="B3190">
        <f>VLOOKUP(M3190,Sheet9!$I$1:$J$17,2,FALSE)</f>
        <v>4</v>
      </c>
      <c r="C3190">
        <f>VLOOKUP(N3190,Sheet9!$M$1:$N$2,2,FALSE)</f>
        <v>1</v>
      </c>
      <c r="D3190">
        <v>32</v>
      </c>
      <c r="E3190" t="s">
        <v>96</v>
      </c>
      <c r="F3190">
        <v>150</v>
      </c>
      <c r="G3190" t="s">
        <v>139</v>
      </c>
      <c r="H3190">
        <v>32</v>
      </c>
      <c r="I3190">
        <v>0.6</v>
      </c>
      <c r="J3190">
        <v>19.2</v>
      </c>
      <c r="K3190">
        <v>1.94</v>
      </c>
      <c r="L3190">
        <v>2.46</v>
      </c>
      <c r="M3190" t="s">
        <v>37</v>
      </c>
      <c r="N3190" t="s">
        <v>162</v>
      </c>
    </row>
    <row r="3191" spans="1:14" x14ac:dyDescent="0.3">
      <c r="A3191" t="s">
        <v>37</v>
      </c>
      <c r="B3191">
        <f>VLOOKUP(M3191,Sheet9!$I$1:$J$17,2,FALSE)</f>
        <v>4</v>
      </c>
      <c r="C3191">
        <f>VLOOKUP(N3191,Sheet9!$M$1:$N$2,2,FALSE)</f>
        <v>1</v>
      </c>
      <c r="D3191">
        <v>32</v>
      </c>
      <c r="E3191" t="s">
        <v>168</v>
      </c>
      <c r="F3191">
        <v>150</v>
      </c>
      <c r="G3191" t="s">
        <v>139</v>
      </c>
      <c r="H3191">
        <v>32</v>
      </c>
      <c r="I3191">
        <v>0.6</v>
      </c>
      <c r="J3191">
        <v>19.2</v>
      </c>
      <c r="K3191">
        <v>2.09</v>
      </c>
      <c r="L3191">
        <v>2.65</v>
      </c>
      <c r="M3191" t="s">
        <v>37</v>
      </c>
      <c r="N3191" t="s">
        <v>162</v>
      </c>
    </row>
    <row r="3192" spans="1:14" x14ac:dyDescent="0.3">
      <c r="A3192" t="s">
        <v>37</v>
      </c>
      <c r="B3192">
        <f>VLOOKUP(M3192,Sheet9!$I$1:$J$17,2,FALSE)</f>
        <v>4</v>
      </c>
      <c r="C3192">
        <f>VLOOKUP(N3192,Sheet9!$M$1:$N$2,2,FALSE)</f>
        <v>1</v>
      </c>
      <c r="D3192">
        <v>32</v>
      </c>
      <c r="E3192" t="s">
        <v>168</v>
      </c>
      <c r="F3192">
        <v>150</v>
      </c>
      <c r="G3192" t="s">
        <v>139</v>
      </c>
      <c r="H3192">
        <v>32</v>
      </c>
      <c r="I3192">
        <v>0.6</v>
      </c>
      <c r="J3192">
        <v>19.2</v>
      </c>
      <c r="K3192">
        <v>2.37</v>
      </c>
      <c r="L3192">
        <v>3.01</v>
      </c>
      <c r="M3192" t="s">
        <v>37</v>
      </c>
      <c r="N3192" t="s">
        <v>162</v>
      </c>
    </row>
    <row r="3193" spans="1:14" x14ac:dyDescent="0.3">
      <c r="A3193" t="s">
        <v>37</v>
      </c>
      <c r="B3193">
        <f>VLOOKUP(M3193,Sheet9!$I$1:$J$17,2,FALSE)</f>
        <v>4</v>
      </c>
      <c r="C3193">
        <f>VLOOKUP(N3193,Sheet9!$M$1:$N$2,2,FALSE)</f>
        <v>1</v>
      </c>
      <c r="D3193">
        <v>32</v>
      </c>
      <c r="E3193" t="s">
        <v>168</v>
      </c>
      <c r="F3193">
        <v>150</v>
      </c>
      <c r="G3193" t="s">
        <v>139</v>
      </c>
      <c r="H3193">
        <v>48</v>
      </c>
      <c r="I3193">
        <v>1.2</v>
      </c>
      <c r="J3193">
        <v>57.599999999999994</v>
      </c>
      <c r="K3193">
        <v>2.15</v>
      </c>
      <c r="L3193">
        <v>2.73</v>
      </c>
      <c r="M3193" t="s">
        <v>37</v>
      </c>
      <c r="N3193" t="s">
        <v>162</v>
      </c>
    </row>
    <row r="3194" spans="1:14" x14ac:dyDescent="0.3">
      <c r="A3194" t="s">
        <v>37</v>
      </c>
      <c r="B3194">
        <f>VLOOKUP(M3194,Sheet9!$I$1:$J$17,2,FALSE)</f>
        <v>4</v>
      </c>
      <c r="C3194">
        <f>VLOOKUP(N3194,Sheet9!$M$1:$N$2,2,FALSE)</f>
        <v>1</v>
      </c>
      <c r="D3194">
        <v>32</v>
      </c>
      <c r="E3194" t="s">
        <v>168</v>
      </c>
      <c r="F3194">
        <v>150</v>
      </c>
      <c r="G3194" t="s">
        <v>139</v>
      </c>
      <c r="H3194">
        <v>64</v>
      </c>
      <c r="I3194">
        <v>1.2</v>
      </c>
      <c r="J3194">
        <v>76.8</v>
      </c>
      <c r="K3194">
        <v>2.04</v>
      </c>
      <c r="L3194">
        <v>2.59</v>
      </c>
      <c r="M3194" t="s">
        <v>37</v>
      </c>
      <c r="N3194" t="s">
        <v>162</v>
      </c>
    </row>
    <row r="3195" spans="1:14" x14ac:dyDescent="0.3">
      <c r="A3195" t="s">
        <v>37</v>
      </c>
      <c r="B3195">
        <f>VLOOKUP(M3195,Sheet9!$I$1:$J$17,2,FALSE)</f>
        <v>4</v>
      </c>
      <c r="C3195">
        <f>VLOOKUP(N3195,Sheet9!$M$1:$N$2,2,FALSE)</f>
        <v>1</v>
      </c>
      <c r="D3195">
        <v>32</v>
      </c>
      <c r="E3195" t="s">
        <v>168</v>
      </c>
      <c r="F3195">
        <v>150</v>
      </c>
      <c r="G3195" t="s">
        <v>139</v>
      </c>
      <c r="H3195">
        <v>96</v>
      </c>
      <c r="I3195">
        <v>0.6</v>
      </c>
      <c r="J3195">
        <v>57.599999999999994</v>
      </c>
      <c r="K3195">
        <v>1.92</v>
      </c>
      <c r="L3195">
        <v>2.44</v>
      </c>
      <c r="M3195" t="s">
        <v>37</v>
      </c>
      <c r="N3195" t="s">
        <v>162</v>
      </c>
    </row>
    <row r="3196" spans="1:14" x14ac:dyDescent="0.3">
      <c r="A3196" t="s">
        <v>37</v>
      </c>
      <c r="B3196">
        <f>VLOOKUP(M3196,Sheet9!$I$1:$J$17,2,FALSE)</f>
        <v>4</v>
      </c>
      <c r="C3196">
        <f>VLOOKUP(N3196,Sheet9!$M$1:$N$2,2,FALSE)</f>
        <v>1</v>
      </c>
      <c r="D3196">
        <v>32</v>
      </c>
      <c r="E3196" t="s">
        <v>168</v>
      </c>
      <c r="F3196">
        <v>150</v>
      </c>
      <c r="G3196" t="s">
        <v>139</v>
      </c>
      <c r="H3196">
        <v>24</v>
      </c>
      <c r="I3196">
        <v>1.2</v>
      </c>
      <c r="J3196">
        <v>28.799999999999997</v>
      </c>
      <c r="K3196">
        <v>2.12</v>
      </c>
      <c r="L3196">
        <v>2.68</v>
      </c>
      <c r="M3196" t="s">
        <v>37</v>
      </c>
      <c r="N3196" t="s">
        <v>162</v>
      </c>
    </row>
    <row r="3197" spans="1:14" x14ac:dyDescent="0.3">
      <c r="A3197" t="s">
        <v>37</v>
      </c>
      <c r="B3197">
        <f>VLOOKUP(M3197,Sheet9!$I$1:$J$17,2,FALSE)</f>
        <v>4</v>
      </c>
      <c r="C3197">
        <f>VLOOKUP(N3197,Sheet9!$M$1:$N$2,2,FALSE)</f>
        <v>1</v>
      </c>
      <c r="D3197">
        <v>32</v>
      </c>
      <c r="E3197" t="s">
        <v>96</v>
      </c>
      <c r="F3197">
        <v>150</v>
      </c>
      <c r="G3197" t="s">
        <v>139</v>
      </c>
      <c r="H3197">
        <v>48</v>
      </c>
      <c r="I3197">
        <v>1.2</v>
      </c>
      <c r="J3197">
        <v>57.599999999999994</v>
      </c>
      <c r="K3197">
        <v>1.92</v>
      </c>
      <c r="L3197">
        <v>2.44</v>
      </c>
      <c r="M3197" t="s">
        <v>37</v>
      </c>
      <c r="N3197" t="s">
        <v>162</v>
      </c>
    </row>
    <row r="3198" spans="1:14" x14ac:dyDescent="0.3">
      <c r="A3198" t="s">
        <v>176</v>
      </c>
      <c r="B3198">
        <f>VLOOKUP(M3198,Sheet9!$I$1:$J$17,2,FALSE)</f>
        <v>3</v>
      </c>
      <c r="C3198">
        <f>VLOOKUP(N3198,Sheet9!$M$1:$N$2,2,FALSE)</f>
        <v>1</v>
      </c>
      <c r="D3198">
        <v>16</v>
      </c>
      <c r="E3198" t="s">
        <v>174</v>
      </c>
      <c r="F3198">
        <v>70</v>
      </c>
      <c r="H3198">
        <v>2</v>
      </c>
      <c r="I3198">
        <v>1</v>
      </c>
      <c r="J3198">
        <v>2</v>
      </c>
      <c r="K3198">
        <v>2.9</v>
      </c>
      <c r="L3198">
        <v>3.3</v>
      </c>
      <c r="M3198" t="s">
        <v>176</v>
      </c>
      <c r="N3198" t="s">
        <v>162</v>
      </c>
    </row>
    <row r="3199" spans="1:14" x14ac:dyDescent="0.3">
      <c r="A3199" t="s">
        <v>176</v>
      </c>
      <c r="B3199">
        <f>VLOOKUP(M3199,Sheet9!$I$1:$J$17,2,FALSE)</f>
        <v>3</v>
      </c>
      <c r="C3199">
        <f>VLOOKUP(N3199,Sheet9!$M$1:$N$2,2,FALSE)</f>
        <v>1</v>
      </c>
      <c r="D3199">
        <v>16</v>
      </c>
      <c r="E3199" t="s">
        <v>174</v>
      </c>
      <c r="F3199">
        <v>70</v>
      </c>
      <c r="H3199">
        <v>6</v>
      </c>
      <c r="I3199">
        <v>0.6</v>
      </c>
      <c r="J3199">
        <v>3.6</v>
      </c>
      <c r="K3199">
        <v>4.7</v>
      </c>
      <c r="L3199">
        <v>5.3</v>
      </c>
      <c r="M3199" t="s">
        <v>176</v>
      </c>
      <c r="N3199" t="s">
        <v>162</v>
      </c>
    </row>
    <row r="3200" spans="1:14" x14ac:dyDescent="0.3">
      <c r="A3200" t="s">
        <v>176</v>
      </c>
      <c r="B3200">
        <f>VLOOKUP(M3200,Sheet9!$I$1:$J$17,2,FALSE)</f>
        <v>3</v>
      </c>
      <c r="C3200">
        <f>VLOOKUP(N3200,Sheet9!$M$1:$N$2,2,FALSE)</f>
        <v>1</v>
      </c>
      <c r="D3200">
        <v>16</v>
      </c>
      <c r="E3200" t="s">
        <v>174</v>
      </c>
      <c r="F3200">
        <v>70</v>
      </c>
      <c r="H3200">
        <v>8</v>
      </c>
      <c r="I3200">
        <v>0.6</v>
      </c>
      <c r="J3200">
        <v>2.4</v>
      </c>
      <c r="K3200">
        <v>5</v>
      </c>
      <c r="L3200">
        <v>5.6</v>
      </c>
      <c r="M3200" t="s">
        <v>176</v>
      </c>
      <c r="N3200" t="s">
        <v>162</v>
      </c>
    </row>
    <row r="3201" spans="1:14" x14ac:dyDescent="0.3">
      <c r="A3201" t="s">
        <v>176</v>
      </c>
      <c r="B3201">
        <f>VLOOKUP(M3201,Sheet9!$I$1:$J$17,2,FALSE)</f>
        <v>3</v>
      </c>
      <c r="C3201">
        <f>VLOOKUP(N3201,Sheet9!$M$1:$N$2,2,FALSE)</f>
        <v>1</v>
      </c>
      <c r="D3201">
        <v>16</v>
      </c>
      <c r="E3201" t="s">
        <v>174</v>
      </c>
      <c r="F3201">
        <v>70</v>
      </c>
      <c r="H3201">
        <v>1</v>
      </c>
      <c r="I3201">
        <v>5</v>
      </c>
      <c r="J3201">
        <v>5</v>
      </c>
      <c r="K3201">
        <v>2.6</v>
      </c>
      <c r="L3201">
        <v>2.9</v>
      </c>
      <c r="M3201" t="s">
        <v>176</v>
      </c>
      <c r="N3201" t="s">
        <v>162</v>
      </c>
    </row>
    <row r="3202" spans="1:14" x14ac:dyDescent="0.3">
      <c r="A3202" t="s">
        <v>176</v>
      </c>
      <c r="B3202">
        <f>VLOOKUP(M3202,Sheet9!$I$1:$J$17,2,FALSE)</f>
        <v>3</v>
      </c>
      <c r="C3202">
        <f>VLOOKUP(N3202,Sheet9!$M$1:$N$2,2,FALSE)</f>
        <v>1</v>
      </c>
      <c r="D3202">
        <v>16</v>
      </c>
      <c r="E3202" t="s">
        <v>174</v>
      </c>
      <c r="F3202">
        <v>70</v>
      </c>
      <c r="H3202">
        <v>10</v>
      </c>
      <c r="I3202">
        <v>0.6</v>
      </c>
      <c r="J3202">
        <v>6</v>
      </c>
      <c r="K3202">
        <v>3.4</v>
      </c>
      <c r="L3202">
        <v>3.9</v>
      </c>
      <c r="M3202" t="s">
        <v>176</v>
      </c>
      <c r="N3202" t="s">
        <v>162</v>
      </c>
    </row>
    <row r="3203" spans="1:14" x14ac:dyDescent="0.3">
      <c r="A3203" t="s">
        <v>176</v>
      </c>
      <c r="B3203">
        <f>VLOOKUP(M3203,Sheet9!$I$1:$J$17,2,FALSE)</f>
        <v>3</v>
      </c>
      <c r="C3203">
        <f>VLOOKUP(N3203,Sheet9!$M$1:$N$2,2,FALSE)</f>
        <v>1</v>
      </c>
      <c r="D3203">
        <v>16</v>
      </c>
      <c r="E3203" t="s">
        <v>174</v>
      </c>
      <c r="F3203">
        <v>70</v>
      </c>
      <c r="H3203">
        <v>1</v>
      </c>
      <c r="I3203">
        <v>10</v>
      </c>
      <c r="J3203">
        <v>10</v>
      </c>
      <c r="K3203">
        <v>2.6</v>
      </c>
      <c r="L3203">
        <v>2.9</v>
      </c>
      <c r="M3203" t="s">
        <v>176</v>
      </c>
      <c r="N3203" t="s">
        <v>162</v>
      </c>
    </row>
    <row r="3204" spans="1:14" x14ac:dyDescent="0.3">
      <c r="A3204" t="s">
        <v>176</v>
      </c>
      <c r="B3204">
        <f>VLOOKUP(M3204,Sheet9!$I$1:$J$17,2,FALSE)</f>
        <v>3</v>
      </c>
      <c r="C3204">
        <f>VLOOKUP(N3204,Sheet9!$M$1:$N$2,2,FALSE)</f>
        <v>1</v>
      </c>
      <c r="D3204">
        <v>16</v>
      </c>
      <c r="E3204" t="s">
        <v>174</v>
      </c>
      <c r="F3204">
        <v>70</v>
      </c>
      <c r="H3204">
        <v>12</v>
      </c>
      <c r="I3204">
        <v>1.2</v>
      </c>
      <c r="J3204">
        <v>14.399999999999999</v>
      </c>
      <c r="K3204">
        <v>3.3</v>
      </c>
      <c r="L3204">
        <v>3.8</v>
      </c>
      <c r="M3204" t="s">
        <v>176</v>
      </c>
      <c r="N3204" t="s">
        <v>162</v>
      </c>
    </row>
    <row r="3205" spans="1:14" x14ac:dyDescent="0.3">
      <c r="A3205" t="s">
        <v>176</v>
      </c>
      <c r="B3205">
        <f>VLOOKUP(M3205,Sheet9!$I$1:$J$17,2,FALSE)</f>
        <v>3</v>
      </c>
      <c r="C3205">
        <f>VLOOKUP(N3205,Sheet9!$M$1:$N$2,2,FALSE)</f>
        <v>1</v>
      </c>
      <c r="D3205">
        <v>16</v>
      </c>
      <c r="E3205" t="s">
        <v>174</v>
      </c>
      <c r="F3205">
        <v>70</v>
      </c>
      <c r="H3205">
        <v>20</v>
      </c>
      <c r="I3205">
        <v>0.6</v>
      </c>
      <c r="J3205">
        <v>12</v>
      </c>
      <c r="K3205">
        <v>3.5</v>
      </c>
      <c r="L3205">
        <v>4</v>
      </c>
      <c r="M3205" t="s">
        <v>176</v>
      </c>
      <c r="N3205" t="s">
        <v>162</v>
      </c>
    </row>
    <row r="3206" spans="1:14" x14ac:dyDescent="0.3">
      <c r="A3206" t="s">
        <v>176</v>
      </c>
      <c r="B3206">
        <f>VLOOKUP(M3206,Sheet9!$I$1:$J$17,2,FALSE)</f>
        <v>3</v>
      </c>
      <c r="C3206">
        <f>VLOOKUP(N3206,Sheet9!$M$1:$N$2,2,FALSE)</f>
        <v>1</v>
      </c>
      <c r="D3206">
        <v>16</v>
      </c>
      <c r="E3206" t="s">
        <v>174</v>
      </c>
      <c r="F3206">
        <v>70</v>
      </c>
      <c r="H3206">
        <v>32</v>
      </c>
      <c r="I3206">
        <v>0.6</v>
      </c>
      <c r="J3206">
        <v>19.2</v>
      </c>
      <c r="K3206">
        <v>3.3</v>
      </c>
      <c r="L3206">
        <v>3.7</v>
      </c>
      <c r="M3206" t="s">
        <v>176</v>
      </c>
      <c r="N3206" t="s">
        <v>162</v>
      </c>
    </row>
    <row r="3207" spans="1:14" x14ac:dyDescent="0.3">
      <c r="A3207" t="s">
        <v>176</v>
      </c>
      <c r="B3207">
        <f>VLOOKUP(M3207,Sheet9!$I$1:$J$17,2,FALSE)</f>
        <v>3</v>
      </c>
      <c r="C3207">
        <f>VLOOKUP(N3207,Sheet9!$M$1:$N$2,2,FALSE)</f>
        <v>1</v>
      </c>
      <c r="D3207">
        <v>16</v>
      </c>
      <c r="E3207" t="s">
        <v>174</v>
      </c>
      <c r="F3207">
        <v>70</v>
      </c>
      <c r="H3207">
        <v>32</v>
      </c>
      <c r="I3207">
        <v>1.2</v>
      </c>
      <c r="J3207">
        <v>38.4</v>
      </c>
      <c r="K3207">
        <v>2.9</v>
      </c>
      <c r="L3207">
        <v>3.3</v>
      </c>
      <c r="M3207" t="s">
        <v>176</v>
      </c>
      <c r="N3207" t="s">
        <v>162</v>
      </c>
    </row>
    <row r="3208" spans="1:14" x14ac:dyDescent="0.3">
      <c r="A3208" t="s">
        <v>176</v>
      </c>
      <c r="B3208">
        <f>VLOOKUP(M3208,Sheet9!$I$1:$J$17,2,FALSE)</f>
        <v>3</v>
      </c>
      <c r="C3208">
        <f>VLOOKUP(N3208,Sheet9!$M$1:$N$2,2,FALSE)</f>
        <v>1</v>
      </c>
      <c r="D3208">
        <v>16</v>
      </c>
      <c r="E3208" t="s">
        <v>174</v>
      </c>
      <c r="F3208">
        <v>70</v>
      </c>
      <c r="H3208">
        <v>64</v>
      </c>
      <c r="I3208">
        <v>0.6</v>
      </c>
      <c r="J3208">
        <v>38.4</v>
      </c>
      <c r="K3208">
        <v>2.8</v>
      </c>
      <c r="L3208">
        <v>3.2</v>
      </c>
      <c r="M3208" t="s">
        <v>176</v>
      </c>
      <c r="N3208" t="s">
        <v>162</v>
      </c>
    </row>
    <row r="3209" spans="1:14" x14ac:dyDescent="0.3">
      <c r="A3209" t="s">
        <v>176</v>
      </c>
      <c r="B3209">
        <f>VLOOKUP(M3209,Sheet9!$I$1:$J$17,2,FALSE)</f>
        <v>3</v>
      </c>
      <c r="C3209">
        <f>VLOOKUP(N3209,Sheet9!$M$1:$N$2,2,FALSE)</f>
        <v>1</v>
      </c>
      <c r="D3209">
        <v>16</v>
      </c>
      <c r="E3209" t="s">
        <v>174</v>
      </c>
      <c r="F3209">
        <v>80</v>
      </c>
      <c r="H3209">
        <v>2</v>
      </c>
      <c r="I3209">
        <v>1</v>
      </c>
      <c r="J3209">
        <v>2</v>
      </c>
      <c r="K3209">
        <v>4.5999999999999996</v>
      </c>
      <c r="L3209">
        <v>5</v>
      </c>
      <c r="M3209" t="s">
        <v>176</v>
      </c>
      <c r="N3209" t="s">
        <v>162</v>
      </c>
    </row>
    <row r="3210" spans="1:14" x14ac:dyDescent="0.3">
      <c r="A3210" t="s">
        <v>176</v>
      </c>
      <c r="B3210">
        <f>VLOOKUP(M3210,Sheet9!$I$1:$J$17,2,FALSE)</f>
        <v>3</v>
      </c>
      <c r="C3210">
        <f>VLOOKUP(N3210,Sheet9!$M$1:$N$2,2,FALSE)</f>
        <v>1</v>
      </c>
      <c r="D3210">
        <v>16</v>
      </c>
      <c r="E3210" t="s">
        <v>174</v>
      </c>
      <c r="F3210">
        <v>80</v>
      </c>
      <c r="H3210">
        <v>6</v>
      </c>
      <c r="I3210">
        <v>0.6</v>
      </c>
      <c r="J3210">
        <v>3.6</v>
      </c>
      <c r="K3210">
        <v>7.4</v>
      </c>
      <c r="L3210">
        <v>8.1999999999999993</v>
      </c>
      <c r="M3210" t="s">
        <v>176</v>
      </c>
      <c r="N3210" t="s">
        <v>162</v>
      </c>
    </row>
    <row r="3211" spans="1:14" x14ac:dyDescent="0.3">
      <c r="A3211" t="s">
        <v>176</v>
      </c>
      <c r="B3211">
        <f>VLOOKUP(M3211,Sheet9!$I$1:$J$17,2,FALSE)</f>
        <v>3</v>
      </c>
      <c r="C3211">
        <f>VLOOKUP(N3211,Sheet9!$M$1:$N$2,2,FALSE)</f>
        <v>1</v>
      </c>
      <c r="D3211">
        <v>16</v>
      </c>
      <c r="E3211" t="s">
        <v>174</v>
      </c>
      <c r="F3211">
        <v>80</v>
      </c>
      <c r="H3211">
        <v>8</v>
      </c>
      <c r="I3211">
        <v>0.6</v>
      </c>
      <c r="J3211">
        <v>2.4</v>
      </c>
      <c r="K3211">
        <v>7.9</v>
      </c>
      <c r="L3211">
        <v>8.6</v>
      </c>
      <c r="M3211" t="s">
        <v>176</v>
      </c>
      <c r="N3211" t="s">
        <v>162</v>
      </c>
    </row>
    <row r="3212" spans="1:14" x14ac:dyDescent="0.3">
      <c r="A3212" t="s">
        <v>176</v>
      </c>
      <c r="B3212">
        <f>VLOOKUP(M3212,Sheet9!$I$1:$J$17,2,FALSE)</f>
        <v>3</v>
      </c>
      <c r="C3212">
        <f>VLOOKUP(N3212,Sheet9!$M$1:$N$2,2,FALSE)</f>
        <v>1</v>
      </c>
      <c r="D3212">
        <v>16</v>
      </c>
      <c r="E3212" t="s">
        <v>174</v>
      </c>
      <c r="F3212">
        <v>80</v>
      </c>
      <c r="H3212">
        <v>1</v>
      </c>
      <c r="I3212">
        <v>5</v>
      </c>
      <c r="J3212">
        <v>5</v>
      </c>
      <c r="K3212">
        <v>4.0999999999999996</v>
      </c>
      <c r="L3212">
        <v>4.5</v>
      </c>
      <c r="M3212" t="s">
        <v>176</v>
      </c>
      <c r="N3212" t="s">
        <v>162</v>
      </c>
    </row>
    <row r="3213" spans="1:14" x14ac:dyDescent="0.3">
      <c r="A3213" t="s">
        <v>176</v>
      </c>
      <c r="B3213">
        <f>VLOOKUP(M3213,Sheet9!$I$1:$J$17,2,FALSE)</f>
        <v>3</v>
      </c>
      <c r="C3213">
        <f>VLOOKUP(N3213,Sheet9!$M$1:$N$2,2,FALSE)</f>
        <v>1</v>
      </c>
      <c r="D3213">
        <v>16</v>
      </c>
      <c r="E3213" t="s">
        <v>174</v>
      </c>
      <c r="F3213">
        <v>80</v>
      </c>
      <c r="H3213">
        <v>10</v>
      </c>
      <c r="I3213">
        <v>0.6</v>
      </c>
      <c r="J3213">
        <v>6</v>
      </c>
      <c r="K3213">
        <v>5.4</v>
      </c>
      <c r="L3213">
        <v>6</v>
      </c>
      <c r="M3213" t="s">
        <v>176</v>
      </c>
      <c r="N3213" t="s">
        <v>162</v>
      </c>
    </row>
    <row r="3214" spans="1:14" x14ac:dyDescent="0.3">
      <c r="A3214" t="s">
        <v>176</v>
      </c>
      <c r="B3214">
        <f>VLOOKUP(M3214,Sheet9!$I$1:$J$17,2,FALSE)</f>
        <v>3</v>
      </c>
      <c r="C3214">
        <f>VLOOKUP(N3214,Sheet9!$M$1:$N$2,2,FALSE)</f>
        <v>1</v>
      </c>
      <c r="D3214">
        <v>16</v>
      </c>
      <c r="E3214" t="s">
        <v>174</v>
      </c>
      <c r="F3214">
        <v>80</v>
      </c>
      <c r="H3214">
        <v>1</v>
      </c>
      <c r="I3214">
        <v>10</v>
      </c>
      <c r="J3214">
        <v>10</v>
      </c>
      <c r="K3214">
        <v>4.0999999999999996</v>
      </c>
      <c r="L3214">
        <v>4.5</v>
      </c>
      <c r="M3214" t="s">
        <v>176</v>
      </c>
      <c r="N3214" t="s">
        <v>162</v>
      </c>
    </row>
    <row r="3215" spans="1:14" x14ac:dyDescent="0.3">
      <c r="A3215" t="s">
        <v>176</v>
      </c>
      <c r="B3215">
        <f>VLOOKUP(M3215,Sheet9!$I$1:$J$17,2,FALSE)</f>
        <v>3</v>
      </c>
      <c r="C3215">
        <f>VLOOKUP(N3215,Sheet9!$M$1:$N$2,2,FALSE)</f>
        <v>1</v>
      </c>
      <c r="D3215">
        <v>16</v>
      </c>
      <c r="E3215" t="s">
        <v>174</v>
      </c>
      <c r="F3215">
        <v>80</v>
      </c>
      <c r="H3215">
        <v>12</v>
      </c>
      <c r="I3215">
        <v>1.2</v>
      </c>
      <c r="J3215">
        <v>14.399999999999999</v>
      </c>
      <c r="K3215">
        <v>5.3</v>
      </c>
      <c r="L3215">
        <v>5.8</v>
      </c>
      <c r="M3215" t="s">
        <v>176</v>
      </c>
      <c r="N3215" t="s">
        <v>162</v>
      </c>
    </row>
    <row r="3216" spans="1:14" x14ac:dyDescent="0.3">
      <c r="A3216" t="s">
        <v>176</v>
      </c>
      <c r="B3216">
        <f>VLOOKUP(M3216,Sheet9!$I$1:$J$17,2,FALSE)</f>
        <v>3</v>
      </c>
      <c r="C3216">
        <f>VLOOKUP(N3216,Sheet9!$M$1:$N$2,2,FALSE)</f>
        <v>1</v>
      </c>
      <c r="D3216">
        <v>16</v>
      </c>
      <c r="E3216" t="s">
        <v>174</v>
      </c>
      <c r="F3216">
        <v>80</v>
      </c>
      <c r="H3216">
        <v>20</v>
      </c>
      <c r="I3216">
        <v>0.6</v>
      </c>
      <c r="J3216">
        <v>12</v>
      </c>
      <c r="K3216">
        <v>5.6</v>
      </c>
      <c r="L3216">
        <v>6.1</v>
      </c>
      <c r="M3216" t="s">
        <v>176</v>
      </c>
      <c r="N3216" t="s">
        <v>162</v>
      </c>
    </row>
    <row r="3217" spans="1:14" x14ac:dyDescent="0.3">
      <c r="A3217" t="s">
        <v>176</v>
      </c>
      <c r="B3217">
        <f>VLOOKUP(M3217,Sheet9!$I$1:$J$17,2,FALSE)</f>
        <v>3</v>
      </c>
      <c r="C3217">
        <f>VLOOKUP(N3217,Sheet9!$M$1:$N$2,2,FALSE)</f>
        <v>1</v>
      </c>
      <c r="D3217">
        <v>16</v>
      </c>
      <c r="E3217" t="s">
        <v>174</v>
      </c>
      <c r="F3217">
        <v>80</v>
      </c>
      <c r="H3217">
        <v>32</v>
      </c>
      <c r="I3217">
        <v>0.6</v>
      </c>
      <c r="J3217">
        <v>19.2</v>
      </c>
      <c r="K3217">
        <v>5.2</v>
      </c>
      <c r="L3217">
        <v>5.7</v>
      </c>
      <c r="M3217" t="s">
        <v>176</v>
      </c>
      <c r="N3217" t="s">
        <v>162</v>
      </c>
    </row>
    <row r="3218" spans="1:14" x14ac:dyDescent="0.3">
      <c r="A3218" t="s">
        <v>176</v>
      </c>
      <c r="B3218">
        <f>VLOOKUP(M3218,Sheet9!$I$1:$J$17,2,FALSE)</f>
        <v>3</v>
      </c>
      <c r="C3218">
        <f>VLOOKUP(N3218,Sheet9!$M$1:$N$2,2,FALSE)</f>
        <v>1</v>
      </c>
      <c r="D3218">
        <v>16</v>
      </c>
      <c r="E3218" t="s">
        <v>174</v>
      </c>
      <c r="F3218">
        <v>80</v>
      </c>
      <c r="H3218">
        <v>32</v>
      </c>
      <c r="I3218">
        <v>1.2</v>
      </c>
      <c r="J3218">
        <v>38.4</v>
      </c>
      <c r="K3218">
        <v>4.5999999999999996</v>
      </c>
      <c r="L3218">
        <v>5.0999999999999996</v>
      </c>
      <c r="M3218" t="s">
        <v>176</v>
      </c>
      <c r="N3218" t="s">
        <v>162</v>
      </c>
    </row>
    <row r="3219" spans="1:14" x14ac:dyDescent="0.3">
      <c r="A3219" t="s">
        <v>176</v>
      </c>
      <c r="B3219">
        <f>VLOOKUP(M3219,Sheet9!$I$1:$J$17,2,FALSE)</f>
        <v>3</v>
      </c>
      <c r="C3219">
        <f>VLOOKUP(N3219,Sheet9!$M$1:$N$2,2,FALSE)</f>
        <v>1</v>
      </c>
      <c r="D3219">
        <v>16</v>
      </c>
      <c r="E3219" t="s">
        <v>174</v>
      </c>
      <c r="F3219">
        <v>80</v>
      </c>
      <c r="H3219">
        <v>64</v>
      </c>
      <c r="I3219">
        <v>0.6</v>
      </c>
      <c r="J3219">
        <v>38.4</v>
      </c>
      <c r="K3219">
        <v>4.5</v>
      </c>
      <c r="L3219">
        <v>5</v>
      </c>
      <c r="M3219" t="s">
        <v>176</v>
      </c>
      <c r="N3219" t="s">
        <v>162</v>
      </c>
    </row>
    <row r="3220" spans="1:14" x14ac:dyDescent="0.3">
      <c r="A3220" t="s">
        <v>176</v>
      </c>
      <c r="B3220">
        <f>VLOOKUP(M3220,Sheet9!$I$1:$J$17,2,FALSE)</f>
        <v>3</v>
      </c>
      <c r="C3220">
        <f>VLOOKUP(N3220,Sheet9!$M$1:$N$2,2,FALSE)</f>
        <v>1</v>
      </c>
      <c r="D3220">
        <v>16</v>
      </c>
      <c r="E3220" t="s">
        <v>174</v>
      </c>
      <c r="F3220">
        <v>100</v>
      </c>
      <c r="H3220">
        <v>2</v>
      </c>
      <c r="I3220">
        <v>1</v>
      </c>
      <c r="J3220">
        <v>2</v>
      </c>
      <c r="K3220">
        <v>9.1999999999999993</v>
      </c>
      <c r="L3220">
        <v>9.8000000000000007</v>
      </c>
      <c r="M3220" t="s">
        <v>176</v>
      </c>
      <c r="N3220" t="s">
        <v>162</v>
      </c>
    </row>
    <row r="3221" spans="1:14" x14ac:dyDescent="0.3">
      <c r="A3221" t="s">
        <v>176</v>
      </c>
      <c r="B3221">
        <f>VLOOKUP(M3221,Sheet9!$I$1:$J$17,2,FALSE)</f>
        <v>3</v>
      </c>
      <c r="C3221">
        <f>VLOOKUP(N3221,Sheet9!$M$1:$N$2,2,FALSE)</f>
        <v>1</v>
      </c>
      <c r="D3221">
        <v>16</v>
      </c>
      <c r="E3221" t="s">
        <v>174</v>
      </c>
      <c r="F3221">
        <v>100</v>
      </c>
      <c r="H3221">
        <v>6</v>
      </c>
      <c r="I3221">
        <v>0.6</v>
      </c>
      <c r="J3221">
        <v>3.6</v>
      </c>
      <c r="K3221">
        <v>14.9</v>
      </c>
      <c r="L3221">
        <v>15.9</v>
      </c>
      <c r="M3221" t="s">
        <v>176</v>
      </c>
      <c r="N3221" t="s">
        <v>162</v>
      </c>
    </row>
    <row r="3222" spans="1:14" x14ac:dyDescent="0.3">
      <c r="A3222" t="s">
        <v>176</v>
      </c>
      <c r="B3222">
        <f>VLOOKUP(M3222,Sheet9!$I$1:$J$17,2,FALSE)</f>
        <v>3</v>
      </c>
      <c r="C3222">
        <f>VLOOKUP(N3222,Sheet9!$M$1:$N$2,2,FALSE)</f>
        <v>1</v>
      </c>
      <c r="D3222">
        <v>16</v>
      </c>
      <c r="E3222" t="s">
        <v>174</v>
      </c>
      <c r="F3222">
        <v>100</v>
      </c>
      <c r="H3222">
        <v>8</v>
      </c>
      <c r="I3222">
        <v>0.6</v>
      </c>
      <c r="J3222">
        <v>2.4</v>
      </c>
      <c r="K3222">
        <v>15.8</v>
      </c>
      <c r="L3222">
        <v>16.8</v>
      </c>
      <c r="M3222" t="s">
        <v>176</v>
      </c>
      <c r="N3222" t="s">
        <v>162</v>
      </c>
    </row>
    <row r="3223" spans="1:14" x14ac:dyDescent="0.3">
      <c r="A3223" t="s">
        <v>176</v>
      </c>
      <c r="B3223">
        <f>VLOOKUP(M3223,Sheet9!$I$1:$J$17,2,FALSE)</f>
        <v>3</v>
      </c>
      <c r="C3223">
        <f>VLOOKUP(N3223,Sheet9!$M$1:$N$2,2,FALSE)</f>
        <v>1</v>
      </c>
      <c r="D3223">
        <v>16</v>
      </c>
      <c r="E3223" t="s">
        <v>174</v>
      </c>
      <c r="F3223">
        <v>100</v>
      </c>
      <c r="H3223">
        <v>1</v>
      </c>
      <c r="I3223">
        <v>5</v>
      </c>
      <c r="J3223">
        <v>5</v>
      </c>
      <c r="K3223">
        <v>8.1999999999999993</v>
      </c>
      <c r="L3223">
        <v>8.8000000000000007</v>
      </c>
      <c r="M3223" t="s">
        <v>176</v>
      </c>
      <c r="N3223" t="s">
        <v>162</v>
      </c>
    </row>
    <row r="3224" spans="1:14" x14ac:dyDescent="0.3">
      <c r="A3224" t="s">
        <v>176</v>
      </c>
      <c r="B3224">
        <f>VLOOKUP(M3224,Sheet9!$I$1:$J$17,2,FALSE)</f>
        <v>3</v>
      </c>
      <c r="C3224">
        <f>VLOOKUP(N3224,Sheet9!$M$1:$N$2,2,FALSE)</f>
        <v>1</v>
      </c>
      <c r="D3224">
        <v>16</v>
      </c>
      <c r="E3224" t="s">
        <v>174</v>
      </c>
      <c r="F3224">
        <v>100</v>
      </c>
      <c r="H3224">
        <v>10</v>
      </c>
      <c r="I3224">
        <v>0.6</v>
      </c>
      <c r="J3224">
        <v>6</v>
      </c>
      <c r="K3224">
        <v>10.9</v>
      </c>
      <c r="L3224">
        <v>11.6</v>
      </c>
      <c r="M3224" t="s">
        <v>176</v>
      </c>
      <c r="N3224" t="s">
        <v>162</v>
      </c>
    </row>
    <row r="3225" spans="1:14" x14ac:dyDescent="0.3">
      <c r="A3225" t="s">
        <v>176</v>
      </c>
      <c r="B3225">
        <f>VLOOKUP(M3225,Sheet9!$I$1:$J$17,2,FALSE)</f>
        <v>3</v>
      </c>
      <c r="C3225">
        <f>VLOOKUP(N3225,Sheet9!$M$1:$N$2,2,FALSE)</f>
        <v>1</v>
      </c>
      <c r="D3225">
        <v>16</v>
      </c>
      <c r="E3225" t="s">
        <v>174</v>
      </c>
      <c r="F3225">
        <v>100</v>
      </c>
      <c r="H3225">
        <v>1</v>
      </c>
      <c r="I3225">
        <v>10</v>
      </c>
      <c r="J3225">
        <v>10</v>
      </c>
      <c r="K3225">
        <v>8.1999999999999993</v>
      </c>
      <c r="L3225">
        <v>8.8000000000000007</v>
      </c>
      <c r="M3225" t="s">
        <v>176</v>
      </c>
      <c r="N3225" t="s">
        <v>162</v>
      </c>
    </row>
    <row r="3226" spans="1:14" x14ac:dyDescent="0.3">
      <c r="A3226" t="s">
        <v>176</v>
      </c>
      <c r="B3226">
        <f>VLOOKUP(M3226,Sheet9!$I$1:$J$17,2,FALSE)</f>
        <v>3</v>
      </c>
      <c r="C3226">
        <f>VLOOKUP(N3226,Sheet9!$M$1:$N$2,2,FALSE)</f>
        <v>1</v>
      </c>
      <c r="D3226">
        <v>16</v>
      </c>
      <c r="E3226" t="s">
        <v>174</v>
      </c>
      <c r="F3226">
        <v>100</v>
      </c>
      <c r="H3226">
        <v>12</v>
      </c>
      <c r="I3226">
        <v>1.2</v>
      </c>
      <c r="J3226">
        <v>14.399999999999999</v>
      </c>
      <c r="K3226">
        <v>10.6</v>
      </c>
      <c r="L3226">
        <v>11.3</v>
      </c>
      <c r="M3226" t="s">
        <v>176</v>
      </c>
      <c r="N3226" t="s">
        <v>162</v>
      </c>
    </row>
    <row r="3227" spans="1:14" x14ac:dyDescent="0.3">
      <c r="A3227" t="s">
        <v>176</v>
      </c>
      <c r="B3227">
        <f>VLOOKUP(M3227,Sheet9!$I$1:$J$17,2,FALSE)</f>
        <v>3</v>
      </c>
      <c r="C3227">
        <f>VLOOKUP(N3227,Sheet9!$M$1:$N$2,2,FALSE)</f>
        <v>1</v>
      </c>
      <c r="D3227">
        <v>16</v>
      </c>
      <c r="E3227" t="s">
        <v>174</v>
      </c>
      <c r="F3227">
        <v>100</v>
      </c>
      <c r="H3227">
        <v>20</v>
      </c>
      <c r="I3227">
        <v>0.6</v>
      </c>
      <c r="J3227">
        <v>12</v>
      </c>
      <c r="K3227">
        <v>11.2</v>
      </c>
      <c r="L3227">
        <v>11.9</v>
      </c>
      <c r="M3227" t="s">
        <v>176</v>
      </c>
      <c r="N3227" t="s">
        <v>162</v>
      </c>
    </row>
    <row r="3228" spans="1:14" x14ac:dyDescent="0.3">
      <c r="A3228" t="s">
        <v>176</v>
      </c>
      <c r="B3228">
        <f>VLOOKUP(M3228,Sheet9!$I$1:$J$17,2,FALSE)</f>
        <v>3</v>
      </c>
      <c r="C3228">
        <f>VLOOKUP(N3228,Sheet9!$M$1:$N$2,2,FALSE)</f>
        <v>1</v>
      </c>
      <c r="D3228">
        <v>16</v>
      </c>
      <c r="E3228" t="s">
        <v>174</v>
      </c>
      <c r="F3228">
        <v>100</v>
      </c>
      <c r="H3228">
        <v>32</v>
      </c>
      <c r="I3228">
        <v>0.6</v>
      </c>
      <c r="J3228">
        <v>19.2</v>
      </c>
      <c r="K3228">
        <v>10.4</v>
      </c>
      <c r="L3228">
        <v>11</v>
      </c>
      <c r="M3228" t="s">
        <v>176</v>
      </c>
      <c r="N3228" t="s">
        <v>162</v>
      </c>
    </row>
    <row r="3229" spans="1:14" x14ac:dyDescent="0.3">
      <c r="A3229" t="s">
        <v>176</v>
      </c>
      <c r="B3229">
        <f>VLOOKUP(M3229,Sheet9!$I$1:$J$17,2,FALSE)</f>
        <v>3</v>
      </c>
      <c r="C3229">
        <f>VLOOKUP(N3229,Sheet9!$M$1:$N$2,2,FALSE)</f>
        <v>1</v>
      </c>
      <c r="D3229">
        <v>16</v>
      </c>
      <c r="E3229" t="s">
        <v>174</v>
      </c>
      <c r="F3229">
        <v>100</v>
      </c>
      <c r="H3229">
        <v>32</v>
      </c>
      <c r="I3229">
        <v>1.2</v>
      </c>
      <c r="J3229">
        <v>38.4</v>
      </c>
      <c r="K3229">
        <v>9.1999999999999993</v>
      </c>
      <c r="L3229">
        <v>9.8000000000000007</v>
      </c>
      <c r="M3229" t="s">
        <v>176</v>
      </c>
      <c r="N3229" t="s">
        <v>162</v>
      </c>
    </row>
    <row r="3230" spans="1:14" x14ac:dyDescent="0.3">
      <c r="A3230" t="s">
        <v>176</v>
      </c>
      <c r="B3230">
        <f>VLOOKUP(M3230,Sheet9!$I$1:$J$17,2,FALSE)</f>
        <v>3</v>
      </c>
      <c r="C3230">
        <f>VLOOKUP(N3230,Sheet9!$M$1:$N$2,2,FALSE)</f>
        <v>1</v>
      </c>
      <c r="D3230">
        <v>16</v>
      </c>
      <c r="E3230" t="s">
        <v>174</v>
      </c>
      <c r="F3230">
        <v>100</v>
      </c>
      <c r="H3230">
        <v>64</v>
      </c>
      <c r="I3230">
        <v>0.6</v>
      </c>
      <c r="J3230">
        <v>38.4</v>
      </c>
      <c r="K3230">
        <v>9.1</v>
      </c>
      <c r="L3230">
        <v>9.6</v>
      </c>
      <c r="M3230" t="s">
        <v>176</v>
      </c>
      <c r="N3230" t="s">
        <v>162</v>
      </c>
    </row>
    <row r="3231" spans="1:14" x14ac:dyDescent="0.3">
      <c r="A3231" t="s">
        <v>176</v>
      </c>
      <c r="B3231">
        <f>VLOOKUP(M3231,Sheet9!$I$1:$J$17,2,FALSE)</f>
        <v>3</v>
      </c>
      <c r="C3231">
        <f>VLOOKUP(N3231,Sheet9!$M$1:$N$2,2,FALSE)</f>
        <v>1</v>
      </c>
      <c r="D3231">
        <v>16</v>
      </c>
      <c r="E3231" t="s">
        <v>174</v>
      </c>
      <c r="F3231">
        <v>120</v>
      </c>
      <c r="H3231">
        <v>2</v>
      </c>
      <c r="I3231">
        <v>1</v>
      </c>
      <c r="J3231">
        <v>2</v>
      </c>
      <c r="K3231">
        <v>14.8</v>
      </c>
      <c r="L3231">
        <v>15.5</v>
      </c>
      <c r="M3231" t="s">
        <v>176</v>
      </c>
      <c r="N3231" t="s">
        <v>162</v>
      </c>
    </row>
    <row r="3232" spans="1:14" x14ac:dyDescent="0.3">
      <c r="A3232" t="s">
        <v>176</v>
      </c>
      <c r="B3232">
        <f>VLOOKUP(M3232,Sheet9!$I$1:$J$17,2,FALSE)</f>
        <v>3</v>
      </c>
      <c r="C3232">
        <f>VLOOKUP(N3232,Sheet9!$M$1:$N$2,2,FALSE)</f>
        <v>1</v>
      </c>
      <c r="D3232">
        <v>16</v>
      </c>
      <c r="E3232" t="s">
        <v>174</v>
      </c>
      <c r="F3232">
        <v>120</v>
      </c>
      <c r="H3232">
        <v>6</v>
      </c>
      <c r="I3232">
        <v>0.6</v>
      </c>
      <c r="J3232">
        <v>3.6</v>
      </c>
      <c r="K3232">
        <v>23.9</v>
      </c>
      <c r="L3232">
        <v>25.1</v>
      </c>
      <c r="M3232" t="s">
        <v>176</v>
      </c>
      <c r="N3232" t="s">
        <v>162</v>
      </c>
    </row>
    <row r="3233" spans="1:14" x14ac:dyDescent="0.3">
      <c r="A3233" t="s">
        <v>176</v>
      </c>
      <c r="B3233">
        <f>VLOOKUP(M3233,Sheet9!$I$1:$J$17,2,FALSE)</f>
        <v>3</v>
      </c>
      <c r="C3233">
        <f>VLOOKUP(N3233,Sheet9!$M$1:$N$2,2,FALSE)</f>
        <v>1</v>
      </c>
      <c r="D3233">
        <v>16</v>
      </c>
      <c r="E3233" t="s">
        <v>174</v>
      </c>
      <c r="F3233">
        <v>120</v>
      </c>
      <c r="H3233">
        <v>8</v>
      </c>
      <c r="I3233">
        <v>0.6</v>
      </c>
      <c r="J3233">
        <v>2.4</v>
      </c>
      <c r="K3233">
        <v>25.4</v>
      </c>
      <c r="L3233">
        <v>26.6</v>
      </c>
      <c r="M3233" t="s">
        <v>176</v>
      </c>
      <c r="N3233" t="s">
        <v>162</v>
      </c>
    </row>
    <row r="3234" spans="1:14" x14ac:dyDescent="0.3">
      <c r="A3234" t="s">
        <v>176</v>
      </c>
      <c r="B3234">
        <f>VLOOKUP(M3234,Sheet9!$I$1:$J$17,2,FALSE)</f>
        <v>3</v>
      </c>
      <c r="C3234">
        <f>VLOOKUP(N3234,Sheet9!$M$1:$N$2,2,FALSE)</f>
        <v>1</v>
      </c>
      <c r="D3234">
        <v>16</v>
      </c>
      <c r="E3234" t="s">
        <v>174</v>
      </c>
      <c r="F3234">
        <v>120</v>
      </c>
      <c r="H3234">
        <v>1</v>
      </c>
      <c r="I3234">
        <v>5</v>
      </c>
      <c r="J3234">
        <v>5</v>
      </c>
      <c r="K3234">
        <v>13.3</v>
      </c>
      <c r="L3234">
        <v>13.9</v>
      </c>
      <c r="M3234" t="s">
        <v>176</v>
      </c>
      <c r="N3234" t="s">
        <v>162</v>
      </c>
    </row>
    <row r="3235" spans="1:14" x14ac:dyDescent="0.3">
      <c r="A3235" t="s">
        <v>176</v>
      </c>
      <c r="B3235">
        <f>VLOOKUP(M3235,Sheet9!$I$1:$J$17,2,FALSE)</f>
        <v>3</v>
      </c>
      <c r="C3235">
        <f>VLOOKUP(N3235,Sheet9!$M$1:$N$2,2,FALSE)</f>
        <v>1</v>
      </c>
      <c r="D3235">
        <v>16</v>
      </c>
      <c r="E3235" t="s">
        <v>174</v>
      </c>
      <c r="F3235">
        <v>120</v>
      </c>
      <c r="H3235">
        <v>10</v>
      </c>
      <c r="I3235">
        <v>0.6</v>
      </c>
      <c r="J3235">
        <v>6</v>
      </c>
      <c r="K3235">
        <v>17.600000000000001</v>
      </c>
      <c r="L3235">
        <v>18.399999999999999</v>
      </c>
      <c r="M3235" t="s">
        <v>176</v>
      </c>
      <c r="N3235" t="s">
        <v>162</v>
      </c>
    </row>
    <row r="3236" spans="1:14" x14ac:dyDescent="0.3">
      <c r="A3236" t="s">
        <v>176</v>
      </c>
      <c r="B3236">
        <f>VLOOKUP(M3236,Sheet9!$I$1:$J$17,2,FALSE)</f>
        <v>3</v>
      </c>
      <c r="C3236">
        <f>VLOOKUP(N3236,Sheet9!$M$1:$N$2,2,FALSE)</f>
        <v>1</v>
      </c>
      <c r="D3236">
        <v>16</v>
      </c>
      <c r="E3236" t="s">
        <v>174</v>
      </c>
      <c r="F3236">
        <v>120</v>
      </c>
      <c r="H3236">
        <v>1</v>
      </c>
      <c r="I3236">
        <v>10</v>
      </c>
      <c r="J3236">
        <v>10</v>
      </c>
      <c r="K3236">
        <v>13.3</v>
      </c>
      <c r="L3236">
        <v>13.9</v>
      </c>
      <c r="M3236" t="s">
        <v>176</v>
      </c>
      <c r="N3236" t="s">
        <v>162</v>
      </c>
    </row>
    <row r="3237" spans="1:14" x14ac:dyDescent="0.3">
      <c r="A3237" t="s">
        <v>176</v>
      </c>
      <c r="B3237">
        <f>VLOOKUP(M3237,Sheet9!$I$1:$J$17,2,FALSE)</f>
        <v>3</v>
      </c>
      <c r="C3237">
        <f>VLOOKUP(N3237,Sheet9!$M$1:$N$2,2,FALSE)</f>
        <v>1</v>
      </c>
      <c r="D3237">
        <v>16</v>
      </c>
      <c r="E3237" t="s">
        <v>174</v>
      </c>
      <c r="F3237">
        <v>120</v>
      </c>
      <c r="H3237">
        <v>12</v>
      </c>
      <c r="I3237">
        <v>1.2</v>
      </c>
      <c r="J3237">
        <v>14.399999999999999</v>
      </c>
      <c r="K3237">
        <v>17</v>
      </c>
      <c r="L3237">
        <v>17.8</v>
      </c>
      <c r="M3237" t="s">
        <v>176</v>
      </c>
      <c r="N3237" t="s">
        <v>162</v>
      </c>
    </row>
    <row r="3238" spans="1:14" x14ac:dyDescent="0.3">
      <c r="A3238" t="s">
        <v>176</v>
      </c>
      <c r="B3238">
        <f>VLOOKUP(M3238,Sheet9!$I$1:$J$17,2,FALSE)</f>
        <v>3</v>
      </c>
      <c r="C3238">
        <f>VLOOKUP(N3238,Sheet9!$M$1:$N$2,2,FALSE)</f>
        <v>1</v>
      </c>
      <c r="D3238">
        <v>16</v>
      </c>
      <c r="E3238" t="s">
        <v>174</v>
      </c>
      <c r="F3238">
        <v>120</v>
      </c>
      <c r="H3238">
        <v>20</v>
      </c>
      <c r="I3238">
        <v>0.6</v>
      </c>
      <c r="J3238">
        <v>12</v>
      </c>
      <c r="K3238">
        <v>17.899999999999999</v>
      </c>
      <c r="L3238">
        <v>18.8</v>
      </c>
      <c r="M3238" t="s">
        <v>176</v>
      </c>
      <c r="N3238" t="s">
        <v>162</v>
      </c>
    </row>
    <row r="3239" spans="1:14" x14ac:dyDescent="0.3">
      <c r="A3239" t="s">
        <v>176</v>
      </c>
      <c r="B3239">
        <f>VLOOKUP(M3239,Sheet9!$I$1:$J$17,2,FALSE)</f>
        <v>3</v>
      </c>
      <c r="C3239">
        <f>VLOOKUP(N3239,Sheet9!$M$1:$N$2,2,FALSE)</f>
        <v>1</v>
      </c>
      <c r="D3239">
        <v>16</v>
      </c>
      <c r="E3239" t="s">
        <v>174</v>
      </c>
      <c r="F3239">
        <v>120</v>
      </c>
      <c r="H3239">
        <v>32</v>
      </c>
      <c r="I3239">
        <v>0.6</v>
      </c>
      <c r="J3239">
        <v>19.2</v>
      </c>
      <c r="K3239">
        <v>16.7</v>
      </c>
      <c r="L3239">
        <v>17.5</v>
      </c>
      <c r="M3239" t="s">
        <v>176</v>
      </c>
      <c r="N3239" t="s">
        <v>162</v>
      </c>
    </row>
    <row r="3240" spans="1:14" x14ac:dyDescent="0.3">
      <c r="A3240" t="s">
        <v>176</v>
      </c>
      <c r="B3240">
        <f>VLOOKUP(M3240,Sheet9!$I$1:$J$17,2,FALSE)</f>
        <v>3</v>
      </c>
      <c r="C3240">
        <f>VLOOKUP(N3240,Sheet9!$M$1:$N$2,2,FALSE)</f>
        <v>1</v>
      </c>
      <c r="D3240">
        <v>16</v>
      </c>
      <c r="E3240" t="s">
        <v>174</v>
      </c>
      <c r="F3240">
        <v>120</v>
      </c>
      <c r="H3240">
        <v>32</v>
      </c>
      <c r="I3240">
        <v>1.2</v>
      </c>
      <c r="J3240">
        <v>38.4</v>
      </c>
      <c r="K3240">
        <v>14.8</v>
      </c>
      <c r="L3240">
        <v>15.6</v>
      </c>
      <c r="M3240" t="s">
        <v>176</v>
      </c>
      <c r="N3240" t="s">
        <v>162</v>
      </c>
    </row>
    <row r="3241" spans="1:14" x14ac:dyDescent="0.3">
      <c r="A3241" t="s">
        <v>176</v>
      </c>
      <c r="B3241">
        <f>VLOOKUP(M3241,Sheet9!$I$1:$J$17,2,FALSE)</f>
        <v>3</v>
      </c>
      <c r="C3241">
        <f>VLOOKUP(N3241,Sheet9!$M$1:$N$2,2,FALSE)</f>
        <v>1</v>
      </c>
      <c r="D3241">
        <v>16</v>
      </c>
      <c r="E3241" t="s">
        <v>174</v>
      </c>
      <c r="F3241">
        <v>120</v>
      </c>
      <c r="H3241">
        <v>64</v>
      </c>
      <c r="I3241">
        <v>0.6</v>
      </c>
      <c r="J3241">
        <v>38.4</v>
      </c>
      <c r="K3241">
        <v>14.6</v>
      </c>
      <c r="L3241">
        <v>15.3</v>
      </c>
      <c r="M3241" t="s">
        <v>176</v>
      </c>
      <c r="N3241" t="s">
        <v>162</v>
      </c>
    </row>
    <row r="3242" spans="1:14" x14ac:dyDescent="0.3">
      <c r="A3242" t="s">
        <v>176</v>
      </c>
      <c r="B3242">
        <f>VLOOKUP(M3242,Sheet9!$I$1:$J$17,2,FALSE)</f>
        <v>3</v>
      </c>
      <c r="C3242">
        <f>VLOOKUP(N3242,Sheet9!$M$1:$N$2,2,FALSE)</f>
        <v>1</v>
      </c>
      <c r="D3242">
        <v>16</v>
      </c>
      <c r="E3242" t="s">
        <v>174</v>
      </c>
      <c r="F3242">
        <v>140</v>
      </c>
      <c r="H3242">
        <v>2</v>
      </c>
      <c r="I3242">
        <v>1</v>
      </c>
      <c r="J3242">
        <v>2</v>
      </c>
      <c r="K3242">
        <v>22</v>
      </c>
      <c r="L3242">
        <v>22.9</v>
      </c>
      <c r="M3242" t="s">
        <v>176</v>
      </c>
      <c r="N3242" t="s">
        <v>162</v>
      </c>
    </row>
    <row r="3243" spans="1:14" x14ac:dyDescent="0.3">
      <c r="A3243" t="s">
        <v>176</v>
      </c>
      <c r="B3243">
        <f>VLOOKUP(M3243,Sheet9!$I$1:$J$17,2,FALSE)</f>
        <v>3</v>
      </c>
      <c r="C3243">
        <f>VLOOKUP(N3243,Sheet9!$M$1:$N$2,2,FALSE)</f>
        <v>1</v>
      </c>
      <c r="D3243">
        <v>16</v>
      </c>
      <c r="E3243" t="s">
        <v>174</v>
      </c>
      <c r="F3243">
        <v>140</v>
      </c>
      <c r="H3243">
        <v>6</v>
      </c>
      <c r="I3243">
        <v>0.6</v>
      </c>
      <c r="J3243">
        <v>3.6</v>
      </c>
      <c r="K3243">
        <v>35.6</v>
      </c>
      <c r="L3243">
        <v>37.1</v>
      </c>
      <c r="M3243" t="s">
        <v>176</v>
      </c>
      <c r="N3243" t="s">
        <v>162</v>
      </c>
    </row>
    <row r="3244" spans="1:14" x14ac:dyDescent="0.3">
      <c r="A3244" t="s">
        <v>176</v>
      </c>
      <c r="B3244">
        <f>VLOOKUP(M3244,Sheet9!$I$1:$J$17,2,FALSE)</f>
        <v>3</v>
      </c>
      <c r="C3244">
        <f>VLOOKUP(N3244,Sheet9!$M$1:$N$2,2,FALSE)</f>
        <v>1</v>
      </c>
      <c r="D3244">
        <v>16</v>
      </c>
      <c r="E3244" t="s">
        <v>174</v>
      </c>
      <c r="F3244">
        <v>140</v>
      </c>
      <c r="H3244">
        <v>8</v>
      </c>
      <c r="I3244">
        <v>0.6</v>
      </c>
      <c r="J3244">
        <v>2.4</v>
      </c>
      <c r="K3244">
        <v>37.799999999999997</v>
      </c>
      <c r="L3244">
        <v>39.299999999999997</v>
      </c>
      <c r="M3244" t="s">
        <v>176</v>
      </c>
      <c r="N3244" t="s">
        <v>162</v>
      </c>
    </row>
    <row r="3245" spans="1:14" x14ac:dyDescent="0.3">
      <c r="A3245" t="s">
        <v>176</v>
      </c>
      <c r="B3245">
        <f>VLOOKUP(M3245,Sheet9!$I$1:$J$17,2,FALSE)</f>
        <v>3</v>
      </c>
      <c r="C3245">
        <f>VLOOKUP(N3245,Sheet9!$M$1:$N$2,2,FALSE)</f>
        <v>1</v>
      </c>
      <c r="D3245">
        <v>16</v>
      </c>
      <c r="E3245" t="s">
        <v>174</v>
      </c>
      <c r="F3245">
        <v>140</v>
      </c>
      <c r="H3245">
        <v>1</v>
      </c>
      <c r="I3245">
        <v>5</v>
      </c>
      <c r="J3245">
        <v>5</v>
      </c>
      <c r="K3245">
        <v>19.7</v>
      </c>
      <c r="L3245">
        <v>20.5</v>
      </c>
      <c r="M3245" t="s">
        <v>176</v>
      </c>
      <c r="N3245" t="s">
        <v>162</v>
      </c>
    </row>
    <row r="3246" spans="1:14" x14ac:dyDescent="0.3">
      <c r="A3246" t="s">
        <v>176</v>
      </c>
      <c r="B3246">
        <f>VLOOKUP(M3246,Sheet9!$I$1:$J$17,2,FALSE)</f>
        <v>3</v>
      </c>
      <c r="C3246">
        <f>VLOOKUP(N3246,Sheet9!$M$1:$N$2,2,FALSE)</f>
        <v>1</v>
      </c>
      <c r="D3246">
        <v>16</v>
      </c>
      <c r="E3246" t="s">
        <v>174</v>
      </c>
      <c r="F3246">
        <v>140</v>
      </c>
      <c r="H3246">
        <v>10</v>
      </c>
      <c r="I3246">
        <v>0.6</v>
      </c>
      <c r="J3246">
        <v>6</v>
      </c>
      <c r="K3246">
        <v>26.2</v>
      </c>
      <c r="L3246">
        <v>27.2</v>
      </c>
      <c r="M3246" t="s">
        <v>176</v>
      </c>
      <c r="N3246" t="s">
        <v>162</v>
      </c>
    </row>
    <row r="3247" spans="1:14" x14ac:dyDescent="0.3">
      <c r="A3247" t="s">
        <v>176</v>
      </c>
      <c r="B3247">
        <f>VLOOKUP(M3247,Sheet9!$I$1:$J$17,2,FALSE)</f>
        <v>3</v>
      </c>
      <c r="C3247">
        <f>VLOOKUP(N3247,Sheet9!$M$1:$N$2,2,FALSE)</f>
        <v>1</v>
      </c>
      <c r="D3247">
        <v>16</v>
      </c>
      <c r="E3247" t="s">
        <v>174</v>
      </c>
      <c r="F3247">
        <v>140</v>
      </c>
      <c r="H3247">
        <v>1</v>
      </c>
      <c r="I3247">
        <v>10</v>
      </c>
      <c r="J3247">
        <v>10</v>
      </c>
      <c r="K3247">
        <v>19.7</v>
      </c>
      <c r="L3247">
        <v>20.5</v>
      </c>
      <c r="M3247" t="s">
        <v>176</v>
      </c>
      <c r="N3247" t="s">
        <v>162</v>
      </c>
    </row>
    <row r="3248" spans="1:14" x14ac:dyDescent="0.3">
      <c r="A3248" t="s">
        <v>176</v>
      </c>
      <c r="B3248">
        <f>VLOOKUP(M3248,Sheet9!$I$1:$J$17,2,FALSE)</f>
        <v>3</v>
      </c>
      <c r="C3248">
        <f>VLOOKUP(N3248,Sheet9!$M$1:$N$2,2,FALSE)</f>
        <v>1</v>
      </c>
      <c r="D3248">
        <v>16</v>
      </c>
      <c r="E3248" t="s">
        <v>174</v>
      </c>
      <c r="F3248">
        <v>140</v>
      </c>
      <c r="H3248">
        <v>12</v>
      </c>
      <c r="I3248">
        <v>1.2</v>
      </c>
      <c r="J3248">
        <v>14.399999999999999</v>
      </c>
      <c r="K3248">
        <v>25.3</v>
      </c>
      <c r="L3248">
        <v>26.3</v>
      </c>
      <c r="M3248" t="s">
        <v>176</v>
      </c>
      <c r="N3248" t="s">
        <v>162</v>
      </c>
    </row>
    <row r="3249" spans="1:14" x14ac:dyDescent="0.3">
      <c r="A3249" t="s">
        <v>176</v>
      </c>
      <c r="B3249">
        <f>VLOOKUP(M3249,Sheet9!$I$1:$J$17,2,FALSE)</f>
        <v>3</v>
      </c>
      <c r="C3249">
        <f>VLOOKUP(N3249,Sheet9!$M$1:$N$2,2,FALSE)</f>
        <v>1</v>
      </c>
      <c r="D3249">
        <v>16</v>
      </c>
      <c r="E3249" t="s">
        <v>174</v>
      </c>
      <c r="F3249">
        <v>140</v>
      </c>
      <c r="H3249">
        <v>20</v>
      </c>
      <c r="I3249">
        <v>0.6</v>
      </c>
      <c r="J3249">
        <v>12</v>
      </c>
      <c r="K3249">
        <v>26.7</v>
      </c>
      <c r="L3249">
        <v>27.8</v>
      </c>
      <c r="M3249" t="s">
        <v>176</v>
      </c>
      <c r="N3249" t="s">
        <v>162</v>
      </c>
    </row>
    <row r="3250" spans="1:14" x14ac:dyDescent="0.3">
      <c r="A3250" t="s">
        <v>176</v>
      </c>
      <c r="B3250">
        <f>VLOOKUP(M3250,Sheet9!$I$1:$J$17,2,FALSE)</f>
        <v>3</v>
      </c>
      <c r="C3250">
        <f>VLOOKUP(N3250,Sheet9!$M$1:$N$2,2,FALSE)</f>
        <v>1</v>
      </c>
      <c r="D3250">
        <v>16</v>
      </c>
      <c r="E3250" t="s">
        <v>174</v>
      </c>
      <c r="F3250">
        <v>140</v>
      </c>
      <c r="H3250">
        <v>32</v>
      </c>
      <c r="I3250">
        <v>0.6</v>
      </c>
      <c r="J3250">
        <v>19.2</v>
      </c>
      <c r="K3250">
        <v>24.9</v>
      </c>
      <c r="L3250">
        <v>25.9</v>
      </c>
      <c r="M3250" t="s">
        <v>176</v>
      </c>
      <c r="N3250" t="s">
        <v>162</v>
      </c>
    </row>
    <row r="3251" spans="1:14" x14ac:dyDescent="0.3">
      <c r="A3251" t="s">
        <v>176</v>
      </c>
      <c r="B3251">
        <f>VLOOKUP(M3251,Sheet9!$I$1:$J$17,2,FALSE)</f>
        <v>3</v>
      </c>
      <c r="C3251">
        <f>VLOOKUP(N3251,Sheet9!$M$1:$N$2,2,FALSE)</f>
        <v>1</v>
      </c>
      <c r="D3251">
        <v>16</v>
      </c>
      <c r="E3251" t="s">
        <v>174</v>
      </c>
      <c r="F3251">
        <v>140</v>
      </c>
      <c r="H3251">
        <v>32</v>
      </c>
      <c r="I3251">
        <v>1.2</v>
      </c>
      <c r="J3251">
        <v>38.4</v>
      </c>
      <c r="K3251">
        <v>22.1</v>
      </c>
      <c r="L3251">
        <v>23</v>
      </c>
      <c r="M3251" t="s">
        <v>176</v>
      </c>
      <c r="N3251" t="s">
        <v>162</v>
      </c>
    </row>
    <row r="3252" spans="1:14" x14ac:dyDescent="0.3">
      <c r="A3252" t="s">
        <v>176</v>
      </c>
      <c r="B3252">
        <f>VLOOKUP(M3252,Sheet9!$I$1:$J$17,2,FALSE)</f>
        <v>3</v>
      </c>
      <c r="C3252">
        <f>VLOOKUP(N3252,Sheet9!$M$1:$N$2,2,FALSE)</f>
        <v>1</v>
      </c>
      <c r="D3252">
        <v>16</v>
      </c>
      <c r="E3252" t="s">
        <v>174</v>
      </c>
      <c r="F3252">
        <v>140</v>
      </c>
      <c r="H3252">
        <v>64</v>
      </c>
      <c r="I3252">
        <v>0.6</v>
      </c>
      <c r="J3252">
        <v>38.4</v>
      </c>
      <c r="K3252">
        <v>21.8</v>
      </c>
      <c r="L3252">
        <v>22.6</v>
      </c>
      <c r="M3252" t="s">
        <v>176</v>
      </c>
      <c r="N3252" t="s">
        <v>162</v>
      </c>
    </row>
    <row r="3253" spans="1:14" x14ac:dyDescent="0.3">
      <c r="A3253" t="s">
        <v>177</v>
      </c>
      <c r="B3253">
        <f>VLOOKUP(M3253,Sheet9!$I$1:$J$17,2,FALSE)</f>
        <v>17</v>
      </c>
      <c r="C3253">
        <f>VLOOKUP(N3253,Sheet9!$M$1:$N$2,2,FALSE)</f>
        <v>1</v>
      </c>
      <c r="D3253">
        <v>16</v>
      </c>
      <c r="E3253" t="s">
        <v>174</v>
      </c>
      <c r="F3253">
        <v>140</v>
      </c>
      <c r="G3253" t="s">
        <v>139</v>
      </c>
      <c r="H3253">
        <v>2</v>
      </c>
      <c r="I3253">
        <v>1</v>
      </c>
      <c r="J3253">
        <v>2</v>
      </c>
      <c r="K3253">
        <v>6.6</v>
      </c>
      <c r="L3253">
        <v>6.6</v>
      </c>
      <c r="M3253" t="s">
        <v>177</v>
      </c>
      <c r="N3253" t="s">
        <v>162</v>
      </c>
    </row>
    <row r="3254" spans="1:14" x14ac:dyDescent="0.3">
      <c r="A3254" t="s">
        <v>177</v>
      </c>
      <c r="B3254">
        <f>VLOOKUP(M3254,Sheet9!$I$1:$J$17,2,FALSE)</f>
        <v>17</v>
      </c>
      <c r="C3254">
        <f>VLOOKUP(N3254,Sheet9!$M$1:$N$2,2,FALSE)</f>
        <v>1</v>
      </c>
      <c r="D3254">
        <v>16</v>
      </c>
      <c r="E3254" t="s">
        <v>174</v>
      </c>
      <c r="F3254">
        <v>140</v>
      </c>
      <c r="G3254" t="s">
        <v>139</v>
      </c>
      <c r="H3254">
        <v>6</v>
      </c>
      <c r="I3254">
        <v>0.6</v>
      </c>
      <c r="J3254">
        <v>3.6</v>
      </c>
      <c r="K3254">
        <v>10.6</v>
      </c>
      <c r="L3254">
        <v>10.7</v>
      </c>
      <c r="M3254" t="s">
        <v>177</v>
      </c>
      <c r="N3254" t="s">
        <v>162</v>
      </c>
    </row>
    <row r="3255" spans="1:14" x14ac:dyDescent="0.3">
      <c r="A3255" t="s">
        <v>177</v>
      </c>
      <c r="B3255">
        <f>VLOOKUP(M3255,Sheet9!$I$1:$J$17,2,FALSE)</f>
        <v>17</v>
      </c>
      <c r="C3255">
        <f>VLOOKUP(N3255,Sheet9!$M$1:$N$2,2,FALSE)</f>
        <v>1</v>
      </c>
      <c r="D3255">
        <v>16</v>
      </c>
      <c r="E3255" t="s">
        <v>174</v>
      </c>
      <c r="F3255">
        <v>140</v>
      </c>
      <c r="G3255" t="s">
        <v>139</v>
      </c>
      <c r="H3255">
        <v>8</v>
      </c>
      <c r="I3255">
        <v>0.6</v>
      </c>
      <c r="J3255">
        <v>2.4</v>
      </c>
      <c r="K3255">
        <v>11.3</v>
      </c>
      <c r="L3255">
        <v>11.4</v>
      </c>
      <c r="M3255" t="s">
        <v>177</v>
      </c>
      <c r="N3255" t="s">
        <v>162</v>
      </c>
    </row>
    <row r="3256" spans="1:14" x14ac:dyDescent="0.3">
      <c r="A3256" t="s">
        <v>177</v>
      </c>
      <c r="B3256">
        <f>VLOOKUP(M3256,Sheet9!$I$1:$J$17,2,FALSE)</f>
        <v>17</v>
      </c>
      <c r="C3256">
        <f>VLOOKUP(N3256,Sheet9!$M$1:$N$2,2,FALSE)</f>
        <v>1</v>
      </c>
      <c r="D3256">
        <v>16</v>
      </c>
      <c r="E3256" t="s">
        <v>174</v>
      </c>
      <c r="F3256">
        <v>140</v>
      </c>
      <c r="G3256" t="s">
        <v>139</v>
      </c>
      <c r="H3256">
        <v>1</v>
      </c>
      <c r="I3256">
        <v>5</v>
      </c>
      <c r="J3256">
        <v>5</v>
      </c>
      <c r="K3256">
        <v>5.9</v>
      </c>
      <c r="L3256">
        <v>5.9</v>
      </c>
      <c r="M3256" t="s">
        <v>177</v>
      </c>
      <c r="N3256" t="s">
        <v>162</v>
      </c>
    </row>
    <row r="3257" spans="1:14" x14ac:dyDescent="0.3">
      <c r="A3257" t="s">
        <v>177</v>
      </c>
      <c r="B3257">
        <f>VLOOKUP(M3257,Sheet9!$I$1:$J$17,2,FALSE)</f>
        <v>17</v>
      </c>
      <c r="C3257">
        <f>VLOOKUP(N3257,Sheet9!$M$1:$N$2,2,FALSE)</f>
        <v>1</v>
      </c>
      <c r="D3257">
        <v>16</v>
      </c>
      <c r="E3257" t="s">
        <v>174</v>
      </c>
      <c r="F3257">
        <v>140</v>
      </c>
      <c r="G3257" t="s">
        <v>139</v>
      </c>
      <c r="H3257">
        <v>10</v>
      </c>
      <c r="I3257">
        <v>0.6</v>
      </c>
      <c r="J3257">
        <v>6</v>
      </c>
      <c r="K3257">
        <v>7.8</v>
      </c>
      <c r="L3257">
        <v>7.9</v>
      </c>
      <c r="M3257" t="s">
        <v>177</v>
      </c>
      <c r="N3257" t="s">
        <v>162</v>
      </c>
    </row>
    <row r="3258" spans="1:14" x14ac:dyDescent="0.3">
      <c r="A3258" t="s">
        <v>177</v>
      </c>
      <c r="B3258">
        <f>VLOOKUP(M3258,Sheet9!$I$1:$J$17,2,FALSE)</f>
        <v>17</v>
      </c>
      <c r="C3258">
        <f>VLOOKUP(N3258,Sheet9!$M$1:$N$2,2,FALSE)</f>
        <v>1</v>
      </c>
      <c r="D3258">
        <v>16</v>
      </c>
      <c r="E3258" t="s">
        <v>174</v>
      </c>
      <c r="F3258">
        <v>140</v>
      </c>
      <c r="G3258" t="s">
        <v>139</v>
      </c>
      <c r="H3258">
        <v>1</v>
      </c>
      <c r="I3258">
        <v>10</v>
      </c>
      <c r="J3258">
        <v>10</v>
      </c>
      <c r="K3258">
        <v>5.9</v>
      </c>
      <c r="L3258">
        <v>5.9</v>
      </c>
      <c r="M3258" t="s">
        <v>177</v>
      </c>
      <c r="N3258" t="s">
        <v>162</v>
      </c>
    </row>
    <row r="3259" spans="1:14" x14ac:dyDescent="0.3">
      <c r="A3259" t="s">
        <v>177</v>
      </c>
      <c r="B3259">
        <f>VLOOKUP(M3259,Sheet9!$I$1:$J$17,2,FALSE)</f>
        <v>17</v>
      </c>
      <c r="C3259">
        <f>VLOOKUP(N3259,Sheet9!$M$1:$N$2,2,FALSE)</f>
        <v>1</v>
      </c>
      <c r="D3259">
        <v>16</v>
      </c>
      <c r="E3259" t="s">
        <v>174</v>
      </c>
      <c r="F3259">
        <v>140</v>
      </c>
      <c r="G3259" t="s">
        <v>139</v>
      </c>
      <c r="H3259">
        <v>12</v>
      </c>
      <c r="I3259">
        <v>1.2</v>
      </c>
      <c r="J3259">
        <v>14.399999999999999</v>
      </c>
      <c r="K3259">
        <v>7.5</v>
      </c>
      <c r="L3259">
        <v>7.6</v>
      </c>
      <c r="M3259" t="s">
        <v>177</v>
      </c>
      <c r="N3259" t="s">
        <v>162</v>
      </c>
    </row>
    <row r="3260" spans="1:14" x14ac:dyDescent="0.3">
      <c r="A3260" t="s">
        <v>177</v>
      </c>
      <c r="B3260">
        <f>VLOOKUP(M3260,Sheet9!$I$1:$J$17,2,FALSE)</f>
        <v>17</v>
      </c>
      <c r="C3260">
        <f>VLOOKUP(N3260,Sheet9!$M$1:$N$2,2,FALSE)</f>
        <v>1</v>
      </c>
      <c r="D3260">
        <v>16</v>
      </c>
      <c r="E3260" t="s">
        <v>174</v>
      </c>
      <c r="F3260">
        <v>140</v>
      </c>
      <c r="G3260" t="s">
        <v>139</v>
      </c>
      <c r="H3260">
        <v>20</v>
      </c>
      <c r="I3260">
        <v>0.6</v>
      </c>
      <c r="J3260">
        <v>12</v>
      </c>
      <c r="K3260">
        <v>8</v>
      </c>
      <c r="L3260">
        <v>8</v>
      </c>
      <c r="M3260" t="s">
        <v>177</v>
      </c>
      <c r="N3260" t="s">
        <v>162</v>
      </c>
    </row>
    <row r="3261" spans="1:14" x14ac:dyDescent="0.3">
      <c r="A3261" t="s">
        <v>177</v>
      </c>
      <c r="B3261">
        <f>VLOOKUP(M3261,Sheet9!$I$1:$J$17,2,FALSE)</f>
        <v>17</v>
      </c>
      <c r="C3261">
        <f>VLOOKUP(N3261,Sheet9!$M$1:$N$2,2,FALSE)</f>
        <v>1</v>
      </c>
      <c r="D3261">
        <v>16</v>
      </c>
      <c r="E3261" t="s">
        <v>174</v>
      </c>
      <c r="F3261">
        <v>140</v>
      </c>
      <c r="G3261" t="s">
        <v>139</v>
      </c>
      <c r="H3261">
        <v>32</v>
      </c>
      <c r="I3261">
        <v>0.6</v>
      </c>
      <c r="J3261">
        <v>19.2</v>
      </c>
      <c r="K3261">
        <v>7.4</v>
      </c>
      <c r="L3261">
        <v>7.5</v>
      </c>
      <c r="M3261" t="s">
        <v>177</v>
      </c>
      <c r="N3261" t="s">
        <v>162</v>
      </c>
    </row>
    <row r="3262" spans="1:14" x14ac:dyDescent="0.3">
      <c r="A3262" t="s">
        <v>177</v>
      </c>
      <c r="B3262">
        <f>VLOOKUP(M3262,Sheet9!$I$1:$J$17,2,FALSE)</f>
        <v>17</v>
      </c>
      <c r="C3262">
        <f>VLOOKUP(N3262,Sheet9!$M$1:$N$2,2,FALSE)</f>
        <v>1</v>
      </c>
      <c r="D3262">
        <v>16</v>
      </c>
      <c r="E3262" t="s">
        <v>174</v>
      </c>
      <c r="F3262">
        <v>140</v>
      </c>
      <c r="G3262" t="s">
        <v>139</v>
      </c>
      <c r="H3262">
        <v>32</v>
      </c>
      <c r="I3262">
        <v>1.2</v>
      </c>
      <c r="J3262">
        <v>38.4</v>
      </c>
      <c r="K3262">
        <v>6.6</v>
      </c>
      <c r="L3262">
        <v>6.6</v>
      </c>
      <c r="M3262" t="s">
        <v>177</v>
      </c>
      <c r="N3262" t="s">
        <v>162</v>
      </c>
    </row>
    <row r="3263" spans="1:14" x14ac:dyDescent="0.3">
      <c r="A3263" t="s">
        <v>177</v>
      </c>
      <c r="B3263">
        <f>VLOOKUP(M3263,Sheet9!$I$1:$J$17,2,FALSE)</f>
        <v>17</v>
      </c>
      <c r="C3263">
        <f>VLOOKUP(N3263,Sheet9!$M$1:$N$2,2,FALSE)</f>
        <v>1</v>
      </c>
      <c r="D3263">
        <v>16</v>
      </c>
      <c r="E3263" t="s">
        <v>174</v>
      </c>
      <c r="F3263">
        <v>140</v>
      </c>
      <c r="G3263" t="s">
        <v>139</v>
      </c>
      <c r="H3263">
        <v>64</v>
      </c>
      <c r="I3263">
        <v>0.6</v>
      </c>
      <c r="J3263">
        <v>38.4</v>
      </c>
      <c r="K3263">
        <v>6.5</v>
      </c>
      <c r="L3263">
        <v>6.5</v>
      </c>
      <c r="M3263" t="s">
        <v>177</v>
      </c>
      <c r="N3263" t="s">
        <v>162</v>
      </c>
    </row>
    <row r="3264" spans="1:14" x14ac:dyDescent="0.3">
      <c r="A3264" t="s">
        <v>176</v>
      </c>
      <c r="B3264">
        <f>VLOOKUP(M3264,Sheet9!$I$1:$J$17,2,FALSE)</f>
        <v>3</v>
      </c>
      <c r="C3264">
        <f>VLOOKUP(N3264,Sheet9!$M$1:$N$2,2,FALSE)</f>
        <v>1</v>
      </c>
      <c r="D3264">
        <v>32</v>
      </c>
      <c r="E3264" t="s">
        <v>95</v>
      </c>
      <c r="F3264">
        <v>70</v>
      </c>
      <c r="H3264">
        <v>2</v>
      </c>
      <c r="I3264">
        <v>1</v>
      </c>
      <c r="J3264">
        <v>2</v>
      </c>
      <c r="K3264">
        <v>0.6</v>
      </c>
      <c r="L3264">
        <v>1.3</v>
      </c>
      <c r="M3264" t="s">
        <v>176</v>
      </c>
      <c r="N3264" t="s">
        <v>162</v>
      </c>
    </row>
    <row r="3265" spans="1:14" x14ac:dyDescent="0.3">
      <c r="A3265" t="s">
        <v>176</v>
      </c>
      <c r="B3265">
        <f>VLOOKUP(M3265,Sheet9!$I$1:$J$17,2,FALSE)</f>
        <v>3</v>
      </c>
      <c r="C3265">
        <f>VLOOKUP(N3265,Sheet9!$M$1:$N$2,2,FALSE)</f>
        <v>1</v>
      </c>
      <c r="D3265">
        <v>32</v>
      </c>
      <c r="E3265" t="s">
        <v>95</v>
      </c>
      <c r="F3265">
        <v>70</v>
      </c>
      <c r="H3265">
        <v>6</v>
      </c>
      <c r="I3265">
        <v>0.6</v>
      </c>
      <c r="J3265">
        <v>3.6</v>
      </c>
      <c r="K3265">
        <v>1</v>
      </c>
      <c r="L3265">
        <v>2.1</v>
      </c>
      <c r="M3265" t="s">
        <v>176</v>
      </c>
      <c r="N3265" t="s">
        <v>162</v>
      </c>
    </row>
    <row r="3266" spans="1:14" x14ac:dyDescent="0.3">
      <c r="A3266" t="s">
        <v>176</v>
      </c>
      <c r="B3266">
        <f>VLOOKUP(M3266,Sheet9!$I$1:$J$17,2,FALSE)</f>
        <v>3</v>
      </c>
      <c r="C3266">
        <f>VLOOKUP(N3266,Sheet9!$M$1:$N$2,2,FALSE)</f>
        <v>1</v>
      </c>
      <c r="D3266">
        <v>32</v>
      </c>
      <c r="E3266" t="s">
        <v>95</v>
      </c>
      <c r="F3266">
        <v>70</v>
      </c>
      <c r="H3266">
        <v>8</v>
      </c>
      <c r="I3266">
        <v>0.6</v>
      </c>
      <c r="J3266">
        <v>2.4</v>
      </c>
      <c r="K3266">
        <v>1.1000000000000001</v>
      </c>
      <c r="L3266">
        <v>2.2000000000000002</v>
      </c>
      <c r="M3266" t="s">
        <v>176</v>
      </c>
      <c r="N3266" t="s">
        <v>162</v>
      </c>
    </row>
    <row r="3267" spans="1:14" x14ac:dyDescent="0.3">
      <c r="A3267" t="s">
        <v>176</v>
      </c>
      <c r="B3267">
        <f>VLOOKUP(M3267,Sheet9!$I$1:$J$17,2,FALSE)</f>
        <v>3</v>
      </c>
      <c r="C3267">
        <f>VLOOKUP(N3267,Sheet9!$M$1:$N$2,2,FALSE)</f>
        <v>1</v>
      </c>
      <c r="D3267">
        <v>32</v>
      </c>
      <c r="E3267" t="s">
        <v>95</v>
      </c>
      <c r="F3267">
        <v>70</v>
      </c>
      <c r="H3267">
        <v>1</v>
      </c>
      <c r="I3267">
        <v>5</v>
      </c>
      <c r="J3267">
        <v>5</v>
      </c>
      <c r="K3267">
        <v>0.6</v>
      </c>
      <c r="L3267">
        <v>1.1000000000000001</v>
      </c>
      <c r="M3267" t="s">
        <v>176</v>
      </c>
      <c r="N3267" t="s">
        <v>162</v>
      </c>
    </row>
    <row r="3268" spans="1:14" x14ac:dyDescent="0.3">
      <c r="A3268" t="s">
        <v>176</v>
      </c>
      <c r="B3268">
        <f>VLOOKUP(M3268,Sheet9!$I$1:$J$17,2,FALSE)</f>
        <v>3</v>
      </c>
      <c r="C3268">
        <f>VLOOKUP(N3268,Sheet9!$M$1:$N$2,2,FALSE)</f>
        <v>1</v>
      </c>
      <c r="D3268">
        <v>32</v>
      </c>
      <c r="E3268" t="s">
        <v>95</v>
      </c>
      <c r="F3268">
        <v>70</v>
      </c>
      <c r="H3268">
        <v>10</v>
      </c>
      <c r="I3268">
        <v>0.6</v>
      </c>
      <c r="J3268">
        <v>6</v>
      </c>
      <c r="K3268">
        <v>0.8</v>
      </c>
      <c r="L3268">
        <v>1.5</v>
      </c>
      <c r="M3268" t="s">
        <v>176</v>
      </c>
      <c r="N3268" t="s">
        <v>162</v>
      </c>
    </row>
    <row r="3269" spans="1:14" x14ac:dyDescent="0.3">
      <c r="A3269" t="s">
        <v>176</v>
      </c>
      <c r="B3269">
        <f>VLOOKUP(M3269,Sheet9!$I$1:$J$17,2,FALSE)</f>
        <v>3</v>
      </c>
      <c r="C3269">
        <f>VLOOKUP(N3269,Sheet9!$M$1:$N$2,2,FALSE)</f>
        <v>1</v>
      </c>
      <c r="D3269">
        <v>32</v>
      </c>
      <c r="E3269" t="s">
        <v>95</v>
      </c>
      <c r="F3269">
        <v>70</v>
      </c>
      <c r="H3269">
        <v>1</v>
      </c>
      <c r="I3269">
        <v>10</v>
      </c>
      <c r="J3269">
        <v>10</v>
      </c>
      <c r="K3269">
        <v>0.6</v>
      </c>
      <c r="L3269">
        <v>1.1000000000000001</v>
      </c>
      <c r="M3269" t="s">
        <v>176</v>
      </c>
      <c r="N3269" t="s">
        <v>162</v>
      </c>
    </row>
    <row r="3270" spans="1:14" x14ac:dyDescent="0.3">
      <c r="A3270" t="s">
        <v>176</v>
      </c>
      <c r="B3270">
        <f>VLOOKUP(M3270,Sheet9!$I$1:$J$17,2,FALSE)</f>
        <v>3</v>
      </c>
      <c r="C3270">
        <f>VLOOKUP(N3270,Sheet9!$M$1:$N$2,2,FALSE)</f>
        <v>1</v>
      </c>
      <c r="D3270">
        <v>32</v>
      </c>
      <c r="E3270" t="s">
        <v>95</v>
      </c>
      <c r="F3270">
        <v>70</v>
      </c>
      <c r="H3270">
        <v>12</v>
      </c>
      <c r="I3270">
        <v>1.2</v>
      </c>
      <c r="J3270">
        <v>14.399999999999999</v>
      </c>
      <c r="K3270">
        <v>0.7</v>
      </c>
      <c r="L3270">
        <v>1.5</v>
      </c>
      <c r="M3270" t="s">
        <v>176</v>
      </c>
      <c r="N3270" t="s">
        <v>162</v>
      </c>
    </row>
    <row r="3271" spans="1:14" x14ac:dyDescent="0.3">
      <c r="A3271" t="s">
        <v>176</v>
      </c>
      <c r="B3271">
        <f>VLOOKUP(M3271,Sheet9!$I$1:$J$17,2,FALSE)</f>
        <v>3</v>
      </c>
      <c r="C3271">
        <f>VLOOKUP(N3271,Sheet9!$M$1:$N$2,2,FALSE)</f>
        <v>1</v>
      </c>
      <c r="D3271">
        <v>32</v>
      </c>
      <c r="E3271" t="s">
        <v>95</v>
      </c>
      <c r="F3271">
        <v>70</v>
      </c>
      <c r="H3271">
        <v>20</v>
      </c>
      <c r="I3271">
        <v>0.6</v>
      </c>
      <c r="J3271">
        <v>12</v>
      </c>
      <c r="K3271">
        <v>0.8</v>
      </c>
      <c r="L3271">
        <v>1.5</v>
      </c>
      <c r="M3271" t="s">
        <v>176</v>
      </c>
      <c r="N3271" t="s">
        <v>162</v>
      </c>
    </row>
    <row r="3272" spans="1:14" x14ac:dyDescent="0.3">
      <c r="A3272" t="s">
        <v>176</v>
      </c>
      <c r="B3272">
        <f>VLOOKUP(M3272,Sheet9!$I$1:$J$17,2,FALSE)</f>
        <v>3</v>
      </c>
      <c r="C3272">
        <f>VLOOKUP(N3272,Sheet9!$M$1:$N$2,2,FALSE)</f>
        <v>1</v>
      </c>
      <c r="D3272">
        <v>32</v>
      </c>
      <c r="E3272" t="s">
        <v>95</v>
      </c>
      <c r="F3272">
        <v>70</v>
      </c>
      <c r="H3272">
        <v>32</v>
      </c>
      <c r="I3272">
        <v>0.6</v>
      </c>
      <c r="J3272">
        <v>19.2</v>
      </c>
      <c r="K3272">
        <v>0.7</v>
      </c>
      <c r="L3272">
        <v>1.4</v>
      </c>
      <c r="M3272" t="s">
        <v>176</v>
      </c>
      <c r="N3272" t="s">
        <v>162</v>
      </c>
    </row>
    <row r="3273" spans="1:14" x14ac:dyDescent="0.3">
      <c r="A3273" t="s">
        <v>176</v>
      </c>
      <c r="B3273">
        <f>VLOOKUP(M3273,Sheet9!$I$1:$J$17,2,FALSE)</f>
        <v>3</v>
      </c>
      <c r="C3273">
        <f>VLOOKUP(N3273,Sheet9!$M$1:$N$2,2,FALSE)</f>
        <v>1</v>
      </c>
      <c r="D3273">
        <v>32</v>
      </c>
      <c r="E3273" t="s">
        <v>95</v>
      </c>
      <c r="F3273">
        <v>70</v>
      </c>
      <c r="H3273">
        <v>32</v>
      </c>
      <c r="I3273">
        <v>1.2</v>
      </c>
      <c r="J3273">
        <v>38.4</v>
      </c>
      <c r="K3273">
        <v>0.6</v>
      </c>
      <c r="L3273">
        <v>1.3</v>
      </c>
      <c r="M3273" t="s">
        <v>176</v>
      </c>
      <c r="N3273" t="s">
        <v>162</v>
      </c>
    </row>
    <row r="3274" spans="1:14" x14ac:dyDescent="0.3">
      <c r="A3274" t="s">
        <v>176</v>
      </c>
      <c r="B3274">
        <f>VLOOKUP(M3274,Sheet9!$I$1:$J$17,2,FALSE)</f>
        <v>3</v>
      </c>
      <c r="C3274">
        <f>VLOOKUP(N3274,Sheet9!$M$1:$N$2,2,FALSE)</f>
        <v>1</v>
      </c>
      <c r="D3274">
        <v>32</v>
      </c>
      <c r="E3274" t="s">
        <v>95</v>
      </c>
      <c r="F3274">
        <v>70</v>
      </c>
      <c r="H3274">
        <v>64</v>
      </c>
      <c r="I3274">
        <v>0.6</v>
      </c>
      <c r="J3274">
        <v>38.4</v>
      </c>
      <c r="K3274">
        <v>0.6</v>
      </c>
      <c r="L3274">
        <v>1.2</v>
      </c>
      <c r="M3274" t="s">
        <v>176</v>
      </c>
      <c r="N3274" t="s">
        <v>162</v>
      </c>
    </row>
    <row r="3275" spans="1:14" x14ac:dyDescent="0.3">
      <c r="A3275" t="s">
        <v>176</v>
      </c>
      <c r="B3275">
        <f>VLOOKUP(M3275,Sheet9!$I$1:$J$17,2,FALSE)</f>
        <v>3</v>
      </c>
      <c r="C3275">
        <f>VLOOKUP(N3275,Sheet9!$M$1:$N$2,2,FALSE)</f>
        <v>1</v>
      </c>
      <c r="D3275">
        <v>32</v>
      </c>
      <c r="E3275" t="s">
        <v>95</v>
      </c>
      <c r="F3275">
        <v>80</v>
      </c>
      <c r="H3275">
        <v>2</v>
      </c>
      <c r="I3275">
        <v>1</v>
      </c>
      <c r="J3275">
        <v>2</v>
      </c>
      <c r="K3275">
        <v>1.1000000000000001</v>
      </c>
      <c r="L3275">
        <v>2</v>
      </c>
      <c r="M3275" t="s">
        <v>176</v>
      </c>
      <c r="N3275" t="s">
        <v>162</v>
      </c>
    </row>
    <row r="3276" spans="1:14" x14ac:dyDescent="0.3">
      <c r="A3276" t="s">
        <v>176</v>
      </c>
      <c r="B3276">
        <f>VLOOKUP(M3276,Sheet9!$I$1:$J$17,2,FALSE)</f>
        <v>3</v>
      </c>
      <c r="C3276">
        <f>VLOOKUP(N3276,Sheet9!$M$1:$N$2,2,FALSE)</f>
        <v>1</v>
      </c>
      <c r="D3276">
        <v>32</v>
      </c>
      <c r="E3276" t="s">
        <v>95</v>
      </c>
      <c r="F3276">
        <v>80</v>
      </c>
      <c r="H3276">
        <v>6</v>
      </c>
      <c r="I3276">
        <v>0.6</v>
      </c>
      <c r="J3276">
        <v>3.6</v>
      </c>
      <c r="K3276">
        <v>1.8</v>
      </c>
      <c r="L3276">
        <v>3.2</v>
      </c>
      <c r="M3276" t="s">
        <v>176</v>
      </c>
      <c r="N3276" t="s">
        <v>162</v>
      </c>
    </row>
    <row r="3277" spans="1:14" x14ac:dyDescent="0.3">
      <c r="A3277" t="s">
        <v>176</v>
      </c>
      <c r="B3277">
        <f>VLOOKUP(M3277,Sheet9!$I$1:$J$17,2,FALSE)</f>
        <v>3</v>
      </c>
      <c r="C3277">
        <f>VLOOKUP(N3277,Sheet9!$M$1:$N$2,2,FALSE)</f>
        <v>1</v>
      </c>
      <c r="D3277">
        <v>32</v>
      </c>
      <c r="E3277" t="s">
        <v>95</v>
      </c>
      <c r="F3277">
        <v>80</v>
      </c>
      <c r="H3277">
        <v>8</v>
      </c>
      <c r="I3277">
        <v>0.6</v>
      </c>
      <c r="J3277">
        <v>2.4</v>
      </c>
      <c r="K3277">
        <v>1.9</v>
      </c>
      <c r="L3277">
        <v>3.4</v>
      </c>
      <c r="M3277" t="s">
        <v>176</v>
      </c>
      <c r="N3277" t="s">
        <v>162</v>
      </c>
    </row>
    <row r="3278" spans="1:14" x14ac:dyDescent="0.3">
      <c r="A3278" t="s">
        <v>176</v>
      </c>
      <c r="B3278">
        <f>VLOOKUP(M3278,Sheet9!$I$1:$J$17,2,FALSE)</f>
        <v>3</v>
      </c>
      <c r="C3278">
        <f>VLOOKUP(N3278,Sheet9!$M$1:$N$2,2,FALSE)</f>
        <v>1</v>
      </c>
      <c r="D3278">
        <v>32</v>
      </c>
      <c r="E3278" t="s">
        <v>95</v>
      </c>
      <c r="F3278">
        <v>80</v>
      </c>
      <c r="H3278">
        <v>1</v>
      </c>
      <c r="I3278">
        <v>5</v>
      </c>
      <c r="J3278">
        <v>5</v>
      </c>
      <c r="K3278">
        <v>1</v>
      </c>
      <c r="L3278">
        <v>1.8</v>
      </c>
      <c r="M3278" t="s">
        <v>176</v>
      </c>
      <c r="N3278" t="s">
        <v>162</v>
      </c>
    </row>
    <row r="3279" spans="1:14" x14ac:dyDescent="0.3">
      <c r="A3279" t="s">
        <v>176</v>
      </c>
      <c r="B3279">
        <f>VLOOKUP(M3279,Sheet9!$I$1:$J$17,2,FALSE)</f>
        <v>3</v>
      </c>
      <c r="C3279">
        <f>VLOOKUP(N3279,Sheet9!$M$1:$N$2,2,FALSE)</f>
        <v>1</v>
      </c>
      <c r="D3279">
        <v>32</v>
      </c>
      <c r="E3279" t="s">
        <v>95</v>
      </c>
      <c r="F3279">
        <v>80</v>
      </c>
      <c r="H3279">
        <v>10</v>
      </c>
      <c r="I3279">
        <v>0.6</v>
      </c>
      <c r="J3279">
        <v>6</v>
      </c>
      <c r="K3279">
        <v>1.3</v>
      </c>
      <c r="L3279">
        <v>2.4</v>
      </c>
      <c r="M3279" t="s">
        <v>176</v>
      </c>
      <c r="N3279" t="s">
        <v>162</v>
      </c>
    </row>
    <row r="3280" spans="1:14" x14ac:dyDescent="0.3">
      <c r="A3280" t="s">
        <v>176</v>
      </c>
      <c r="B3280">
        <f>VLOOKUP(M3280,Sheet9!$I$1:$J$17,2,FALSE)</f>
        <v>3</v>
      </c>
      <c r="C3280">
        <f>VLOOKUP(N3280,Sheet9!$M$1:$N$2,2,FALSE)</f>
        <v>1</v>
      </c>
      <c r="D3280">
        <v>32</v>
      </c>
      <c r="E3280" t="s">
        <v>95</v>
      </c>
      <c r="F3280">
        <v>80</v>
      </c>
      <c r="H3280">
        <v>1</v>
      </c>
      <c r="I3280">
        <v>10</v>
      </c>
      <c r="J3280">
        <v>10</v>
      </c>
      <c r="K3280">
        <v>1</v>
      </c>
      <c r="L3280">
        <v>1.8</v>
      </c>
      <c r="M3280" t="s">
        <v>176</v>
      </c>
      <c r="N3280" t="s">
        <v>162</v>
      </c>
    </row>
    <row r="3281" spans="1:14" x14ac:dyDescent="0.3">
      <c r="A3281" t="s">
        <v>176</v>
      </c>
      <c r="B3281">
        <f>VLOOKUP(M3281,Sheet9!$I$1:$J$17,2,FALSE)</f>
        <v>3</v>
      </c>
      <c r="C3281">
        <f>VLOOKUP(N3281,Sheet9!$M$1:$N$2,2,FALSE)</f>
        <v>1</v>
      </c>
      <c r="D3281">
        <v>32</v>
      </c>
      <c r="E3281" t="s">
        <v>95</v>
      </c>
      <c r="F3281">
        <v>80</v>
      </c>
      <c r="H3281">
        <v>12</v>
      </c>
      <c r="I3281">
        <v>1.2</v>
      </c>
      <c r="J3281">
        <v>14.399999999999999</v>
      </c>
      <c r="K3281">
        <v>1.3</v>
      </c>
      <c r="L3281">
        <v>2.2999999999999998</v>
      </c>
      <c r="M3281" t="s">
        <v>176</v>
      </c>
      <c r="N3281" t="s">
        <v>162</v>
      </c>
    </row>
    <row r="3282" spans="1:14" x14ac:dyDescent="0.3">
      <c r="A3282" t="s">
        <v>176</v>
      </c>
      <c r="B3282">
        <f>VLOOKUP(M3282,Sheet9!$I$1:$J$17,2,FALSE)</f>
        <v>3</v>
      </c>
      <c r="C3282">
        <f>VLOOKUP(N3282,Sheet9!$M$1:$N$2,2,FALSE)</f>
        <v>1</v>
      </c>
      <c r="D3282">
        <v>32</v>
      </c>
      <c r="E3282" t="s">
        <v>95</v>
      </c>
      <c r="F3282">
        <v>80</v>
      </c>
      <c r="H3282">
        <v>20</v>
      </c>
      <c r="I3282">
        <v>0.6</v>
      </c>
      <c r="J3282">
        <v>12</v>
      </c>
      <c r="K3282">
        <v>1.3</v>
      </c>
      <c r="L3282">
        <v>2.4</v>
      </c>
      <c r="M3282" t="s">
        <v>176</v>
      </c>
      <c r="N3282" t="s">
        <v>162</v>
      </c>
    </row>
    <row r="3283" spans="1:14" x14ac:dyDescent="0.3">
      <c r="A3283" t="s">
        <v>176</v>
      </c>
      <c r="B3283">
        <f>VLOOKUP(M3283,Sheet9!$I$1:$J$17,2,FALSE)</f>
        <v>3</v>
      </c>
      <c r="C3283">
        <f>VLOOKUP(N3283,Sheet9!$M$1:$N$2,2,FALSE)</f>
        <v>1</v>
      </c>
      <c r="D3283">
        <v>32</v>
      </c>
      <c r="E3283" t="s">
        <v>95</v>
      </c>
      <c r="F3283">
        <v>80</v>
      </c>
      <c r="H3283">
        <v>32</v>
      </c>
      <c r="I3283">
        <v>0.6</v>
      </c>
      <c r="J3283">
        <v>19.2</v>
      </c>
      <c r="K3283">
        <v>1.2</v>
      </c>
      <c r="L3283">
        <v>2.2000000000000002</v>
      </c>
      <c r="M3283" t="s">
        <v>176</v>
      </c>
      <c r="N3283" t="s">
        <v>162</v>
      </c>
    </row>
    <row r="3284" spans="1:14" x14ac:dyDescent="0.3">
      <c r="A3284" t="s">
        <v>176</v>
      </c>
      <c r="B3284">
        <f>VLOOKUP(M3284,Sheet9!$I$1:$J$17,2,FALSE)</f>
        <v>3</v>
      </c>
      <c r="C3284">
        <f>VLOOKUP(N3284,Sheet9!$M$1:$N$2,2,FALSE)</f>
        <v>1</v>
      </c>
      <c r="D3284">
        <v>32</v>
      </c>
      <c r="E3284" t="s">
        <v>95</v>
      </c>
      <c r="F3284">
        <v>80</v>
      </c>
      <c r="H3284">
        <v>32</v>
      </c>
      <c r="I3284">
        <v>1.2</v>
      </c>
      <c r="J3284">
        <v>38.4</v>
      </c>
      <c r="K3284">
        <v>1.1000000000000001</v>
      </c>
      <c r="L3284">
        <v>2</v>
      </c>
      <c r="M3284" t="s">
        <v>176</v>
      </c>
      <c r="N3284" t="s">
        <v>162</v>
      </c>
    </row>
    <row r="3285" spans="1:14" x14ac:dyDescent="0.3">
      <c r="A3285" t="s">
        <v>176</v>
      </c>
      <c r="B3285">
        <f>VLOOKUP(M3285,Sheet9!$I$1:$J$17,2,FALSE)</f>
        <v>3</v>
      </c>
      <c r="C3285">
        <f>VLOOKUP(N3285,Sheet9!$M$1:$N$2,2,FALSE)</f>
        <v>1</v>
      </c>
      <c r="D3285">
        <v>32</v>
      </c>
      <c r="E3285" t="s">
        <v>95</v>
      </c>
      <c r="F3285">
        <v>80</v>
      </c>
      <c r="H3285">
        <v>64</v>
      </c>
      <c r="I3285">
        <v>0.6</v>
      </c>
      <c r="J3285">
        <v>38.4</v>
      </c>
      <c r="K3285">
        <v>1.1000000000000001</v>
      </c>
      <c r="L3285">
        <v>2</v>
      </c>
      <c r="M3285" t="s">
        <v>176</v>
      </c>
      <c r="N3285" t="s">
        <v>162</v>
      </c>
    </row>
    <row r="3286" spans="1:14" x14ac:dyDescent="0.3">
      <c r="A3286" t="s">
        <v>176</v>
      </c>
      <c r="B3286">
        <f>VLOOKUP(M3286,Sheet9!$I$1:$J$17,2,FALSE)</f>
        <v>3</v>
      </c>
      <c r="C3286">
        <f>VLOOKUP(N3286,Sheet9!$M$1:$N$2,2,FALSE)</f>
        <v>1</v>
      </c>
      <c r="D3286">
        <v>32</v>
      </c>
      <c r="E3286" t="s">
        <v>95</v>
      </c>
      <c r="F3286">
        <v>100</v>
      </c>
      <c r="H3286">
        <v>2</v>
      </c>
      <c r="I3286">
        <v>1</v>
      </c>
      <c r="J3286">
        <v>2</v>
      </c>
      <c r="K3286">
        <v>2.5</v>
      </c>
      <c r="L3286">
        <v>4.2</v>
      </c>
      <c r="M3286" t="s">
        <v>176</v>
      </c>
      <c r="N3286" t="s">
        <v>162</v>
      </c>
    </row>
    <row r="3287" spans="1:14" x14ac:dyDescent="0.3">
      <c r="A3287" t="s">
        <v>176</v>
      </c>
      <c r="B3287">
        <f>VLOOKUP(M3287,Sheet9!$I$1:$J$17,2,FALSE)</f>
        <v>3</v>
      </c>
      <c r="C3287">
        <f>VLOOKUP(N3287,Sheet9!$M$1:$N$2,2,FALSE)</f>
        <v>1</v>
      </c>
      <c r="D3287">
        <v>32</v>
      </c>
      <c r="E3287" t="s">
        <v>95</v>
      </c>
      <c r="F3287">
        <v>100</v>
      </c>
      <c r="H3287">
        <v>6</v>
      </c>
      <c r="I3287">
        <v>0.6</v>
      </c>
      <c r="J3287">
        <v>3.6</v>
      </c>
      <c r="K3287">
        <v>4.0999999999999996</v>
      </c>
      <c r="L3287">
        <v>6.8</v>
      </c>
      <c r="M3287" t="s">
        <v>176</v>
      </c>
      <c r="N3287" t="s">
        <v>162</v>
      </c>
    </row>
    <row r="3288" spans="1:14" x14ac:dyDescent="0.3">
      <c r="A3288" t="s">
        <v>176</v>
      </c>
      <c r="B3288">
        <f>VLOOKUP(M3288,Sheet9!$I$1:$J$17,2,FALSE)</f>
        <v>3</v>
      </c>
      <c r="C3288">
        <f>VLOOKUP(N3288,Sheet9!$M$1:$N$2,2,FALSE)</f>
        <v>1</v>
      </c>
      <c r="D3288">
        <v>32</v>
      </c>
      <c r="E3288" t="s">
        <v>95</v>
      </c>
      <c r="F3288">
        <v>100</v>
      </c>
      <c r="H3288">
        <v>8</v>
      </c>
      <c r="I3288">
        <v>0.6</v>
      </c>
      <c r="J3288">
        <v>2.4</v>
      </c>
      <c r="K3288">
        <v>4.3</v>
      </c>
      <c r="L3288">
        <v>7.2</v>
      </c>
      <c r="M3288" t="s">
        <v>176</v>
      </c>
      <c r="N3288" t="s">
        <v>162</v>
      </c>
    </row>
    <row r="3289" spans="1:14" x14ac:dyDescent="0.3">
      <c r="A3289" t="s">
        <v>176</v>
      </c>
      <c r="B3289">
        <f>VLOOKUP(M3289,Sheet9!$I$1:$J$17,2,FALSE)</f>
        <v>3</v>
      </c>
      <c r="C3289">
        <f>VLOOKUP(N3289,Sheet9!$M$1:$N$2,2,FALSE)</f>
        <v>1</v>
      </c>
      <c r="D3289">
        <v>32</v>
      </c>
      <c r="E3289" t="s">
        <v>95</v>
      </c>
      <c r="F3289">
        <v>100</v>
      </c>
      <c r="H3289">
        <v>1</v>
      </c>
      <c r="I3289">
        <v>5</v>
      </c>
      <c r="J3289">
        <v>5</v>
      </c>
      <c r="K3289">
        <v>2.2999999999999998</v>
      </c>
      <c r="L3289">
        <v>3.8</v>
      </c>
      <c r="M3289" t="s">
        <v>176</v>
      </c>
      <c r="N3289" t="s">
        <v>162</v>
      </c>
    </row>
    <row r="3290" spans="1:14" x14ac:dyDescent="0.3">
      <c r="A3290" t="s">
        <v>176</v>
      </c>
      <c r="B3290">
        <f>VLOOKUP(M3290,Sheet9!$I$1:$J$17,2,FALSE)</f>
        <v>3</v>
      </c>
      <c r="C3290">
        <f>VLOOKUP(N3290,Sheet9!$M$1:$N$2,2,FALSE)</f>
        <v>1</v>
      </c>
      <c r="D3290">
        <v>32</v>
      </c>
      <c r="E3290" t="s">
        <v>95</v>
      </c>
      <c r="F3290">
        <v>100</v>
      </c>
      <c r="H3290">
        <v>10</v>
      </c>
      <c r="I3290">
        <v>0.6</v>
      </c>
      <c r="J3290">
        <v>6</v>
      </c>
      <c r="K3290">
        <v>3</v>
      </c>
      <c r="L3290">
        <v>5</v>
      </c>
      <c r="M3290" t="s">
        <v>176</v>
      </c>
      <c r="N3290" t="s">
        <v>162</v>
      </c>
    </row>
    <row r="3291" spans="1:14" x14ac:dyDescent="0.3">
      <c r="A3291" t="s">
        <v>176</v>
      </c>
      <c r="B3291">
        <f>VLOOKUP(M3291,Sheet9!$I$1:$J$17,2,FALSE)</f>
        <v>3</v>
      </c>
      <c r="C3291">
        <f>VLOOKUP(N3291,Sheet9!$M$1:$N$2,2,FALSE)</f>
        <v>1</v>
      </c>
      <c r="D3291">
        <v>32</v>
      </c>
      <c r="E3291" t="s">
        <v>95</v>
      </c>
      <c r="F3291">
        <v>100</v>
      </c>
      <c r="H3291">
        <v>1</v>
      </c>
      <c r="I3291">
        <v>10</v>
      </c>
      <c r="J3291">
        <v>10</v>
      </c>
      <c r="K3291">
        <v>2.2999999999999998</v>
      </c>
      <c r="L3291">
        <v>3.8</v>
      </c>
      <c r="M3291" t="s">
        <v>176</v>
      </c>
      <c r="N3291" t="s">
        <v>162</v>
      </c>
    </row>
    <row r="3292" spans="1:14" x14ac:dyDescent="0.3">
      <c r="A3292" t="s">
        <v>176</v>
      </c>
      <c r="B3292">
        <f>VLOOKUP(M3292,Sheet9!$I$1:$J$17,2,FALSE)</f>
        <v>3</v>
      </c>
      <c r="C3292">
        <f>VLOOKUP(N3292,Sheet9!$M$1:$N$2,2,FALSE)</f>
        <v>1</v>
      </c>
      <c r="D3292">
        <v>32</v>
      </c>
      <c r="E3292" t="s">
        <v>95</v>
      </c>
      <c r="F3292">
        <v>100</v>
      </c>
      <c r="H3292">
        <v>12</v>
      </c>
      <c r="I3292">
        <v>1.2</v>
      </c>
      <c r="J3292">
        <v>14.399999999999999</v>
      </c>
      <c r="K3292">
        <v>2.9</v>
      </c>
      <c r="L3292">
        <v>4.8</v>
      </c>
      <c r="M3292" t="s">
        <v>176</v>
      </c>
      <c r="N3292" t="s">
        <v>162</v>
      </c>
    </row>
    <row r="3293" spans="1:14" x14ac:dyDescent="0.3">
      <c r="A3293" t="s">
        <v>176</v>
      </c>
      <c r="B3293">
        <f>VLOOKUP(M3293,Sheet9!$I$1:$J$17,2,FALSE)</f>
        <v>3</v>
      </c>
      <c r="C3293">
        <f>VLOOKUP(N3293,Sheet9!$M$1:$N$2,2,FALSE)</f>
        <v>1</v>
      </c>
      <c r="D3293">
        <v>32</v>
      </c>
      <c r="E3293" t="s">
        <v>95</v>
      </c>
      <c r="F3293">
        <v>100</v>
      </c>
      <c r="H3293">
        <v>20</v>
      </c>
      <c r="I3293">
        <v>0.6</v>
      </c>
      <c r="J3293">
        <v>12</v>
      </c>
      <c r="K3293">
        <v>3.1</v>
      </c>
      <c r="L3293">
        <v>5.0999999999999996</v>
      </c>
      <c r="M3293" t="s">
        <v>176</v>
      </c>
      <c r="N3293" t="s">
        <v>162</v>
      </c>
    </row>
    <row r="3294" spans="1:14" x14ac:dyDescent="0.3">
      <c r="A3294" t="s">
        <v>176</v>
      </c>
      <c r="B3294">
        <f>VLOOKUP(M3294,Sheet9!$I$1:$J$17,2,FALSE)</f>
        <v>3</v>
      </c>
      <c r="C3294">
        <f>VLOOKUP(N3294,Sheet9!$M$1:$N$2,2,FALSE)</f>
        <v>1</v>
      </c>
      <c r="D3294">
        <v>32</v>
      </c>
      <c r="E3294" t="s">
        <v>95</v>
      </c>
      <c r="F3294">
        <v>100</v>
      </c>
      <c r="H3294">
        <v>32</v>
      </c>
      <c r="I3294">
        <v>0.6</v>
      </c>
      <c r="J3294">
        <v>19.2</v>
      </c>
      <c r="K3294">
        <v>2.9</v>
      </c>
      <c r="L3294">
        <v>4.7</v>
      </c>
      <c r="M3294" t="s">
        <v>176</v>
      </c>
      <c r="N3294" t="s">
        <v>162</v>
      </c>
    </row>
    <row r="3295" spans="1:14" x14ac:dyDescent="0.3">
      <c r="A3295" t="s">
        <v>176</v>
      </c>
      <c r="B3295">
        <f>VLOOKUP(M3295,Sheet9!$I$1:$J$17,2,FALSE)</f>
        <v>3</v>
      </c>
      <c r="C3295">
        <f>VLOOKUP(N3295,Sheet9!$M$1:$N$2,2,FALSE)</f>
        <v>1</v>
      </c>
      <c r="D3295">
        <v>32</v>
      </c>
      <c r="E3295" t="s">
        <v>95</v>
      </c>
      <c r="F3295">
        <v>100</v>
      </c>
      <c r="H3295">
        <v>32</v>
      </c>
      <c r="I3295">
        <v>1.2</v>
      </c>
      <c r="J3295">
        <v>38.4</v>
      </c>
      <c r="K3295">
        <v>2.5</v>
      </c>
      <c r="L3295">
        <v>4.2</v>
      </c>
      <c r="M3295" t="s">
        <v>176</v>
      </c>
      <c r="N3295" t="s">
        <v>162</v>
      </c>
    </row>
    <row r="3296" spans="1:14" x14ac:dyDescent="0.3">
      <c r="A3296" t="s">
        <v>176</v>
      </c>
      <c r="B3296">
        <f>VLOOKUP(M3296,Sheet9!$I$1:$J$17,2,FALSE)</f>
        <v>3</v>
      </c>
      <c r="C3296">
        <f>VLOOKUP(N3296,Sheet9!$M$1:$N$2,2,FALSE)</f>
        <v>1</v>
      </c>
      <c r="D3296">
        <v>32</v>
      </c>
      <c r="E3296" t="s">
        <v>95</v>
      </c>
      <c r="F3296">
        <v>100</v>
      </c>
      <c r="H3296">
        <v>64</v>
      </c>
      <c r="I3296">
        <v>0.6</v>
      </c>
      <c r="J3296">
        <v>38.4</v>
      </c>
      <c r="K3296">
        <v>2.5</v>
      </c>
      <c r="L3296">
        <v>4.0999999999999996</v>
      </c>
      <c r="M3296" t="s">
        <v>176</v>
      </c>
      <c r="N3296" t="s">
        <v>162</v>
      </c>
    </row>
    <row r="3297" spans="1:14" x14ac:dyDescent="0.3">
      <c r="A3297" t="s">
        <v>176</v>
      </c>
      <c r="B3297">
        <f>VLOOKUP(M3297,Sheet9!$I$1:$J$17,2,FALSE)</f>
        <v>3</v>
      </c>
      <c r="C3297">
        <f>VLOOKUP(N3297,Sheet9!$M$1:$N$2,2,FALSE)</f>
        <v>1</v>
      </c>
      <c r="D3297">
        <v>32</v>
      </c>
      <c r="E3297" t="s">
        <v>95</v>
      </c>
      <c r="F3297">
        <v>120</v>
      </c>
      <c r="H3297">
        <v>2</v>
      </c>
      <c r="I3297">
        <v>1</v>
      </c>
      <c r="J3297">
        <v>2</v>
      </c>
      <c r="K3297">
        <v>4.4000000000000004</v>
      </c>
      <c r="L3297">
        <v>6.9</v>
      </c>
      <c r="M3297" t="s">
        <v>176</v>
      </c>
      <c r="N3297" t="s">
        <v>162</v>
      </c>
    </row>
    <row r="3298" spans="1:14" x14ac:dyDescent="0.3">
      <c r="A3298" t="s">
        <v>176</v>
      </c>
      <c r="B3298">
        <f>VLOOKUP(M3298,Sheet9!$I$1:$J$17,2,FALSE)</f>
        <v>3</v>
      </c>
      <c r="C3298">
        <f>VLOOKUP(N3298,Sheet9!$M$1:$N$2,2,FALSE)</f>
        <v>1</v>
      </c>
      <c r="D3298">
        <v>32</v>
      </c>
      <c r="E3298" t="s">
        <v>95</v>
      </c>
      <c r="F3298">
        <v>120</v>
      </c>
      <c r="H3298">
        <v>6</v>
      </c>
      <c r="I3298">
        <v>0.6</v>
      </c>
      <c r="J3298">
        <v>3.6</v>
      </c>
      <c r="K3298">
        <v>7.1</v>
      </c>
      <c r="L3298">
        <v>11.1</v>
      </c>
      <c r="M3298" t="s">
        <v>176</v>
      </c>
      <c r="N3298" t="s">
        <v>162</v>
      </c>
    </row>
    <row r="3299" spans="1:14" x14ac:dyDescent="0.3">
      <c r="A3299" t="s">
        <v>176</v>
      </c>
      <c r="B3299">
        <f>VLOOKUP(M3299,Sheet9!$I$1:$J$17,2,FALSE)</f>
        <v>3</v>
      </c>
      <c r="C3299">
        <f>VLOOKUP(N3299,Sheet9!$M$1:$N$2,2,FALSE)</f>
        <v>1</v>
      </c>
      <c r="D3299">
        <v>32</v>
      </c>
      <c r="E3299" t="s">
        <v>95</v>
      </c>
      <c r="F3299">
        <v>120</v>
      </c>
      <c r="H3299">
        <v>8</v>
      </c>
      <c r="I3299">
        <v>0.6</v>
      </c>
      <c r="J3299">
        <v>2.4</v>
      </c>
      <c r="K3299">
        <v>7.5</v>
      </c>
      <c r="L3299">
        <v>11.7</v>
      </c>
      <c r="M3299" t="s">
        <v>176</v>
      </c>
      <c r="N3299" t="s">
        <v>162</v>
      </c>
    </row>
    <row r="3300" spans="1:14" x14ac:dyDescent="0.3">
      <c r="A3300" t="s">
        <v>176</v>
      </c>
      <c r="B3300">
        <f>VLOOKUP(M3300,Sheet9!$I$1:$J$17,2,FALSE)</f>
        <v>3</v>
      </c>
      <c r="C3300">
        <f>VLOOKUP(N3300,Sheet9!$M$1:$N$2,2,FALSE)</f>
        <v>1</v>
      </c>
      <c r="D3300">
        <v>32</v>
      </c>
      <c r="E3300" t="s">
        <v>95</v>
      </c>
      <c r="F3300">
        <v>120</v>
      </c>
      <c r="H3300">
        <v>1</v>
      </c>
      <c r="I3300">
        <v>5</v>
      </c>
      <c r="J3300">
        <v>5</v>
      </c>
      <c r="K3300">
        <v>3.9</v>
      </c>
      <c r="L3300">
        <v>6.2</v>
      </c>
      <c r="M3300" t="s">
        <v>176</v>
      </c>
      <c r="N3300" t="s">
        <v>162</v>
      </c>
    </row>
    <row r="3301" spans="1:14" x14ac:dyDescent="0.3">
      <c r="A3301" t="s">
        <v>176</v>
      </c>
      <c r="B3301">
        <f>VLOOKUP(M3301,Sheet9!$I$1:$J$17,2,FALSE)</f>
        <v>3</v>
      </c>
      <c r="C3301">
        <f>VLOOKUP(N3301,Sheet9!$M$1:$N$2,2,FALSE)</f>
        <v>1</v>
      </c>
      <c r="D3301">
        <v>32</v>
      </c>
      <c r="E3301" t="s">
        <v>95</v>
      </c>
      <c r="F3301">
        <v>120</v>
      </c>
      <c r="H3301">
        <v>10</v>
      </c>
      <c r="I3301">
        <v>0.6</v>
      </c>
      <c r="J3301">
        <v>6</v>
      </c>
      <c r="K3301">
        <v>5.2</v>
      </c>
      <c r="L3301">
        <v>8.1</v>
      </c>
      <c r="M3301" t="s">
        <v>176</v>
      </c>
      <c r="N3301" t="s">
        <v>162</v>
      </c>
    </row>
    <row r="3302" spans="1:14" x14ac:dyDescent="0.3">
      <c r="A3302" t="s">
        <v>176</v>
      </c>
      <c r="B3302">
        <f>VLOOKUP(M3302,Sheet9!$I$1:$J$17,2,FALSE)</f>
        <v>3</v>
      </c>
      <c r="C3302">
        <f>VLOOKUP(N3302,Sheet9!$M$1:$N$2,2,FALSE)</f>
        <v>1</v>
      </c>
      <c r="D3302">
        <v>32</v>
      </c>
      <c r="E3302" t="s">
        <v>95</v>
      </c>
      <c r="F3302">
        <v>120</v>
      </c>
      <c r="H3302">
        <v>1</v>
      </c>
      <c r="I3302">
        <v>10</v>
      </c>
      <c r="J3302">
        <v>10</v>
      </c>
      <c r="K3302">
        <v>3.9</v>
      </c>
      <c r="L3302">
        <v>6.2</v>
      </c>
      <c r="M3302" t="s">
        <v>176</v>
      </c>
      <c r="N3302" t="s">
        <v>162</v>
      </c>
    </row>
    <row r="3303" spans="1:14" x14ac:dyDescent="0.3">
      <c r="A3303" t="s">
        <v>176</v>
      </c>
      <c r="B3303">
        <f>VLOOKUP(M3303,Sheet9!$I$1:$J$17,2,FALSE)</f>
        <v>3</v>
      </c>
      <c r="C3303">
        <f>VLOOKUP(N3303,Sheet9!$M$1:$N$2,2,FALSE)</f>
        <v>1</v>
      </c>
      <c r="D3303">
        <v>32</v>
      </c>
      <c r="E3303" t="s">
        <v>95</v>
      </c>
      <c r="F3303">
        <v>120</v>
      </c>
      <c r="H3303">
        <v>12</v>
      </c>
      <c r="I3303">
        <v>1.2</v>
      </c>
      <c r="J3303">
        <v>14.399999999999999</v>
      </c>
      <c r="K3303">
        <v>5</v>
      </c>
      <c r="L3303">
        <v>7.9</v>
      </c>
      <c r="M3303" t="s">
        <v>176</v>
      </c>
      <c r="N3303" t="s">
        <v>162</v>
      </c>
    </row>
    <row r="3304" spans="1:14" x14ac:dyDescent="0.3">
      <c r="A3304" t="s">
        <v>176</v>
      </c>
      <c r="B3304">
        <f>VLOOKUP(M3304,Sheet9!$I$1:$J$17,2,FALSE)</f>
        <v>3</v>
      </c>
      <c r="C3304">
        <f>VLOOKUP(N3304,Sheet9!$M$1:$N$2,2,FALSE)</f>
        <v>1</v>
      </c>
      <c r="D3304">
        <v>32</v>
      </c>
      <c r="E3304" t="s">
        <v>95</v>
      </c>
      <c r="F3304">
        <v>120</v>
      </c>
      <c r="H3304">
        <v>20</v>
      </c>
      <c r="I3304">
        <v>0.6</v>
      </c>
      <c r="J3304">
        <v>12</v>
      </c>
      <c r="K3304">
        <v>5.3</v>
      </c>
      <c r="L3304">
        <v>8.3000000000000007</v>
      </c>
      <c r="M3304" t="s">
        <v>176</v>
      </c>
      <c r="N3304" t="s">
        <v>162</v>
      </c>
    </row>
    <row r="3305" spans="1:14" x14ac:dyDescent="0.3">
      <c r="A3305" t="s">
        <v>176</v>
      </c>
      <c r="B3305">
        <f>VLOOKUP(M3305,Sheet9!$I$1:$J$17,2,FALSE)</f>
        <v>3</v>
      </c>
      <c r="C3305">
        <f>VLOOKUP(N3305,Sheet9!$M$1:$N$2,2,FALSE)</f>
        <v>1</v>
      </c>
      <c r="D3305">
        <v>32</v>
      </c>
      <c r="E3305" t="s">
        <v>95</v>
      </c>
      <c r="F3305">
        <v>120</v>
      </c>
      <c r="H3305">
        <v>32</v>
      </c>
      <c r="I3305">
        <v>0.6</v>
      </c>
      <c r="J3305">
        <v>19.2</v>
      </c>
      <c r="K3305">
        <v>4.9000000000000004</v>
      </c>
      <c r="L3305">
        <v>7.7</v>
      </c>
      <c r="M3305" t="s">
        <v>176</v>
      </c>
      <c r="N3305" t="s">
        <v>162</v>
      </c>
    </row>
    <row r="3306" spans="1:14" x14ac:dyDescent="0.3">
      <c r="A3306" t="s">
        <v>176</v>
      </c>
      <c r="B3306">
        <f>VLOOKUP(M3306,Sheet9!$I$1:$J$17,2,FALSE)</f>
        <v>3</v>
      </c>
      <c r="C3306">
        <f>VLOOKUP(N3306,Sheet9!$M$1:$N$2,2,FALSE)</f>
        <v>1</v>
      </c>
      <c r="D3306">
        <v>32</v>
      </c>
      <c r="E3306" t="s">
        <v>95</v>
      </c>
      <c r="F3306">
        <v>120</v>
      </c>
      <c r="H3306">
        <v>32</v>
      </c>
      <c r="I3306">
        <v>1.2</v>
      </c>
      <c r="J3306">
        <v>38.4</v>
      </c>
      <c r="K3306">
        <v>4.4000000000000004</v>
      </c>
      <c r="L3306">
        <v>6.9</v>
      </c>
      <c r="M3306" t="s">
        <v>176</v>
      </c>
      <c r="N3306" t="s">
        <v>162</v>
      </c>
    </row>
    <row r="3307" spans="1:14" x14ac:dyDescent="0.3">
      <c r="A3307" t="s">
        <v>176</v>
      </c>
      <c r="B3307">
        <f>VLOOKUP(M3307,Sheet9!$I$1:$J$17,2,FALSE)</f>
        <v>3</v>
      </c>
      <c r="C3307">
        <f>VLOOKUP(N3307,Sheet9!$M$1:$N$2,2,FALSE)</f>
        <v>1</v>
      </c>
      <c r="D3307">
        <v>32</v>
      </c>
      <c r="E3307" t="s">
        <v>95</v>
      </c>
      <c r="F3307">
        <v>120</v>
      </c>
      <c r="H3307">
        <v>64</v>
      </c>
      <c r="I3307">
        <v>0.6</v>
      </c>
      <c r="J3307">
        <v>38.4</v>
      </c>
      <c r="K3307">
        <v>4.3</v>
      </c>
      <c r="L3307">
        <v>6.7</v>
      </c>
      <c r="M3307" t="s">
        <v>176</v>
      </c>
      <c r="N3307" t="s">
        <v>162</v>
      </c>
    </row>
    <row r="3308" spans="1:14" x14ac:dyDescent="0.3">
      <c r="A3308" t="s">
        <v>176</v>
      </c>
      <c r="B3308">
        <f>VLOOKUP(M3308,Sheet9!$I$1:$J$17,2,FALSE)</f>
        <v>3</v>
      </c>
      <c r="C3308">
        <f>VLOOKUP(N3308,Sheet9!$M$1:$N$2,2,FALSE)</f>
        <v>1</v>
      </c>
      <c r="D3308">
        <v>32</v>
      </c>
      <c r="E3308" t="s">
        <v>95</v>
      </c>
      <c r="F3308">
        <v>140</v>
      </c>
      <c r="H3308">
        <v>2</v>
      </c>
      <c r="I3308">
        <v>1</v>
      </c>
      <c r="J3308">
        <v>2</v>
      </c>
      <c r="K3308">
        <v>6.5</v>
      </c>
      <c r="L3308">
        <v>10</v>
      </c>
      <c r="M3308" t="s">
        <v>176</v>
      </c>
      <c r="N3308" t="s">
        <v>162</v>
      </c>
    </row>
    <row r="3309" spans="1:14" x14ac:dyDescent="0.3">
      <c r="A3309" t="s">
        <v>176</v>
      </c>
      <c r="B3309">
        <f>VLOOKUP(M3309,Sheet9!$I$1:$J$17,2,FALSE)</f>
        <v>3</v>
      </c>
      <c r="C3309">
        <f>VLOOKUP(N3309,Sheet9!$M$1:$N$2,2,FALSE)</f>
        <v>1</v>
      </c>
      <c r="D3309">
        <v>32</v>
      </c>
      <c r="E3309" t="s">
        <v>95</v>
      </c>
      <c r="F3309">
        <v>140</v>
      </c>
      <c r="H3309">
        <v>6</v>
      </c>
      <c r="I3309">
        <v>0.6</v>
      </c>
      <c r="J3309">
        <v>3.6</v>
      </c>
      <c r="K3309">
        <v>10.6</v>
      </c>
      <c r="L3309">
        <v>16.2</v>
      </c>
      <c r="M3309" t="s">
        <v>176</v>
      </c>
      <c r="N3309" t="s">
        <v>162</v>
      </c>
    </row>
    <row r="3310" spans="1:14" x14ac:dyDescent="0.3">
      <c r="A3310" t="s">
        <v>176</v>
      </c>
      <c r="B3310">
        <f>VLOOKUP(M3310,Sheet9!$I$1:$J$17,2,FALSE)</f>
        <v>3</v>
      </c>
      <c r="C3310">
        <f>VLOOKUP(N3310,Sheet9!$M$1:$N$2,2,FALSE)</f>
        <v>1</v>
      </c>
      <c r="D3310">
        <v>32</v>
      </c>
      <c r="E3310" t="s">
        <v>95</v>
      </c>
      <c r="F3310">
        <v>140</v>
      </c>
      <c r="H3310">
        <v>8</v>
      </c>
      <c r="I3310">
        <v>0.6</v>
      </c>
      <c r="J3310">
        <v>2.4</v>
      </c>
      <c r="K3310">
        <v>11.2</v>
      </c>
      <c r="L3310">
        <v>17.100000000000001</v>
      </c>
      <c r="M3310" t="s">
        <v>176</v>
      </c>
      <c r="N3310" t="s">
        <v>162</v>
      </c>
    </row>
    <row r="3311" spans="1:14" x14ac:dyDescent="0.3">
      <c r="A3311" t="s">
        <v>176</v>
      </c>
      <c r="B3311">
        <f>VLOOKUP(M3311,Sheet9!$I$1:$J$17,2,FALSE)</f>
        <v>3</v>
      </c>
      <c r="C3311">
        <f>VLOOKUP(N3311,Sheet9!$M$1:$N$2,2,FALSE)</f>
        <v>1</v>
      </c>
      <c r="D3311">
        <v>32</v>
      </c>
      <c r="E3311" t="s">
        <v>95</v>
      </c>
      <c r="F3311">
        <v>140</v>
      </c>
      <c r="H3311">
        <v>1</v>
      </c>
      <c r="I3311">
        <v>5</v>
      </c>
      <c r="J3311">
        <v>5</v>
      </c>
      <c r="K3311">
        <v>5.9</v>
      </c>
      <c r="L3311">
        <v>9</v>
      </c>
      <c r="M3311" t="s">
        <v>176</v>
      </c>
      <c r="N3311" t="s">
        <v>162</v>
      </c>
    </row>
    <row r="3312" spans="1:14" x14ac:dyDescent="0.3">
      <c r="A3312" t="s">
        <v>176</v>
      </c>
      <c r="B3312">
        <f>VLOOKUP(M3312,Sheet9!$I$1:$J$17,2,FALSE)</f>
        <v>3</v>
      </c>
      <c r="C3312">
        <f>VLOOKUP(N3312,Sheet9!$M$1:$N$2,2,FALSE)</f>
        <v>1</v>
      </c>
      <c r="D3312">
        <v>32</v>
      </c>
      <c r="E3312" t="s">
        <v>95</v>
      </c>
      <c r="F3312">
        <v>140</v>
      </c>
      <c r="H3312">
        <v>10</v>
      </c>
      <c r="I3312">
        <v>0.6</v>
      </c>
      <c r="J3312">
        <v>6</v>
      </c>
      <c r="K3312">
        <v>7.8</v>
      </c>
      <c r="L3312">
        <v>11.8</v>
      </c>
      <c r="M3312" t="s">
        <v>176</v>
      </c>
      <c r="N3312" t="s">
        <v>162</v>
      </c>
    </row>
    <row r="3313" spans="1:14" x14ac:dyDescent="0.3">
      <c r="A3313" t="s">
        <v>176</v>
      </c>
      <c r="B3313">
        <f>VLOOKUP(M3313,Sheet9!$I$1:$J$17,2,FALSE)</f>
        <v>3</v>
      </c>
      <c r="C3313">
        <f>VLOOKUP(N3313,Sheet9!$M$1:$N$2,2,FALSE)</f>
        <v>1</v>
      </c>
      <c r="D3313">
        <v>32</v>
      </c>
      <c r="E3313" t="s">
        <v>95</v>
      </c>
      <c r="F3313">
        <v>140</v>
      </c>
      <c r="H3313">
        <v>1</v>
      </c>
      <c r="I3313">
        <v>10</v>
      </c>
      <c r="J3313">
        <v>10</v>
      </c>
      <c r="K3313">
        <v>5.9</v>
      </c>
      <c r="L3313">
        <v>9</v>
      </c>
      <c r="M3313" t="s">
        <v>176</v>
      </c>
      <c r="N3313" t="s">
        <v>162</v>
      </c>
    </row>
    <row r="3314" spans="1:14" x14ac:dyDescent="0.3">
      <c r="A3314" t="s">
        <v>176</v>
      </c>
      <c r="B3314">
        <f>VLOOKUP(M3314,Sheet9!$I$1:$J$17,2,FALSE)</f>
        <v>3</v>
      </c>
      <c r="C3314">
        <f>VLOOKUP(N3314,Sheet9!$M$1:$N$2,2,FALSE)</f>
        <v>1</v>
      </c>
      <c r="D3314">
        <v>32</v>
      </c>
      <c r="E3314" t="s">
        <v>95</v>
      </c>
      <c r="F3314">
        <v>140</v>
      </c>
      <c r="H3314">
        <v>12</v>
      </c>
      <c r="I3314">
        <v>1.2</v>
      </c>
      <c r="J3314">
        <v>14.399999999999999</v>
      </c>
      <c r="K3314">
        <v>7.5</v>
      </c>
      <c r="L3314">
        <v>11.5</v>
      </c>
      <c r="M3314" t="s">
        <v>176</v>
      </c>
      <c r="N3314" t="s">
        <v>162</v>
      </c>
    </row>
    <row r="3315" spans="1:14" x14ac:dyDescent="0.3">
      <c r="A3315" t="s">
        <v>176</v>
      </c>
      <c r="B3315">
        <f>VLOOKUP(M3315,Sheet9!$I$1:$J$17,2,FALSE)</f>
        <v>3</v>
      </c>
      <c r="C3315">
        <f>VLOOKUP(N3315,Sheet9!$M$1:$N$2,2,FALSE)</f>
        <v>1</v>
      </c>
      <c r="D3315">
        <v>32</v>
      </c>
      <c r="E3315" t="s">
        <v>95</v>
      </c>
      <c r="F3315">
        <v>140</v>
      </c>
      <c r="H3315">
        <v>20</v>
      </c>
      <c r="I3315">
        <v>0.6</v>
      </c>
      <c r="J3315">
        <v>12</v>
      </c>
      <c r="K3315">
        <v>7.9</v>
      </c>
      <c r="L3315">
        <v>12.1</v>
      </c>
      <c r="M3315" t="s">
        <v>176</v>
      </c>
      <c r="N3315" t="s">
        <v>162</v>
      </c>
    </row>
    <row r="3316" spans="1:14" x14ac:dyDescent="0.3">
      <c r="A3316" t="s">
        <v>176</v>
      </c>
      <c r="B3316">
        <f>VLOOKUP(M3316,Sheet9!$I$1:$J$17,2,FALSE)</f>
        <v>3</v>
      </c>
      <c r="C3316">
        <f>VLOOKUP(N3316,Sheet9!$M$1:$N$2,2,FALSE)</f>
        <v>1</v>
      </c>
      <c r="D3316">
        <v>32</v>
      </c>
      <c r="E3316" t="s">
        <v>95</v>
      </c>
      <c r="F3316">
        <v>140</v>
      </c>
      <c r="H3316">
        <v>32</v>
      </c>
      <c r="I3316">
        <v>0.6</v>
      </c>
      <c r="J3316">
        <v>19.2</v>
      </c>
      <c r="K3316">
        <v>7.4</v>
      </c>
      <c r="L3316">
        <v>11.2</v>
      </c>
      <c r="M3316" t="s">
        <v>176</v>
      </c>
      <c r="N3316" t="s">
        <v>162</v>
      </c>
    </row>
    <row r="3317" spans="1:14" x14ac:dyDescent="0.3">
      <c r="A3317" t="s">
        <v>176</v>
      </c>
      <c r="B3317">
        <f>VLOOKUP(M3317,Sheet9!$I$1:$J$17,2,FALSE)</f>
        <v>3</v>
      </c>
      <c r="C3317">
        <f>VLOOKUP(N3317,Sheet9!$M$1:$N$2,2,FALSE)</f>
        <v>1</v>
      </c>
      <c r="D3317">
        <v>32</v>
      </c>
      <c r="E3317" t="s">
        <v>95</v>
      </c>
      <c r="F3317">
        <v>140</v>
      </c>
      <c r="H3317">
        <v>32</v>
      </c>
      <c r="I3317">
        <v>1.2</v>
      </c>
      <c r="J3317">
        <v>38.4</v>
      </c>
      <c r="K3317">
        <v>6.6</v>
      </c>
      <c r="L3317">
        <v>10</v>
      </c>
      <c r="M3317" t="s">
        <v>176</v>
      </c>
      <c r="N3317" t="s">
        <v>162</v>
      </c>
    </row>
    <row r="3318" spans="1:14" x14ac:dyDescent="0.3">
      <c r="A3318" t="s">
        <v>176</v>
      </c>
      <c r="B3318">
        <f>VLOOKUP(M3318,Sheet9!$I$1:$J$17,2,FALSE)</f>
        <v>3</v>
      </c>
      <c r="C3318">
        <f>VLOOKUP(N3318,Sheet9!$M$1:$N$2,2,FALSE)</f>
        <v>1</v>
      </c>
      <c r="D3318">
        <v>32</v>
      </c>
      <c r="E3318" t="s">
        <v>95</v>
      </c>
      <c r="F3318">
        <v>140</v>
      </c>
      <c r="H3318">
        <v>64</v>
      </c>
      <c r="I3318">
        <v>0.6</v>
      </c>
      <c r="J3318">
        <v>38.4</v>
      </c>
      <c r="K3318">
        <v>6.5</v>
      </c>
      <c r="L3318">
        <v>9.8000000000000007</v>
      </c>
      <c r="M3318" t="s">
        <v>176</v>
      </c>
      <c r="N3318" t="s">
        <v>162</v>
      </c>
    </row>
    <row r="3319" spans="1:14" x14ac:dyDescent="0.3">
      <c r="A3319" t="s">
        <v>177</v>
      </c>
      <c r="B3319">
        <f>VLOOKUP(M3319,Sheet9!$I$1:$J$17,2,FALSE)</f>
        <v>17</v>
      </c>
      <c r="C3319">
        <f>VLOOKUP(N3319,Sheet9!$M$1:$N$2,2,FALSE)</f>
        <v>1</v>
      </c>
      <c r="D3319">
        <v>32</v>
      </c>
      <c r="E3319" t="s">
        <v>174</v>
      </c>
      <c r="F3319">
        <v>70</v>
      </c>
      <c r="H3319">
        <v>2</v>
      </c>
      <c r="I3319">
        <v>1</v>
      </c>
      <c r="J3319">
        <v>2</v>
      </c>
      <c r="K3319">
        <v>0.7</v>
      </c>
      <c r="L3319">
        <v>1.7</v>
      </c>
      <c r="M3319" t="s">
        <v>177</v>
      </c>
      <c r="N3319" t="s">
        <v>162</v>
      </c>
    </row>
    <row r="3320" spans="1:14" x14ac:dyDescent="0.3">
      <c r="A3320" t="s">
        <v>177</v>
      </c>
      <c r="B3320">
        <f>VLOOKUP(M3320,Sheet9!$I$1:$J$17,2,FALSE)</f>
        <v>17</v>
      </c>
      <c r="C3320">
        <f>VLOOKUP(N3320,Sheet9!$M$1:$N$2,2,FALSE)</f>
        <v>1</v>
      </c>
      <c r="D3320">
        <v>32</v>
      </c>
      <c r="E3320" t="s">
        <v>174</v>
      </c>
      <c r="F3320">
        <v>70</v>
      </c>
      <c r="H3320">
        <v>6</v>
      </c>
      <c r="I3320">
        <v>0.6</v>
      </c>
      <c r="J3320">
        <v>3.6</v>
      </c>
      <c r="K3320">
        <v>1.2</v>
      </c>
      <c r="L3320">
        <v>2.7</v>
      </c>
      <c r="M3320" t="s">
        <v>177</v>
      </c>
      <c r="N3320" t="s">
        <v>162</v>
      </c>
    </row>
    <row r="3321" spans="1:14" x14ac:dyDescent="0.3">
      <c r="A3321" t="s">
        <v>177</v>
      </c>
      <c r="B3321">
        <f>VLOOKUP(M3321,Sheet9!$I$1:$J$17,2,FALSE)</f>
        <v>17</v>
      </c>
      <c r="C3321">
        <f>VLOOKUP(N3321,Sheet9!$M$1:$N$2,2,FALSE)</f>
        <v>1</v>
      </c>
      <c r="D3321">
        <v>32</v>
      </c>
      <c r="E3321" t="s">
        <v>174</v>
      </c>
      <c r="F3321">
        <v>70</v>
      </c>
      <c r="H3321">
        <v>8</v>
      </c>
      <c r="I3321">
        <v>0.6</v>
      </c>
      <c r="J3321">
        <v>2.4</v>
      </c>
      <c r="K3321">
        <v>1.2</v>
      </c>
      <c r="L3321">
        <v>2.9</v>
      </c>
      <c r="M3321" t="s">
        <v>177</v>
      </c>
      <c r="N3321" t="s">
        <v>162</v>
      </c>
    </row>
    <row r="3322" spans="1:14" x14ac:dyDescent="0.3">
      <c r="A3322" t="s">
        <v>177</v>
      </c>
      <c r="B3322">
        <f>VLOOKUP(M3322,Sheet9!$I$1:$J$17,2,FALSE)</f>
        <v>17</v>
      </c>
      <c r="C3322">
        <f>VLOOKUP(N3322,Sheet9!$M$1:$N$2,2,FALSE)</f>
        <v>1</v>
      </c>
      <c r="D3322">
        <v>32</v>
      </c>
      <c r="E3322" t="s">
        <v>174</v>
      </c>
      <c r="F3322">
        <v>70</v>
      </c>
      <c r="H3322">
        <v>1</v>
      </c>
      <c r="I3322">
        <v>5</v>
      </c>
      <c r="J3322">
        <v>5</v>
      </c>
      <c r="K3322">
        <v>0.6</v>
      </c>
      <c r="L3322">
        <v>1.5</v>
      </c>
      <c r="M3322" t="s">
        <v>177</v>
      </c>
      <c r="N3322" t="s">
        <v>162</v>
      </c>
    </row>
    <row r="3323" spans="1:14" x14ac:dyDescent="0.3">
      <c r="A3323" t="s">
        <v>177</v>
      </c>
      <c r="B3323">
        <f>VLOOKUP(M3323,Sheet9!$I$1:$J$17,2,FALSE)</f>
        <v>17</v>
      </c>
      <c r="C3323">
        <f>VLOOKUP(N3323,Sheet9!$M$1:$N$2,2,FALSE)</f>
        <v>1</v>
      </c>
      <c r="D3323">
        <v>32</v>
      </c>
      <c r="E3323" t="s">
        <v>174</v>
      </c>
      <c r="F3323">
        <v>70</v>
      </c>
      <c r="H3323">
        <v>10</v>
      </c>
      <c r="I3323">
        <v>0.6</v>
      </c>
      <c r="J3323">
        <v>6</v>
      </c>
      <c r="K3323">
        <v>0.9</v>
      </c>
      <c r="L3323">
        <v>2</v>
      </c>
      <c r="M3323" t="s">
        <v>177</v>
      </c>
      <c r="N3323" t="s">
        <v>162</v>
      </c>
    </row>
    <row r="3324" spans="1:14" x14ac:dyDescent="0.3">
      <c r="A3324" t="s">
        <v>177</v>
      </c>
      <c r="B3324">
        <f>VLOOKUP(M3324,Sheet9!$I$1:$J$17,2,FALSE)</f>
        <v>17</v>
      </c>
      <c r="C3324">
        <f>VLOOKUP(N3324,Sheet9!$M$1:$N$2,2,FALSE)</f>
        <v>1</v>
      </c>
      <c r="D3324">
        <v>32</v>
      </c>
      <c r="E3324" t="s">
        <v>174</v>
      </c>
      <c r="F3324">
        <v>70</v>
      </c>
      <c r="H3324">
        <v>1</v>
      </c>
      <c r="I3324">
        <v>10</v>
      </c>
      <c r="J3324">
        <v>10</v>
      </c>
      <c r="K3324">
        <v>0.6</v>
      </c>
      <c r="L3324">
        <v>1.5</v>
      </c>
      <c r="M3324" t="s">
        <v>177</v>
      </c>
      <c r="N3324" t="s">
        <v>162</v>
      </c>
    </row>
    <row r="3325" spans="1:14" x14ac:dyDescent="0.3">
      <c r="A3325" t="s">
        <v>177</v>
      </c>
      <c r="B3325">
        <f>VLOOKUP(M3325,Sheet9!$I$1:$J$17,2,FALSE)</f>
        <v>17</v>
      </c>
      <c r="C3325">
        <f>VLOOKUP(N3325,Sheet9!$M$1:$N$2,2,FALSE)</f>
        <v>1</v>
      </c>
      <c r="D3325">
        <v>32</v>
      </c>
      <c r="E3325" t="s">
        <v>174</v>
      </c>
      <c r="F3325">
        <v>70</v>
      </c>
      <c r="H3325">
        <v>12</v>
      </c>
      <c r="I3325">
        <v>1.2</v>
      </c>
      <c r="J3325">
        <v>14.399999999999999</v>
      </c>
      <c r="K3325">
        <v>0.8</v>
      </c>
      <c r="L3325">
        <v>2</v>
      </c>
      <c r="M3325" t="s">
        <v>177</v>
      </c>
      <c r="N3325" t="s">
        <v>162</v>
      </c>
    </row>
    <row r="3326" spans="1:14" x14ac:dyDescent="0.3">
      <c r="A3326" t="s">
        <v>177</v>
      </c>
      <c r="B3326">
        <f>VLOOKUP(M3326,Sheet9!$I$1:$J$17,2,FALSE)</f>
        <v>17</v>
      </c>
      <c r="C3326">
        <f>VLOOKUP(N3326,Sheet9!$M$1:$N$2,2,FALSE)</f>
        <v>1</v>
      </c>
      <c r="D3326">
        <v>32</v>
      </c>
      <c r="E3326" t="s">
        <v>174</v>
      </c>
      <c r="F3326">
        <v>70</v>
      </c>
      <c r="H3326">
        <v>20</v>
      </c>
      <c r="I3326">
        <v>0.6</v>
      </c>
      <c r="J3326">
        <v>12</v>
      </c>
      <c r="K3326">
        <v>0.9</v>
      </c>
      <c r="L3326">
        <v>2.1</v>
      </c>
      <c r="M3326" t="s">
        <v>177</v>
      </c>
      <c r="N3326" t="s">
        <v>162</v>
      </c>
    </row>
    <row r="3327" spans="1:14" x14ac:dyDescent="0.3">
      <c r="A3327" t="s">
        <v>177</v>
      </c>
      <c r="B3327">
        <f>VLOOKUP(M3327,Sheet9!$I$1:$J$17,2,FALSE)</f>
        <v>17</v>
      </c>
      <c r="C3327">
        <f>VLOOKUP(N3327,Sheet9!$M$1:$N$2,2,FALSE)</f>
        <v>1</v>
      </c>
      <c r="D3327">
        <v>32</v>
      </c>
      <c r="E3327" t="s">
        <v>174</v>
      </c>
      <c r="F3327">
        <v>70</v>
      </c>
      <c r="H3327">
        <v>32</v>
      </c>
      <c r="I3327">
        <v>0.6</v>
      </c>
      <c r="J3327">
        <v>19.2</v>
      </c>
      <c r="K3327">
        <v>0.8</v>
      </c>
      <c r="L3327">
        <v>1.9</v>
      </c>
      <c r="M3327" t="s">
        <v>177</v>
      </c>
      <c r="N3327" t="s">
        <v>162</v>
      </c>
    </row>
    <row r="3328" spans="1:14" x14ac:dyDescent="0.3">
      <c r="A3328" t="s">
        <v>177</v>
      </c>
      <c r="B3328">
        <f>VLOOKUP(M3328,Sheet9!$I$1:$J$17,2,FALSE)</f>
        <v>17</v>
      </c>
      <c r="C3328">
        <f>VLOOKUP(N3328,Sheet9!$M$1:$N$2,2,FALSE)</f>
        <v>1</v>
      </c>
      <c r="D3328">
        <v>32</v>
      </c>
      <c r="E3328" t="s">
        <v>174</v>
      </c>
      <c r="F3328">
        <v>70</v>
      </c>
      <c r="H3328">
        <v>32</v>
      </c>
      <c r="I3328">
        <v>1.2</v>
      </c>
      <c r="J3328">
        <v>38.4</v>
      </c>
      <c r="K3328">
        <v>0.7</v>
      </c>
      <c r="L3328">
        <v>1.7</v>
      </c>
      <c r="M3328" t="s">
        <v>177</v>
      </c>
      <c r="N3328" t="s">
        <v>162</v>
      </c>
    </row>
    <row r="3329" spans="1:14" x14ac:dyDescent="0.3">
      <c r="A3329" t="s">
        <v>177</v>
      </c>
      <c r="B3329">
        <f>VLOOKUP(M3329,Sheet9!$I$1:$J$17,2,FALSE)</f>
        <v>17</v>
      </c>
      <c r="C3329">
        <f>VLOOKUP(N3329,Sheet9!$M$1:$N$2,2,FALSE)</f>
        <v>1</v>
      </c>
      <c r="D3329">
        <v>32</v>
      </c>
      <c r="E3329" t="s">
        <v>174</v>
      </c>
      <c r="F3329">
        <v>70</v>
      </c>
      <c r="H3329">
        <v>64</v>
      </c>
      <c r="I3329">
        <v>0.6</v>
      </c>
      <c r="J3329">
        <v>38.4</v>
      </c>
      <c r="K3329">
        <v>0.7</v>
      </c>
      <c r="L3329">
        <v>1.7</v>
      </c>
      <c r="M3329" t="s">
        <v>177</v>
      </c>
      <c r="N3329" t="s">
        <v>162</v>
      </c>
    </row>
    <row r="3330" spans="1:14" x14ac:dyDescent="0.3">
      <c r="A3330" t="s">
        <v>177</v>
      </c>
      <c r="B3330">
        <f>VLOOKUP(M3330,Sheet9!$I$1:$J$17,2,FALSE)</f>
        <v>17</v>
      </c>
      <c r="C3330">
        <f>VLOOKUP(N3330,Sheet9!$M$1:$N$2,2,FALSE)</f>
        <v>1</v>
      </c>
      <c r="D3330">
        <v>32</v>
      </c>
      <c r="E3330" t="s">
        <v>174</v>
      </c>
      <c r="F3330">
        <v>80</v>
      </c>
      <c r="H3330">
        <v>2</v>
      </c>
      <c r="I3330">
        <v>1</v>
      </c>
      <c r="J3330">
        <v>2</v>
      </c>
      <c r="K3330">
        <v>1.2</v>
      </c>
      <c r="L3330">
        <v>2.6</v>
      </c>
      <c r="M3330" t="s">
        <v>177</v>
      </c>
      <c r="N3330" t="s">
        <v>162</v>
      </c>
    </row>
    <row r="3331" spans="1:14" x14ac:dyDescent="0.3">
      <c r="A3331" t="s">
        <v>177</v>
      </c>
      <c r="B3331">
        <f>VLOOKUP(M3331,Sheet9!$I$1:$J$17,2,FALSE)</f>
        <v>17</v>
      </c>
      <c r="C3331">
        <f>VLOOKUP(N3331,Sheet9!$M$1:$N$2,2,FALSE)</f>
        <v>1</v>
      </c>
      <c r="D3331">
        <v>32</v>
      </c>
      <c r="E3331" t="s">
        <v>174</v>
      </c>
      <c r="F3331">
        <v>80</v>
      </c>
      <c r="H3331">
        <v>6</v>
      </c>
      <c r="I3331">
        <v>0.6</v>
      </c>
      <c r="J3331">
        <v>3.6</v>
      </c>
      <c r="K3331">
        <v>2</v>
      </c>
      <c r="L3331">
        <v>4.3</v>
      </c>
      <c r="M3331" t="s">
        <v>177</v>
      </c>
      <c r="N3331" t="s">
        <v>162</v>
      </c>
    </row>
    <row r="3332" spans="1:14" x14ac:dyDescent="0.3">
      <c r="A3332" t="s">
        <v>177</v>
      </c>
      <c r="B3332">
        <f>VLOOKUP(M3332,Sheet9!$I$1:$J$17,2,FALSE)</f>
        <v>17</v>
      </c>
      <c r="C3332">
        <f>VLOOKUP(N3332,Sheet9!$M$1:$N$2,2,FALSE)</f>
        <v>1</v>
      </c>
      <c r="D3332">
        <v>32</v>
      </c>
      <c r="E3332" t="s">
        <v>174</v>
      </c>
      <c r="F3332">
        <v>80</v>
      </c>
      <c r="H3332">
        <v>8</v>
      </c>
      <c r="I3332">
        <v>0.6</v>
      </c>
      <c r="J3332">
        <v>2.4</v>
      </c>
      <c r="K3332">
        <v>2.1</v>
      </c>
      <c r="L3332">
        <v>4.5</v>
      </c>
      <c r="M3332" t="s">
        <v>177</v>
      </c>
      <c r="N3332" t="s">
        <v>162</v>
      </c>
    </row>
    <row r="3333" spans="1:14" x14ac:dyDescent="0.3">
      <c r="A3333" t="s">
        <v>177</v>
      </c>
      <c r="B3333">
        <f>VLOOKUP(M3333,Sheet9!$I$1:$J$17,2,FALSE)</f>
        <v>17</v>
      </c>
      <c r="C3333">
        <f>VLOOKUP(N3333,Sheet9!$M$1:$N$2,2,FALSE)</f>
        <v>1</v>
      </c>
      <c r="D3333">
        <v>32</v>
      </c>
      <c r="E3333" t="s">
        <v>174</v>
      </c>
      <c r="F3333">
        <v>80</v>
      </c>
      <c r="H3333">
        <v>1</v>
      </c>
      <c r="I3333">
        <v>5</v>
      </c>
      <c r="J3333">
        <v>5</v>
      </c>
      <c r="K3333">
        <v>1.1000000000000001</v>
      </c>
      <c r="L3333">
        <v>2.4</v>
      </c>
      <c r="M3333" t="s">
        <v>177</v>
      </c>
      <c r="N3333" t="s">
        <v>162</v>
      </c>
    </row>
    <row r="3334" spans="1:14" x14ac:dyDescent="0.3">
      <c r="A3334" t="s">
        <v>177</v>
      </c>
      <c r="B3334">
        <f>VLOOKUP(M3334,Sheet9!$I$1:$J$17,2,FALSE)</f>
        <v>17</v>
      </c>
      <c r="C3334">
        <f>VLOOKUP(N3334,Sheet9!$M$1:$N$2,2,FALSE)</f>
        <v>1</v>
      </c>
      <c r="D3334">
        <v>32</v>
      </c>
      <c r="E3334" t="s">
        <v>174</v>
      </c>
      <c r="F3334">
        <v>80</v>
      </c>
      <c r="H3334">
        <v>10</v>
      </c>
      <c r="I3334">
        <v>0.6</v>
      </c>
      <c r="J3334">
        <v>6</v>
      </c>
      <c r="K3334">
        <v>1.5</v>
      </c>
      <c r="L3334">
        <v>3.1</v>
      </c>
      <c r="M3334" t="s">
        <v>177</v>
      </c>
      <c r="N3334" t="s">
        <v>162</v>
      </c>
    </row>
    <row r="3335" spans="1:14" x14ac:dyDescent="0.3">
      <c r="A3335" t="s">
        <v>177</v>
      </c>
      <c r="B3335">
        <f>VLOOKUP(M3335,Sheet9!$I$1:$J$17,2,FALSE)</f>
        <v>17</v>
      </c>
      <c r="C3335">
        <f>VLOOKUP(N3335,Sheet9!$M$1:$N$2,2,FALSE)</f>
        <v>1</v>
      </c>
      <c r="D3335">
        <v>32</v>
      </c>
      <c r="E3335" t="s">
        <v>174</v>
      </c>
      <c r="F3335">
        <v>80</v>
      </c>
      <c r="H3335">
        <v>1</v>
      </c>
      <c r="I3335">
        <v>10</v>
      </c>
      <c r="J3335">
        <v>10</v>
      </c>
      <c r="K3335">
        <v>1.1000000000000001</v>
      </c>
      <c r="L3335">
        <v>2.4</v>
      </c>
      <c r="M3335" t="s">
        <v>177</v>
      </c>
      <c r="N3335" t="s">
        <v>162</v>
      </c>
    </row>
    <row r="3336" spans="1:14" x14ac:dyDescent="0.3">
      <c r="A3336" t="s">
        <v>177</v>
      </c>
      <c r="B3336">
        <f>VLOOKUP(M3336,Sheet9!$I$1:$J$17,2,FALSE)</f>
        <v>17</v>
      </c>
      <c r="C3336">
        <f>VLOOKUP(N3336,Sheet9!$M$1:$N$2,2,FALSE)</f>
        <v>1</v>
      </c>
      <c r="D3336">
        <v>32</v>
      </c>
      <c r="E3336" t="s">
        <v>174</v>
      </c>
      <c r="F3336">
        <v>80</v>
      </c>
      <c r="H3336">
        <v>12</v>
      </c>
      <c r="I3336">
        <v>1.2</v>
      </c>
      <c r="J3336">
        <v>14.399999999999999</v>
      </c>
      <c r="K3336">
        <v>1.4</v>
      </c>
      <c r="L3336">
        <v>3</v>
      </c>
      <c r="M3336" t="s">
        <v>177</v>
      </c>
      <c r="N3336" t="s">
        <v>162</v>
      </c>
    </row>
    <row r="3337" spans="1:14" x14ac:dyDescent="0.3">
      <c r="A3337" t="s">
        <v>177</v>
      </c>
      <c r="B3337">
        <f>VLOOKUP(M3337,Sheet9!$I$1:$J$17,2,FALSE)</f>
        <v>17</v>
      </c>
      <c r="C3337">
        <f>VLOOKUP(N3337,Sheet9!$M$1:$N$2,2,FALSE)</f>
        <v>1</v>
      </c>
      <c r="D3337">
        <v>32</v>
      </c>
      <c r="E3337" t="s">
        <v>174</v>
      </c>
      <c r="F3337">
        <v>80</v>
      </c>
      <c r="H3337">
        <v>20</v>
      </c>
      <c r="I3337">
        <v>0.6</v>
      </c>
      <c r="J3337">
        <v>12</v>
      </c>
      <c r="K3337">
        <v>1.5</v>
      </c>
      <c r="L3337">
        <v>3.2</v>
      </c>
      <c r="M3337" t="s">
        <v>177</v>
      </c>
      <c r="N3337" t="s">
        <v>162</v>
      </c>
    </row>
    <row r="3338" spans="1:14" x14ac:dyDescent="0.3">
      <c r="A3338" t="s">
        <v>177</v>
      </c>
      <c r="B3338">
        <f>VLOOKUP(M3338,Sheet9!$I$1:$J$17,2,FALSE)</f>
        <v>17</v>
      </c>
      <c r="C3338">
        <f>VLOOKUP(N3338,Sheet9!$M$1:$N$2,2,FALSE)</f>
        <v>1</v>
      </c>
      <c r="D3338">
        <v>32</v>
      </c>
      <c r="E3338" t="s">
        <v>174</v>
      </c>
      <c r="F3338">
        <v>80</v>
      </c>
      <c r="H3338">
        <v>32</v>
      </c>
      <c r="I3338">
        <v>0.6</v>
      </c>
      <c r="J3338">
        <v>19.2</v>
      </c>
      <c r="K3338">
        <v>1.4</v>
      </c>
      <c r="L3338">
        <v>2.9</v>
      </c>
      <c r="M3338" t="s">
        <v>177</v>
      </c>
      <c r="N3338" t="s">
        <v>162</v>
      </c>
    </row>
    <row r="3339" spans="1:14" x14ac:dyDescent="0.3">
      <c r="A3339" t="s">
        <v>177</v>
      </c>
      <c r="B3339">
        <f>VLOOKUP(M3339,Sheet9!$I$1:$J$17,2,FALSE)</f>
        <v>17</v>
      </c>
      <c r="C3339">
        <f>VLOOKUP(N3339,Sheet9!$M$1:$N$2,2,FALSE)</f>
        <v>1</v>
      </c>
      <c r="D3339">
        <v>32</v>
      </c>
      <c r="E3339" t="s">
        <v>174</v>
      </c>
      <c r="F3339">
        <v>80</v>
      </c>
      <c r="H3339">
        <v>32</v>
      </c>
      <c r="I3339">
        <v>1.2</v>
      </c>
      <c r="J3339">
        <v>38.4</v>
      </c>
      <c r="K3339">
        <v>1.2</v>
      </c>
      <c r="L3339">
        <v>2.6</v>
      </c>
      <c r="M3339" t="s">
        <v>177</v>
      </c>
      <c r="N3339" t="s">
        <v>162</v>
      </c>
    </row>
    <row r="3340" spans="1:14" x14ac:dyDescent="0.3">
      <c r="A3340" t="s">
        <v>177</v>
      </c>
      <c r="B3340">
        <f>VLOOKUP(M3340,Sheet9!$I$1:$J$17,2,FALSE)</f>
        <v>17</v>
      </c>
      <c r="C3340">
        <f>VLOOKUP(N3340,Sheet9!$M$1:$N$2,2,FALSE)</f>
        <v>1</v>
      </c>
      <c r="D3340">
        <v>32</v>
      </c>
      <c r="E3340" t="s">
        <v>174</v>
      </c>
      <c r="F3340">
        <v>80</v>
      </c>
      <c r="H3340">
        <v>64</v>
      </c>
      <c r="I3340">
        <v>0.6</v>
      </c>
      <c r="J3340">
        <v>38.4</v>
      </c>
      <c r="K3340">
        <v>1.2</v>
      </c>
      <c r="L3340">
        <v>2.6</v>
      </c>
      <c r="M3340" t="s">
        <v>177</v>
      </c>
      <c r="N3340" t="s">
        <v>162</v>
      </c>
    </row>
    <row r="3341" spans="1:14" x14ac:dyDescent="0.3">
      <c r="A3341" t="s">
        <v>177</v>
      </c>
      <c r="B3341">
        <f>VLOOKUP(M3341,Sheet9!$I$1:$J$17,2,FALSE)</f>
        <v>17</v>
      </c>
      <c r="C3341">
        <f>VLOOKUP(N3341,Sheet9!$M$1:$N$2,2,FALSE)</f>
        <v>1</v>
      </c>
      <c r="D3341">
        <v>32</v>
      </c>
      <c r="E3341" t="s">
        <v>174</v>
      </c>
      <c r="F3341">
        <v>100</v>
      </c>
      <c r="H3341">
        <v>2</v>
      </c>
      <c r="I3341">
        <v>1</v>
      </c>
      <c r="J3341">
        <v>2</v>
      </c>
      <c r="K3341">
        <v>2.7</v>
      </c>
      <c r="L3341">
        <v>5.2</v>
      </c>
      <c r="M3341" t="s">
        <v>177</v>
      </c>
      <c r="N3341" t="s">
        <v>162</v>
      </c>
    </row>
    <row r="3342" spans="1:14" x14ac:dyDescent="0.3">
      <c r="A3342" t="s">
        <v>177</v>
      </c>
      <c r="B3342">
        <f>VLOOKUP(M3342,Sheet9!$I$1:$J$17,2,FALSE)</f>
        <v>17</v>
      </c>
      <c r="C3342">
        <f>VLOOKUP(N3342,Sheet9!$M$1:$N$2,2,FALSE)</f>
        <v>1</v>
      </c>
      <c r="D3342">
        <v>32</v>
      </c>
      <c r="E3342" t="s">
        <v>174</v>
      </c>
      <c r="F3342">
        <v>100</v>
      </c>
      <c r="H3342">
        <v>6</v>
      </c>
      <c r="I3342">
        <v>0.6</v>
      </c>
      <c r="J3342">
        <v>3.6</v>
      </c>
      <c r="K3342">
        <v>4.4000000000000004</v>
      </c>
      <c r="L3342">
        <v>8.4</v>
      </c>
      <c r="M3342" t="s">
        <v>177</v>
      </c>
      <c r="N3342" t="s">
        <v>162</v>
      </c>
    </row>
    <row r="3343" spans="1:14" x14ac:dyDescent="0.3">
      <c r="A3343" t="s">
        <v>177</v>
      </c>
      <c r="B3343">
        <f>VLOOKUP(M3343,Sheet9!$I$1:$J$17,2,FALSE)</f>
        <v>17</v>
      </c>
      <c r="C3343">
        <f>VLOOKUP(N3343,Sheet9!$M$1:$N$2,2,FALSE)</f>
        <v>1</v>
      </c>
      <c r="D3343">
        <v>32</v>
      </c>
      <c r="E3343" t="s">
        <v>174</v>
      </c>
      <c r="F3343">
        <v>100</v>
      </c>
      <c r="H3343">
        <v>8</v>
      </c>
      <c r="I3343">
        <v>0.6</v>
      </c>
      <c r="J3343">
        <v>2.4</v>
      </c>
      <c r="K3343">
        <v>4.7</v>
      </c>
      <c r="L3343">
        <v>8.9</v>
      </c>
      <c r="M3343" t="s">
        <v>177</v>
      </c>
      <c r="N3343" t="s">
        <v>162</v>
      </c>
    </row>
    <row r="3344" spans="1:14" x14ac:dyDescent="0.3">
      <c r="A3344" t="s">
        <v>177</v>
      </c>
      <c r="B3344">
        <f>VLOOKUP(M3344,Sheet9!$I$1:$J$17,2,FALSE)</f>
        <v>17</v>
      </c>
      <c r="C3344">
        <f>VLOOKUP(N3344,Sheet9!$M$1:$N$2,2,FALSE)</f>
        <v>1</v>
      </c>
      <c r="D3344">
        <v>32</v>
      </c>
      <c r="E3344" t="s">
        <v>174</v>
      </c>
      <c r="F3344">
        <v>100</v>
      </c>
      <c r="H3344">
        <v>1</v>
      </c>
      <c r="I3344">
        <v>5</v>
      </c>
      <c r="J3344">
        <v>5</v>
      </c>
      <c r="K3344">
        <v>2.5</v>
      </c>
      <c r="L3344">
        <v>4.5999999999999996</v>
      </c>
      <c r="M3344" t="s">
        <v>177</v>
      </c>
      <c r="N3344" t="s">
        <v>162</v>
      </c>
    </row>
    <row r="3345" spans="1:14" x14ac:dyDescent="0.3">
      <c r="A3345" t="s">
        <v>177</v>
      </c>
      <c r="B3345">
        <f>VLOOKUP(M3345,Sheet9!$I$1:$J$17,2,FALSE)</f>
        <v>17</v>
      </c>
      <c r="C3345">
        <f>VLOOKUP(N3345,Sheet9!$M$1:$N$2,2,FALSE)</f>
        <v>1</v>
      </c>
      <c r="D3345">
        <v>32</v>
      </c>
      <c r="E3345" t="s">
        <v>174</v>
      </c>
      <c r="F3345">
        <v>100</v>
      </c>
      <c r="H3345">
        <v>10</v>
      </c>
      <c r="I3345">
        <v>0.6</v>
      </c>
      <c r="J3345">
        <v>6</v>
      </c>
      <c r="K3345">
        <v>3.3</v>
      </c>
      <c r="L3345">
        <v>6.1</v>
      </c>
      <c r="M3345" t="s">
        <v>177</v>
      </c>
      <c r="N3345" t="s">
        <v>162</v>
      </c>
    </row>
    <row r="3346" spans="1:14" x14ac:dyDescent="0.3">
      <c r="A3346" t="s">
        <v>177</v>
      </c>
      <c r="B3346">
        <f>VLOOKUP(M3346,Sheet9!$I$1:$J$17,2,FALSE)</f>
        <v>17</v>
      </c>
      <c r="C3346">
        <f>VLOOKUP(N3346,Sheet9!$M$1:$N$2,2,FALSE)</f>
        <v>1</v>
      </c>
      <c r="D3346">
        <v>32</v>
      </c>
      <c r="E3346" t="s">
        <v>174</v>
      </c>
      <c r="F3346">
        <v>100</v>
      </c>
      <c r="H3346">
        <v>1</v>
      </c>
      <c r="I3346">
        <v>10</v>
      </c>
      <c r="J3346">
        <v>10</v>
      </c>
      <c r="K3346">
        <v>2.5</v>
      </c>
      <c r="L3346">
        <v>4.5999999999999996</v>
      </c>
      <c r="M3346" t="s">
        <v>177</v>
      </c>
      <c r="N3346" t="s">
        <v>162</v>
      </c>
    </row>
    <row r="3347" spans="1:14" x14ac:dyDescent="0.3">
      <c r="A3347" t="s">
        <v>177</v>
      </c>
      <c r="B3347">
        <f>VLOOKUP(M3347,Sheet9!$I$1:$J$17,2,FALSE)</f>
        <v>17</v>
      </c>
      <c r="C3347">
        <f>VLOOKUP(N3347,Sheet9!$M$1:$N$2,2,FALSE)</f>
        <v>1</v>
      </c>
      <c r="D3347">
        <v>32</v>
      </c>
      <c r="E3347" t="s">
        <v>174</v>
      </c>
      <c r="F3347">
        <v>100</v>
      </c>
      <c r="H3347">
        <v>12</v>
      </c>
      <c r="I3347">
        <v>1.2</v>
      </c>
      <c r="J3347">
        <v>14.399999999999999</v>
      </c>
      <c r="K3347">
        <v>3.2</v>
      </c>
      <c r="L3347">
        <v>6</v>
      </c>
      <c r="M3347" t="s">
        <v>177</v>
      </c>
      <c r="N3347" t="s">
        <v>162</v>
      </c>
    </row>
    <row r="3348" spans="1:14" x14ac:dyDescent="0.3">
      <c r="A3348" t="s">
        <v>177</v>
      </c>
      <c r="B3348">
        <f>VLOOKUP(M3348,Sheet9!$I$1:$J$17,2,FALSE)</f>
        <v>17</v>
      </c>
      <c r="C3348">
        <f>VLOOKUP(N3348,Sheet9!$M$1:$N$2,2,FALSE)</f>
        <v>1</v>
      </c>
      <c r="D3348">
        <v>32</v>
      </c>
      <c r="E3348" t="s">
        <v>174</v>
      </c>
      <c r="F3348">
        <v>100</v>
      </c>
      <c r="H3348">
        <v>20</v>
      </c>
      <c r="I3348">
        <v>0.6</v>
      </c>
      <c r="J3348">
        <v>12</v>
      </c>
      <c r="K3348">
        <v>3.3</v>
      </c>
      <c r="L3348">
        <v>6.3</v>
      </c>
      <c r="M3348" t="s">
        <v>177</v>
      </c>
      <c r="N3348" t="s">
        <v>162</v>
      </c>
    </row>
    <row r="3349" spans="1:14" x14ac:dyDescent="0.3">
      <c r="A3349" t="s">
        <v>177</v>
      </c>
      <c r="B3349">
        <f>VLOOKUP(M3349,Sheet9!$I$1:$J$17,2,FALSE)</f>
        <v>17</v>
      </c>
      <c r="C3349">
        <f>VLOOKUP(N3349,Sheet9!$M$1:$N$2,2,FALSE)</f>
        <v>1</v>
      </c>
      <c r="D3349">
        <v>32</v>
      </c>
      <c r="E3349" t="s">
        <v>174</v>
      </c>
      <c r="F3349">
        <v>100</v>
      </c>
      <c r="H3349">
        <v>32</v>
      </c>
      <c r="I3349">
        <v>0.6</v>
      </c>
      <c r="J3349">
        <v>19.2</v>
      </c>
      <c r="K3349">
        <v>3.1</v>
      </c>
      <c r="L3349">
        <v>5.8</v>
      </c>
      <c r="M3349" t="s">
        <v>177</v>
      </c>
      <c r="N3349" t="s">
        <v>162</v>
      </c>
    </row>
    <row r="3350" spans="1:14" x14ac:dyDescent="0.3">
      <c r="A3350" t="s">
        <v>177</v>
      </c>
      <c r="B3350">
        <f>VLOOKUP(M3350,Sheet9!$I$1:$J$17,2,FALSE)</f>
        <v>17</v>
      </c>
      <c r="C3350">
        <f>VLOOKUP(N3350,Sheet9!$M$1:$N$2,2,FALSE)</f>
        <v>1</v>
      </c>
      <c r="D3350">
        <v>32</v>
      </c>
      <c r="E3350" t="s">
        <v>174</v>
      </c>
      <c r="F3350">
        <v>100</v>
      </c>
      <c r="H3350">
        <v>32</v>
      </c>
      <c r="I3350">
        <v>1.2</v>
      </c>
      <c r="J3350">
        <v>38.4</v>
      </c>
      <c r="K3350">
        <v>2.8</v>
      </c>
      <c r="L3350">
        <v>5.2</v>
      </c>
      <c r="M3350" t="s">
        <v>177</v>
      </c>
      <c r="N3350" t="s">
        <v>162</v>
      </c>
    </row>
    <row r="3351" spans="1:14" x14ac:dyDescent="0.3">
      <c r="A3351" t="s">
        <v>177</v>
      </c>
      <c r="B3351">
        <f>VLOOKUP(M3351,Sheet9!$I$1:$J$17,2,FALSE)</f>
        <v>17</v>
      </c>
      <c r="C3351">
        <f>VLOOKUP(N3351,Sheet9!$M$1:$N$2,2,FALSE)</f>
        <v>1</v>
      </c>
      <c r="D3351">
        <v>32</v>
      </c>
      <c r="E3351" t="s">
        <v>174</v>
      </c>
      <c r="F3351">
        <v>100</v>
      </c>
      <c r="H3351">
        <v>64</v>
      </c>
      <c r="I3351">
        <v>0.6</v>
      </c>
      <c r="J3351">
        <v>38.4</v>
      </c>
      <c r="K3351">
        <v>2.7</v>
      </c>
      <c r="L3351">
        <v>5.0999999999999996</v>
      </c>
      <c r="M3351" t="s">
        <v>177</v>
      </c>
      <c r="N3351" t="s">
        <v>162</v>
      </c>
    </row>
    <row r="3352" spans="1:14" x14ac:dyDescent="0.3">
      <c r="A3352" t="s">
        <v>177</v>
      </c>
      <c r="B3352">
        <f>VLOOKUP(M3352,Sheet9!$I$1:$J$17,2,FALSE)</f>
        <v>17</v>
      </c>
      <c r="C3352">
        <f>VLOOKUP(N3352,Sheet9!$M$1:$N$2,2,FALSE)</f>
        <v>1</v>
      </c>
      <c r="D3352">
        <v>32</v>
      </c>
      <c r="E3352" t="s">
        <v>174</v>
      </c>
      <c r="F3352">
        <v>120</v>
      </c>
      <c r="H3352">
        <v>2</v>
      </c>
      <c r="I3352">
        <v>1</v>
      </c>
      <c r="J3352">
        <v>2</v>
      </c>
      <c r="K3352">
        <v>4.7</v>
      </c>
      <c r="L3352">
        <v>8.3000000000000007</v>
      </c>
      <c r="M3352" t="s">
        <v>177</v>
      </c>
      <c r="N3352" t="s">
        <v>162</v>
      </c>
    </row>
    <row r="3353" spans="1:14" x14ac:dyDescent="0.3">
      <c r="A3353" t="s">
        <v>177</v>
      </c>
      <c r="B3353">
        <f>VLOOKUP(M3353,Sheet9!$I$1:$J$17,2,FALSE)</f>
        <v>17</v>
      </c>
      <c r="C3353">
        <f>VLOOKUP(N3353,Sheet9!$M$1:$N$2,2,FALSE)</f>
        <v>1</v>
      </c>
      <c r="D3353">
        <v>32</v>
      </c>
      <c r="E3353" t="s">
        <v>174</v>
      </c>
      <c r="F3353">
        <v>120</v>
      </c>
      <c r="H3353">
        <v>6</v>
      </c>
      <c r="I3353">
        <v>0.6</v>
      </c>
      <c r="J3353">
        <v>3.6</v>
      </c>
      <c r="K3353">
        <v>7.6</v>
      </c>
      <c r="L3353">
        <v>13.4</v>
      </c>
      <c r="M3353" t="s">
        <v>177</v>
      </c>
      <c r="N3353" t="s">
        <v>162</v>
      </c>
    </row>
    <row r="3354" spans="1:14" x14ac:dyDescent="0.3">
      <c r="A3354" t="s">
        <v>177</v>
      </c>
      <c r="B3354">
        <f>VLOOKUP(M3354,Sheet9!$I$1:$J$17,2,FALSE)</f>
        <v>17</v>
      </c>
      <c r="C3354">
        <f>VLOOKUP(N3354,Sheet9!$M$1:$N$2,2,FALSE)</f>
        <v>1</v>
      </c>
      <c r="D3354">
        <v>32</v>
      </c>
      <c r="E3354" t="s">
        <v>174</v>
      </c>
      <c r="F3354">
        <v>120</v>
      </c>
      <c r="H3354">
        <v>8</v>
      </c>
      <c r="I3354">
        <v>0.6</v>
      </c>
      <c r="J3354">
        <v>2.4</v>
      </c>
      <c r="K3354">
        <v>8</v>
      </c>
      <c r="L3354">
        <v>14.2</v>
      </c>
      <c r="M3354" t="s">
        <v>177</v>
      </c>
      <c r="N3354" t="s">
        <v>162</v>
      </c>
    </row>
    <row r="3355" spans="1:14" x14ac:dyDescent="0.3">
      <c r="A3355" t="s">
        <v>177</v>
      </c>
      <c r="B3355">
        <f>VLOOKUP(M3355,Sheet9!$I$1:$J$17,2,FALSE)</f>
        <v>17</v>
      </c>
      <c r="C3355">
        <f>VLOOKUP(N3355,Sheet9!$M$1:$N$2,2,FALSE)</f>
        <v>1</v>
      </c>
      <c r="D3355">
        <v>32</v>
      </c>
      <c r="E3355" t="s">
        <v>174</v>
      </c>
      <c r="F3355">
        <v>120</v>
      </c>
      <c r="H3355">
        <v>1</v>
      </c>
      <c r="I3355">
        <v>5</v>
      </c>
      <c r="J3355">
        <v>5</v>
      </c>
      <c r="K3355">
        <v>4.2</v>
      </c>
      <c r="L3355">
        <v>7.4</v>
      </c>
      <c r="M3355" t="s">
        <v>177</v>
      </c>
      <c r="N3355" t="s">
        <v>162</v>
      </c>
    </row>
    <row r="3356" spans="1:14" x14ac:dyDescent="0.3">
      <c r="A3356" t="s">
        <v>177</v>
      </c>
      <c r="B3356">
        <f>VLOOKUP(M3356,Sheet9!$I$1:$J$17,2,FALSE)</f>
        <v>17</v>
      </c>
      <c r="C3356">
        <f>VLOOKUP(N3356,Sheet9!$M$1:$N$2,2,FALSE)</f>
        <v>1</v>
      </c>
      <c r="D3356">
        <v>32</v>
      </c>
      <c r="E3356" t="s">
        <v>174</v>
      </c>
      <c r="F3356">
        <v>120</v>
      </c>
      <c r="H3356">
        <v>10</v>
      </c>
      <c r="I3356">
        <v>0.6</v>
      </c>
      <c r="J3356">
        <v>6</v>
      </c>
      <c r="K3356">
        <v>5.6</v>
      </c>
      <c r="L3356">
        <v>9.9</v>
      </c>
      <c r="M3356" t="s">
        <v>177</v>
      </c>
      <c r="N3356" t="s">
        <v>162</v>
      </c>
    </row>
    <row r="3357" spans="1:14" x14ac:dyDescent="0.3">
      <c r="A3357" t="s">
        <v>177</v>
      </c>
      <c r="B3357">
        <f>VLOOKUP(M3357,Sheet9!$I$1:$J$17,2,FALSE)</f>
        <v>17</v>
      </c>
      <c r="C3357">
        <f>VLOOKUP(N3357,Sheet9!$M$1:$N$2,2,FALSE)</f>
        <v>1</v>
      </c>
      <c r="D3357">
        <v>32</v>
      </c>
      <c r="E3357" t="s">
        <v>174</v>
      </c>
      <c r="F3357">
        <v>120</v>
      </c>
      <c r="H3357">
        <v>1</v>
      </c>
      <c r="I3357">
        <v>10</v>
      </c>
      <c r="J3357">
        <v>10</v>
      </c>
      <c r="K3357">
        <v>4.2</v>
      </c>
      <c r="L3357">
        <v>7.4</v>
      </c>
      <c r="M3357" t="s">
        <v>177</v>
      </c>
      <c r="N3357" t="s">
        <v>162</v>
      </c>
    </row>
    <row r="3358" spans="1:14" x14ac:dyDescent="0.3">
      <c r="A3358" t="s">
        <v>177</v>
      </c>
      <c r="B3358">
        <f>VLOOKUP(M3358,Sheet9!$I$1:$J$17,2,FALSE)</f>
        <v>17</v>
      </c>
      <c r="C3358">
        <f>VLOOKUP(N3358,Sheet9!$M$1:$N$2,2,FALSE)</f>
        <v>1</v>
      </c>
      <c r="D3358">
        <v>32</v>
      </c>
      <c r="E3358" t="s">
        <v>174</v>
      </c>
      <c r="F3358">
        <v>120</v>
      </c>
      <c r="H3358">
        <v>12</v>
      </c>
      <c r="I3358">
        <v>1.2</v>
      </c>
      <c r="J3358">
        <v>14.399999999999999</v>
      </c>
      <c r="K3358">
        <v>5.4</v>
      </c>
      <c r="L3358">
        <v>9.6</v>
      </c>
      <c r="M3358" t="s">
        <v>177</v>
      </c>
      <c r="N3358" t="s">
        <v>162</v>
      </c>
    </row>
    <row r="3359" spans="1:14" x14ac:dyDescent="0.3">
      <c r="A3359" t="s">
        <v>177</v>
      </c>
      <c r="B3359">
        <f>VLOOKUP(M3359,Sheet9!$I$1:$J$17,2,FALSE)</f>
        <v>17</v>
      </c>
      <c r="C3359">
        <f>VLOOKUP(N3359,Sheet9!$M$1:$N$2,2,FALSE)</f>
        <v>1</v>
      </c>
      <c r="D3359">
        <v>32</v>
      </c>
      <c r="E3359" t="s">
        <v>174</v>
      </c>
      <c r="F3359">
        <v>120</v>
      </c>
      <c r="H3359">
        <v>20</v>
      </c>
      <c r="I3359">
        <v>0.6</v>
      </c>
      <c r="J3359">
        <v>12</v>
      </c>
      <c r="K3359">
        <v>5.7</v>
      </c>
      <c r="L3359">
        <v>10</v>
      </c>
      <c r="M3359" t="s">
        <v>177</v>
      </c>
      <c r="N3359" t="s">
        <v>162</v>
      </c>
    </row>
    <row r="3360" spans="1:14" x14ac:dyDescent="0.3">
      <c r="A3360" t="s">
        <v>177</v>
      </c>
      <c r="B3360">
        <f>VLOOKUP(M3360,Sheet9!$I$1:$J$17,2,FALSE)</f>
        <v>17</v>
      </c>
      <c r="C3360">
        <f>VLOOKUP(N3360,Sheet9!$M$1:$N$2,2,FALSE)</f>
        <v>1</v>
      </c>
      <c r="D3360">
        <v>32</v>
      </c>
      <c r="E3360" t="s">
        <v>174</v>
      </c>
      <c r="F3360">
        <v>120</v>
      </c>
      <c r="H3360">
        <v>32</v>
      </c>
      <c r="I3360">
        <v>0.6</v>
      </c>
      <c r="J3360">
        <v>19.2</v>
      </c>
      <c r="K3360">
        <v>5.3</v>
      </c>
      <c r="L3360">
        <v>9.4</v>
      </c>
      <c r="M3360" t="s">
        <v>177</v>
      </c>
      <c r="N3360" t="s">
        <v>162</v>
      </c>
    </row>
    <row r="3361" spans="1:14" x14ac:dyDescent="0.3">
      <c r="A3361" t="s">
        <v>177</v>
      </c>
      <c r="B3361">
        <f>VLOOKUP(M3361,Sheet9!$I$1:$J$17,2,FALSE)</f>
        <v>17</v>
      </c>
      <c r="C3361">
        <f>VLOOKUP(N3361,Sheet9!$M$1:$N$2,2,FALSE)</f>
        <v>1</v>
      </c>
      <c r="D3361">
        <v>32</v>
      </c>
      <c r="E3361" t="s">
        <v>174</v>
      </c>
      <c r="F3361">
        <v>120</v>
      </c>
      <c r="H3361">
        <v>32</v>
      </c>
      <c r="I3361">
        <v>1.2</v>
      </c>
      <c r="J3361">
        <v>38.4</v>
      </c>
      <c r="K3361">
        <v>4.7</v>
      </c>
      <c r="L3361">
        <v>8.3000000000000007</v>
      </c>
      <c r="M3361" t="s">
        <v>177</v>
      </c>
      <c r="N3361" t="s">
        <v>162</v>
      </c>
    </row>
    <row r="3362" spans="1:14" x14ac:dyDescent="0.3">
      <c r="A3362" t="s">
        <v>177</v>
      </c>
      <c r="B3362">
        <f>VLOOKUP(M3362,Sheet9!$I$1:$J$17,2,FALSE)</f>
        <v>17</v>
      </c>
      <c r="C3362">
        <f>VLOOKUP(N3362,Sheet9!$M$1:$N$2,2,FALSE)</f>
        <v>1</v>
      </c>
      <c r="D3362">
        <v>32</v>
      </c>
      <c r="E3362" t="s">
        <v>174</v>
      </c>
      <c r="F3362">
        <v>120</v>
      </c>
      <c r="H3362">
        <v>64</v>
      </c>
      <c r="I3362">
        <v>0.6</v>
      </c>
      <c r="J3362">
        <v>38.4</v>
      </c>
      <c r="K3362">
        <v>4.5999999999999996</v>
      </c>
      <c r="L3362">
        <v>8.1999999999999993</v>
      </c>
      <c r="M3362" t="s">
        <v>177</v>
      </c>
      <c r="N3362" t="s">
        <v>162</v>
      </c>
    </row>
    <row r="3363" spans="1:14" x14ac:dyDescent="0.3">
      <c r="A3363" t="s">
        <v>177</v>
      </c>
      <c r="B3363">
        <f>VLOOKUP(M3363,Sheet9!$I$1:$J$17,2,FALSE)</f>
        <v>17</v>
      </c>
      <c r="C3363">
        <f>VLOOKUP(N3363,Sheet9!$M$1:$N$2,2,FALSE)</f>
        <v>1</v>
      </c>
      <c r="D3363">
        <v>32</v>
      </c>
      <c r="E3363" t="s">
        <v>174</v>
      </c>
      <c r="F3363">
        <v>140</v>
      </c>
      <c r="H3363">
        <v>2</v>
      </c>
      <c r="I3363">
        <v>1</v>
      </c>
      <c r="J3363">
        <v>2</v>
      </c>
      <c r="K3363">
        <v>7.3</v>
      </c>
      <c r="L3363">
        <v>12.4</v>
      </c>
      <c r="M3363" t="s">
        <v>177</v>
      </c>
      <c r="N3363" t="s">
        <v>162</v>
      </c>
    </row>
    <row r="3364" spans="1:14" x14ac:dyDescent="0.3">
      <c r="A3364" t="s">
        <v>177</v>
      </c>
      <c r="B3364">
        <f>VLOOKUP(M3364,Sheet9!$I$1:$J$17,2,FALSE)</f>
        <v>17</v>
      </c>
      <c r="C3364">
        <f>VLOOKUP(N3364,Sheet9!$M$1:$N$2,2,FALSE)</f>
        <v>1</v>
      </c>
      <c r="D3364">
        <v>32</v>
      </c>
      <c r="E3364" t="s">
        <v>174</v>
      </c>
      <c r="F3364">
        <v>140</v>
      </c>
      <c r="H3364">
        <v>6</v>
      </c>
      <c r="I3364">
        <v>0.6</v>
      </c>
      <c r="J3364">
        <v>3.6</v>
      </c>
      <c r="K3364">
        <v>11.8</v>
      </c>
      <c r="L3364">
        <v>20.100000000000001</v>
      </c>
      <c r="M3364" t="s">
        <v>177</v>
      </c>
      <c r="N3364" t="s">
        <v>162</v>
      </c>
    </row>
    <row r="3365" spans="1:14" x14ac:dyDescent="0.3">
      <c r="A3365" t="s">
        <v>177</v>
      </c>
      <c r="B3365">
        <f>VLOOKUP(M3365,Sheet9!$I$1:$J$17,2,FALSE)</f>
        <v>17</v>
      </c>
      <c r="C3365">
        <f>VLOOKUP(N3365,Sheet9!$M$1:$N$2,2,FALSE)</f>
        <v>1</v>
      </c>
      <c r="D3365">
        <v>32</v>
      </c>
      <c r="E3365" t="s">
        <v>174</v>
      </c>
      <c r="F3365">
        <v>140</v>
      </c>
      <c r="H3365">
        <v>8</v>
      </c>
      <c r="I3365">
        <v>0.6</v>
      </c>
      <c r="J3365">
        <v>2.4</v>
      </c>
      <c r="K3365">
        <v>12.6</v>
      </c>
      <c r="L3365">
        <v>21.2</v>
      </c>
      <c r="M3365" t="s">
        <v>177</v>
      </c>
      <c r="N3365" t="s">
        <v>162</v>
      </c>
    </row>
    <row r="3366" spans="1:14" x14ac:dyDescent="0.3">
      <c r="A3366" t="s">
        <v>177</v>
      </c>
      <c r="B3366">
        <f>VLOOKUP(M3366,Sheet9!$I$1:$J$17,2,FALSE)</f>
        <v>17</v>
      </c>
      <c r="C3366">
        <f>VLOOKUP(N3366,Sheet9!$M$1:$N$2,2,FALSE)</f>
        <v>1</v>
      </c>
      <c r="D3366">
        <v>32</v>
      </c>
      <c r="E3366" t="s">
        <v>174</v>
      </c>
      <c r="F3366">
        <v>140</v>
      </c>
      <c r="H3366">
        <v>1</v>
      </c>
      <c r="I3366">
        <v>5</v>
      </c>
      <c r="J3366">
        <v>5</v>
      </c>
      <c r="K3366">
        <v>6.6</v>
      </c>
      <c r="L3366">
        <v>11.1</v>
      </c>
      <c r="M3366" t="s">
        <v>177</v>
      </c>
      <c r="N3366" t="s">
        <v>162</v>
      </c>
    </row>
    <row r="3367" spans="1:14" x14ac:dyDescent="0.3">
      <c r="A3367" t="s">
        <v>177</v>
      </c>
      <c r="B3367">
        <f>VLOOKUP(M3367,Sheet9!$I$1:$J$17,2,FALSE)</f>
        <v>17</v>
      </c>
      <c r="C3367">
        <f>VLOOKUP(N3367,Sheet9!$M$1:$N$2,2,FALSE)</f>
        <v>1</v>
      </c>
      <c r="D3367">
        <v>32</v>
      </c>
      <c r="E3367" t="s">
        <v>174</v>
      </c>
      <c r="F3367">
        <v>140</v>
      </c>
      <c r="H3367">
        <v>10</v>
      </c>
      <c r="I3367">
        <v>0.6</v>
      </c>
      <c r="J3367">
        <v>6</v>
      </c>
      <c r="K3367">
        <v>8.6999999999999993</v>
      </c>
      <c r="L3367">
        <v>14.7</v>
      </c>
      <c r="M3367" t="s">
        <v>177</v>
      </c>
      <c r="N3367" t="s">
        <v>162</v>
      </c>
    </row>
    <row r="3368" spans="1:14" x14ac:dyDescent="0.3">
      <c r="A3368" t="s">
        <v>177</v>
      </c>
      <c r="B3368">
        <f>VLOOKUP(M3368,Sheet9!$I$1:$J$17,2,FALSE)</f>
        <v>17</v>
      </c>
      <c r="C3368">
        <f>VLOOKUP(N3368,Sheet9!$M$1:$N$2,2,FALSE)</f>
        <v>1</v>
      </c>
      <c r="D3368">
        <v>32</v>
      </c>
      <c r="E3368" t="s">
        <v>174</v>
      </c>
      <c r="F3368">
        <v>140</v>
      </c>
      <c r="H3368">
        <v>1</v>
      </c>
      <c r="I3368">
        <v>10</v>
      </c>
      <c r="J3368">
        <v>10</v>
      </c>
      <c r="K3368">
        <v>6.6</v>
      </c>
      <c r="L3368">
        <v>11.1</v>
      </c>
      <c r="M3368" t="s">
        <v>177</v>
      </c>
      <c r="N3368" t="s">
        <v>162</v>
      </c>
    </row>
    <row r="3369" spans="1:14" x14ac:dyDescent="0.3">
      <c r="A3369" t="s">
        <v>177</v>
      </c>
      <c r="B3369">
        <f>VLOOKUP(M3369,Sheet9!$I$1:$J$17,2,FALSE)</f>
        <v>17</v>
      </c>
      <c r="C3369">
        <f>VLOOKUP(N3369,Sheet9!$M$1:$N$2,2,FALSE)</f>
        <v>1</v>
      </c>
      <c r="D3369">
        <v>32</v>
      </c>
      <c r="E3369" t="s">
        <v>174</v>
      </c>
      <c r="F3369">
        <v>140</v>
      </c>
      <c r="H3369">
        <v>12</v>
      </c>
      <c r="I3369">
        <v>1.2</v>
      </c>
      <c r="J3369">
        <v>14.399999999999999</v>
      </c>
      <c r="K3369">
        <v>8.4</v>
      </c>
      <c r="L3369">
        <v>14.3</v>
      </c>
      <c r="M3369" t="s">
        <v>177</v>
      </c>
      <c r="N3369" t="s">
        <v>162</v>
      </c>
    </row>
    <row r="3370" spans="1:14" x14ac:dyDescent="0.3">
      <c r="A3370" t="s">
        <v>177</v>
      </c>
      <c r="B3370">
        <f>VLOOKUP(M3370,Sheet9!$I$1:$J$17,2,FALSE)</f>
        <v>17</v>
      </c>
      <c r="C3370">
        <f>VLOOKUP(N3370,Sheet9!$M$1:$N$2,2,FALSE)</f>
        <v>1</v>
      </c>
      <c r="D3370">
        <v>32</v>
      </c>
      <c r="E3370" t="s">
        <v>174</v>
      </c>
      <c r="F3370">
        <v>140</v>
      </c>
      <c r="H3370">
        <v>20</v>
      </c>
      <c r="I3370">
        <v>0.6</v>
      </c>
      <c r="J3370">
        <v>12</v>
      </c>
      <c r="K3370">
        <v>8.9</v>
      </c>
      <c r="L3370">
        <v>15</v>
      </c>
      <c r="M3370" t="s">
        <v>177</v>
      </c>
      <c r="N3370" t="s">
        <v>162</v>
      </c>
    </row>
    <row r="3371" spans="1:14" x14ac:dyDescent="0.3">
      <c r="A3371" t="s">
        <v>177</v>
      </c>
      <c r="B3371">
        <f>VLOOKUP(M3371,Sheet9!$I$1:$J$17,2,FALSE)</f>
        <v>17</v>
      </c>
      <c r="C3371">
        <f>VLOOKUP(N3371,Sheet9!$M$1:$N$2,2,FALSE)</f>
        <v>1</v>
      </c>
      <c r="D3371">
        <v>32</v>
      </c>
      <c r="E3371" t="s">
        <v>174</v>
      </c>
      <c r="F3371">
        <v>140</v>
      </c>
      <c r="H3371">
        <v>32</v>
      </c>
      <c r="I3371">
        <v>0.6</v>
      </c>
      <c r="J3371">
        <v>19.2</v>
      </c>
      <c r="K3371">
        <v>8.3000000000000007</v>
      </c>
      <c r="L3371">
        <v>14</v>
      </c>
      <c r="M3371" t="s">
        <v>177</v>
      </c>
      <c r="N3371" t="s">
        <v>162</v>
      </c>
    </row>
    <row r="3372" spans="1:14" x14ac:dyDescent="0.3">
      <c r="A3372" t="s">
        <v>177</v>
      </c>
      <c r="B3372">
        <f>VLOOKUP(M3372,Sheet9!$I$1:$J$17,2,FALSE)</f>
        <v>17</v>
      </c>
      <c r="C3372">
        <f>VLOOKUP(N3372,Sheet9!$M$1:$N$2,2,FALSE)</f>
        <v>1</v>
      </c>
      <c r="D3372">
        <v>32</v>
      </c>
      <c r="E3372" t="s">
        <v>174</v>
      </c>
      <c r="F3372">
        <v>140</v>
      </c>
      <c r="H3372">
        <v>32</v>
      </c>
      <c r="I3372">
        <v>1.2</v>
      </c>
      <c r="J3372">
        <v>38.4</v>
      </c>
      <c r="K3372">
        <v>7.3</v>
      </c>
      <c r="L3372">
        <v>12.5</v>
      </c>
      <c r="M3372" t="s">
        <v>177</v>
      </c>
      <c r="N3372" t="s">
        <v>162</v>
      </c>
    </row>
    <row r="3373" spans="1:14" x14ac:dyDescent="0.3">
      <c r="A3373" t="s">
        <v>177</v>
      </c>
      <c r="B3373">
        <f>VLOOKUP(M3373,Sheet9!$I$1:$J$17,2,FALSE)</f>
        <v>17</v>
      </c>
      <c r="C3373">
        <f>VLOOKUP(N3373,Sheet9!$M$1:$N$2,2,FALSE)</f>
        <v>1</v>
      </c>
      <c r="D3373">
        <v>32</v>
      </c>
      <c r="E3373" t="s">
        <v>174</v>
      </c>
      <c r="F3373">
        <v>140</v>
      </c>
      <c r="H3373">
        <v>64</v>
      </c>
      <c r="I3373">
        <v>0.6</v>
      </c>
      <c r="J3373">
        <v>38.4</v>
      </c>
      <c r="K3373">
        <v>7.2</v>
      </c>
      <c r="L3373">
        <v>12.2</v>
      </c>
      <c r="M3373" t="s">
        <v>177</v>
      </c>
      <c r="N3373" t="s">
        <v>162</v>
      </c>
    </row>
    <row r="3374" spans="1:14" x14ac:dyDescent="0.3">
      <c r="A3374" t="s">
        <v>177</v>
      </c>
      <c r="B3374">
        <f>VLOOKUP(M3374,Sheet9!$I$1:$J$17,2,FALSE)</f>
        <v>17</v>
      </c>
      <c r="C3374">
        <f>VLOOKUP(N3374,Sheet9!$M$1:$N$2,2,FALSE)</f>
        <v>1</v>
      </c>
      <c r="D3374">
        <v>32</v>
      </c>
      <c r="E3374" t="s">
        <v>174</v>
      </c>
      <c r="F3374">
        <v>140</v>
      </c>
      <c r="G3374" t="s">
        <v>139</v>
      </c>
      <c r="H3374">
        <v>2</v>
      </c>
      <c r="I3374">
        <v>1</v>
      </c>
      <c r="J3374">
        <v>2</v>
      </c>
      <c r="K3374">
        <v>2.5</v>
      </c>
      <c r="L3374">
        <v>3.7</v>
      </c>
      <c r="M3374" t="s">
        <v>177</v>
      </c>
      <c r="N3374" t="s">
        <v>162</v>
      </c>
    </row>
    <row r="3375" spans="1:14" x14ac:dyDescent="0.3">
      <c r="A3375" t="s">
        <v>177</v>
      </c>
      <c r="B3375">
        <f>VLOOKUP(M3375,Sheet9!$I$1:$J$17,2,FALSE)</f>
        <v>17</v>
      </c>
      <c r="C3375">
        <f>VLOOKUP(N3375,Sheet9!$M$1:$N$2,2,FALSE)</f>
        <v>1</v>
      </c>
      <c r="D3375">
        <v>32</v>
      </c>
      <c r="E3375" t="s">
        <v>174</v>
      </c>
      <c r="F3375">
        <v>140</v>
      </c>
      <c r="G3375" t="s">
        <v>139</v>
      </c>
      <c r="H3375">
        <v>6</v>
      </c>
      <c r="I3375">
        <v>0.6</v>
      </c>
      <c r="J3375">
        <v>3.6</v>
      </c>
      <c r="K3375">
        <v>4.0999999999999996</v>
      </c>
      <c r="L3375">
        <v>6</v>
      </c>
      <c r="M3375" t="s">
        <v>177</v>
      </c>
      <c r="N3375" t="s">
        <v>162</v>
      </c>
    </row>
    <row r="3376" spans="1:14" x14ac:dyDescent="0.3">
      <c r="A3376" t="s">
        <v>177</v>
      </c>
      <c r="B3376">
        <f>VLOOKUP(M3376,Sheet9!$I$1:$J$17,2,FALSE)</f>
        <v>17</v>
      </c>
      <c r="C3376">
        <f>VLOOKUP(N3376,Sheet9!$M$1:$N$2,2,FALSE)</f>
        <v>1</v>
      </c>
      <c r="D3376">
        <v>32</v>
      </c>
      <c r="E3376" t="s">
        <v>174</v>
      </c>
      <c r="F3376">
        <v>140</v>
      </c>
      <c r="G3376" t="s">
        <v>139</v>
      </c>
      <c r="H3376">
        <v>8</v>
      </c>
      <c r="I3376">
        <v>0.6</v>
      </c>
      <c r="J3376">
        <v>2.4</v>
      </c>
      <c r="K3376">
        <v>4.3</v>
      </c>
      <c r="L3376">
        <v>6.3</v>
      </c>
      <c r="M3376" t="s">
        <v>177</v>
      </c>
      <c r="N3376" t="s">
        <v>162</v>
      </c>
    </row>
    <row r="3377" spans="1:14" x14ac:dyDescent="0.3">
      <c r="A3377" t="s">
        <v>177</v>
      </c>
      <c r="B3377">
        <f>VLOOKUP(M3377,Sheet9!$I$1:$J$17,2,FALSE)</f>
        <v>17</v>
      </c>
      <c r="C3377">
        <f>VLOOKUP(N3377,Sheet9!$M$1:$N$2,2,FALSE)</f>
        <v>1</v>
      </c>
      <c r="D3377">
        <v>32</v>
      </c>
      <c r="E3377" t="s">
        <v>174</v>
      </c>
      <c r="F3377">
        <v>140</v>
      </c>
      <c r="G3377" t="s">
        <v>139</v>
      </c>
      <c r="H3377">
        <v>1</v>
      </c>
      <c r="I3377">
        <v>5</v>
      </c>
      <c r="J3377">
        <v>5</v>
      </c>
      <c r="K3377">
        <v>2.2999999999999998</v>
      </c>
      <c r="L3377">
        <v>3.3</v>
      </c>
      <c r="M3377" t="s">
        <v>177</v>
      </c>
      <c r="N3377" t="s">
        <v>162</v>
      </c>
    </row>
    <row r="3378" spans="1:14" x14ac:dyDescent="0.3">
      <c r="A3378" t="s">
        <v>177</v>
      </c>
      <c r="B3378">
        <f>VLOOKUP(M3378,Sheet9!$I$1:$J$17,2,FALSE)</f>
        <v>17</v>
      </c>
      <c r="C3378">
        <f>VLOOKUP(N3378,Sheet9!$M$1:$N$2,2,FALSE)</f>
        <v>1</v>
      </c>
      <c r="D3378">
        <v>32</v>
      </c>
      <c r="E3378" t="s">
        <v>174</v>
      </c>
      <c r="F3378">
        <v>140</v>
      </c>
      <c r="G3378" t="s">
        <v>139</v>
      </c>
      <c r="H3378">
        <v>10</v>
      </c>
      <c r="I3378">
        <v>0.6</v>
      </c>
      <c r="J3378">
        <v>6</v>
      </c>
      <c r="K3378">
        <v>3</v>
      </c>
      <c r="L3378">
        <v>4.4000000000000004</v>
      </c>
      <c r="M3378" t="s">
        <v>177</v>
      </c>
      <c r="N3378" t="s">
        <v>162</v>
      </c>
    </row>
    <row r="3379" spans="1:14" x14ac:dyDescent="0.3">
      <c r="A3379" t="s">
        <v>177</v>
      </c>
      <c r="B3379">
        <f>VLOOKUP(M3379,Sheet9!$I$1:$J$17,2,FALSE)</f>
        <v>17</v>
      </c>
      <c r="C3379">
        <f>VLOOKUP(N3379,Sheet9!$M$1:$N$2,2,FALSE)</f>
        <v>1</v>
      </c>
      <c r="D3379">
        <v>32</v>
      </c>
      <c r="E3379" t="s">
        <v>174</v>
      </c>
      <c r="F3379">
        <v>140</v>
      </c>
      <c r="G3379" t="s">
        <v>139</v>
      </c>
      <c r="H3379">
        <v>1</v>
      </c>
      <c r="I3379">
        <v>10</v>
      </c>
      <c r="J3379">
        <v>10</v>
      </c>
      <c r="K3379">
        <v>2.2999999999999998</v>
      </c>
      <c r="L3379">
        <v>3.3</v>
      </c>
      <c r="M3379" t="s">
        <v>177</v>
      </c>
      <c r="N3379" t="s">
        <v>162</v>
      </c>
    </row>
    <row r="3380" spans="1:14" x14ac:dyDescent="0.3">
      <c r="A3380" t="s">
        <v>177</v>
      </c>
      <c r="B3380">
        <f>VLOOKUP(M3380,Sheet9!$I$1:$J$17,2,FALSE)</f>
        <v>17</v>
      </c>
      <c r="C3380">
        <f>VLOOKUP(N3380,Sheet9!$M$1:$N$2,2,FALSE)</f>
        <v>1</v>
      </c>
      <c r="D3380">
        <v>32</v>
      </c>
      <c r="E3380" t="s">
        <v>174</v>
      </c>
      <c r="F3380">
        <v>140</v>
      </c>
      <c r="G3380" t="s">
        <v>139</v>
      </c>
      <c r="H3380">
        <v>12</v>
      </c>
      <c r="I3380">
        <v>1.2</v>
      </c>
      <c r="J3380">
        <v>14.399999999999999</v>
      </c>
      <c r="K3380">
        <v>2.9</v>
      </c>
      <c r="L3380">
        <v>4.2</v>
      </c>
      <c r="M3380" t="s">
        <v>177</v>
      </c>
      <c r="N3380" t="s">
        <v>162</v>
      </c>
    </row>
    <row r="3381" spans="1:14" x14ac:dyDescent="0.3">
      <c r="A3381" t="s">
        <v>177</v>
      </c>
      <c r="B3381">
        <f>VLOOKUP(M3381,Sheet9!$I$1:$J$17,2,FALSE)</f>
        <v>17</v>
      </c>
      <c r="C3381">
        <f>VLOOKUP(N3381,Sheet9!$M$1:$N$2,2,FALSE)</f>
        <v>1</v>
      </c>
      <c r="D3381">
        <v>32</v>
      </c>
      <c r="E3381" t="s">
        <v>174</v>
      </c>
      <c r="F3381">
        <v>140</v>
      </c>
      <c r="G3381" t="s">
        <v>139</v>
      </c>
      <c r="H3381">
        <v>20</v>
      </c>
      <c r="I3381">
        <v>0.6</v>
      </c>
      <c r="J3381">
        <v>12</v>
      </c>
      <c r="K3381">
        <v>3.1</v>
      </c>
      <c r="L3381">
        <v>4.5</v>
      </c>
      <c r="M3381" t="s">
        <v>177</v>
      </c>
      <c r="N3381" t="s">
        <v>162</v>
      </c>
    </row>
    <row r="3382" spans="1:14" x14ac:dyDescent="0.3">
      <c r="A3382" t="s">
        <v>177</v>
      </c>
      <c r="B3382">
        <f>VLOOKUP(M3382,Sheet9!$I$1:$J$17,2,FALSE)</f>
        <v>17</v>
      </c>
      <c r="C3382">
        <f>VLOOKUP(N3382,Sheet9!$M$1:$N$2,2,FALSE)</f>
        <v>1</v>
      </c>
      <c r="D3382">
        <v>32</v>
      </c>
      <c r="E3382" t="s">
        <v>174</v>
      </c>
      <c r="F3382">
        <v>140</v>
      </c>
      <c r="G3382" t="s">
        <v>139</v>
      </c>
      <c r="H3382">
        <v>32</v>
      </c>
      <c r="I3382">
        <v>0.6</v>
      </c>
      <c r="J3382">
        <v>19.2</v>
      </c>
      <c r="K3382">
        <v>2.8</v>
      </c>
      <c r="L3382">
        <v>4.0999999999999996</v>
      </c>
      <c r="M3382" t="s">
        <v>177</v>
      </c>
      <c r="N3382" t="s">
        <v>162</v>
      </c>
    </row>
    <row r="3383" spans="1:14" x14ac:dyDescent="0.3">
      <c r="A3383" t="s">
        <v>177</v>
      </c>
      <c r="B3383">
        <f>VLOOKUP(M3383,Sheet9!$I$1:$J$17,2,FALSE)</f>
        <v>17</v>
      </c>
      <c r="C3383">
        <f>VLOOKUP(N3383,Sheet9!$M$1:$N$2,2,FALSE)</f>
        <v>1</v>
      </c>
      <c r="D3383">
        <v>32</v>
      </c>
      <c r="E3383" t="s">
        <v>174</v>
      </c>
      <c r="F3383">
        <v>140</v>
      </c>
      <c r="G3383" t="s">
        <v>139</v>
      </c>
      <c r="H3383">
        <v>32</v>
      </c>
      <c r="I3383">
        <v>1.2</v>
      </c>
      <c r="J3383">
        <v>38.4</v>
      </c>
      <c r="K3383">
        <v>2.5</v>
      </c>
      <c r="L3383">
        <v>3.7</v>
      </c>
      <c r="M3383" t="s">
        <v>177</v>
      </c>
      <c r="N3383" t="s">
        <v>162</v>
      </c>
    </row>
    <row r="3384" spans="1:14" x14ac:dyDescent="0.3">
      <c r="A3384" t="s">
        <v>177</v>
      </c>
      <c r="B3384">
        <f>VLOOKUP(M3384,Sheet9!$I$1:$J$17,2,FALSE)</f>
        <v>17</v>
      </c>
      <c r="C3384">
        <f>VLOOKUP(N3384,Sheet9!$M$1:$N$2,2,FALSE)</f>
        <v>1</v>
      </c>
      <c r="D3384">
        <v>32</v>
      </c>
      <c r="E3384" t="s">
        <v>174</v>
      </c>
      <c r="F3384">
        <v>140</v>
      </c>
      <c r="G3384" t="s">
        <v>139</v>
      </c>
      <c r="H3384">
        <v>64</v>
      </c>
      <c r="I3384">
        <v>0.6</v>
      </c>
      <c r="J3384">
        <v>38.4</v>
      </c>
      <c r="K3384">
        <v>2.5</v>
      </c>
      <c r="L3384">
        <v>3.6</v>
      </c>
      <c r="M3384" t="s">
        <v>177</v>
      </c>
      <c r="N3384" t="s">
        <v>162</v>
      </c>
    </row>
    <row r="3385" spans="1:14" x14ac:dyDescent="0.3">
      <c r="A3385" t="s">
        <v>176</v>
      </c>
      <c r="B3385">
        <f>VLOOKUP(M3385,Sheet9!$I$1:$J$17,2,FALSE)</f>
        <v>3</v>
      </c>
      <c r="C3385">
        <f>VLOOKUP(N3385,Sheet9!$M$1:$N$2,2,FALSE)</f>
        <v>1</v>
      </c>
      <c r="D3385">
        <v>32</v>
      </c>
      <c r="E3385" t="s">
        <v>96</v>
      </c>
      <c r="F3385">
        <v>70</v>
      </c>
      <c r="H3385">
        <v>2</v>
      </c>
      <c r="I3385">
        <v>1</v>
      </c>
      <c r="J3385">
        <v>2</v>
      </c>
      <c r="K3385">
        <v>0.6</v>
      </c>
      <c r="L3385">
        <v>1</v>
      </c>
      <c r="M3385" t="s">
        <v>176</v>
      </c>
      <c r="N3385" t="s">
        <v>162</v>
      </c>
    </row>
    <row r="3386" spans="1:14" x14ac:dyDescent="0.3">
      <c r="A3386" t="s">
        <v>176</v>
      </c>
      <c r="B3386">
        <f>VLOOKUP(M3386,Sheet9!$I$1:$J$17,2,FALSE)</f>
        <v>3</v>
      </c>
      <c r="C3386">
        <f>VLOOKUP(N3386,Sheet9!$M$1:$N$2,2,FALSE)</f>
        <v>1</v>
      </c>
      <c r="D3386">
        <v>32</v>
      </c>
      <c r="E3386" t="s">
        <v>96</v>
      </c>
      <c r="F3386">
        <v>70</v>
      </c>
      <c r="H3386">
        <v>6</v>
      </c>
      <c r="I3386">
        <v>0.6</v>
      </c>
      <c r="J3386">
        <v>3.6</v>
      </c>
      <c r="K3386">
        <v>0.9</v>
      </c>
      <c r="L3386">
        <v>1.6</v>
      </c>
      <c r="M3386" t="s">
        <v>176</v>
      </c>
      <c r="N3386" t="s">
        <v>162</v>
      </c>
    </row>
    <row r="3387" spans="1:14" x14ac:dyDescent="0.3">
      <c r="A3387" t="s">
        <v>176</v>
      </c>
      <c r="B3387">
        <f>VLOOKUP(M3387,Sheet9!$I$1:$J$17,2,FALSE)</f>
        <v>3</v>
      </c>
      <c r="C3387">
        <f>VLOOKUP(N3387,Sheet9!$M$1:$N$2,2,FALSE)</f>
        <v>1</v>
      </c>
      <c r="D3387">
        <v>32</v>
      </c>
      <c r="E3387" t="s">
        <v>96</v>
      </c>
      <c r="F3387">
        <v>70</v>
      </c>
      <c r="H3387">
        <v>8</v>
      </c>
      <c r="I3387">
        <v>0.6</v>
      </c>
      <c r="J3387">
        <v>2.4</v>
      </c>
      <c r="K3387">
        <v>1</v>
      </c>
      <c r="L3387">
        <v>1.7</v>
      </c>
      <c r="M3387" t="s">
        <v>176</v>
      </c>
      <c r="N3387" t="s">
        <v>162</v>
      </c>
    </row>
    <row r="3388" spans="1:14" x14ac:dyDescent="0.3">
      <c r="A3388" t="s">
        <v>176</v>
      </c>
      <c r="B3388">
        <f>VLOOKUP(M3388,Sheet9!$I$1:$J$17,2,FALSE)</f>
        <v>3</v>
      </c>
      <c r="C3388">
        <f>VLOOKUP(N3388,Sheet9!$M$1:$N$2,2,FALSE)</f>
        <v>1</v>
      </c>
      <c r="D3388">
        <v>32</v>
      </c>
      <c r="E3388" t="s">
        <v>96</v>
      </c>
      <c r="F3388">
        <v>70</v>
      </c>
      <c r="H3388">
        <v>1</v>
      </c>
      <c r="I3388">
        <v>5</v>
      </c>
      <c r="J3388">
        <v>5</v>
      </c>
      <c r="K3388">
        <v>0.5</v>
      </c>
      <c r="L3388">
        <v>0.9</v>
      </c>
      <c r="M3388" t="s">
        <v>176</v>
      </c>
      <c r="N3388" t="s">
        <v>162</v>
      </c>
    </row>
    <row r="3389" spans="1:14" x14ac:dyDescent="0.3">
      <c r="A3389" t="s">
        <v>176</v>
      </c>
      <c r="B3389">
        <f>VLOOKUP(M3389,Sheet9!$I$1:$J$17,2,FALSE)</f>
        <v>3</v>
      </c>
      <c r="C3389">
        <f>VLOOKUP(N3389,Sheet9!$M$1:$N$2,2,FALSE)</f>
        <v>1</v>
      </c>
      <c r="D3389">
        <v>32</v>
      </c>
      <c r="E3389" t="s">
        <v>96</v>
      </c>
      <c r="F3389">
        <v>70</v>
      </c>
      <c r="H3389">
        <v>10</v>
      </c>
      <c r="I3389">
        <v>0.6</v>
      </c>
      <c r="J3389">
        <v>6</v>
      </c>
      <c r="K3389">
        <v>0.7</v>
      </c>
      <c r="L3389">
        <v>1.2</v>
      </c>
      <c r="M3389" t="s">
        <v>176</v>
      </c>
      <c r="N3389" t="s">
        <v>162</v>
      </c>
    </row>
    <row r="3390" spans="1:14" x14ac:dyDescent="0.3">
      <c r="A3390" t="s">
        <v>176</v>
      </c>
      <c r="B3390">
        <f>VLOOKUP(M3390,Sheet9!$I$1:$J$17,2,FALSE)</f>
        <v>3</v>
      </c>
      <c r="C3390">
        <f>VLOOKUP(N3390,Sheet9!$M$1:$N$2,2,FALSE)</f>
        <v>1</v>
      </c>
      <c r="D3390">
        <v>32</v>
      </c>
      <c r="E3390" t="s">
        <v>96</v>
      </c>
      <c r="F3390">
        <v>70</v>
      </c>
      <c r="H3390">
        <v>1</v>
      </c>
      <c r="I3390">
        <v>10</v>
      </c>
      <c r="J3390">
        <v>10</v>
      </c>
      <c r="K3390">
        <v>0.5</v>
      </c>
      <c r="L3390">
        <v>0.9</v>
      </c>
      <c r="M3390" t="s">
        <v>176</v>
      </c>
      <c r="N3390" t="s">
        <v>162</v>
      </c>
    </row>
    <row r="3391" spans="1:14" x14ac:dyDescent="0.3">
      <c r="A3391" t="s">
        <v>176</v>
      </c>
      <c r="B3391">
        <f>VLOOKUP(M3391,Sheet9!$I$1:$J$17,2,FALSE)</f>
        <v>3</v>
      </c>
      <c r="C3391">
        <f>VLOOKUP(N3391,Sheet9!$M$1:$N$2,2,FALSE)</f>
        <v>1</v>
      </c>
      <c r="D3391">
        <v>32</v>
      </c>
      <c r="E3391" t="s">
        <v>96</v>
      </c>
      <c r="F3391">
        <v>70</v>
      </c>
      <c r="H3391">
        <v>12</v>
      </c>
      <c r="I3391">
        <v>1.2</v>
      </c>
      <c r="J3391">
        <v>14.399999999999999</v>
      </c>
      <c r="K3391">
        <v>0.6</v>
      </c>
      <c r="L3391">
        <v>1.1000000000000001</v>
      </c>
      <c r="M3391" t="s">
        <v>176</v>
      </c>
      <c r="N3391" t="s">
        <v>162</v>
      </c>
    </row>
    <row r="3392" spans="1:14" x14ac:dyDescent="0.3">
      <c r="A3392" t="s">
        <v>176</v>
      </c>
      <c r="B3392">
        <f>VLOOKUP(M3392,Sheet9!$I$1:$J$17,2,FALSE)</f>
        <v>3</v>
      </c>
      <c r="C3392">
        <f>VLOOKUP(N3392,Sheet9!$M$1:$N$2,2,FALSE)</f>
        <v>1</v>
      </c>
      <c r="D3392">
        <v>32</v>
      </c>
      <c r="E3392" t="s">
        <v>96</v>
      </c>
      <c r="F3392">
        <v>70</v>
      </c>
      <c r="H3392">
        <v>20</v>
      </c>
      <c r="I3392">
        <v>0.6</v>
      </c>
      <c r="J3392">
        <v>12</v>
      </c>
      <c r="K3392">
        <v>0.7</v>
      </c>
      <c r="L3392">
        <v>1.2</v>
      </c>
      <c r="M3392" t="s">
        <v>176</v>
      </c>
      <c r="N3392" t="s">
        <v>162</v>
      </c>
    </row>
    <row r="3393" spans="1:14" x14ac:dyDescent="0.3">
      <c r="A3393" t="s">
        <v>176</v>
      </c>
      <c r="B3393">
        <f>VLOOKUP(M3393,Sheet9!$I$1:$J$17,2,FALSE)</f>
        <v>3</v>
      </c>
      <c r="C3393">
        <f>VLOOKUP(N3393,Sheet9!$M$1:$N$2,2,FALSE)</f>
        <v>1</v>
      </c>
      <c r="D3393">
        <v>32</v>
      </c>
      <c r="E3393" t="s">
        <v>96</v>
      </c>
      <c r="F3393">
        <v>70</v>
      </c>
      <c r="H3393">
        <v>32</v>
      </c>
      <c r="I3393">
        <v>0.6</v>
      </c>
      <c r="J3393">
        <v>19.2</v>
      </c>
      <c r="K3393">
        <v>0.6</v>
      </c>
      <c r="L3393">
        <v>1.1000000000000001</v>
      </c>
      <c r="M3393" t="s">
        <v>176</v>
      </c>
      <c r="N3393" t="s">
        <v>162</v>
      </c>
    </row>
    <row r="3394" spans="1:14" x14ac:dyDescent="0.3">
      <c r="A3394" t="s">
        <v>176</v>
      </c>
      <c r="B3394">
        <f>VLOOKUP(M3394,Sheet9!$I$1:$J$17,2,FALSE)</f>
        <v>3</v>
      </c>
      <c r="C3394">
        <f>VLOOKUP(N3394,Sheet9!$M$1:$N$2,2,FALSE)</f>
        <v>1</v>
      </c>
      <c r="D3394">
        <v>32</v>
      </c>
      <c r="E3394" t="s">
        <v>96</v>
      </c>
      <c r="F3394">
        <v>70</v>
      </c>
      <c r="H3394">
        <v>32</v>
      </c>
      <c r="I3394">
        <v>1.2</v>
      </c>
      <c r="J3394">
        <v>38.4</v>
      </c>
      <c r="K3394">
        <v>0.6</v>
      </c>
      <c r="L3394">
        <v>1</v>
      </c>
      <c r="M3394" t="s">
        <v>176</v>
      </c>
      <c r="N3394" t="s">
        <v>162</v>
      </c>
    </row>
    <row r="3395" spans="1:14" x14ac:dyDescent="0.3">
      <c r="A3395" t="s">
        <v>176</v>
      </c>
      <c r="B3395">
        <f>VLOOKUP(M3395,Sheet9!$I$1:$J$17,2,FALSE)</f>
        <v>3</v>
      </c>
      <c r="C3395">
        <f>VLOOKUP(N3395,Sheet9!$M$1:$N$2,2,FALSE)</f>
        <v>1</v>
      </c>
      <c r="D3395">
        <v>32</v>
      </c>
      <c r="E3395" t="s">
        <v>96</v>
      </c>
      <c r="F3395">
        <v>70</v>
      </c>
      <c r="H3395">
        <v>64</v>
      </c>
      <c r="I3395">
        <v>0.6</v>
      </c>
      <c r="J3395">
        <v>38.4</v>
      </c>
      <c r="K3395">
        <v>0.6</v>
      </c>
      <c r="L3395">
        <v>1</v>
      </c>
      <c r="M3395" t="s">
        <v>176</v>
      </c>
      <c r="N3395" t="s">
        <v>162</v>
      </c>
    </row>
    <row r="3396" spans="1:14" x14ac:dyDescent="0.3">
      <c r="A3396" t="s">
        <v>176</v>
      </c>
      <c r="B3396">
        <f>VLOOKUP(M3396,Sheet9!$I$1:$J$17,2,FALSE)</f>
        <v>3</v>
      </c>
      <c r="C3396">
        <f>VLOOKUP(N3396,Sheet9!$M$1:$N$2,2,FALSE)</f>
        <v>1</v>
      </c>
      <c r="D3396">
        <v>32</v>
      </c>
      <c r="E3396" t="s">
        <v>96</v>
      </c>
      <c r="F3396">
        <v>80</v>
      </c>
      <c r="H3396">
        <v>2</v>
      </c>
      <c r="I3396">
        <v>1</v>
      </c>
      <c r="J3396">
        <v>2</v>
      </c>
      <c r="K3396">
        <v>1</v>
      </c>
      <c r="L3396">
        <v>1.6</v>
      </c>
      <c r="M3396" t="s">
        <v>176</v>
      </c>
      <c r="N3396" t="s">
        <v>162</v>
      </c>
    </row>
    <row r="3397" spans="1:14" x14ac:dyDescent="0.3">
      <c r="A3397" t="s">
        <v>176</v>
      </c>
      <c r="B3397">
        <f>VLOOKUP(M3397,Sheet9!$I$1:$J$17,2,FALSE)</f>
        <v>3</v>
      </c>
      <c r="C3397">
        <f>VLOOKUP(N3397,Sheet9!$M$1:$N$2,2,FALSE)</f>
        <v>1</v>
      </c>
      <c r="D3397">
        <v>32</v>
      </c>
      <c r="E3397" t="s">
        <v>96</v>
      </c>
      <c r="F3397">
        <v>80</v>
      </c>
      <c r="H3397">
        <v>6</v>
      </c>
      <c r="I3397">
        <v>0.6</v>
      </c>
      <c r="J3397">
        <v>3.6</v>
      </c>
      <c r="K3397">
        <v>1.6</v>
      </c>
      <c r="L3397">
        <v>2.6</v>
      </c>
      <c r="M3397" t="s">
        <v>176</v>
      </c>
      <c r="N3397" t="s">
        <v>162</v>
      </c>
    </row>
    <row r="3398" spans="1:14" x14ac:dyDescent="0.3">
      <c r="A3398" t="s">
        <v>176</v>
      </c>
      <c r="B3398">
        <f>VLOOKUP(M3398,Sheet9!$I$1:$J$17,2,FALSE)</f>
        <v>3</v>
      </c>
      <c r="C3398">
        <f>VLOOKUP(N3398,Sheet9!$M$1:$N$2,2,FALSE)</f>
        <v>1</v>
      </c>
      <c r="D3398">
        <v>32</v>
      </c>
      <c r="E3398" t="s">
        <v>96</v>
      </c>
      <c r="F3398">
        <v>80</v>
      </c>
      <c r="H3398">
        <v>8</v>
      </c>
      <c r="I3398">
        <v>0.6</v>
      </c>
      <c r="J3398">
        <v>2.4</v>
      </c>
      <c r="K3398">
        <v>1.7</v>
      </c>
      <c r="L3398">
        <v>2.7</v>
      </c>
      <c r="M3398" t="s">
        <v>176</v>
      </c>
      <c r="N3398" t="s">
        <v>162</v>
      </c>
    </row>
    <row r="3399" spans="1:14" x14ac:dyDescent="0.3">
      <c r="A3399" t="s">
        <v>176</v>
      </c>
      <c r="B3399">
        <f>VLOOKUP(M3399,Sheet9!$I$1:$J$17,2,FALSE)</f>
        <v>3</v>
      </c>
      <c r="C3399">
        <f>VLOOKUP(N3399,Sheet9!$M$1:$N$2,2,FALSE)</f>
        <v>1</v>
      </c>
      <c r="D3399">
        <v>32</v>
      </c>
      <c r="E3399" t="s">
        <v>96</v>
      </c>
      <c r="F3399">
        <v>80</v>
      </c>
      <c r="H3399">
        <v>1</v>
      </c>
      <c r="I3399">
        <v>5</v>
      </c>
      <c r="J3399">
        <v>5</v>
      </c>
      <c r="K3399">
        <v>0.9</v>
      </c>
      <c r="L3399">
        <v>1.4</v>
      </c>
      <c r="M3399" t="s">
        <v>176</v>
      </c>
      <c r="N3399" t="s">
        <v>162</v>
      </c>
    </row>
    <row r="3400" spans="1:14" x14ac:dyDescent="0.3">
      <c r="A3400" t="s">
        <v>176</v>
      </c>
      <c r="B3400">
        <f>VLOOKUP(M3400,Sheet9!$I$1:$J$17,2,FALSE)</f>
        <v>3</v>
      </c>
      <c r="C3400">
        <f>VLOOKUP(N3400,Sheet9!$M$1:$N$2,2,FALSE)</f>
        <v>1</v>
      </c>
      <c r="D3400">
        <v>32</v>
      </c>
      <c r="E3400" t="s">
        <v>96</v>
      </c>
      <c r="F3400">
        <v>80</v>
      </c>
      <c r="H3400">
        <v>10</v>
      </c>
      <c r="I3400">
        <v>0.6</v>
      </c>
      <c r="J3400">
        <v>6</v>
      </c>
      <c r="K3400">
        <v>1.2</v>
      </c>
      <c r="L3400">
        <v>1.9</v>
      </c>
      <c r="M3400" t="s">
        <v>176</v>
      </c>
      <c r="N3400" t="s">
        <v>162</v>
      </c>
    </row>
    <row r="3401" spans="1:14" x14ac:dyDescent="0.3">
      <c r="A3401" t="s">
        <v>176</v>
      </c>
      <c r="B3401">
        <f>VLOOKUP(M3401,Sheet9!$I$1:$J$17,2,FALSE)</f>
        <v>3</v>
      </c>
      <c r="C3401">
        <f>VLOOKUP(N3401,Sheet9!$M$1:$N$2,2,FALSE)</f>
        <v>1</v>
      </c>
      <c r="D3401">
        <v>32</v>
      </c>
      <c r="E3401" t="s">
        <v>96</v>
      </c>
      <c r="F3401">
        <v>80</v>
      </c>
      <c r="H3401">
        <v>1</v>
      </c>
      <c r="I3401">
        <v>10</v>
      </c>
      <c r="J3401">
        <v>10</v>
      </c>
      <c r="K3401">
        <v>0.9</v>
      </c>
      <c r="L3401">
        <v>1.4</v>
      </c>
      <c r="M3401" t="s">
        <v>176</v>
      </c>
      <c r="N3401" t="s">
        <v>162</v>
      </c>
    </row>
    <row r="3402" spans="1:14" x14ac:dyDescent="0.3">
      <c r="A3402" t="s">
        <v>176</v>
      </c>
      <c r="B3402">
        <f>VLOOKUP(M3402,Sheet9!$I$1:$J$17,2,FALSE)</f>
        <v>3</v>
      </c>
      <c r="C3402">
        <f>VLOOKUP(N3402,Sheet9!$M$1:$N$2,2,FALSE)</f>
        <v>1</v>
      </c>
      <c r="D3402">
        <v>32</v>
      </c>
      <c r="E3402" t="s">
        <v>96</v>
      </c>
      <c r="F3402">
        <v>80</v>
      </c>
      <c r="H3402">
        <v>12</v>
      </c>
      <c r="I3402">
        <v>1.2</v>
      </c>
      <c r="J3402">
        <v>14.399999999999999</v>
      </c>
      <c r="K3402">
        <v>1.1000000000000001</v>
      </c>
      <c r="L3402">
        <v>1.9</v>
      </c>
      <c r="M3402" t="s">
        <v>176</v>
      </c>
      <c r="N3402" t="s">
        <v>162</v>
      </c>
    </row>
    <row r="3403" spans="1:14" x14ac:dyDescent="0.3">
      <c r="A3403" t="s">
        <v>176</v>
      </c>
      <c r="B3403">
        <f>VLOOKUP(M3403,Sheet9!$I$1:$J$17,2,FALSE)</f>
        <v>3</v>
      </c>
      <c r="C3403">
        <f>VLOOKUP(N3403,Sheet9!$M$1:$N$2,2,FALSE)</f>
        <v>1</v>
      </c>
      <c r="D3403">
        <v>32</v>
      </c>
      <c r="E3403" t="s">
        <v>96</v>
      </c>
      <c r="F3403">
        <v>80</v>
      </c>
      <c r="H3403">
        <v>20</v>
      </c>
      <c r="I3403">
        <v>0.6</v>
      </c>
      <c r="J3403">
        <v>12</v>
      </c>
      <c r="K3403">
        <v>1.2</v>
      </c>
      <c r="L3403">
        <v>1.9</v>
      </c>
      <c r="M3403" t="s">
        <v>176</v>
      </c>
      <c r="N3403" t="s">
        <v>162</v>
      </c>
    </row>
    <row r="3404" spans="1:14" x14ac:dyDescent="0.3">
      <c r="A3404" t="s">
        <v>176</v>
      </c>
      <c r="B3404">
        <f>VLOOKUP(M3404,Sheet9!$I$1:$J$17,2,FALSE)</f>
        <v>3</v>
      </c>
      <c r="C3404">
        <f>VLOOKUP(N3404,Sheet9!$M$1:$N$2,2,FALSE)</f>
        <v>1</v>
      </c>
      <c r="D3404">
        <v>32</v>
      </c>
      <c r="E3404" t="s">
        <v>96</v>
      </c>
      <c r="F3404">
        <v>80</v>
      </c>
      <c r="H3404">
        <v>32</v>
      </c>
      <c r="I3404">
        <v>0.6</v>
      </c>
      <c r="J3404">
        <v>19.2</v>
      </c>
      <c r="K3404">
        <v>1.1000000000000001</v>
      </c>
      <c r="L3404">
        <v>1.8</v>
      </c>
      <c r="M3404" t="s">
        <v>176</v>
      </c>
      <c r="N3404" t="s">
        <v>162</v>
      </c>
    </row>
    <row r="3405" spans="1:14" x14ac:dyDescent="0.3">
      <c r="A3405" t="s">
        <v>176</v>
      </c>
      <c r="B3405">
        <f>VLOOKUP(M3405,Sheet9!$I$1:$J$17,2,FALSE)</f>
        <v>3</v>
      </c>
      <c r="C3405">
        <f>VLOOKUP(N3405,Sheet9!$M$1:$N$2,2,FALSE)</f>
        <v>1</v>
      </c>
      <c r="D3405">
        <v>32</v>
      </c>
      <c r="E3405" t="s">
        <v>96</v>
      </c>
      <c r="F3405">
        <v>80</v>
      </c>
      <c r="H3405">
        <v>32</v>
      </c>
      <c r="I3405">
        <v>1.2</v>
      </c>
      <c r="J3405">
        <v>38.4</v>
      </c>
      <c r="K3405">
        <v>1</v>
      </c>
      <c r="L3405">
        <v>1.6</v>
      </c>
      <c r="M3405" t="s">
        <v>176</v>
      </c>
      <c r="N3405" t="s">
        <v>162</v>
      </c>
    </row>
    <row r="3406" spans="1:14" x14ac:dyDescent="0.3">
      <c r="A3406" t="s">
        <v>176</v>
      </c>
      <c r="B3406">
        <f>VLOOKUP(M3406,Sheet9!$I$1:$J$17,2,FALSE)</f>
        <v>3</v>
      </c>
      <c r="C3406">
        <f>VLOOKUP(N3406,Sheet9!$M$1:$N$2,2,FALSE)</f>
        <v>1</v>
      </c>
      <c r="D3406">
        <v>32</v>
      </c>
      <c r="E3406" t="s">
        <v>96</v>
      </c>
      <c r="F3406">
        <v>80</v>
      </c>
      <c r="H3406">
        <v>64</v>
      </c>
      <c r="I3406">
        <v>0.6</v>
      </c>
      <c r="J3406">
        <v>38.4</v>
      </c>
      <c r="K3406">
        <v>1</v>
      </c>
      <c r="L3406">
        <v>1.6</v>
      </c>
      <c r="M3406" t="s">
        <v>176</v>
      </c>
      <c r="N3406" t="s">
        <v>162</v>
      </c>
    </row>
    <row r="3407" spans="1:14" x14ac:dyDescent="0.3">
      <c r="A3407" t="s">
        <v>176</v>
      </c>
      <c r="B3407">
        <f>VLOOKUP(M3407,Sheet9!$I$1:$J$17,2,FALSE)</f>
        <v>3</v>
      </c>
      <c r="C3407">
        <f>VLOOKUP(N3407,Sheet9!$M$1:$N$2,2,FALSE)</f>
        <v>1</v>
      </c>
      <c r="D3407">
        <v>32</v>
      </c>
      <c r="E3407" t="s">
        <v>96</v>
      </c>
      <c r="F3407">
        <v>100</v>
      </c>
      <c r="H3407">
        <v>2</v>
      </c>
      <c r="I3407">
        <v>1</v>
      </c>
      <c r="J3407">
        <v>2</v>
      </c>
      <c r="K3407">
        <v>2.2000000000000002</v>
      </c>
      <c r="L3407">
        <v>3.4</v>
      </c>
      <c r="M3407" t="s">
        <v>176</v>
      </c>
      <c r="N3407" t="s">
        <v>162</v>
      </c>
    </row>
    <row r="3408" spans="1:14" x14ac:dyDescent="0.3">
      <c r="A3408" t="s">
        <v>176</v>
      </c>
      <c r="B3408">
        <f>VLOOKUP(M3408,Sheet9!$I$1:$J$17,2,FALSE)</f>
        <v>3</v>
      </c>
      <c r="C3408">
        <f>VLOOKUP(N3408,Sheet9!$M$1:$N$2,2,FALSE)</f>
        <v>1</v>
      </c>
      <c r="D3408">
        <v>32</v>
      </c>
      <c r="E3408" t="s">
        <v>96</v>
      </c>
      <c r="F3408">
        <v>100</v>
      </c>
      <c r="H3408">
        <v>6</v>
      </c>
      <c r="I3408">
        <v>0.6</v>
      </c>
      <c r="J3408">
        <v>3.6</v>
      </c>
      <c r="K3408">
        <v>3.6</v>
      </c>
      <c r="L3408">
        <v>5.5</v>
      </c>
      <c r="M3408" t="s">
        <v>176</v>
      </c>
      <c r="N3408" t="s">
        <v>162</v>
      </c>
    </row>
    <row r="3409" spans="1:14" x14ac:dyDescent="0.3">
      <c r="A3409" t="s">
        <v>176</v>
      </c>
      <c r="B3409">
        <f>VLOOKUP(M3409,Sheet9!$I$1:$J$17,2,FALSE)</f>
        <v>3</v>
      </c>
      <c r="C3409">
        <f>VLOOKUP(N3409,Sheet9!$M$1:$N$2,2,FALSE)</f>
        <v>1</v>
      </c>
      <c r="D3409">
        <v>32</v>
      </c>
      <c r="E3409" t="s">
        <v>96</v>
      </c>
      <c r="F3409">
        <v>100</v>
      </c>
      <c r="H3409">
        <v>8</v>
      </c>
      <c r="I3409">
        <v>0.6</v>
      </c>
      <c r="J3409">
        <v>2.4</v>
      </c>
      <c r="K3409">
        <v>3.8</v>
      </c>
      <c r="L3409">
        <v>5.8</v>
      </c>
      <c r="M3409" t="s">
        <v>176</v>
      </c>
      <c r="N3409" t="s">
        <v>162</v>
      </c>
    </row>
    <row r="3410" spans="1:14" x14ac:dyDescent="0.3">
      <c r="A3410" t="s">
        <v>176</v>
      </c>
      <c r="B3410">
        <f>VLOOKUP(M3410,Sheet9!$I$1:$J$17,2,FALSE)</f>
        <v>3</v>
      </c>
      <c r="C3410">
        <f>VLOOKUP(N3410,Sheet9!$M$1:$N$2,2,FALSE)</f>
        <v>1</v>
      </c>
      <c r="D3410">
        <v>32</v>
      </c>
      <c r="E3410" t="s">
        <v>96</v>
      </c>
      <c r="F3410">
        <v>100</v>
      </c>
      <c r="H3410">
        <v>1</v>
      </c>
      <c r="I3410">
        <v>5</v>
      </c>
      <c r="J3410">
        <v>5</v>
      </c>
      <c r="K3410">
        <v>2</v>
      </c>
      <c r="L3410">
        <v>3</v>
      </c>
      <c r="M3410" t="s">
        <v>176</v>
      </c>
      <c r="N3410" t="s">
        <v>162</v>
      </c>
    </row>
    <row r="3411" spans="1:14" x14ac:dyDescent="0.3">
      <c r="A3411" t="s">
        <v>176</v>
      </c>
      <c r="B3411">
        <f>VLOOKUP(M3411,Sheet9!$I$1:$J$17,2,FALSE)</f>
        <v>3</v>
      </c>
      <c r="C3411">
        <f>VLOOKUP(N3411,Sheet9!$M$1:$N$2,2,FALSE)</f>
        <v>1</v>
      </c>
      <c r="D3411">
        <v>32</v>
      </c>
      <c r="E3411" t="s">
        <v>96</v>
      </c>
      <c r="F3411">
        <v>100</v>
      </c>
      <c r="H3411">
        <v>10</v>
      </c>
      <c r="I3411">
        <v>0.6</v>
      </c>
      <c r="J3411">
        <v>6</v>
      </c>
      <c r="K3411">
        <v>2.6</v>
      </c>
      <c r="L3411">
        <v>4</v>
      </c>
      <c r="M3411" t="s">
        <v>176</v>
      </c>
      <c r="N3411" t="s">
        <v>162</v>
      </c>
    </row>
    <row r="3412" spans="1:14" x14ac:dyDescent="0.3">
      <c r="A3412" t="s">
        <v>176</v>
      </c>
      <c r="B3412">
        <f>VLOOKUP(M3412,Sheet9!$I$1:$J$17,2,FALSE)</f>
        <v>3</v>
      </c>
      <c r="C3412">
        <f>VLOOKUP(N3412,Sheet9!$M$1:$N$2,2,FALSE)</f>
        <v>1</v>
      </c>
      <c r="D3412">
        <v>32</v>
      </c>
      <c r="E3412" t="s">
        <v>96</v>
      </c>
      <c r="F3412">
        <v>100</v>
      </c>
      <c r="H3412">
        <v>1</v>
      </c>
      <c r="I3412">
        <v>10</v>
      </c>
      <c r="J3412">
        <v>10</v>
      </c>
      <c r="K3412">
        <v>2</v>
      </c>
      <c r="L3412">
        <v>3</v>
      </c>
      <c r="M3412" t="s">
        <v>176</v>
      </c>
      <c r="N3412" t="s">
        <v>162</v>
      </c>
    </row>
    <row r="3413" spans="1:14" x14ac:dyDescent="0.3">
      <c r="A3413" t="s">
        <v>176</v>
      </c>
      <c r="B3413">
        <f>VLOOKUP(M3413,Sheet9!$I$1:$J$17,2,FALSE)</f>
        <v>3</v>
      </c>
      <c r="C3413">
        <f>VLOOKUP(N3413,Sheet9!$M$1:$N$2,2,FALSE)</f>
        <v>1</v>
      </c>
      <c r="D3413">
        <v>32</v>
      </c>
      <c r="E3413" t="s">
        <v>96</v>
      </c>
      <c r="F3413">
        <v>100</v>
      </c>
      <c r="H3413">
        <v>12</v>
      </c>
      <c r="I3413">
        <v>1.2</v>
      </c>
      <c r="J3413">
        <v>14.399999999999999</v>
      </c>
      <c r="K3413">
        <v>2.6</v>
      </c>
      <c r="L3413">
        <v>3.9</v>
      </c>
      <c r="M3413" t="s">
        <v>176</v>
      </c>
      <c r="N3413" t="s">
        <v>162</v>
      </c>
    </row>
    <row r="3414" spans="1:14" x14ac:dyDescent="0.3">
      <c r="A3414" t="s">
        <v>176</v>
      </c>
      <c r="B3414">
        <f>VLOOKUP(M3414,Sheet9!$I$1:$J$17,2,FALSE)</f>
        <v>3</v>
      </c>
      <c r="C3414">
        <f>VLOOKUP(N3414,Sheet9!$M$1:$N$2,2,FALSE)</f>
        <v>1</v>
      </c>
      <c r="D3414">
        <v>32</v>
      </c>
      <c r="E3414" t="s">
        <v>96</v>
      </c>
      <c r="F3414">
        <v>100</v>
      </c>
      <c r="H3414">
        <v>20</v>
      </c>
      <c r="I3414">
        <v>0.6</v>
      </c>
      <c r="J3414">
        <v>12</v>
      </c>
      <c r="K3414">
        <v>2.7</v>
      </c>
      <c r="L3414">
        <v>4.0999999999999996</v>
      </c>
      <c r="M3414" t="s">
        <v>176</v>
      </c>
      <c r="N3414" t="s">
        <v>162</v>
      </c>
    </row>
    <row r="3415" spans="1:14" x14ac:dyDescent="0.3">
      <c r="A3415" t="s">
        <v>176</v>
      </c>
      <c r="B3415">
        <f>VLOOKUP(M3415,Sheet9!$I$1:$J$17,2,FALSE)</f>
        <v>3</v>
      </c>
      <c r="C3415">
        <f>VLOOKUP(N3415,Sheet9!$M$1:$N$2,2,FALSE)</f>
        <v>1</v>
      </c>
      <c r="D3415">
        <v>32</v>
      </c>
      <c r="E3415" t="s">
        <v>96</v>
      </c>
      <c r="F3415">
        <v>100</v>
      </c>
      <c r="H3415">
        <v>32</v>
      </c>
      <c r="I3415">
        <v>0.6</v>
      </c>
      <c r="J3415">
        <v>19.2</v>
      </c>
      <c r="K3415">
        <v>2.5</v>
      </c>
      <c r="L3415">
        <v>3.8</v>
      </c>
      <c r="M3415" t="s">
        <v>176</v>
      </c>
      <c r="N3415" t="s">
        <v>162</v>
      </c>
    </row>
    <row r="3416" spans="1:14" x14ac:dyDescent="0.3">
      <c r="A3416" t="s">
        <v>176</v>
      </c>
      <c r="B3416">
        <f>VLOOKUP(M3416,Sheet9!$I$1:$J$17,2,FALSE)</f>
        <v>3</v>
      </c>
      <c r="C3416">
        <f>VLOOKUP(N3416,Sheet9!$M$1:$N$2,2,FALSE)</f>
        <v>1</v>
      </c>
      <c r="D3416">
        <v>32</v>
      </c>
      <c r="E3416" t="s">
        <v>96</v>
      </c>
      <c r="F3416">
        <v>100</v>
      </c>
      <c r="H3416">
        <v>32</v>
      </c>
      <c r="I3416">
        <v>1.2</v>
      </c>
      <c r="J3416">
        <v>38.4</v>
      </c>
      <c r="K3416">
        <v>2.2000000000000002</v>
      </c>
      <c r="L3416">
        <v>3.4</v>
      </c>
      <c r="M3416" t="s">
        <v>176</v>
      </c>
      <c r="N3416" t="s">
        <v>162</v>
      </c>
    </row>
    <row r="3417" spans="1:14" x14ac:dyDescent="0.3">
      <c r="A3417" t="s">
        <v>176</v>
      </c>
      <c r="B3417">
        <f>VLOOKUP(M3417,Sheet9!$I$1:$J$17,2,FALSE)</f>
        <v>3</v>
      </c>
      <c r="C3417">
        <f>VLOOKUP(N3417,Sheet9!$M$1:$N$2,2,FALSE)</f>
        <v>1</v>
      </c>
      <c r="D3417">
        <v>32</v>
      </c>
      <c r="E3417" t="s">
        <v>96</v>
      </c>
      <c r="F3417">
        <v>100</v>
      </c>
      <c r="H3417">
        <v>64</v>
      </c>
      <c r="I3417">
        <v>0.6</v>
      </c>
      <c r="J3417">
        <v>38.4</v>
      </c>
      <c r="K3417">
        <v>2.2000000000000002</v>
      </c>
      <c r="L3417">
        <v>3.3</v>
      </c>
      <c r="M3417" t="s">
        <v>176</v>
      </c>
      <c r="N3417" t="s">
        <v>162</v>
      </c>
    </row>
    <row r="3418" spans="1:14" x14ac:dyDescent="0.3">
      <c r="A3418" t="s">
        <v>176</v>
      </c>
      <c r="B3418">
        <f>VLOOKUP(M3418,Sheet9!$I$1:$J$17,2,FALSE)</f>
        <v>3</v>
      </c>
      <c r="C3418">
        <f>VLOOKUP(N3418,Sheet9!$M$1:$N$2,2,FALSE)</f>
        <v>1</v>
      </c>
      <c r="D3418">
        <v>32</v>
      </c>
      <c r="E3418" t="s">
        <v>96</v>
      </c>
      <c r="F3418">
        <v>120</v>
      </c>
      <c r="H3418">
        <v>2</v>
      </c>
      <c r="I3418">
        <v>1</v>
      </c>
      <c r="J3418">
        <v>2</v>
      </c>
      <c r="K3418">
        <v>3.9</v>
      </c>
      <c r="L3418">
        <v>5.6</v>
      </c>
      <c r="M3418" t="s">
        <v>176</v>
      </c>
      <c r="N3418" t="s">
        <v>162</v>
      </c>
    </row>
    <row r="3419" spans="1:14" x14ac:dyDescent="0.3">
      <c r="A3419" t="s">
        <v>176</v>
      </c>
      <c r="B3419">
        <f>VLOOKUP(M3419,Sheet9!$I$1:$J$17,2,FALSE)</f>
        <v>3</v>
      </c>
      <c r="C3419">
        <f>VLOOKUP(N3419,Sheet9!$M$1:$N$2,2,FALSE)</f>
        <v>1</v>
      </c>
      <c r="D3419">
        <v>32</v>
      </c>
      <c r="E3419" t="s">
        <v>96</v>
      </c>
      <c r="F3419">
        <v>120</v>
      </c>
      <c r="H3419">
        <v>6</v>
      </c>
      <c r="I3419">
        <v>0.6</v>
      </c>
      <c r="J3419">
        <v>3.6</v>
      </c>
      <c r="K3419">
        <v>6.3</v>
      </c>
      <c r="L3419">
        <v>9.1</v>
      </c>
      <c r="M3419" t="s">
        <v>176</v>
      </c>
      <c r="N3419" t="s">
        <v>162</v>
      </c>
    </row>
    <row r="3420" spans="1:14" x14ac:dyDescent="0.3">
      <c r="A3420" t="s">
        <v>176</v>
      </c>
      <c r="B3420">
        <f>VLOOKUP(M3420,Sheet9!$I$1:$J$17,2,FALSE)</f>
        <v>3</v>
      </c>
      <c r="C3420">
        <f>VLOOKUP(N3420,Sheet9!$M$1:$N$2,2,FALSE)</f>
        <v>1</v>
      </c>
      <c r="D3420">
        <v>32</v>
      </c>
      <c r="E3420" t="s">
        <v>96</v>
      </c>
      <c r="F3420">
        <v>120</v>
      </c>
      <c r="H3420">
        <v>8</v>
      </c>
      <c r="I3420">
        <v>0.6</v>
      </c>
      <c r="J3420">
        <v>2.4</v>
      </c>
      <c r="K3420">
        <v>6.7</v>
      </c>
      <c r="L3420">
        <v>9.6</v>
      </c>
      <c r="M3420" t="s">
        <v>176</v>
      </c>
      <c r="N3420" t="s">
        <v>162</v>
      </c>
    </row>
    <row r="3421" spans="1:14" x14ac:dyDescent="0.3">
      <c r="A3421" t="s">
        <v>176</v>
      </c>
      <c r="B3421">
        <f>VLOOKUP(M3421,Sheet9!$I$1:$J$17,2,FALSE)</f>
        <v>3</v>
      </c>
      <c r="C3421">
        <f>VLOOKUP(N3421,Sheet9!$M$1:$N$2,2,FALSE)</f>
        <v>1</v>
      </c>
      <c r="D3421">
        <v>32</v>
      </c>
      <c r="E3421" t="s">
        <v>96</v>
      </c>
      <c r="F3421">
        <v>120</v>
      </c>
      <c r="H3421">
        <v>1</v>
      </c>
      <c r="I3421">
        <v>5</v>
      </c>
      <c r="J3421">
        <v>5</v>
      </c>
      <c r="K3421">
        <v>3.5</v>
      </c>
      <c r="L3421">
        <v>5.0999999999999996</v>
      </c>
      <c r="M3421" t="s">
        <v>176</v>
      </c>
      <c r="N3421" t="s">
        <v>162</v>
      </c>
    </row>
    <row r="3422" spans="1:14" x14ac:dyDescent="0.3">
      <c r="A3422" t="s">
        <v>176</v>
      </c>
      <c r="B3422">
        <f>VLOOKUP(M3422,Sheet9!$I$1:$J$17,2,FALSE)</f>
        <v>3</v>
      </c>
      <c r="C3422">
        <f>VLOOKUP(N3422,Sheet9!$M$1:$N$2,2,FALSE)</f>
        <v>1</v>
      </c>
      <c r="D3422">
        <v>32</v>
      </c>
      <c r="E3422" t="s">
        <v>96</v>
      </c>
      <c r="F3422">
        <v>120</v>
      </c>
      <c r="H3422">
        <v>10</v>
      </c>
      <c r="I3422">
        <v>0.6</v>
      </c>
      <c r="J3422">
        <v>6</v>
      </c>
      <c r="K3422">
        <v>4.5999999999999996</v>
      </c>
      <c r="L3422">
        <v>6.7</v>
      </c>
      <c r="M3422" t="s">
        <v>176</v>
      </c>
      <c r="N3422" t="s">
        <v>162</v>
      </c>
    </row>
    <row r="3423" spans="1:14" x14ac:dyDescent="0.3">
      <c r="A3423" t="s">
        <v>176</v>
      </c>
      <c r="B3423">
        <f>VLOOKUP(M3423,Sheet9!$I$1:$J$17,2,FALSE)</f>
        <v>3</v>
      </c>
      <c r="C3423">
        <f>VLOOKUP(N3423,Sheet9!$M$1:$N$2,2,FALSE)</f>
        <v>1</v>
      </c>
      <c r="D3423">
        <v>32</v>
      </c>
      <c r="E3423" t="s">
        <v>96</v>
      </c>
      <c r="F3423">
        <v>120</v>
      </c>
      <c r="H3423">
        <v>1</v>
      </c>
      <c r="I3423">
        <v>10</v>
      </c>
      <c r="J3423">
        <v>10</v>
      </c>
      <c r="K3423">
        <v>3.5</v>
      </c>
      <c r="L3423">
        <v>5.0999999999999996</v>
      </c>
      <c r="M3423" t="s">
        <v>176</v>
      </c>
      <c r="N3423" t="s">
        <v>162</v>
      </c>
    </row>
    <row r="3424" spans="1:14" x14ac:dyDescent="0.3">
      <c r="A3424" t="s">
        <v>176</v>
      </c>
      <c r="B3424">
        <f>VLOOKUP(M3424,Sheet9!$I$1:$J$17,2,FALSE)</f>
        <v>3</v>
      </c>
      <c r="C3424">
        <f>VLOOKUP(N3424,Sheet9!$M$1:$N$2,2,FALSE)</f>
        <v>1</v>
      </c>
      <c r="D3424">
        <v>32</v>
      </c>
      <c r="E3424" t="s">
        <v>96</v>
      </c>
      <c r="F3424">
        <v>120</v>
      </c>
      <c r="H3424">
        <v>12</v>
      </c>
      <c r="I3424">
        <v>1.2</v>
      </c>
      <c r="J3424">
        <v>14.399999999999999</v>
      </c>
      <c r="K3424">
        <v>4.5</v>
      </c>
      <c r="L3424">
        <v>6.5</v>
      </c>
      <c r="M3424" t="s">
        <v>176</v>
      </c>
      <c r="N3424" t="s">
        <v>162</v>
      </c>
    </row>
    <row r="3425" spans="1:14" x14ac:dyDescent="0.3">
      <c r="A3425" t="s">
        <v>176</v>
      </c>
      <c r="B3425">
        <f>VLOOKUP(M3425,Sheet9!$I$1:$J$17,2,FALSE)</f>
        <v>3</v>
      </c>
      <c r="C3425">
        <f>VLOOKUP(N3425,Sheet9!$M$1:$N$2,2,FALSE)</f>
        <v>1</v>
      </c>
      <c r="D3425">
        <v>32</v>
      </c>
      <c r="E3425" t="s">
        <v>96</v>
      </c>
      <c r="F3425">
        <v>120</v>
      </c>
      <c r="H3425">
        <v>20</v>
      </c>
      <c r="I3425">
        <v>0.6</v>
      </c>
      <c r="J3425">
        <v>12</v>
      </c>
      <c r="K3425">
        <v>4.7</v>
      </c>
      <c r="L3425">
        <v>6.8</v>
      </c>
      <c r="M3425" t="s">
        <v>176</v>
      </c>
      <c r="N3425" t="s">
        <v>162</v>
      </c>
    </row>
    <row r="3426" spans="1:14" x14ac:dyDescent="0.3">
      <c r="A3426" t="s">
        <v>176</v>
      </c>
      <c r="B3426">
        <f>VLOOKUP(M3426,Sheet9!$I$1:$J$17,2,FALSE)</f>
        <v>3</v>
      </c>
      <c r="C3426">
        <f>VLOOKUP(N3426,Sheet9!$M$1:$N$2,2,FALSE)</f>
        <v>1</v>
      </c>
      <c r="D3426">
        <v>32</v>
      </c>
      <c r="E3426" t="s">
        <v>96</v>
      </c>
      <c r="F3426">
        <v>120</v>
      </c>
      <c r="H3426">
        <v>32</v>
      </c>
      <c r="I3426">
        <v>0.6</v>
      </c>
      <c r="J3426">
        <v>19.2</v>
      </c>
      <c r="K3426">
        <v>4.4000000000000004</v>
      </c>
      <c r="L3426">
        <v>6.3</v>
      </c>
      <c r="M3426" t="s">
        <v>176</v>
      </c>
      <c r="N3426" t="s">
        <v>162</v>
      </c>
    </row>
    <row r="3427" spans="1:14" x14ac:dyDescent="0.3">
      <c r="A3427" t="s">
        <v>176</v>
      </c>
      <c r="B3427">
        <f>VLOOKUP(M3427,Sheet9!$I$1:$J$17,2,FALSE)</f>
        <v>3</v>
      </c>
      <c r="C3427">
        <f>VLOOKUP(N3427,Sheet9!$M$1:$N$2,2,FALSE)</f>
        <v>1</v>
      </c>
      <c r="D3427">
        <v>32</v>
      </c>
      <c r="E3427" t="s">
        <v>96</v>
      </c>
      <c r="F3427">
        <v>120</v>
      </c>
      <c r="H3427">
        <v>32</v>
      </c>
      <c r="I3427">
        <v>1.2</v>
      </c>
      <c r="J3427">
        <v>38.4</v>
      </c>
      <c r="K3427">
        <v>3.9</v>
      </c>
      <c r="L3427">
        <v>5.7</v>
      </c>
      <c r="M3427" t="s">
        <v>176</v>
      </c>
      <c r="N3427" t="s">
        <v>162</v>
      </c>
    </row>
    <row r="3428" spans="1:14" x14ac:dyDescent="0.3">
      <c r="A3428" t="s">
        <v>176</v>
      </c>
      <c r="B3428">
        <f>VLOOKUP(M3428,Sheet9!$I$1:$J$17,2,FALSE)</f>
        <v>3</v>
      </c>
      <c r="C3428">
        <f>VLOOKUP(N3428,Sheet9!$M$1:$N$2,2,FALSE)</f>
        <v>1</v>
      </c>
      <c r="D3428">
        <v>32</v>
      </c>
      <c r="E3428" t="s">
        <v>96</v>
      </c>
      <c r="F3428">
        <v>120</v>
      </c>
      <c r="H3428">
        <v>64</v>
      </c>
      <c r="I3428">
        <v>0.6</v>
      </c>
      <c r="J3428">
        <v>38.4</v>
      </c>
      <c r="K3428">
        <v>3.8</v>
      </c>
      <c r="L3428">
        <v>5.5</v>
      </c>
      <c r="M3428" t="s">
        <v>176</v>
      </c>
      <c r="N3428" t="s">
        <v>162</v>
      </c>
    </row>
    <row r="3429" spans="1:14" x14ac:dyDescent="0.3">
      <c r="A3429" t="s">
        <v>176</v>
      </c>
      <c r="B3429">
        <f>VLOOKUP(M3429,Sheet9!$I$1:$J$17,2,FALSE)</f>
        <v>3</v>
      </c>
      <c r="C3429">
        <f>VLOOKUP(N3429,Sheet9!$M$1:$N$2,2,FALSE)</f>
        <v>1</v>
      </c>
      <c r="D3429">
        <v>32</v>
      </c>
      <c r="E3429" t="s">
        <v>96</v>
      </c>
      <c r="F3429">
        <v>140</v>
      </c>
      <c r="H3429">
        <v>2</v>
      </c>
      <c r="I3429">
        <v>1</v>
      </c>
      <c r="J3429">
        <v>2</v>
      </c>
      <c r="K3429">
        <v>6.1</v>
      </c>
      <c r="L3429">
        <v>8.6999999999999993</v>
      </c>
      <c r="M3429" t="s">
        <v>176</v>
      </c>
      <c r="N3429" t="s">
        <v>162</v>
      </c>
    </row>
    <row r="3430" spans="1:14" x14ac:dyDescent="0.3">
      <c r="A3430" t="s">
        <v>176</v>
      </c>
      <c r="B3430">
        <f>VLOOKUP(M3430,Sheet9!$I$1:$J$17,2,FALSE)</f>
        <v>3</v>
      </c>
      <c r="C3430">
        <f>VLOOKUP(N3430,Sheet9!$M$1:$N$2,2,FALSE)</f>
        <v>1</v>
      </c>
      <c r="D3430">
        <v>32</v>
      </c>
      <c r="E3430" t="s">
        <v>96</v>
      </c>
      <c r="F3430">
        <v>140</v>
      </c>
      <c r="H3430">
        <v>6</v>
      </c>
      <c r="I3430">
        <v>0.6</v>
      </c>
      <c r="J3430">
        <v>3.6</v>
      </c>
      <c r="K3430">
        <v>9.9</v>
      </c>
      <c r="L3430">
        <v>14.1</v>
      </c>
      <c r="M3430" t="s">
        <v>176</v>
      </c>
      <c r="N3430" t="s">
        <v>162</v>
      </c>
    </row>
    <row r="3431" spans="1:14" x14ac:dyDescent="0.3">
      <c r="A3431" t="s">
        <v>176</v>
      </c>
      <c r="B3431">
        <f>VLOOKUP(M3431,Sheet9!$I$1:$J$17,2,FALSE)</f>
        <v>3</v>
      </c>
      <c r="C3431">
        <f>VLOOKUP(N3431,Sheet9!$M$1:$N$2,2,FALSE)</f>
        <v>1</v>
      </c>
      <c r="D3431">
        <v>32</v>
      </c>
      <c r="E3431" t="s">
        <v>96</v>
      </c>
      <c r="F3431">
        <v>140</v>
      </c>
      <c r="H3431">
        <v>8</v>
      </c>
      <c r="I3431">
        <v>0.6</v>
      </c>
      <c r="J3431">
        <v>2.4</v>
      </c>
      <c r="K3431">
        <v>10.5</v>
      </c>
      <c r="L3431">
        <v>14.8</v>
      </c>
      <c r="M3431" t="s">
        <v>176</v>
      </c>
      <c r="N3431" t="s">
        <v>162</v>
      </c>
    </row>
    <row r="3432" spans="1:14" x14ac:dyDescent="0.3">
      <c r="A3432" t="s">
        <v>176</v>
      </c>
      <c r="B3432">
        <f>VLOOKUP(M3432,Sheet9!$I$1:$J$17,2,FALSE)</f>
        <v>3</v>
      </c>
      <c r="C3432">
        <f>VLOOKUP(N3432,Sheet9!$M$1:$N$2,2,FALSE)</f>
        <v>1</v>
      </c>
      <c r="D3432">
        <v>32</v>
      </c>
      <c r="E3432" t="s">
        <v>96</v>
      </c>
      <c r="F3432">
        <v>140</v>
      </c>
      <c r="H3432">
        <v>1</v>
      </c>
      <c r="I3432">
        <v>5</v>
      </c>
      <c r="J3432">
        <v>5</v>
      </c>
      <c r="K3432">
        <v>5.5</v>
      </c>
      <c r="L3432">
        <v>7.8</v>
      </c>
      <c r="M3432" t="s">
        <v>176</v>
      </c>
      <c r="N3432" t="s">
        <v>162</v>
      </c>
    </row>
    <row r="3433" spans="1:14" x14ac:dyDescent="0.3">
      <c r="A3433" t="s">
        <v>176</v>
      </c>
      <c r="B3433">
        <f>VLOOKUP(M3433,Sheet9!$I$1:$J$17,2,FALSE)</f>
        <v>3</v>
      </c>
      <c r="C3433">
        <f>VLOOKUP(N3433,Sheet9!$M$1:$N$2,2,FALSE)</f>
        <v>1</v>
      </c>
      <c r="D3433">
        <v>32</v>
      </c>
      <c r="E3433" t="s">
        <v>96</v>
      </c>
      <c r="F3433">
        <v>140</v>
      </c>
      <c r="H3433">
        <v>10</v>
      </c>
      <c r="I3433">
        <v>0.6</v>
      </c>
      <c r="J3433">
        <v>6</v>
      </c>
      <c r="K3433">
        <v>7.3</v>
      </c>
      <c r="L3433">
        <v>10.3</v>
      </c>
      <c r="M3433" t="s">
        <v>176</v>
      </c>
      <c r="N3433" t="s">
        <v>162</v>
      </c>
    </row>
    <row r="3434" spans="1:14" x14ac:dyDescent="0.3">
      <c r="A3434" t="s">
        <v>176</v>
      </c>
      <c r="B3434">
        <f>VLOOKUP(M3434,Sheet9!$I$1:$J$17,2,FALSE)</f>
        <v>3</v>
      </c>
      <c r="C3434">
        <f>VLOOKUP(N3434,Sheet9!$M$1:$N$2,2,FALSE)</f>
        <v>1</v>
      </c>
      <c r="D3434">
        <v>32</v>
      </c>
      <c r="E3434" t="s">
        <v>96</v>
      </c>
      <c r="F3434">
        <v>140</v>
      </c>
      <c r="H3434">
        <v>1</v>
      </c>
      <c r="I3434">
        <v>10</v>
      </c>
      <c r="J3434">
        <v>10</v>
      </c>
      <c r="K3434">
        <v>5.5</v>
      </c>
      <c r="L3434">
        <v>7.8</v>
      </c>
      <c r="M3434" t="s">
        <v>176</v>
      </c>
      <c r="N3434" t="s">
        <v>162</v>
      </c>
    </row>
    <row r="3435" spans="1:14" x14ac:dyDescent="0.3">
      <c r="A3435" t="s">
        <v>176</v>
      </c>
      <c r="B3435">
        <f>VLOOKUP(M3435,Sheet9!$I$1:$J$17,2,FALSE)</f>
        <v>3</v>
      </c>
      <c r="C3435">
        <f>VLOOKUP(N3435,Sheet9!$M$1:$N$2,2,FALSE)</f>
        <v>1</v>
      </c>
      <c r="D3435">
        <v>32</v>
      </c>
      <c r="E3435" t="s">
        <v>96</v>
      </c>
      <c r="F3435">
        <v>140</v>
      </c>
      <c r="H3435">
        <v>12</v>
      </c>
      <c r="I3435">
        <v>1.2</v>
      </c>
      <c r="J3435">
        <v>14.399999999999999</v>
      </c>
      <c r="K3435">
        <v>7.1</v>
      </c>
      <c r="L3435">
        <v>10</v>
      </c>
      <c r="M3435" t="s">
        <v>176</v>
      </c>
      <c r="N3435" t="s">
        <v>162</v>
      </c>
    </row>
    <row r="3436" spans="1:14" x14ac:dyDescent="0.3">
      <c r="A3436" t="s">
        <v>176</v>
      </c>
      <c r="B3436">
        <f>VLOOKUP(M3436,Sheet9!$I$1:$J$17,2,FALSE)</f>
        <v>3</v>
      </c>
      <c r="C3436">
        <f>VLOOKUP(N3436,Sheet9!$M$1:$N$2,2,FALSE)</f>
        <v>1</v>
      </c>
      <c r="D3436">
        <v>32</v>
      </c>
      <c r="E3436" t="s">
        <v>96</v>
      </c>
      <c r="F3436">
        <v>140</v>
      </c>
      <c r="H3436">
        <v>20</v>
      </c>
      <c r="I3436">
        <v>0.6</v>
      </c>
      <c r="J3436">
        <v>12</v>
      </c>
      <c r="K3436">
        <v>7.4</v>
      </c>
      <c r="L3436">
        <v>10.5</v>
      </c>
      <c r="M3436" t="s">
        <v>176</v>
      </c>
      <c r="N3436" t="s">
        <v>162</v>
      </c>
    </row>
    <row r="3437" spans="1:14" x14ac:dyDescent="0.3">
      <c r="A3437" t="s">
        <v>176</v>
      </c>
      <c r="B3437">
        <f>VLOOKUP(M3437,Sheet9!$I$1:$J$17,2,FALSE)</f>
        <v>3</v>
      </c>
      <c r="C3437">
        <f>VLOOKUP(N3437,Sheet9!$M$1:$N$2,2,FALSE)</f>
        <v>1</v>
      </c>
      <c r="D3437">
        <v>32</v>
      </c>
      <c r="E3437" t="s">
        <v>96</v>
      </c>
      <c r="F3437">
        <v>140</v>
      </c>
      <c r="H3437">
        <v>32</v>
      </c>
      <c r="I3437">
        <v>0.6</v>
      </c>
      <c r="J3437">
        <v>19.2</v>
      </c>
      <c r="K3437">
        <v>6.9</v>
      </c>
      <c r="L3437">
        <v>9.6999999999999993</v>
      </c>
      <c r="M3437" t="s">
        <v>176</v>
      </c>
      <c r="N3437" t="s">
        <v>162</v>
      </c>
    </row>
    <row r="3438" spans="1:14" x14ac:dyDescent="0.3">
      <c r="A3438" t="s">
        <v>176</v>
      </c>
      <c r="B3438">
        <f>VLOOKUP(M3438,Sheet9!$I$1:$J$17,2,FALSE)</f>
        <v>3</v>
      </c>
      <c r="C3438">
        <f>VLOOKUP(N3438,Sheet9!$M$1:$N$2,2,FALSE)</f>
        <v>1</v>
      </c>
      <c r="D3438">
        <v>32</v>
      </c>
      <c r="E3438" t="s">
        <v>96</v>
      </c>
      <c r="F3438">
        <v>140</v>
      </c>
      <c r="H3438">
        <v>32</v>
      </c>
      <c r="I3438">
        <v>1.2</v>
      </c>
      <c r="J3438">
        <v>38.4</v>
      </c>
      <c r="K3438">
        <v>6.2</v>
      </c>
      <c r="L3438">
        <v>8.6999999999999993</v>
      </c>
      <c r="M3438" t="s">
        <v>176</v>
      </c>
      <c r="N3438" t="s">
        <v>162</v>
      </c>
    </row>
    <row r="3439" spans="1:14" x14ac:dyDescent="0.3">
      <c r="A3439" t="s">
        <v>176</v>
      </c>
      <c r="B3439">
        <f>VLOOKUP(M3439,Sheet9!$I$1:$J$17,2,FALSE)</f>
        <v>3</v>
      </c>
      <c r="C3439">
        <f>VLOOKUP(N3439,Sheet9!$M$1:$N$2,2,FALSE)</f>
        <v>1</v>
      </c>
      <c r="D3439">
        <v>32</v>
      </c>
      <c r="E3439" t="s">
        <v>96</v>
      </c>
      <c r="F3439">
        <v>140</v>
      </c>
      <c r="H3439">
        <v>64</v>
      </c>
      <c r="I3439">
        <v>0.6</v>
      </c>
      <c r="J3439">
        <v>38.4</v>
      </c>
      <c r="K3439">
        <v>6</v>
      </c>
      <c r="L3439">
        <v>8.5</v>
      </c>
      <c r="M3439" t="s">
        <v>176</v>
      </c>
      <c r="N3439" t="s">
        <v>162</v>
      </c>
    </row>
    <row r="3440" spans="1:14" x14ac:dyDescent="0.3">
      <c r="A3440" t="s">
        <v>176</v>
      </c>
      <c r="B3440">
        <f>VLOOKUP(M3440,Sheet9!$I$1:$J$17,2,FALSE)</f>
        <v>3</v>
      </c>
      <c r="C3440">
        <f>VLOOKUP(N3440,Sheet9!$M$1:$N$2,2,FALSE)</f>
        <v>1</v>
      </c>
      <c r="D3440">
        <v>32</v>
      </c>
      <c r="E3440" t="s">
        <v>96</v>
      </c>
      <c r="F3440">
        <v>140</v>
      </c>
      <c r="G3440" t="s">
        <v>139</v>
      </c>
      <c r="H3440">
        <v>2</v>
      </c>
      <c r="I3440">
        <v>1</v>
      </c>
      <c r="J3440">
        <v>2</v>
      </c>
      <c r="K3440">
        <v>2.2000000000000002</v>
      </c>
      <c r="L3440">
        <v>2.9</v>
      </c>
      <c r="M3440" t="s">
        <v>176</v>
      </c>
      <c r="N3440" t="s">
        <v>162</v>
      </c>
    </row>
    <row r="3441" spans="1:14" x14ac:dyDescent="0.3">
      <c r="A3441" t="s">
        <v>176</v>
      </c>
      <c r="B3441">
        <f>VLOOKUP(M3441,Sheet9!$I$1:$J$17,2,FALSE)</f>
        <v>3</v>
      </c>
      <c r="C3441">
        <f>VLOOKUP(N3441,Sheet9!$M$1:$N$2,2,FALSE)</f>
        <v>1</v>
      </c>
      <c r="D3441">
        <v>32</v>
      </c>
      <c r="E3441" t="s">
        <v>96</v>
      </c>
      <c r="F3441">
        <v>140</v>
      </c>
      <c r="G3441" t="s">
        <v>139</v>
      </c>
      <c r="H3441">
        <v>6</v>
      </c>
      <c r="I3441">
        <v>0.6</v>
      </c>
      <c r="J3441">
        <v>3.6</v>
      </c>
      <c r="K3441">
        <v>3.6</v>
      </c>
      <c r="L3441">
        <v>4.5999999999999996</v>
      </c>
      <c r="M3441" t="s">
        <v>176</v>
      </c>
      <c r="N3441" t="s">
        <v>162</v>
      </c>
    </row>
    <row r="3442" spans="1:14" x14ac:dyDescent="0.3">
      <c r="A3442" t="s">
        <v>176</v>
      </c>
      <c r="B3442">
        <f>VLOOKUP(M3442,Sheet9!$I$1:$J$17,2,FALSE)</f>
        <v>3</v>
      </c>
      <c r="C3442">
        <f>VLOOKUP(N3442,Sheet9!$M$1:$N$2,2,FALSE)</f>
        <v>1</v>
      </c>
      <c r="D3442">
        <v>32</v>
      </c>
      <c r="E3442" t="s">
        <v>96</v>
      </c>
      <c r="F3442">
        <v>140</v>
      </c>
      <c r="G3442" t="s">
        <v>139</v>
      </c>
      <c r="H3442">
        <v>8</v>
      </c>
      <c r="I3442">
        <v>0.6</v>
      </c>
      <c r="J3442">
        <v>2.4</v>
      </c>
      <c r="K3442">
        <v>3.8</v>
      </c>
      <c r="L3442">
        <v>4.9000000000000004</v>
      </c>
      <c r="M3442" t="s">
        <v>176</v>
      </c>
      <c r="N3442" t="s">
        <v>162</v>
      </c>
    </row>
    <row r="3443" spans="1:14" x14ac:dyDescent="0.3">
      <c r="A3443" t="s">
        <v>176</v>
      </c>
      <c r="B3443">
        <f>VLOOKUP(M3443,Sheet9!$I$1:$J$17,2,FALSE)</f>
        <v>3</v>
      </c>
      <c r="C3443">
        <f>VLOOKUP(N3443,Sheet9!$M$1:$N$2,2,FALSE)</f>
        <v>1</v>
      </c>
      <c r="D3443">
        <v>32</v>
      </c>
      <c r="E3443" t="s">
        <v>96</v>
      </c>
      <c r="F3443">
        <v>140</v>
      </c>
      <c r="G3443" t="s">
        <v>139</v>
      </c>
      <c r="H3443">
        <v>1</v>
      </c>
      <c r="I3443">
        <v>5</v>
      </c>
      <c r="J3443">
        <v>5</v>
      </c>
      <c r="K3443">
        <v>2</v>
      </c>
      <c r="L3443">
        <v>2.6</v>
      </c>
      <c r="M3443" t="s">
        <v>176</v>
      </c>
      <c r="N3443" t="s">
        <v>162</v>
      </c>
    </row>
    <row r="3444" spans="1:14" x14ac:dyDescent="0.3">
      <c r="A3444" t="s">
        <v>176</v>
      </c>
      <c r="B3444">
        <f>VLOOKUP(M3444,Sheet9!$I$1:$J$17,2,FALSE)</f>
        <v>3</v>
      </c>
      <c r="C3444">
        <f>VLOOKUP(N3444,Sheet9!$M$1:$N$2,2,FALSE)</f>
        <v>1</v>
      </c>
      <c r="D3444">
        <v>32</v>
      </c>
      <c r="E3444" t="s">
        <v>96</v>
      </c>
      <c r="F3444">
        <v>140</v>
      </c>
      <c r="G3444" t="s">
        <v>139</v>
      </c>
      <c r="H3444">
        <v>10</v>
      </c>
      <c r="I3444">
        <v>0.6</v>
      </c>
      <c r="J3444">
        <v>6</v>
      </c>
      <c r="K3444">
        <v>2.6</v>
      </c>
      <c r="L3444">
        <v>3.4</v>
      </c>
      <c r="M3444" t="s">
        <v>176</v>
      </c>
      <c r="N3444" t="s">
        <v>162</v>
      </c>
    </row>
    <row r="3445" spans="1:14" x14ac:dyDescent="0.3">
      <c r="A3445" t="s">
        <v>176</v>
      </c>
      <c r="B3445">
        <f>VLOOKUP(M3445,Sheet9!$I$1:$J$17,2,FALSE)</f>
        <v>3</v>
      </c>
      <c r="C3445">
        <f>VLOOKUP(N3445,Sheet9!$M$1:$N$2,2,FALSE)</f>
        <v>1</v>
      </c>
      <c r="D3445">
        <v>32</v>
      </c>
      <c r="E3445" t="s">
        <v>96</v>
      </c>
      <c r="F3445">
        <v>140</v>
      </c>
      <c r="G3445" t="s">
        <v>139</v>
      </c>
      <c r="H3445">
        <v>1</v>
      </c>
      <c r="I3445">
        <v>10</v>
      </c>
      <c r="J3445">
        <v>10</v>
      </c>
      <c r="K3445">
        <v>2</v>
      </c>
      <c r="L3445">
        <v>2.6</v>
      </c>
      <c r="M3445" t="s">
        <v>176</v>
      </c>
      <c r="N3445" t="s">
        <v>162</v>
      </c>
    </row>
    <row r="3446" spans="1:14" x14ac:dyDescent="0.3">
      <c r="A3446" t="s">
        <v>176</v>
      </c>
      <c r="B3446">
        <f>VLOOKUP(M3446,Sheet9!$I$1:$J$17,2,FALSE)</f>
        <v>3</v>
      </c>
      <c r="C3446">
        <f>VLOOKUP(N3446,Sheet9!$M$1:$N$2,2,FALSE)</f>
        <v>1</v>
      </c>
      <c r="D3446">
        <v>32</v>
      </c>
      <c r="E3446" t="s">
        <v>96</v>
      </c>
      <c r="F3446">
        <v>140</v>
      </c>
      <c r="G3446" t="s">
        <v>139</v>
      </c>
      <c r="H3446">
        <v>12</v>
      </c>
      <c r="I3446">
        <v>1.2</v>
      </c>
      <c r="J3446">
        <v>14.399999999999999</v>
      </c>
      <c r="K3446">
        <v>2.5</v>
      </c>
      <c r="L3446">
        <v>3.3</v>
      </c>
      <c r="M3446" t="s">
        <v>176</v>
      </c>
      <c r="N3446" t="s">
        <v>162</v>
      </c>
    </row>
    <row r="3447" spans="1:14" x14ac:dyDescent="0.3">
      <c r="A3447" t="s">
        <v>176</v>
      </c>
      <c r="B3447">
        <f>VLOOKUP(M3447,Sheet9!$I$1:$J$17,2,FALSE)</f>
        <v>3</v>
      </c>
      <c r="C3447">
        <f>VLOOKUP(N3447,Sheet9!$M$1:$N$2,2,FALSE)</f>
        <v>1</v>
      </c>
      <c r="D3447">
        <v>32</v>
      </c>
      <c r="E3447" t="s">
        <v>96</v>
      </c>
      <c r="F3447">
        <v>140</v>
      </c>
      <c r="G3447" t="s">
        <v>139</v>
      </c>
      <c r="H3447">
        <v>20</v>
      </c>
      <c r="I3447">
        <v>0.6</v>
      </c>
      <c r="J3447">
        <v>12</v>
      </c>
      <c r="K3447">
        <v>2.7</v>
      </c>
      <c r="L3447">
        <v>3.5</v>
      </c>
      <c r="M3447" t="s">
        <v>176</v>
      </c>
      <c r="N3447" t="s">
        <v>162</v>
      </c>
    </row>
    <row r="3448" spans="1:14" x14ac:dyDescent="0.3">
      <c r="A3448" t="s">
        <v>176</v>
      </c>
      <c r="B3448">
        <f>VLOOKUP(M3448,Sheet9!$I$1:$J$17,2,FALSE)</f>
        <v>3</v>
      </c>
      <c r="C3448">
        <f>VLOOKUP(N3448,Sheet9!$M$1:$N$2,2,FALSE)</f>
        <v>1</v>
      </c>
      <c r="D3448">
        <v>32</v>
      </c>
      <c r="E3448" t="s">
        <v>96</v>
      </c>
      <c r="F3448">
        <v>140</v>
      </c>
      <c r="G3448" t="s">
        <v>139</v>
      </c>
      <c r="H3448">
        <v>32</v>
      </c>
      <c r="I3448">
        <v>0.6</v>
      </c>
      <c r="J3448">
        <v>19.2</v>
      </c>
      <c r="K3448">
        <v>2.5</v>
      </c>
      <c r="L3448">
        <v>3.2</v>
      </c>
      <c r="M3448" t="s">
        <v>176</v>
      </c>
      <c r="N3448" t="s">
        <v>162</v>
      </c>
    </row>
    <row r="3449" spans="1:14" x14ac:dyDescent="0.3">
      <c r="A3449" t="s">
        <v>176</v>
      </c>
      <c r="B3449">
        <f>VLOOKUP(M3449,Sheet9!$I$1:$J$17,2,FALSE)</f>
        <v>3</v>
      </c>
      <c r="C3449">
        <f>VLOOKUP(N3449,Sheet9!$M$1:$N$2,2,FALSE)</f>
        <v>1</v>
      </c>
      <c r="D3449">
        <v>32</v>
      </c>
      <c r="E3449" t="s">
        <v>96</v>
      </c>
      <c r="F3449">
        <v>140</v>
      </c>
      <c r="G3449" t="s">
        <v>139</v>
      </c>
      <c r="H3449">
        <v>32</v>
      </c>
      <c r="I3449">
        <v>1.2</v>
      </c>
      <c r="J3449">
        <v>38.4</v>
      </c>
      <c r="K3449">
        <v>2.2000000000000002</v>
      </c>
      <c r="L3449">
        <v>2.9</v>
      </c>
      <c r="M3449" t="s">
        <v>176</v>
      </c>
      <c r="N3449" t="s">
        <v>162</v>
      </c>
    </row>
    <row r="3450" spans="1:14" x14ac:dyDescent="0.3">
      <c r="A3450" t="s">
        <v>176</v>
      </c>
      <c r="B3450">
        <f>VLOOKUP(M3450,Sheet9!$I$1:$J$17,2,FALSE)</f>
        <v>3</v>
      </c>
      <c r="C3450">
        <f>VLOOKUP(N3450,Sheet9!$M$1:$N$2,2,FALSE)</f>
        <v>1</v>
      </c>
      <c r="D3450">
        <v>32</v>
      </c>
      <c r="E3450" t="s">
        <v>96</v>
      </c>
      <c r="F3450">
        <v>140</v>
      </c>
      <c r="G3450" t="s">
        <v>139</v>
      </c>
      <c r="H3450">
        <v>64</v>
      </c>
      <c r="I3450">
        <v>0.6</v>
      </c>
      <c r="J3450">
        <v>38.4</v>
      </c>
      <c r="K3450">
        <v>2.2000000000000002</v>
      </c>
      <c r="L3450">
        <v>2.8</v>
      </c>
      <c r="M3450" t="s">
        <v>176</v>
      </c>
      <c r="N3450" t="s">
        <v>162</v>
      </c>
    </row>
    <row r="3451" spans="1:14" x14ac:dyDescent="0.3">
      <c r="A3451" t="s">
        <v>55</v>
      </c>
      <c r="B3451">
        <f>VLOOKUP(M3451,Sheet9!$I$1:$J$17,2,FALSE)</f>
        <v>2</v>
      </c>
      <c r="C3451">
        <f>VLOOKUP(N3451,Sheet9!$M$1:$N$2,2,FALSE)</f>
        <v>1</v>
      </c>
      <c r="D3451">
        <v>16</v>
      </c>
      <c r="E3451" t="s">
        <v>95</v>
      </c>
      <c r="F3451">
        <v>70</v>
      </c>
      <c r="H3451">
        <v>2</v>
      </c>
      <c r="I3451">
        <v>1</v>
      </c>
      <c r="J3451">
        <v>2</v>
      </c>
      <c r="M3451" t="s">
        <v>55</v>
      </c>
      <c r="N3451" t="s">
        <v>162</v>
      </c>
    </row>
    <row r="3452" spans="1:14" x14ac:dyDescent="0.3">
      <c r="H3452">
        <v>6</v>
      </c>
      <c r="I3452">
        <v>0.6</v>
      </c>
      <c r="J3452">
        <v>3.6</v>
      </c>
    </row>
    <row r="3453" spans="1:14" x14ac:dyDescent="0.3">
      <c r="H3453">
        <v>8</v>
      </c>
      <c r="I3453">
        <v>0.6</v>
      </c>
      <c r="J3453">
        <v>4.8</v>
      </c>
    </row>
    <row r="3454" spans="1:14" x14ac:dyDescent="0.3">
      <c r="H3454">
        <v>16</v>
      </c>
      <c r="I3454">
        <v>0.6</v>
      </c>
      <c r="J3454">
        <v>4.8</v>
      </c>
    </row>
    <row r="3455" spans="1:14" x14ac:dyDescent="0.3">
      <c r="H3455">
        <v>1</v>
      </c>
      <c r="I3455">
        <v>5</v>
      </c>
      <c r="J3455">
        <v>5</v>
      </c>
    </row>
    <row r="3456" spans="1:14" x14ac:dyDescent="0.3">
      <c r="H3456">
        <v>10</v>
      </c>
      <c r="I3456">
        <v>0.6</v>
      </c>
      <c r="J3456">
        <v>6</v>
      </c>
    </row>
    <row r="3457" spans="8:11" x14ac:dyDescent="0.3">
      <c r="H3457">
        <v>6</v>
      </c>
      <c r="I3457">
        <v>1.2</v>
      </c>
      <c r="J3457">
        <v>7.2</v>
      </c>
    </row>
    <row r="3458" spans="8:11" x14ac:dyDescent="0.3">
      <c r="H3458">
        <v>1</v>
      </c>
      <c r="I3458">
        <v>10</v>
      </c>
      <c r="J3458">
        <v>10</v>
      </c>
    </row>
    <row r="3459" spans="8:11" x14ac:dyDescent="0.3">
      <c r="H3459">
        <v>20</v>
      </c>
      <c r="I3459">
        <v>0.6</v>
      </c>
      <c r="J3459">
        <v>12</v>
      </c>
      <c r="K3459">
        <v>1.2</v>
      </c>
    </row>
    <row r="3460" spans="8:11" x14ac:dyDescent="0.3">
      <c r="H3460">
        <v>12</v>
      </c>
      <c r="I3460">
        <v>1.2</v>
      </c>
      <c r="J3460">
        <v>14.4</v>
      </c>
    </row>
    <row r="3461" spans="8:11" x14ac:dyDescent="0.3">
      <c r="H3461">
        <v>32</v>
      </c>
      <c r="I3461">
        <v>1.2</v>
      </c>
      <c r="J3461">
        <v>38.4</v>
      </c>
    </row>
    <row r="3462" spans="8:11" x14ac:dyDescent="0.3">
      <c r="H3462">
        <v>64</v>
      </c>
      <c r="I3462">
        <v>0.6</v>
      </c>
      <c r="J3462">
        <v>38.4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J179"/>
  <sheetViews>
    <sheetView zoomScaleNormal="100" workbookViewId="0">
      <selection activeCellId="1" sqref="C93:H181 A1"/>
    </sheetView>
  </sheetViews>
  <sheetFormatPr defaultColWidth="11.19921875" defaultRowHeight="15" customHeight="1" x14ac:dyDescent="0.3"/>
  <sheetData>
    <row r="1" spans="1:10" ht="15" customHeight="1" x14ac:dyDescent="0.3">
      <c r="A1" s="8" t="s">
        <v>97</v>
      </c>
    </row>
    <row r="2" spans="1:10" ht="15" customHeight="1" x14ac:dyDescent="0.3">
      <c r="B2" s="14"/>
      <c r="C2" s="126" t="s">
        <v>98</v>
      </c>
      <c r="D2" s="126"/>
      <c r="E2" s="126"/>
      <c r="F2" s="126"/>
      <c r="G2" s="126"/>
      <c r="H2" s="126"/>
      <c r="I2" s="126" t="s">
        <v>99</v>
      </c>
      <c r="J2" s="126"/>
    </row>
    <row r="3" spans="1:10" ht="15" customHeight="1" x14ac:dyDescent="0.3">
      <c r="B3" s="15" t="s">
        <v>100</v>
      </c>
      <c r="C3" s="4" t="s">
        <v>14</v>
      </c>
      <c r="D3" s="16" t="s">
        <v>18</v>
      </c>
      <c r="E3" s="4" t="s">
        <v>68</v>
      </c>
      <c r="F3" s="16" t="s">
        <v>27</v>
      </c>
      <c r="G3" s="4" t="s">
        <v>21</v>
      </c>
      <c r="H3" s="16" t="s">
        <v>22</v>
      </c>
      <c r="I3" s="4" t="s">
        <v>21</v>
      </c>
      <c r="J3" s="17" t="s">
        <v>22</v>
      </c>
    </row>
    <row r="4" spans="1:10" ht="15" customHeight="1" x14ac:dyDescent="0.3">
      <c r="B4" s="18" t="s">
        <v>101</v>
      </c>
      <c r="C4" s="2" t="s">
        <v>14</v>
      </c>
      <c r="D4" s="19" t="s">
        <v>18</v>
      </c>
      <c r="E4" s="2" t="s">
        <v>68</v>
      </c>
      <c r="F4" s="19" t="s">
        <v>27</v>
      </c>
      <c r="G4" s="2" t="s">
        <v>21</v>
      </c>
      <c r="H4" s="19" t="s">
        <v>22</v>
      </c>
      <c r="I4" s="2" t="s">
        <v>21</v>
      </c>
      <c r="J4" s="20" t="s">
        <v>22</v>
      </c>
    </row>
    <row r="5" spans="1:10" ht="15" customHeight="1" x14ac:dyDescent="0.3">
      <c r="A5" s="7" t="s">
        <v>6</v>
      </c>
      <c r="B5" s="21"/>
      <c r="C5" s="22"/>
      <c r="D5" s="23"/>
      <c r="E5" s="22"/>
      <c r="F5" s="23"/>
      <c r="G5" s="22"/>
      <c r="H5" s="23"/>
      <c r="I5" s="22"/>
      <c r="J5" s="24"/>
    </row>
    <row r="6" spans="1:10" ht="15" customHeight="1" x14ac:dyDescent="0.3">
      <c r="A6" s="127">
        <v>70</v>
      </c>
      <c r="B6" s="2" t="s">
        <v>102</v>
      </c>
      <c r="C6" s="2">
        <v>4.07</v>
      </c>
      <c r="D6" s="19">
        <v>4.01</v>
      </c>
      <c r="E6" s="2">
        <v>4.45</v>
      </c>
      <c r="F6" s="19">
        <v>4.04</v>
      </c>
      <c r="G6" s="2">
        <v>4.7300000000000004</v>
      </c>
      <c r="H6" s="19">
        <v>4.18</v>
      </c>
      <c r="I6" s="2"/>
      <c r="J6" s="20">
        <v>4.4000000000000004</v>
      </c>
    </row>
    <row r="7" spans="1:10" ht="15" customHeight="1" x14ac:dyDescent="0.3">
      <c r="A7" s="127"/>
      <c r="B7" s="2" t="s">
        <v>103</v>
      </c>
      <c r="C7" s="2">
        <v>4.3899999999999997</v>
      </c>
      <c r="D7" s="19">
        <v>4.32</v>
      </c>
      <c r="E7" s="2">
        <v>4.8</v>
      </c>
      <c r="F7" s="19">
        <v>4.3499999999999996</v>
      </c>
      <c r="G7" s="2">
        <v>5.0999999999999996</v>
      </c>
      <c r="H7" s="19">
        <v>4.5199999999999996</v>
      </c>
      <c r="I7" s="2"/>
      <c r="J7" s="20">
        <v>4.74</v>
      </c>
    </row>
    <row r="8" spans="1:10" ht="15" customHeight="1" x14ac:dyDescent="0.3">
      <c r="A8" s="127"/>
      <c r="B8" s="25" t="s">
        <v>104</v>
      </c>
      <c r="C8" s="26">
        <f t="shared" ref="C8:J8" si="0">IF(OR(C6="",C7=""),"",C7/C6)</f>
        <v>1.0786240786240784</v>
      </c>
      <c r="D8" s="27">
        <f t="shared" si="0"/>
        <v>1.0773067331670825</v>
      </c>
      <c r="E8" s="26">
        <f t="shared" si="0"/>
        <v>1.0786516853932584</v>
      </c>
      <c r="F8" s="27">
        <f t="shared" si="0"/>
        <v>1.0767326732673266</v>
      </c>
      <c r="G8" s="26">
        <f t="shared" si="0"/>
        <v>1.0782241014799152</v>
      </c>
      <c r="H8" s="27">
        <f t="shared" si="0"/>
        <v>1.0813397129186602</v>
      </c>
      <c r="I8" s="26" t="str">
        <f t="shared" si="0"/>
        <v/>
      </c>
      <c r="J8" s="28">
        <f t="shared" si="0"/>
        <v>1.0772727272727272</v>
      </c>
    </row>
    <row r="9" spans="1:10" ht="15" customHeight="1" x14ac:dyDescent="0.3">
      <c r="A9" s="127">
        <v>80</v>
      </c>
      <c r="B9" s="6" t="s">
        <v>102</v>
      </c>
      <c r="C9" s="6">
        <v>6.44</v>
      </c>
      <c r="D9" s="29">
        <v>6.34</v>
      </c>
      <c r="E9" s="6">
        <v>7.04</v>
      </c>
      <c r="F9" s="29">
        <v>6.39</v>
      </c>
      <c r="G9" s="6">
        <v>7.49</v>
      </c>
      <c r="H9" s="29">
        <v>6.61</v>
      </c>
      <c r="I9" s="6"/>
      <c r="J9" s="30">
        <v>6.92</v>
      </c>
    </row>
    <row r="10" spans="1:10" ht="15" customHeight="1" x14ac:dyDescent="0.3">
      <c r="A10" s="127"/>
      <c r="B10" s="2" t="s">
        <v>103</v>
      </c>
      <c r="C10" s="2">
        <v>6.81</v>
      </c>
      <c r="D10" s="19">
        <v>6.69</v>
      </c>
      <c r="E10" s="2">
        <v>7.43</v>
      </c>
      <c r="F10" s="19">
        <v>6.74</v>
      </c>
      <c r="G10" s="2">
        <v>7.9</v>
      </c>
      <c r="H10" s="19">
        <v>7</v>
      </c>
      <c r="I10" s="2"/>
      <c r="J10" s="20">
        <v>7.32</v>
      </c>
    </row>
    <row r="11" spans="1:10" ht="15" customHeight="1" x14ac:dyDescent="0.3">
      <c r="A11" s="127"/>
      <c r="B11" s="25" t="s">
        <v>104</v>
      </c>
      <c r="C11" s="26">
        <f t="shared" ref="C11:J11" si="1">IF(OR(C9="",C10=""),"",C10/C9)</f>
        <v>1.0574534161490683</v>
      </c>
      <c r="D11" s="27">
        <f t="shared" si="1"/>
        <v>1.0552050473186121</v>
      </c>
      <c r="E11" s="26">
        <f t="shared" si="1"/>
        <v>1.0553977272727273</v>
      </c>
      <c r="F11" s="27">
        <f t="shared" si="1"/>
        <v>1.0547730829420972</v>
      </c>
      <c r="G11" s="26">
        <f t="shared" si="1"/>
        <v>1.054739652870494</v>
      </c>
      <c r="H11" s="27">
        <f t="shared" si="1"/>
        <v>1.059001512859304</v>
      </c>
      <c r="I11" s="26" t="str">
        <f t="shared" si="1"/>
        <v/>
      </c>
      <c r="J11" s="28">
        <f t="shared" si="1"/>
        <v>1.0578034682080926</v>
      </c>
    </row>
    <row r="12" spans="1:10" ht="15" customHeight="1" x14ac:dyDescent="0.3">
      <c r="A12" s="127">
        <v>90</v>
      </c>
      <c r="B12" s="6" t="s">
        <v>102</v>
      </c>
      <c r="C12" s="6">
        <v>9.2899999999999991</v>
      </c>
      <c r="D12" s="29">
        <v>9.1300000000000008</v>
      </c>
      <c r="E12" s="6">
        <v>10.14</v>
      </c>
      <c r="F12" s="29">
        <v>9.1999999999999993</v>
      </c>
      <c r="G12" s="6">
        <v>10.77</v>
      </c>
      <c r="H12" s="29">
        <v>9.51</v>
      </c>
      <c r="I12" s="6"/>
      <c r="J12" s="30">
        <v>9.92</v>
      </c>
    </row>
    <row r="13" spans="1:10" ht="15" customHeight="1" x14ac:dyDescent="0.3">
      <c r="A13" s="127"/>
      <c r="B13" s="2" t="s">
        <v>103</v>
      </c>
      <c r="C13" s="2">
        <v>9.69</v>
      </c>
      <c r="D13" s="19">
        <v>9.5299999999999994</v>
      </c>
      <c r="E13" s="2">
        <v>10.59</v>
      </c>
      <c r="F13" s="19">
        <v>9.6</v>
      </c>
      <c r="G13" s="2">
        <v>11.25</v>
      </c>
      <c r="H13" s="19">
        <v>9.9600000000000009</v>
      </c>
      <c r="I13" s="2"/>
      <c r="J13" s="20">
        <v>10.38</v>
      </c>
    </row>
    <row r="14" spans="1:10" ht="15" customHeight="1" x14ac:dyDescent="0.3">
      <c r="A14" s="127"/>
      <c r="B14" s="25" t="s">
        <v>104</v>
      </c>
      <c r="C14" s="26">
        <f t="shared" ref="C14:J14" si="2">IF(OR(C12="",C13=""),"",C13/C12)</f>
        <v>1.0430570505920345</v>
      </c>
      <c r="D14" s="27">
        <f t="shared" si="2"/>
        <v>1.0438116100766701</v>
      </c>
      <c r="E14" s="26">
        <f t="shared" si="2"/>
        <v>1.044378698224852</v>
      </c>
      <c r="F14" s="27">
        <f t="shared" si="2"/>
        <v>1.0434782608695652</v>
      </c>
      <c r="G14" s="26">
        <f t="shared" si="2"/>
        <v>1.0445682451253482</v>
      </c>
      <c r="H14" s="27">
        <f t="shared" si="2"/>
        <v>1.0473186119873819</v>
      </c>
      <c r="I14" s="26" t="str">
        <f t="shared" si="2"/>
        <v/>
      </c>
      <c r="J14" s="28">
        <f t="shared" si="2"/>
        <v>1.0463709677419355</v>
      </c>
    </row>
    <row r="15" spans="1:10" ht="15" customHeight="1" x14ac:dyDescent="0.3">
      <c r="A15" s="127">
        <v>100</v>
      </c>
      <c r="B15" s="6" t="s">
        <v>102</v>
      </c>
      <c r="C15" s="6">
        <v>12.52</v>
      </c>
      <c r="D15" s="29">
        <v>12.31</v>
      </c>
      <c r="E15" s="6">
        <v>13.68</v>
      </c>
      <c r="F15" s="29">
        <v>12.42</v>
      </c>
      <c r="G15" s="6">
        <v>14.53</v>
      </c>
      <c r="H15" s="29">
        <v>12.81</v>
      </c>
      <c r="I15" s="6"/>
      <c r="J15" s="30">
        <v>13.32</v>
      </c>
    </row>
    <row r="16" spans="1:10" ht="15" customHeight="1" x14ac:dyDescent="0.3">
      <c r="A16" s="127"/>
      <c r="B16" s="2" t="s">
        <v>103</v>
      </c>
      <c r="C16" s="2">
        <v>12.96</v>
      </c>
      <c r="D16" s="19">
        <v>12.75</v>
      </c>
      <c r="E16" s="2">
        <v>14.17</v>
      </c>
      <c r="F16" s="19">
        <v>12.85</v>
      </c>
      <c r="G16" s="2">
        <v>15.04</v>
      </c>
      <c r="H16" s="19">
        <v>13.3</v>
      </c>
      <c r="I16" s="2"/>
      <c r="J16" s="20">
        <v>13.84</v>
      </c>
    </row>
    <row r="17" spans="1:10" ht="15" customHeight="1" x14ac:dyDescent="0.3">
      <c r="A17" s="127"/>
      <c r="B17" s="25" t="s">
        <v>104</v>
      </c>
      <c r="C17" s="26">
        <f t="shared" ref="C17:J17" si="3">IF(OR(C15="",C16=""),"",C16/C15)</f>
        <v>1.0351437699680512</v>
      </c>
      <c r="D17" s="27">
        <f t="shared" si="3"/>
        <v>1.0357432981316004</v>
      </c>
      <c r="E17" s="26">
        <f t="shared" si="3"/>
        <v>1.0358187134502923</v>
      </c>
      <c r="F17" s="27">
        <f t="shared" si="3"/>
        <v>1.0346215780998389</v>
      </c>
      <c r="G17" s="26">
        <f t="shared" si="3"/>
        <v>1.0350997935306263</v>
      </c>
      <c r="H17" s="27">
        <f t="shared" si="3"/>
        <v>1.0382513661202186</v>
      </c>
      <c r="I17" s="26" t="str">
        <f t="shared" si="3"/>
        <v/>
      </c>
      <c r="J17" s="28">
        <f t="shared" si="3"/>
        <v>1.0390390390390389</v>
      </c>
    </row>
    <row r="18" spans="1:10" ht="15" customHeight="1" x14ac:dyDescent="0.3">
      <c r="A18" s="127">
        <v>110</v>
      </c>
      <c r="B18" s="6" t="s">
        <v>102</v>
      </c>
      <c r="C18" s="6">
        <v>15.99</v>
      </c>
      <c r="D18" s="29">
        <v>15.79</v>
      </c>
      <c r="E18" s="6">
        <v>17.54</v>
      </c>
      <c r="F18" s="29">
        <v>15.9</v>
      </c>
      <c r="G18" s="6">
        <v>18.64</v>
      </c>
      <c r="H18" s="29">
        <v>16.420000000000002</v>
      </c>
      <c r="I18" s="6"/>
      <c r="J18" s="30">
        <v>17.02</v>
      </c>
    </row>
    <row r="19" spans="1:10" ht="15" customHeight="1" x14ac:dyDescent="0.3">
      <c r="A19" s="127"/>
      <c r="B19" s="2" t="s">
        <v>103</v>
      </c>
      <c r="C19" s="2">
        <v>16.57</v>
      </c>
      <c r="D19" s="19">
        <v>16.3</v>
      </c>
      <c r="E19" s="2">
        <v>18.11</v>
      </c>
      <c r="F19" s="19">
        <v>16.399999999999999</v>
      </c>
      <c r="G19" s="2">
        <v>19.21</v>
      </c>
      <c r="H19" s="19">
        <v>16.98</v>
      </c>
      <c r="I19" s="2"/>
      <c r="J19" s="20">
        <v>17.62</v>
      </c>
    </row>
    <row r="20" spans="1:10" ht="15" customHeight="1" x14ac:dyDescent="0.3">
      <c r="A20" s="127"/>
      <c r="B20" s="25" t="s">
        <v>104</v>
      </c>
      <c r="C20" s="26">
        <f t="shared" ref="C20:J20" si="4">IF(OR(C18="",C19=""),"",C19/C18)</f>
        <v>1.0362726704190119</v>
      </c>
      <c r="D20" s="27">
        <f t="shared" si="4"/>
        <v>1.032298923369221</v>
      </c>
      <c r="E20" s="26">
        <f t="shared" si="4"/>
        <v>1.0324971493728621</v>
      </c>
      <c r="F20" s="27">
        <f t="shared" si="4"/>
        <v>1.0314465408805031</v>
      </c>
      <c r="G20" s="26">
        <f t="shared" si="4"/>
        <v>1.030579399141631</v>
      </c>
      <c r="H20" s="27">
        <f t="shared" si="4"/>
        <v>1.0341047503045067</v>
      </c>
      <c r="I20" s="26" t="str">
        <f t="shared" si="4"/>
        <v/>
      </c>
      <c r="J20" s="28">
        <f t="shared" si="4"/>
        <v>1.0352526439482963</v>
      </c>
    </row>
    <row r="21" spans="1:10" ht="15" customHeight="1" x14ac:dyDescent="0.3">
      <c r="A21" s="127">
        <v>120</v>
      </c>
      <c r="B21" s="6" t="s">
        <v>102</v>
      </c>
      <c r="C21" s="6">
        <v>19.920000000000002</v>
      </c>
      <c r="D21" s="29">
        <v>19.600000000000001</v>
      </c>
      <c r="E21" s="6">
        <v>21.77</v>
      </c>
      <c r="F21" s="29">
        <v>19.71</v>
      </c>
      <c r="G21" s="6">
        <v>23.08</v>
      </c>
      <c r="H21" s="29">
        <v>20.34</v>
      </c>
      <c r="I21" s="6"/>
      <c r="J21" s="30">
        <v>21.08</v>
      </c>
    </row>
    <row r="22" spans="1:10" ht="15" customHeight="1" x14ac:dyDescent="0.3">
      <c r="A22" s="127"/>
      <c r="B22" s="2" t="s">
        <v>103</v>
      </c>
      <c r="C22" s="2">
        <v>20.5</v>
      </c>
      <c r="D22" s="19">
        <v>20.13</v>
      </c>
      <c r="E22" s="2">
        <v>22.37</v>
      </c>
      <c r="F22" s="19">
        <v>20.260000000000002</v>
      </c>
      <c r="G22" s="2">
        <v>23.73</v>
      </c>
      <c r="H22" s="19">
        <v>20.96</v>
      </c>
      <c r="I22" s="2"/>
      <c r="J22" s="20">
        <v>21.72</v>
      </c>
    </row>
    <row r="23" spans="1:10" ht="15" customHeight="1" x14ac:dyDescent="0.3">
      <c r="A23" s="127"/>
      <c r="B23" s="25" t="s">
        <v>104</v>
      </c>
      <c r="C23" s="26">
        <f t="shared" ref="C23:J23" si="5">IF(OR(C21="",C22=""),"",C22/C21)</f>
        <v>1.0291164658634537</v>
      </c>
      <c r="D23" s="27">
        <f t="shared" si="5"/>
        <v>1.0270408163265305</v>
      </c>
      <c r="E23" s="26">
        <f t="shared" si="5"/>
        <v>1.0275608635737254</v>
      </c>
      <c r="F23" s="27">
        <f t="shared" si="5"/>
        <v>1.0279046169457129</v>
      </c>
      <c r="G23" s="26">
        <f t="shared" si="5"/>
        <v>1.0281629116117852</v>
      </c>
      <c r="H23" s="27">
        <f t="shared" si="5"/>
        <v>1.0304818092428711</v>
      </c>
      <c r="I23" s="26" t="str">
        <f t="shared" si="5"/>
        <v/>
      </c>
      <c r="J23" s="28">
        <f t="shared" si="5"/>
        <v>1.0303605313092978</v>
      </c>
    </row>
    <row r="24" spans="1:10" ht="15" customHeight="1" x14ac:dyDescent="0.3">
      <c r="A24" s="127">
        <v>130</v>
      </c>
      <c r="B24" s="6" t="s">
        <v>102</v>
      </c>
      <c r="C24" s="6">
        <v>24.1</v>
      </c>
      <c r="D24" s="29">
        <v>23.69</v>
      </c>
      <c r="E24" s="6">
        <v>26.32</v>
      </c>
      <c r="F24" s="29">
        <v>23.81</v>
      </c>
      <c r="G24" s="6">
        <v>27.89</v>
      </c>
      <c r="H24" s="29">
        <v>24.52</v>
      </c>
      <c r="I24" s="6"/>
      <c r="J24" s="30">
        <v>25.36</v>
      </c>
    </row>
    <row r="25" spans="1:10" ht="15" customHeight="1" x14ac:dyDescent="0.3">
      <c r="A25" s="127"/>
      <c r="B25" s="2" t="s">
        <v>103</v>
      </c>
      <c r="C25" s="2">
        <v>24.72</v>
      </c>
      <c r="D25" s="19">
        <v>24.26</v>
      </c>
      <c r="E25" s="2">
        <v>26.95</v>
      </c>
      <c r="F25" s="19">
        <v>24.41</v>
      </c>
      <c r="G25" s="2">
        <v>28.57</v>
      </c>
      <c r="H25" s="19">
        <v>25.22</v>
      </c>
      <c r="I25" s="2"/>
      <c r="J25" s="20">
        <v>26.1</v>
      </c>
    </row>
    <row r="26" spans="1:10" ht="15" customHeight="1" x14ac:dyDescent="0.3">
      <c r="A26" s="127"/>
      <c r="B26" s="25" t="s">
        <v>104</v>
      </c>
      <c r="C26" s="26">
        <f t="shared" ref="C26:J26" si="6">IF(OR(C24="",C25=""),"",C25/C24)</f>
        <v>1.0257261410788381</v>
      </c>
      <c r="D26" s="27">
        <f t="shared" si="6"/>
        <v>1.0240607851414099</v>
      </c>
      <c r="E26" s="26">
        <f t="shared" si="6"/>
        <v>1.0239361702127658</v>
      </c>
      <c r="F26" s="27">
        <f t="shared" si="6"/>
        <v>1.0251994960100799</v>
      </c>
      <c r="G26" s="26">
        <f t="shared" si="6"/>
        <v>1.0243814987450699</v>
      </c>
      <c r="H26" s="27">
        <f t="shared" si="6"/>
        <v>1.0285481239804242</v>
      </c>
      <c r="I26" s="26" t="str">
        <f t="shared" si="6"/>
        <v/>
      </c>
      <c r="J26" s="28">
        <f t="shared" si="6"/>
        <v>1.0291798107255521</v>
      </c>
    </row>
    <row r="27" spans="1:10" ht="15" customHeight="1" x14ac:dyDescent="0.3">
      <c r="A27" s="127">
        <v>140</v>
      </c>
      <c r="B27" s="6" t="s">
        <v>102</v>
      </c>
      <c r="C27" s="6">
        <v>28.32</v>
      </c>
      <c r="D27" s="29">
        <v>27.94</v>
      </c>
      <c r="E27" s="6">
        <v>31.04</v>
      </c>
      <c r="F27" s="29">
        <v>28.13</v>
      </c>
      <c r="G27" s="6">
        <v>23.89</v>
      </c>
      <c r="H27" s="29">
        <v>29</v>
      </c>
      <c r="I27" s="6"/>
      <c r="J27" s="30">
        <v>30</v>
      </c>
    </row>
    <row r="28" spans="1:10" ht="15" customHeight="1" x14ac:dyDescent="0.3">
      <c r="A28" s="127"/>
      <c r="B28" s="2" t="s">
        <v>103</v>
      </c>
      <c r="C28" s="2">
        <v>29.08</v>
      </c>
      <c r="D28" s="19">
        <v>28.6</v>
      </c>
      <c r="E28" s="2">
        <v>31.78</v>
      </c>
      <c r="F28" s="19">
        <v>28.77</v>
      </c>
      <c r="G28" s="2">
        <v>33.69</v>
      </c>
      <c r="H28" s="19">
        <v>29.75</v>
      </c>
      <c r="I28" s="2"/>
      <c r="J28" s="20">
        <v>30.77</v>
      </c>
    </row>
    <row r="29" spans="1:10" ht="15" customHeight="1" x14ac:dyDescent="0.3">
      <c r="A29" s="127"/>
      <c r="B29" s="25" t="s">
        <v>104</v>
      </c>
      <c r="C29" s="26">
        <f t="shared" ref="C29:J29" si="7">IF(OR(C27="",C28=""),"",C28/C27)</f>
        <v>1.0268361581920904</v>
      </c>
      <c r="D29" s="27">
        <f t="shared" si="7"/>
        <v>1.0236220472440944</v>
      </c>
      <c r="E29" s="26">
        <f t="shared" si="7"/>
        <v>1.0238402061855671</v>
      </c>
      <c r="F29" s="27">
        <f t="shared" si="7"/>
        <v>1.0227515108425169</v>
      </c>
      <c r="G29" s="26">
        <f t="shared" si="7"/>
        <v>1.410213478442863</v>
      </c>
      <c r="H29" s="27">
        <f t="shared" si="7"/>
        <v>1.0258620689655173</v>
      </c>
      <c r="I29" s="26" t="str">
        <f t="shared" si="7"/>
        <v/>
      </c>
      <c r="J29" s="28">
        <f t="shared" si="7"/>
        <v>1.0256666666666667</v>
      </c>
    </row>
    <row r="30" spans="1:10" ht="15.6" x14ac:dyDescent="0.3">
      <c r="A30" s="127" t="s">
        <v>105</v>
      </c>
      <c r="B30" s="6" t="s">
        <v>102</v>
      </c>
      <c r="C30" s="6"/>
      <c r="D30" s="29"/>
      <c r="E30" s="6">
        <v>2.11</v>
      </c>
      <c r="F30" s="29">
        <v>1.92</v>
      </c>
      <c r="G30" s="6"/>
      <c r="H30" s="29">
        <v>2</v>
      </c>
      <c r="I30" s="6">
        <v>2.41</v>
      </c>
      <c r="J30" s="30">
        <v>2.08</v>
      </c>
    </row>
    <row r="31" spans="1:10" ht="15.6" x14ac:dyDescent="0.3">
      <c r="A31" s="127"/>
      <c r="B31" s="2" t="s">
        <v>103</v>
      </c>
      <c r="C31" s="2"/>
      <c r="D31" s="19"/>
      <c r="E31" s="2">
        <v>2.13</v>
      </c>
      <c r="F31" s="19">
        <v>1.93</v>
      </c>
      <c r="G31" s="2"/>
      <c r="H31" s="19">
        <v>2.02</v>
      </c>
      <c r="I31" s="2">
        <v>2.42</v>
      </c>
      <c r="J31" s="20">
        <v>2.11</v>
      </c>
    </row>
    <row r="32" spans="1:10" ht="15.6" x14ac:dyDescent="0.3">
      <c r="A32" s="127"/>
      <c r="B32" s="25" t="s">
        <v>104</v>
      </c>
      <c r="C32" s="26" t="str">
        <f t="shared" ref="C32:J32" si="8">IF(OR(C30="",C31=""),"",C31/C30)</f>
        <v/>
      </c>
      <c r="D32" s="27" t="str">
        <f t="shared" si="8"/>
        <v/>
      </c>
      <c r="E32" s="26">
        <f t="shared" si="8"/>
        <v>1.0094786729857821</v>
      </c>
      <c r="F32" s="27">
        <f t="shared" si="8"/>
        <v>1.0052083333333333</v>
      </c>
      <c r="G32" s="26" t="str">
        <f t="shared" si="8"/>
        <v/>
      </c>
      <c r="H32" s="27">
        <f t="shared" si="8"/>
        <v>1.01</v>
      </c>
      <c r="I32" s="26">
        <f t="shared" si="8"/>
        <v>1.004149377593361</v>
      </c>
      <c r="J32" s="28">
        <f t="shared" si="8"/>
        <v>1.0144230769230769</v>
      </c>
    </row>
    <row r="33" spans="1:10" ht="15.6" x14ac:dyDescent="0.3">
      <c r="A33" s="127" t="s">
        <v>106</v>
      </c>
      <c r="B33" s="6" t="s">
        <v>102</v>
      </c>
      <c r="C33" s="6"/>
      <c r="D33" s="29"/>
      <c r="E33" s="6">
        <v>3.26</v>
      </c>
      <c r="F33" s="29">
        <v>2.97</v>
      </c>
      <c r="G33" s="6"/>
      <c r="H33" s="29">
        <v>3.1</v>
      </c>
      <c r="I33" s="6">
        <v>3.71</v>
      </c>
      <c r="J33" s="30">
        <v>3.22</v>
      </c>
    </row>
    <row r="34" spans="1:10" ht="15.6" x14ac:dyDescent="0.3">
      <c r="A34" s="127"/>
      <c r="B34" s="2" t="s">
        <v>103</v>
      </c>
      <c r="C34" s="2"/>
      <c r="D34" s="19"/>
      <c r="E34" s="2">
        <v>3.3</v>
      </c>
      <c r="F34" s="19">
        <v>3</v>
      </c>
      <c r="G34" s="2"/>
      <c r="H34" s="19">
        <v>3.14</v>
      </c>
      <c r="I34" s="2">
        <v>3.7</v>
      </c>
      <c r="J34" s="20">
        <v>3.26</v>
      </c>
    </row>
    <row r="35" spans="1:10" ht="15.6" x14ac:dyDescent="0.3">
      <c r="A35" s="127"/>
      <c r="B35" s="25" t="s">
        <v>104</v>
      </c>
      <c r="C35" s="26" t="str">
        <f t="shared" ref="C35:J35" si="9">IF(OR(C33="",C34=""),"",C34/C33)</f>
        <v/>
      </c>
      <c r="D35" s="27" t="str">
        <f t="shared" si="9"/>
        <v/>
      </c>
      <c r="E35" s="26">
        <f t="shared" si="9"/>
        <v>1.0122699386503067</v>
      </c>
      <c r="F35" s="27">
        <f t="shared" si="9"/>
        <v>1.0101010101010099</v>
      </c>
      <c r="G35" s="26" t="str">
        <f t="shared" si="9"/>
        <v/>
      </c>
      <c r="H35" s="27">
        <f t="shared" si="9"/>
        <v>1.0129032258064516</v>
      </c>
      <c r="I35" s="26">
        <f t="shared" si="9"/>
        <v>0.99730458221024265</v>
      </c>
      <c r="J35" s="28">
        <f t="shared" si="9"/>
        <v>1.012422360248447</v>
      </c>
    </row>
    <row r="36" spans="1:10" ht="15.6" x14ac:dyDescent="0.3">
      <c r="A36" s="127" t="s">
        <v>107</v>
      </c>
      <c r="B36" s="6" t="s">
        <v>102</v>
      </c>
      <c r="C36" s="6"/>
      <c r="D36" s="29"/>
      <c r="E36" s="6">
        <v>4.72</v>
      </c>
      <c r="F36" s="29">
        <v>4.29</v>
      </c>
      <c r="G36" s="6"/>
      <c r="H36" s="29">
        <v>4.47</v>
      </c>
      <c r="I36" s="6">
        <v>5.35</v>
      </c>
      <c r="J36" s="30">
        <v>4.63</v>
      </c>
    </row>
    <row r="37" spans="1:10" ht="15.6" x14ac:dyDescent="0.3">
      <c r="A37" s="127"/>
      <c r="B37" s="2" t="s">
        <v>103</v>
      </c>
      <c r="C37" s="2"/>
      <c r="D37" s="19"/>
      <c r="E37" s="2">
        <v>4.7699999999999996</v>
      </c>
      <c r="F37" s="19">
        <v>4.33</v>
      </c>
      <c r="G37" s="2"/>
      <c r="H37" s="19">
        <v>4.53</v>
      </c>
      <c r="I37" s="2">
        <v>5.41</v>
      </c>
      <c r="J37" s="20">
        <v>4.6900000000000004</v>
      </c>
    </row>
    <row r="38" spans="1:10" ht="15.6" x14ac:dyDescent="0.3">
      <c r="A38" s="127"/>
      <c r="B38" s="25" t="s">
        <v>104</v>
      </c>
      <c r="C38" s="26" t="str">
        <f t="shared" ref="C38:J38" si="10">IF(OR(C36="",C37=""),"",C37/C36)</f>
        <v/>
      </c>
      <c r="D38" s="27" t="str">
        <f t="shared" si="10"/>
        <v/>
      </c>
      <c r="E38" s="26">
        <f t="shared" si="10"/>
        <v>1.0105932203389829</v>
      </c>
      <c r="F38" s="27">
        <f t="shared" si="10"/>
        <v>1.0093240093240092</v>
      </c>
      <c r="G38" s="26" t="str">
        <f t="shared" si="10"/>
        <v/>
      </c>
      <c r="H38" s="27">
        <f t="shared" si="10"/>
        <v>1.0134228187919465</v>
      </c>
      <c r="I38" s="26">
        <f t="shared" si="10"/>
        <v>1.0112149532710282</v>
      </c>
      <c r="J38" s="28">
        <f t="shared" si="10"/>
        <v>1.0129589632829374</v>
      </c>
    </row>
    <row r="39" spans="1:10" ht="15.6" x14ac:dyDescent="0.3">
      <c r="A39" s="127" t="s">
        <v>108</v>
      </c>
      <c r="B39" s="6" t="s">
        <v>102</v>
      </c>
      <c r="C39" s="6"/>
      <c r="D39" s="29"/>
      <c r="E39" s="6">
        <v>6.47</v>
      </c>
      <c r="F39" s="29">
        <v>5.87</v>
      </c>
      <c r="G39" s="6"/>
      <c r="H39" s="29">
        <v>6.11</v>
      </c>
      <c r="I39" s="6">
        <v>7.33</v>
      </c>
      <c r="J39" s="30">
        <v>6.33</v>
      </c>
    </row>
    <row r="40" spans="1:10" ht="15.6" x14ac:dyDescent="0.3">
      <c r="A40" s="127"/>
      <c r="B40" s="2" t="s">
        <v>103</v>
      </c>
      <c r="C40" s="2"/>
      <c r="D40" s="19"/>
      <c r="E40" s="2">
        <v>6.55</v>
      </c>
      <c r="F40" s="19">
        <v>5.95</v>
      </c>
      <c r="G40" s="2"/>
      <c r="H40" s="19">
        <v>6.21</v>
      </c>
      <c r="I40" s="2">
        <v>7.41</v>
      </c>
      <c r="J40" s="20">
        <v>6.43</v>
      </c>
    </row>
    <row r="41" spans="1:10" ht="15.6" x14ac:dyDescent="0.3">
      <c r="A41" s="127"/>
      <c r="B41" s="25" t="s">
        <v>104</v>
      </c>
      <c r="C41" s="26" t="str">
        <f t="shared" ref="C41:J41" si="11">IF(OR(C39="",C40=""),"",C40/C39)</f>
        <v/>
      </c>
      <c r="D41" s="27" t="str">
        <f t="shared" si="11"/>
        <v/>
      </c>
      <c r="E41" s="26">
        <f t="shared" si="11"/>
        <v>1.0123647604327666</v>
      </c>
      <c r="F41" s="27">
        <f t="shared" si="11"/>
        <v>1.0136286201022147</v>
      </c>
      <c r="G41" s="26" t="str">
        <f t="shared" si="11"/>
        <v/>
      </c>
      <c r="H41" s="27">
        <f t="shared" si="11"/>
        <v>1.0163666121112929</v>
      </c>
      <c r="I41" s="26">
        <f t="shared" si="11"/>
        <v>1.0109140518417463</v>
      </c>
      <c r="J41" s="28">
        <f t="shared" si="11"/>
        <v>1.0157977883096365</v>
      </c>
    </row>
    <row r="42" spans="1:10" ht="15.6" x14ac:dyDescent="0.3">
      <c r="A42" s="127" t="s">
        <v>109</v>
      </c>
      <c r="B42" s="6" t="s">
        <v>102</v>
      </c>
      <c r="C42" s="6"/>
      <c r="D42" s="29"/>
      <c r="E42" s="6">
        <v>8.5</v>
      </c>
      <c r="F42" s="29">
        <v>7.73</v>
      </c>
      <c r="G42" s="6"/>
      <c r="H42" s="29">
        <v>8.0399999999999991</v>
      </c>
      <c r="I42" s="6">
        <v>9.6199999999999992</v>
      </c>
      <c r="J42" s="30">
        <v>8.32</v>
      </c>
    </row>
    <row r="43" spans="1:10" ht="15.6" x14ac:dyDescent="0.3">
      <c r="A43" s="127"/>
      <c r="B43" s="2" t="s">
        <v>103</v>
      </c>
      <c r="C43" s="2"/>
      <c r="D43" s="19"/>
      <c r="E43" s="2">
        <v>8.6300000000000008</v>
      </c>
      <c r="F43" s="19">
        <v>7.83</v>
      </c>
      <c r="G43" s="2"/>
      <c r="H43" s="19">
        <v>8.19</v>
      </c>
      <c r="I43" s="2">
        <v>9.75</v>
      </c>
      <c r="J43" s="20">
        <v>8.4600000000000009</v>
      </c>
    </row>
    <row r="44" spans="1:10" ht="15.6" x14ac:dyDescent="0.3">
      <c r="A44" s="127"/>
      <c r="B44" s="25" t="s">
        <v>104</v>
      </c>
      <c r="C44" s="26" t="str">
        <f t="shared" ref="C44:J44" si="12">IF(OR(C42="",C43=""),"",C43/C42)</f>
        <v/>
      </c>
      <c r="D44" s="27" t="str">
        <f t="shared" si="12"/>
        <v/>
      </c>
      <c r="E44" s="26">
        <f t="shared" si="12"/>
        <v>1.0152941176470589</v>
      </c>
      <c r="F44" s="27">
        <f t="shared" si="12"/>
        <v>1.0129366106080206</v>
      </c>
      <c r="G44" s="26" t="str">
        <f t="shared" si="12"/>
        <v/>
      </c>
      <c r="H44" s="27">
        <f t="shared" si="12"/>
        <v>1.0186567164179106</v>
      </c>
      <c r="I44" s="26">
        <f t="shared" si="12"/>
        <v>1.0135135135135136</v>
      </c>
      <c r="J44" s="28">
        <f t="shared" si="12"/>
        <v>1.0168269230769231</v>
      </c>
    </row>
    <row r="46" spans="1:10" ht="15.6" x14ac:dyDescent="0.3">
      <c r="A46" s="8" t="s">
        <v>110</v>
      </c>
    </row>
    <row r="47" spans="1:10" ht="15.6" x14ac:dyDescent="0.3">
      <c r="B47" s="14"/>
      <c r="C47" s="126" t="s">
        <v>98</v>
      </c>
      <c r="D47" s="126"/>
      <c r="E47" s="126"/>
      <c r="F47" s="126"/>
      <c r="G47" s="126"/>
      <c r="H47" s="126"/>
      <c r="I47" s="126" t="s">
        <v>99</v>
      </c>
      <c r="J47" s="126"/>
    </row>
    <row r="48" spans="1:10" ht="15.6" x14ac:dyDescent="0.3">
      <c r="B48" s="15" t="s">
        <v>100</v>
      </c>
      <c r="C48" s="4" t="s">
        <v>14</v>
      </c>
      <c r="D48" s="16" t="s">
        <v>18</v>
      </c>
      <c r="E48" s="4" t="s">
        <v>68</v>
      </c>
      <c r="F48" s="16" t="s">
        <v>27</v>
      </c>
      <c r="G48" s="4" t="s">
        <v>21</v>
      </c>
      <c r="H48" s="16" t="s">
        <v>22</v>
      </c>
      <c r="I48" s="4" t="s">
        <v>21</v>
      </c>
      <c r="J48" s="17" t="s">
        <v>22</v>
      </c>
    </row>
    <row r="49" spans="1:10" ht="15.6" x14ac:dyDescent="0.3">
      <c r="B49" s="18" t="s">
        <v>101</v>
      </c>
      <c r="C49" s="2" t="s">
        <v>14</v>
      </c>
      <c r="D49" s="19" t="s">
        <v>18</v>
      </c>
      <c r="E49" s="2" t="s">
        <v>68</v>
      </c>
      <c r="F49" s="19" t="s">
        <v>27</v>
      </c>
      <c r="G49" s="2" t="s">
        <v>21</v>
      </c>
      <c r="H49" s="19" t="s">
        <v>22</v>
      </c>
      <c r="I49" s="2" t="s">
        <v>21</v>
      </c>
      <c r="J49" s="20" t="s">
        <v>22</v>
      </c>
    </row>
    <row r="50" spans="1:10" ht="15.6" x14ac:dyDescent="0.3">
      <c r="A50" s="7" t="s">
        <v>6</v>
      </c>
      <c r="B50" s="21"/>
      <c r="C50" s="22"/>
      <c r="D50" s="23"/>
      <c r="E50" s="22"/>
      <c r="F50" s="23"/>
      <c r="G50" s="22"/>
      <c r="H50" s="23"/>
      <c r="I50" s="22"/>
      <c r="J50" s="24"/>
    </row>
    <row r="51" spans="1:10" ht="15.6" x14ac:dyDescent="0.3">
      <c r="A51" s="127">
        <v>70</v>
      </c>
      <c r="B51" s="2" t="s">
        <v>102</v>
      </c>
      <c r="C51" s="2">
        <v>3.64</v>
      </c>
      <c r="D51" s="19">
        <v>3.61</v>
      </c>
      <c r="E51" s="2">
        <v>4.01</v>
      </c>
      <c r="F51" s="19">
        <v>3.63</v>
      </c>
      <c r="G51" s="2">
        <v>4.24</v>
      </c>
      <c r="H51" s="19">
        <v>3.74</v>
      </c>
      <c r="I51" s="2"/>
      <c r="J51" s="20">
        <v>3.93</v>
      </c>
    </row>
    <row r="52" spans="1:10" ht="15.6" x14ac:dyDescent="0.3">
      <c r="A52" s="127"/>
      <c r="B52" s="2" t="s">
        <v>103</v>
      </c>
      <c r="C52" s="2">
        <v>3.68</v>
      </c>
      <c r="D52" s="19">
        <v>3.63</v>
      </c>
      <c r="E52" s="2">
        <v>4.03</v>
      </c>
      <c r="F52" s="19">
        <v>3.65</v>
      </c>
      <c r="G52" s="2">
        <v>4.2699999999999996</v>
      </c>
      <c r="H52" s="19">
        <v>3.77</v>
      </c>
      <c r="I52" s="2"/>
      <c r="J52" s="20">
        <v>3.97</v>
      </c>
    </row>
    <row r="53" spans="1:10" ht="15.6" x14ac:dyDescent="0.3">
      <c r="A53" s="127"/>
      <c r="B53" s="25" t="s">
        <v>104</v>
      </c>
      <c r="C53" s="26">
        <f t="shared" ref="C53:J53" si="13">IF(OR(C51="",C52=""),"",C52/C51)</f>
        <v>1.0109890109890109</v>
      </c>
      <c r="D53" s="27">
        <f t="shared" si="13"/>
        <v>1.0055401662049861</v>
      </c>
      <c r="E53" s="26">
        <f t="shared" si="13"/>
        <v>1.00498753117207</v>
      </c>
      <c r="F53" s="27">
        <f t="shared" si="13"/>
        <v>1.0055096418732783</v>
      </c>
      <c r="G53" s="26">
        <f t="shared" si="13"/>
        <v>1.007075471698113</v>
      </c>
      <c r="H53" s="27">
        <f t="shared" si="13"/>
        <v>1.0080213903743316</v>
      </c>
      <c r="I53" s="26" t="str">
        <f t="shared" si="13"/>
        <v/>
      </c>
      <c r="J53" s="28">
        <f t="shared" si="13"/>
        <v>1.0101781170483461</v>
      </c>
    </row>
    <row r="54" spans="1:10" ht="15.6" x14ac:dyDescent="0.3">
      <c r="A54" s="127">
        <v>80</v>
      </c>
      <c r="B54" s="6" t="s">
        <v>102</v>
      </c>
      <c r="C54" s="6">
        <v>5.83</v>
      </c>
      <c r="D54" s="29">
        <v>5.76</v>
      </c>
      <c r="E54" s="6">
        <v>6.39</v>
      </c>
      <c r="F54" s="29">
        <v>5.8</v>
      </c>
      <c r="G54" s="6">
        <v>6.79</v>
      </c>
      <c r="H54" s="29">
        <v>5.98</v>
      </c>
      <c r="I54" s="6"/>
      <c r="J54" s="30">
        <v>6.25</v>
      </c>
    </row>
    <row r="55" spans="1:10" ht="15.6" x14ac:dyDescent="0.3">
      <c r="A55" s="127"/>
      <c r="B55" s="2" t="s">
        <v>103</v>
      </c>
      <c r="C55" s="2">
        <v>5.8</v>
      </c>
      <c r="D55" s="19">
        <v>5.72</v>
      </c>
      <c r="E55" s="2">
        <v>6.36</v>
      </c>
      <c r="F55" s="19">
        <v>5.76</v>
      </c>
      <c r="G55" s="2">
        <v>6.74</v>
      </c>
      <c r="H55" s="19">
        <v>5.95</v>
      </c>
      <c r="I55" s="2"/>
      <c r="J55" s="20">
        <v>6.23</v>
      </c>
    </row>
    <row r="56" spans="1:10" ht="15.6" x14ac:dyDescent="0.3">
      <c r="A56" s="127"/>
      <c r="B56" s="25" t="s">
        <v>104</v>
      </c>
      <c r="C56" s="26">
        <f t="shared" ref="C56:J56" si="14">IF(OR(C54="",C55=""),"",C55/C54)</f>
        <v>0.99485420240137212</v>
      </c>
      <c r="D56" s="27">
        <f t="shared" si="14"/>
        <v>0.99305555555555558</v>
      </c>
      <c r="E56" s="26">
        <f t="shared" si="14"/>
        <v>0.99530516431924898</v>
      </c>
      <c r="F56" s="27">
        <f t="shared" si="14"/>
        <v>0.99310344827586206</v>
      </c>
      <c r="G56" s="26">
        <f t="shared" si="14"/>
        <v>0.99263622974963184</v>
      </c>
      <c r="H56" s="27">
        <f t="shared" si="14"/>
        <v>0.99498327759197325</v>
      </c>
      <c r="I56" s="26" t="str">
        <f t="shared" si="14"/>
        <v/>
      </c>
      <c r="J56" s="28">
        <f t="shared" si="14"/>
        <v>0.99680000000000002</v>
      </c>
    </row>
    <row r="57" spans="1:10" ht="15.6" x14ac:dyDescent="0.3">
      <c r="A57" s="127">
        <v>90</v>
      </c>
      <c r="B57" s="6" t="s">
        <v>102</v>
      </c>
      <c r="C57" s="6">
        <v>8.5</v>
      </c>
      <c r="D57" s="29">
        <v>8.35</v>
      </c>
      <c r="E57" s="6">
        <v>9.2799999999999994</v>
      </c>
      <c r="F57" s="29">
        <v>8.41</v>
      </c>
      <c r="G57" s="6">
        <v>9.84</v>
      </c>
      <c r="H57" s="29">
        <v>8.66</v>
      </c>
      <c r="I57" s="6"/>
      <c r="J57" s="30">
        <v>9.0399999999999991</v>
      </c>
    </row>
    <row r="58" spans="1:10" ht="15.6" x14ac:dyDescent="0.3">
      <c r="A58" s="127"/>
      <c r="B58" s="2" t="s">
        <v>103</v>
      </c>
      <c r="C58" s="2">
        <v>8.39</v>
      </c>
      <c r="D58" s="19">
        <v>8.25</v>
      </c>
      <c r="E58" s="2">
        <v>9.17</v>
      </c>
      <c r="F58" s="19">
        <v>8.3000000000000007</v>
      </c>
      <c r="G58" s="2">
        <v>9.7200000000000006</v>
      </c>
      <c r="H58" s="19">
        <v>8.58</v>
      </c>
      <c r="I58" s="2"/>
      <c r="J58" s="20">
        <v>8.9499999999999993</v>
      </c>
    </row>
    <row r="59" spans="1:10" ht="15.6" x14ac:dyDescent="0.3">
      <c r="A59" s="127"/>
      <c r="B59" s="25" t="s">
        <v>104</v>
      </c>
      <c r="C59" s="26">
        <f t="shared" ref="C59:J59" si="15">IF(OR(C57="",C58=""),"",C58/C57)</f>
        <v>0.98705882352941188</v>
      </c>
      <c r="D59" s="27">
        <f t="shared" si="15"/>
        <v>0.9880239520958084</v>
      </c>
      <c r="E59" s="26">
        <f t="shared" si="15"/>
        <v>0.98814655172413801</v>
      </c>
      <c r="F59" s="27">
        <f t="shared" si="15"/>
        <v>0.98692033293697989</v>
      </c>
      <c r="G59" s="26">
        <f t="shared" si="15"/>
        <v>0.98780487804878059</v>
      </c>
      <c r="H59" s="27">
        <f t="shared" si="15"/>
        <v>0.99076212471131642</v>
      </c>
      <c r="I59" s="26" t="str">
        <f t="shared" si="15"/>
        <v/>
      </c>
      <c r="J59" s="28">
        <f t="shared" si="15"/>
        <v>0.99004424778761069</v>
      </c>
    </row>
    <row r="60" spans="1:10" ht="15.6" x14ac:dyDescent="0.3">
      <c r="A60" s="127">
        <v>100</v>
      </c>
      <c r="B60" s="6" t="s">
        <v>102</v>
      </c>
      <c r="C60" s="6">
        <v>11.51</v>
      </c>
      <c r="D60" s="29">
        <v>11.35</v>
      </c>
      <c r="E60" s="6">
        <v>12.61</v>
      </c>
      <c r="F60" s="29">
        <v>11.4</v>
      </c>
      <c r="G60" s="6">
        <v>13.35</v>
      </c>
      <c r="H60" s="29">
        <v>11.73</v>
      </c>
      <c r="I60" s="6"/>
      <c r="J60" s="30">
        <v>12.22</v>
      </c>
    </row>
    <row r="61" spans="1:10" ht="15.6" x14ac:dyDescent="0.3">
      <c r="A61" s="127"/>
      <c r="B61" s="2" t="s">
        <v>103</v>
      </c>
      <c r="C61" s="2">
        <v>11.33</v>
      </c>
      <c r="D61" s="19">
        <v>11.16</v>
      </c>
      <c r="E61" s="2">
        <v>12.4</v>
      </c>
      <c r="F61" s="19">
        <v>11.2</v>
      </c>
      <c r="G61" s="2">
        <v>13.12</v>
      </c>
      <c r="H61" s="19">
        <v>11.57</v>
      </c>
      <c r="I61" s="2"/>
      <c r="J61" s="20">
        <v>12.05</v>
      </c>
    </row>
    <row r="62" spans="1:10" ht="15.6" x14ac:dyDescent="0.3">
      <c r="A62" s="127"/>
      <c r="B62" s="25" t="s">
        <v>104</v>
      </c>
      <c r="C62" s="26">
        <f t="shared" ref="C62:J62" si="16">IF(OR(C60="",C61=""),"",C61/C60)</f>
        <v>0.9843614248479583</v>
      </c>
      <c r="D62" s="27">
        <f t="shared" si="16"/>
        <v>0.9832599118942732</v>
      </c>
      <c r="E62" s="26">
        <f t="shared" si="16"/>
        <v>0.98334655035685969</v>
      </c>
      <c r="F62" s="27">
        <f t="shared" si="16"/>
        <v>0.98245614035087714</v>
      </c>
      <c r="G62" s="26">
        <f t="shared" si="16"/>
        <v>0.98277153558052432</v>
      </c>
      <c r="H62" s="27">
        <f t="shared" si="16"/>
        <v>0.9863597612958227</v>
      </c>
      <c r="I62" s="26" t="str">
        <f t="shared" si="16"/>
        <v/>
      </c>
      <c r="J62" s="28">
        <f t="shared" si="16"/>
        <v>0.98608837970540097</v>
      </c>
    </row>
    <row r="63" spans="1:10" ht="15.6" x14ac:dyDescent="0.3">
      <c r="A63" s="127">
        <v>110</v>
      </c>
      <c r="B63" s="6" t="s">
        <v>102</v>
      </c>
      <c r="C63" s="6">
        <v>16.899999999999999</v>
      </c>
      <c r="D63" s="29">
        <v>16.649999999999999</v>
      </c>
      <c r="E63" s="6">
        <v>16.28</v>
      </c>
      <c r="F63" s="29">
        <v>14.72</v>
      </c>
      <c r="G63" s="6">
        <v>17.190000000000001</v>
      </c>
      <c r="H63" s="29">
        <v>15.1</v>
      </c>
      <c r="I63" s="6"/>
      <c r="J63" s="30">
        <v>15.7</v>
      </c>
    </row>
    <row r="64" spans="1:10" ht="15.6" x14ac:dyDescent="0.3">
      <c r="A64" s="127"/>
      <c r="B64" s="2" t="s">
        <v>103</v>
      </c>
      <c r="C64" s="2">
        <v>16.62</v>
      </c>
      <c r="D64" s="19">
        <v>14.38</v>
      </c>
      <c r="E64" s="2">
        <v>15.98</v>
      </c>
      <c r="F64" s="19">
        <v>14.44</v>
      </c>
      <c r="G64" s="2">
        <v>16.88</v>
      </c>
      <c r="H64" s="19">
        <v>14.88</v>
      </c>
      <c r="I64" s="2"/>
      <c r="J64" s="20">
        <v>15.46</v>
      </c>
    </row>
    <row r="65" spans="1:10" ht="15.6" x14ac:dyDescent="0.3">
      <c r="A65" s="127"/>
      <c r="B65" s="25" t="s">
        <v>104</v>
      </c>
      <c r="C65" s="26">
        <f t="shared" ref="C65:J65" si="17">IF(OR(C63="",C64=""),"",C64/C63)</f>
        <v>0.98343195266272199</v>
      </c>
      <c r="D65" s="27">
        <f t="shared" si="17"/>
        <v>0.86366366366366376</v>
      </c>
      <c r="E65" s="26">
        <f t="shared" si="17"/>
        <v>0.98157248157248156</v>
      </c>
      <c r="F65" s="27">
        <f t="shared" si="17"/>
        <v>0.98097826086956519</v>
      </c>
      <c r="G65" s="26">
        <f t="shared" si="17"/>
        <v>0.98196625945317029</v>
      </c>
      <c r="H65" s="27">
        <f t="shared" si="17"/>
        <v>0.98543046357615904</v>
      </c>
      <c r="I65" s="26" t="str">
        <f t="shared" si="17"/>
        <v/>
      </c>
      <c r="J65" s="28">
        <f t="shared" si="17"/>
        <v>0.98471337579617846</v>
      </c>
    </row>
    <row r="66" spans="1:10" ht="15.6" x14ac:dyDescent="0.3">
      <c r="A66" s="127">
        <v>120</v>
      </c>
      <c r="B66" s="6" t="s">
        <v>102</v>
      </c>
      <c r="C66" s="6">
        <v>18.54</v>
      </c>
      <c r="D66" s="29">
        <v>18.2</v>
      </c>
      <c r="E66" s="6">
        <v>20.22</v>
      </c>
      <c r="F66" s="29">
        <v>18.27</v>
      </c>
      <c r="G66" s="6">
        <v>21.41</v>
      </c>
      <c r="H66" s="29">
        <v>18.8</v>
      </c>
      <c r="I66" s="6"/>
      <c r="J66" s="30">
        <v>19.52</v>
      </c>
    </row>
    <row r="67" spans="1:10" ht="15.6" x14ac:dyDescent="0.3">
      <c r="A67" s="127"/>
      <c r="B67" s="2" t="s">
        <v>103</v>
      </c>
      <c r="C67" s="2">
        <v>18.190000000000001</v>
      </c>
      <c r="D67" s="19">
        <v>17.86</v>
      </c>
      <c r="E67" s="2">
        <v>19.84</v>
      </c>
      <c r="F67" s="19">
        <v>17.920000000000002</v>
      </c>
      <c r="G67" s="2">
        <v>20.99</v>
      </c>
      <c r="H67" s="19">
        <v>18.489999999999998</v>
      </c>
      <c r="I67" s="2"/>
      <c r="J67" s="20">
        <v>19.18</v>
      </c>
    </row>
    <row r="68" spans="1:10" ht="15.6" x14ac:dyDescent="0.3">
      <c r="A68" s="127"/>
      <c r="B68" s="25" t="s">
        <v>104</v>
      </c>
      <c r="C68" s="26">
        <f t="shared" ref="C68:J68" si="18">IF(OR(C66="",C67=""),"",C67/C66)</f>
        <v>0.98112189859762688</v>
      </c>
      <c r="D68" s="27">
        <f t="shared" si="18"/>
        <v>0.98131868131868127</v>
      </c>
      <c r="E68" s="26">
        <f t="shared" si="18"/>
        <v>0.98120672601384773</v>
      </c>
      <c r="F68" s="27">
        <f t="shared" si="18"/>
        <v>0.98084291187739481</v>
      </c>
      <c r="G68" s="26">
        <f t="shared" si="18"/>
        <v>0.98038299859878553</v>
      </c>
      <c r="H68" s="27">
        <f t="shared" si="18"/>
        <v>0.98351063829787222</v>
      </c>
      <c r="I68" s="26" t="str">
        <f t="shared" si="18"/>
        <v/>
      </c>
      <c r="J68" s="28">
        <f t="shared" si="18"/>
        <v>0.98258196721311475</v>
      </c>
    </row>
    <row r="69" spans="1:10" ht="15.6" x14ac:dyDescent="0.3">
      <c r="A69" s="127">
        <v>130</v>
      </c>
      <c r="B69" s="6" t="s">
        <v>102</v>
      </c>
      <c r="C69" s="6">
        <v>22.44</v>
      </c>
      <c r="D69" s="29">
        <v>22.05</v>
      </c>
      <c r="E69" s="6">
        <v>24.49</v>
      </c>
      <c r="F69" s="29">
        <v>22.15</v>
      </c>
      <c r="G69" s="6">
        <v>25.92</v>
      </c>
      <c r="H69" s="29">
        <v>22.75</v>
      </c>
      <c r="I69" s="6"/>
      <c r="J69" s="30">
        <v>23.57</v>
      </c>
    </row>
    <row r="70" spans="1:10" ht="15.6" x14ac:dyDescent="0.3">
      <c r="A70" s="127"/>
      <c r="B70" s="2" t="s">
        <v>103</v>
      </c>
      <c r="C70" s="2">
        <v>22.01</v>
      </c>
      <c r="D70" s="19">
        <v>21.61</v>
      </c>
      <c r="E70" s="2">
        <v>24.01</v>
      </c>
      <c r="F70" s="19">
        <v>21.7</v>
      </c>
      <c r="G70" s="2">
        <v>25.41</v>
      </c>
      <c r="H70" s="19">
        <v>22.37</v>
      </c>
      <c r="I70" s="2"/>
      <c r="J70" s="20">
        <v>23.18</v>
      </c>
    </row>
    <row r="71" spans="1:10" ht="15.6" x14ac:dyDescent="0.3">
      <c r="A71" s="127"/>
      <c r="B71" s="25" t="s">
        <v>104</v>
      </c>
      <c r="C71" s="26">
        <f t="shared" ref="C71:J71" si="19">IF(OR(C69="",C70=""),"",C70/C69)</f>
        <v>0.98083778966131907</v>
      </c>
      <c r="D71" s="27">
        <f t="shared" si="19"/>
        <v>0.9800453514739228</v>
      </c>
      <c r="E71" s="26">
        <f t="shared" si="19"/>
        <v>0.98040016333197233</v>
      </c>
      <c r="F71" s="27">
        <f t="shared" si="19"/>
        <v>0.97968397291196396</v>
      </c>
      <c r="G71" s="26">
        <f t="shared" si="19"/>
        <v>0.98032407407407407</v>
      </c>
      <c r="H71" s="27">
        <f t="shared" si="19"/>
        <v>0.98329670329670338</v>
      </c>
      <c r="I71" s="26" t="str">
        <f t="shared" si="19"/>
        <v/>
      </c>
      <c r="J71" s="28">
        <f t="shared" si="19"/>
        <v>0.9834535426389478</v>
      </c>
    </row>
    <row r="72" spans="1:10" ht="15.6" x14ac:dyDescent="0.3">
      <c r="A72" s="127">
        <v>140</v>
      </c>
      <c r="B72" s="6" t="s">
        <v>102</v>
      </c>
      <c r="C72" s="6">
        <v>26.59</v>
      </c>
      <c r="D72" s="29">
        <v>26.16</v>
      </c>
      <c r="E72" s="6">
        <v>29.06</v>
      </c>
      <c r="F72" s="29">
        <v>26.26</v>
      </c>
      <c r="G72" s="6">
        <v>30.73</v>
      </c>
      <c r="H72" s="29">
        <v>26.99</v>
      </c>
      <c r="I72" s="6"/>
      <c r="J72" s="30">
        <v>27.92</v>
      </c>
    </row>
    <row r="73" spans="1:10" ht="15.6" x14ac:dyDescent="0.3">
      <c r="A73" s="127"/>
      <c r="B73" s="2" t="s">
        <v>103</v>
      </c>
      <c r="C73" s="2">
        <v>26.09</v>
      </c>
      <c r="D73" s="19">
        <v>25.66</v>
      </c>
      <c r="E73" s="2">
        <v>28.53</v>
      </c>
      <c r="F73" s="19">
        <v>25.74</v>
      </c>
      <c r="G73" s="2">
        <v>30.1</v>
      </c>
      <c r="H73" s="19">
        <v>26.53</v>
      </c>
      <c r="I73" s="2"/>
      <c r="J73" s="20">
        <v>27.46</v>
      </c>
    </row>
    <row r="74" spans="1:10" ht="15.6" x14ac:dyDescent="0.3">
      <c r="A74" s="127"/>
      <c r="B74" s="25" t="s">
        <v>104</v>
      </c>
      <c r="C74" s="26">
        <f t="shared" ref="C74:J74" si="20">IF(OR(C72="",C73=""),"",C73/C72)</f>
        <v>0.98119593832267771</v>
      </c>
      <c r="D74" s="27">
        <f t="shared" si="20"/>
        <v>0.98088685015290522</v>
      </c>
      <c r="E74" s="26">
        <f t="shared" si="20"/>
        <v>0.98176187198898834</v>
      </c>
      <c r="F74" s="27">
        <f t="shared" si="20"/>
        <v>0.98019801980198007</v>
      </c>
      <c r="G74" s="26">
        <f t="shared" si="20"/>
        <v>0.97949886104783601</v>
      </c>
      <c r="H74" s="27">
        <f t="shared" si="20"/>
        <v>0.98295665061133763</v>
      </c>
      <c r="I74" s="26" t="str">
        <f t="shared" si="20"/>
        <v/>
      </c>
      <c r="J74" s="28">
        <f t="shared" si="20"/>
        <v>0.98352435530085958</v>
      </c>
    </row>
    <row r="75" spans="1:10" ht="15.6" x14ac:dyDescent="0.3">
      <c r="A75" s="127" t="s">
        <v>105</v>
      </c>
      <c r="B75" s="6" t="s">
        <v>102</v>
      </c>
      <c r="C75" s="6"/>
      <c r="D75" s="29"/>
      <c r="E75" s="6">
        <v>1.99</v>
      </c>
      <c r="F75" s="29">
        <v>1.8</v>
      </c>
      <c r="G75" s="6"/>
      <c r="H75" s="29">
        <v>1.88</v>
      </c>
      <c r="I75" s="6">
        <v>2.2599999999999998</v>
      </c>
      <c r="J75" s="30">
        <v>1.96</v>
      </c>
    </row>
    <row r="76" spans="1:10" ht="15.6" x14ac:dyDescent="0.3">
      <c r="A76" s="127"/>
      <c r="B76" s="2" t="s">
        <v>103</v>
      </c>
      <c r="C76" s="2"/>
      <c r="D76" s="19"/>
      <c r="E76" s="2">
        <v>1.94</v>
      </c>
      <c r="F76" s="19">
        <v>1.76</v>
      </c>
      <c r="G76" s="2"/>
      <c r="H76" s="19">
        <v>1.84</v>
      </c>
      <c r="I76" s="2">
        <v>2.2000000000000002</v>
      </c>
      <c r="J76" s="20">
        <v>1.91</v>
      </c>
    </row>
    <row r="77" spans="1:10" ht="15.6" x14ac:dyDescent="0.3">
      <c r="A77" s="127"/>
      <c r="B77" s="25" t="s">
        <v>104</v>
      </c>
      <c r="C77" s="26" t="str">
        <f t="shared" ref="C77:J77" si="21">IF(OR(C75="",C76=""),"",C76/C75)</f>
        <v/>
      </c>
      <c r="D77" s="27" t="str">
        <f t="shared" si="21"/>
        <v/>
      </c>
      <c r="E77" s="26">
        <f t="shared" si="21"/>
        <v>0.97487437185929648</v>
      </c>
      <c r="F77" s="27">
        <f t="shared" si="21"/>
        <v>0.97777777777777775</v>
      </c>
      <c r="G77" s="26" t="str">
        <f t="shared" si="21"/>
        <v/>
      </c>
      <c r="H77" s="27">
        <f t="shared" si="21"/>
        <v>0.97872340425531923</v>
      </c>
      <c r="I77" s="26">
        <f t="shared" si="21"/>
        <v>0.9734513274336285</v>
      </c>
      <c r="J77" s="28">
        <f t="shared" si="21"/>
        <v>0.97448979591836737</v>
      </c>
    </row>
    <row r="78" spans="1:10" ht="15.6" x14ac:dyDescent="0.3">
      <c r="A78" s="127" t="s">
        <v>106</v>
      </c>
      <c r="B78" s="6" t="s">
        <v>102</v>
      </c>
      <c r="C78" s="6"/>
      <c r="D78" s="29"/>
      <c r="E78" s="6">
        <v>3.1</v>
      </c>
      <c r="F78" s="29">
        <v>2.81</v>
      </c>
      <c r="G78" s="6"/>
      <c r="H78" s="29">
        <v>2.92</v>
      </c>
      <c r="I78" s="6">
        <v>3.51</v>
      </c>
      <c r="J78" s="30">
        <v>3.04</v>
      </c>
    </row>
    <row r="79" spans="1:10" ht="15.6" x14ac:dyDescent="0.3">
      <c r="A79" s="127"/>
      <c r="B79" s="2" t="s">
        <v>103</v>
      </c>
      <c r="C79" s="2"/>
      <c r="D79" s="19"/>
      <c r="E79" s="2">
        <v>3.03</v>
      </c>
      <c r="F79" s="19">
        <v>2.74</v>
      </c>
      <c r="G79" s="2"/>
      <c r="H79" s="19">
        <v>2.86</v>
      </c>
      <c r="I79" s="2">
        <v>3.43</v>
      </c>
      <c r="J79" s="20">
        <v>2.97</v>
      </c>
    </row>
    <row r="80" spans="1:10" ht="15.6" x14ac:dyDescent="0.3">
      <c r="A80" s="127"/>
      <c r="B80" s="25" t="s">
        <v>104</v>
      </c>
      <c r="C80" s="26" t="str">
        <f t="shared" ref="C80:J80" si="22">IF(OR(C78="",C79=""),"",C79/C78)</f>
        <v/>
      </c>
      <c r="D80" s="27" t="str">
        <f t="shared" si="22"/>
        <v/>
      </c>
      <c r="E80" s="26">
        <f t="shared" si="22"/>
        <v>0.97741935483870956</v>
      </c>
      <c r="F80" s="27">
        <f t="shared" si="22"/>
        <v>0.97508896797153033</v>
      </c>
      <c r="G80" s="26" t="str">
        <f t="shared" si="22"/>
        <v/>
      </c>
      <c r="H80" s="27">
        <f t="shared" si="22"/>
        <v>0.97945205479452058</v>
      </c>
      <c r="I80" s="26">
        <f t="shared" si="22"/>
        <v>0.97720797720797736</v>
      </c>
      <c r="J80" s="28">
        <f t="shared" si="22"/>
        <v>0.97697368421052633</v>
      </c>
    </row>
    <row r="81" spans="1:10" ht="15.6" x14ac:dyDescent="0.3">
      <c r="A81" s="127" t="s">
        <v>107</v>
      </c>
      <c r="B81" s="6" t="s">
        <v>102</v>
      </c>
      <c r="C81" s="6"/>
      <c r="D81" s="29"/>
      <c r="E81" s="6">
        <v>4.4800000000000004</v>
      </c>
      <c r="F81" s="29">
        <v>4.0599999999999996</v>
      </c>
      <c r="G81" s="6"/>
      <c r="H81" s="29">
        <v>4.2300000000000004</v>
      </c>
      <c r="I81" s="6">
        <v>5.08</v>
      </c>
      <c r="J81" s="30">
        <v>4.3899999999999997</v>
      </c>
    </row>
    <row r="82" spans="1:10" ht="15.6" x14ac:dyDescent="0.3">
      <c r="A82" s="127"/>
      <c r="B82" s="2" t="s">
        <v>103</v>
      </c>
      <c r="C82" s="2"/>
      <c r="D82" s="19"/>
      <c r="E82" s="2">
        <v>4.3899999999999997</v>
      </c>
      <c r="F82" s="19">
        <v>3.98</v>
      </c>
      <c r="G82" s="2"/>
      <c r="H82" s="19">
        <v>4.1500000000000004</v>
      </c>
      <c r="I82" s="2">
        <v>4.97</v>
      </c>
      <c r="J82" s="20">
        <v>4.3099999999999996</v>
      </c>
    </row>
    <row r="83" spans="1:10" ht="15.6" x14ac:dyDescent="0.3">
      <c r="A83" s="127"/>
      <c r="B83" s="25" t="s">
        <v>104</v>
      </c>
      <c r="C83" s="26" t="str">
        <f t="shared" ref="C83:J83" si="23">IF(OR(C81="",C82=""),"",C82/C81)</f>
        <v/>
      </c>
      <c r="D83" s="27" t="str">
        <f t="shared" si="23"/>
        <v/>
      </c>
      <c r="E83" s="26">
        <f t="shared" si="23"/>
        <v>0.97991071428571408</v>
      </c>
      <c r="F83" s="27">
        <f t="shared" si="23"/>
        <v>0.98029556650246319</v>
      </c>
      <c r="G83" s="26" t="str">
        <f t="shared" si="23"/>
        <v/>
      </c>
      <c r="H83" s="27">
        <f t="shared" si="23"/>
        <v>0.98108747044917255</v>
      </c>
      <c r="I83" s="26">
        <f t="shared" si="23"/>
        <v>0.97834645669291331</v>
      </c>
      <c r="J83" s="28">
        <f t="shared" si="23"/>
        <v>0.98177676537585423</v>
      </c>
    </row>
    <row r="84" spans="1:10" ht="15.6" x14ac:dyDescent="0.3">
      <c r="A84" s="127" t="s">
        <v>108</v>
      </c>
      <c r="B84" s="6" t="s">
        <v>102</v>
      </c>
      <c r="C84" s="6"/>
      <c r="D84" s="29"/>
      <c r="E84" s="6">
        <v>6.15</v>
      </c>
      <c r="F84" s="29">
        <v>5.58</v>
      </c>
      <c r="G84" s="6"/>
      <c r="H84" s="29">
        <v>5.8</v>
      </c>
      <c r="I84" s="6">
        <v>6.96</v>
      </c>
      <c r="J84" s="30">
        <v>6.01</v>
      </c>
    </row>
    <row r="85" spans="1:10" ht="15.6" x14ac:dyDescent="0.3">
      <c r="A85" s="127"/>
      <c r="B85" s="2" t="s">
        <v>103</v>
      </c>
      <c r="C85" s="2"/>
      <c r="D85" s="19"/>
      <c r="E85" s="2">
        <v>6.04</v>
      </c>
      <c r="F85" s="19">
        <v>5.48</v>
      </c>
      <c r="G85" s="2"/>
      <c r="H85" s="19">
        <v>5.71</v>
      </c>
      <c r="I85" s="2">
        <v>6.83</v>
      </c>
      <c r="J85" s="20">
        <v>5.92</v>
      </c>
    </row>
    <row r="86" spans="1:10" ht="15.6" x14ac:dyDescent="0.3">
      <c r="A86" s="127"/>
      <c r="B86" s="25" t="s">
        <v>104</v>
      </c>
      <c r="C86" s="26" t="str">
        <f t="shared" ref="C86:J86" si="24">IF(OR(C84="",C85=""),"",C85/C84)</f>
        <v/>
      </c>
      <c r="D86" s="27" t="str">
        <f t="shared" si="24"/>
        <v/>
      </c>
      <c r="E86" s="26">
        <f t="shared" si="24"/>
        <v>0.98211382113821133</v>
      </c>
      <c r="F86" s="27">
        <f t="shared" si="24"/>
        <v>0.98207885304659504</v>
      </c>
      <c r="G86" s="26" t="str">
        <f t="shared" si="24"/>
        <v/>
      </c>
      <c r="H86" s="27">
        <f t="shared" si="24"/>
        <v>0.98448275862068968</v>
      </c>
      <c r="I86" s="26">
        <f t="shared" si="24"/>
        <v>0.98132183908045978</v>
      </c>
      <c r="J86" s="28">
        <f t="shared" si="24"/>
        <v>0.98502495840266224</v>
      </c>
    </row>
    <row r="87" spans="1:10" ht="15.6" x14ac:dyDescent="0.3">
      <c r="A87" s="127" t="s">
        <v>109</v>
      </c>
      <c r="B87" s="6" t="s">
        <v>102</v>
      </c>
      <c r="C87" s="6"/>
      <c r="D87" s="29"/>
      <c r="E87" s="6">
        <v>8.1300000000000008</v>
      </c>
      <c r="F87" s="29">
        <v>7.36</v>
      </c>
      <c r="G87" s="6"/>
      <c r="H87" s="29">
        <v>7.64</v>
      </c>
      <c r="I87" s="6">
        <v>9.17</v>
      </c>
      <c r="J87" s="30">
        <v>7.92</v>
      </c>
    </row>
    <row r="88" spans="1:10" ht="15.6" x14ac:dyDescent="0.3">
      <c r="A88" s="127"/>
      <c r="B88" s="2" t="s">
        <v>103</v>
      </c>
      <c r="C88" s="2"/>
      <c r="D88" s="19"/>
      <c r="E88" s="2">
        <v>8.01</v>
      </c>
      <c r="F88" s="19">
        <v>7.25</v>
      </c>
      <c r="G88" s="2"/>
      <c r="H88" s="19">
        <v>7.55</v>
      </c>
      <c r="I88" s="2">
        <v>9.02</v>
      </c>
      <c r="J88" s="20">
        <v>7.81</v>
      </c>
    </row>
    <row r="89" spans="1:10" ht="15.6" x14ac:dyDescent="0.3">
      <c r="A89" s="127"/>
      <c r="B89" s="25" t="s">
        <v>104</v>
      </c>
      <c r="C89" s="26" t="str">
        <f t="shared" ref="C89:J89" si="25">IF(OR(C87="",C88=""),"",C88/C87)</f>
        <v/>
      </c>
      <c r="D89" s="27" t="str">
        <f t="shared" si="25"/>
        <v/>
      </c>
      <c r="E89" s="26">
        <f t="shared" si="25"/>
        <v>0.98523985239852385</v>
      </c>
      <c r="F89" s="27">
        <f t="shared" si="25"/>
        <v>0.98505434782608692</v>
      </c>
      <c r="G89" s="26" t="str">
        <f t="shared" si="25"/>
        <v/>
      </c>
      <c r="H89" s="27">
        <f t="shared" si="25"/>
        <v>0.98821989528795817</v>
      </c>
      <c r="I89" s="26">
        <f t="shared" si="25"/>
        <v>0.98364231188658668</v>
      </c>
      <c r="J89" s="28">
        <f t="shared" si="25"/>
        <v>0.98611111111111105</v>
      </c>
    </row>
    <row r="91" spans="1:10" ht="15.6" x14ac:dyDescent="0.3">
      <c r="A91" s="8" t="s">
        <v>111</v>
      </c>
    </row>
    <row r="92" spans="1:10" ht="15.6" x14ac:dyDescent="0.3">
      <c r="B92" s="14"/>
      <c r="C92" s="126" t="s">
        <v>98</v>
      </c>
      <c r="D92" s="126"/>
      <c r="E92" s="126"/>
      <c r="F92" s="126"/>
      <c r="G92" s="126"/>
      <c r="H92" s="126"/>
      <c r="I92" s="126" t="s">
        <v>99</v>
      </c>
      <c r="J92" s="126"/>
    </row>
    <row r="93" spans="1:10" ht="15.6" x14ac:dyDescent="0.3">
      <c r="B93" s="15" t="s">
        <v>100</v>
      </c>
      <c r="C93" s="4" t="s">
        <v>14</v>
      </c>
      <c r="D93" s="16" t="s">
        <v>18</v>
      </c>
      <c r="E93" s="4" t="s">
        <v>68</v>
      </c>
      <c r="F93" s="16" t="s">
        <v>27</v>
      </c>
      <c r="G93" s="4" t="s">
        <v>21</v>
      </c>
      <c r="H93" s="16" t="s">
        <v>22</v>
      </c>
      <c r="I93" s="4" t="s">
        <v>21</v>
      </c>
      <c r="J93" s="17" t="s">
        <v>22</v>
      </c>
    </row>
    <row r="94" spans="1:10" ht="15.6" x14ac:dyDescent="0.3">
      <c r="B94" s="18" t="s">
        <v>101</v>
      </c>
      <c r="C94" s="2" t="s">
        <v>14</v>
      </c>
      <c r="D94" s="19" t="s">
        <v>18</v>
      </c>
      <c r="E94" s="2" t="s">
        <v>68</v>
      </c>
      <c r="F94" s="19" t="s">
        <v>27</v>
      </c>
      <c r="G94" s="2" t="s">
        <v>21</v>
      </c>
      <c r="H94" s="19" t="s">
        <v>22</v>
      </c>
      <c r="I94" s="2" t="s">
        <v>21</v>
      </c>
      <c r="J94" s="20" t="s">
        <v>22</v>
      </c>
    </row>
    <row r="95" spans="1:10" ht="15.6" x14ac:dyDescent="0.3">
      <c r="A95" s="7" t="s">
        <v>6</v>
      </c>
      <c r="B95" s="21"/>
      <c r="C95" s="22"/>
      <c r="D95" s="23"/>
      <c r="E95" s="22"/>
      <c r="F95" s="23"/>
      <c r="G95" s="22"/>
      <c r="H95" s="23"/>
      <c r="I95" s="22"/>
      <c r="J95" s="24"/>
    </row>
    <row r="96" spans="1:10" ht="15.6" x14ac:dyDescent="0.3">
      <c r="A96" s="127">
        <v>70</v>
      </c>
      <c r="B96" s="2" t="s">
        <v>102</v>
      </c>
      <c r="C96" s="2">
        <v>0.91</v>
      </c>
      <c r="D96" s="19">
        <v>0.9</v>
      </c>
      <c r="E96" s="2">
        <v>1</v>
      </c>
      <c r="F96" s="19">
        <v>0.9</v>
      </c>
      <c r="G96" s="2">
        <v>1.05</v>
      </c>
      <c r="H96" s="19">
        <v>0.93</v>
      </c>
      <c r="I96" s="2"/>
      <c r="J96" s="20">
        <v>0.98</v>
      </c>
    </row>
    <row r="97" spans="1:10" ht="15.6" x14ac:dyDescent="0.3">
      <c r="A97" s="127"/>
      <c r="B97" s="2" t="s">
        <v>103</v>
      </c>
      <c r="C97" s="2">
        <v>1.83</v>
      </c>
      <c r="D97" s="19">
        <v>1.79</v>
      </c>
      <c r="E97" s="2">
        <v>1.98</v>
      </c>
      <c r="F97" s="19">
        <v>1.79</v>
      </c>
      <c r="G97" s="2">
        <v>2.1</v>
      </c>
      <c r="H97" s="19">
        <v>1.87</v>
      </c>
      <c r="I97" s="2"/>
      <c r="J97" s="20">
        <v>1.96</v>
      </c>
    </row>
    <row r="98" spans="1:10" ht="15.6" x14ac:dyDescent="0.3">
      <c r="A98" s="127"/>
      <c r="B98" s="25" t="s">
        <v>104</v>
      </c>
      <c r="C98" s="26">
        <f t="shared" ref="C98:J98" si="26">IF(OR(C96="",C97=""),"",C97/C96)</f>
        <v>2.0109890109890109</v>
      </c>
      <c r="D98" s="27">
        <f t="shared" si="26"/>
        <v>1.9888888888888889</v>
      </c>
      <c r="E98" s="26">
        <f t="shared" si="26"/>
        <v>1.98</v>
      </c>
      <c r="F98" s="27">
        <f t="shared" si="26"/>
        <v>1.9888888888888889</v>
      </c>
      <c r="G98" s="26">
        <f t="shared" si="26"/>
        <v>2</v>
      </c>
      <c r="H98" s="27">
        <f t="shared" si="26"/>
        <v>2.010752688172043</v>
      </c>
      <c r="I98" s="26" t="str">
        <f t="shared" si="26"/>
        <v/>
      </c>
      <c r="J98" s="28">
        <f t="shared" si="26"/>
        <v>2</v>
      </c>
    </row>
    <row r="99" spans="1:10" ht="15.6" x14ac:dyDescent="0.3">
      <c r="A99" s="127">
        <v>80</v>
      </c>
      <c r="B99" s="6" t="s">
        <v>102</v>
      </c>
      <c r="C99" s="6">
        <v>1.59</v>
      </c>
      <c r="D99" s="29">
        <v>1.57</v>
      </c>
      <c r="E99" s="6">
        <v>1.74</v>
      </c>
      <c r="F99" s="29">
        <v>1.57</v>
      </c>
      <c r="G99" s="6">
        <v>1.84</v>
      </c>
      <c r="H99" s="29">
        <v>1.63</v>
      </c>
      <c r="I99" s="6"/>
      <c r="J99" s="30">
        <v>1.7</v>
      </c>
    </row>
    <row r="100" spans="1:10" ht="15.6" x14ac:dyDescent="0.3">
      <c r="A100" s="127"/>
      <c r="B100" s="2" t="s">
        <v>103</v>
      </c>
      <c r="C100" s="2">
        <v>2.96</v>
      </c>
      <c r="D100" s="19">
        <v>2.89</v>
      </c>
      <c r="E100" s="2">
        <v>3.21</v>
      </c>
      <c r="F100" s="19">
        <v>2.9</v>
      </c>
      <c r="G100" s="2">
        <v>3.39</v>
      </c>
      <c r="H100" s="19">
        <v>3.01</v>
      </c>
      <c r="I100" s="2"/>
      <c r="J100" s="20">
        <v>3.14</v>
      </c>
    </row>
    <row r="101" spans="1:10" ht="15.6" x14ac:dyDescent="0.3">
      <c r="A101" s="127"/>
      <c r="B101" s="25" t="s">
        <v>104</v>
      </c>
      <c r="C101" s="26">
        <f t="shared" ref="C101:J101" si="27">IF(OR(C99="",C100=""),"",C100/C99)</f>
        <v>1.861635220125786</v>
      </c>
      <c r="D101" s="27">
        <f t="shared" si="27"/>
        <v>1.8407643312101911</v>
      </c>
      <c r="E101" s="26">
        <f t="shared" si="27"/>
        <v>1.8448275862068966</v>
      </c>
      <c r="F101" s="27">
        <f t="shared" si="27"/>
        <v>1.8471337579617833</v>
      </c>
      <c r="G101" s="26">
        <f t="shared" si="27"/>
        <v>1.8423913043478262</v>
      </c>
      <c r="H101" s="27">
        <f t="shared" si="27"/>
        <v>1.8466257668711656</v>
      </c>
      <c r="I101" s="26" t="str">
        <f t="shared" si="27"/>
        <v/>
      </c>
      <c r="J101" s="28">
        <f t="shared" si="27"/>
        <v>1.8470588235294119</v>
      </c>
    </row>
    <row r="102" spans="1:10" ht="15.6" x14ac:dyDescent="0.3">
      <c r="A102" s="127">
        <v>90</v>
      </c>
      <c r="B102" s="6" t="s">
        <v>102</v>
      </c>
      <c r="C102" s="6">
        <v>2.46</v>
      </c>
      <c r="D102" s="29">
        <v>2.42</v>
      </c>
      <c r="E102" s="6">
        <v>2.68</v>
      </c>
      <c r="F102" s="29">
        <v>2.4300000000000002</v>
      </c>
      <c r="G102" s="6">
        <v>2.85</v>
      </c>
      <c r="H102" s="29">
        <v>2.5099999999999998</v>
      </c>
      <c r="I102" s="6"/>
      <c r="J102" s="30">
        <v>2.96</v>
      </c>
    </row>
    <row r="103" spans="1:10" ht="15.6" x14ac:dyDescent="0.3">
      <c r="A103" s="127"/>
      <c r="B103" s="2" t="s">
        <v>103</v>
      </c>
      <c r="C103" s="2">
        <v>4.3499999999999996</v>
      </c>
      <c r="D103" s="19">
        <v>4.25</v>
      </c>
      <c r="E103" s="2">
        <v>4.72</v>
      </c>
      <c r="F103" s="19">
        <v>4.26</v>
      </c>
      <c r="G103" s="2">
        <v>4.9800000000000004</v>
      </c>
      <c r="H103" s="19">
        <v>4.42</v>
      </c>
      <c r="I103" s="2"/>
      <c r="J103" s="20">
        <v>4.59</v>
      </c>
    </row>
    <row r="104" spans="1:10" ht="15.6" x14ac:dyDescent="0.3">
      <c r="A104" s="127"/>
      <c r="B104" s="25" t="s">
        <v>104</v>
      </c>
      <c r="C104" s="26">
        <f t="shared" ref="C104:J104" si="28">IF(OR(C102="",C103=""),"",C103/C102)</f>
        <v>1.7682926829268291</v>
      </c>
      <c r="D104" s="27">
        <f t="shared" si="28"/>
        <v>1.7561983471074381</v>
      </c>
      <c r="E104" s="26">
        <f t="shared" si="28"/>
        <v>1.761194029850746</v>
      </c>
      <c r="F104" s="27">
        <f t="shared" si="28"/>
        <v>1.7530864197530862</v>
      </c>
      <c r="G104" s="26">
        <f t="shared" si="28"/>
        <v>1.7473684210526317</v>
      </c>
      <c r="H104" s="27">
        <f t="shared" si="28"/>
        <v>1.760956175298805</v>
      </c>
      <c r="I104" s="26" t="str">
        <f t="shared" si="28"/>
        <v/>
      </c>
      <c r="J104" s="28">
        <f t="shared" si="28"/>
        <v>1.5506756756756757</v>
      </c>
    </row>
    <row r="105" spans="1:10" ht="15.6" x14ac:dyDescent="0.3">
      <c r="A105" s="127">
        <v>100</v>
      </c>
      <c r="B105" s="6" t="s">
        <v>102</v>
      </c>
      <c r="C105" s="6">
        <v>3.49</v>
      </c>
      <c r="D105" s="29">
        <v>3.43</v>
      </c>
      <c r="E105" s="6">
        <v>3.82</v>
      </c>
      <c r="F105" s="29">
        <v>3.45</v>
      </c>
      <c r="G105" s="6">
        <v>4.03</v>
      </c>
      <c r="H105" s="29">
        <v>3.56</v>
      </c>
      <c r="I105" s="6"/>
      <c r="J105" s="30">
        <v>3.7</v>
      </c>
    </row>
    <row r="106" spans="1:10" ht="15.6" x14ac:dyDescent="0.3">
      <c r="A106" s="127"/>
      <c r="B106" s="2" t="s">
        <v>103</v>
      </c>
      <c r="C106" s="2">
        <v>5.96</v>
      </c>
      <c r="D106" s="19">
        <v>5.81</v>
      </c>
      <c r="E106" s="2">
        <v>6.46</v>
      </c>
      <c r="F106" s="19">
        <v>5.84</v>
      </c>
      <c r="G106" s="2">
        <v>6.82</v>
      </c>
      <c r="H106" s="19">
        <v>6.06</v>
      </c>
      <c r="I106" s="2"/>
      <c r="J106" s="20">
        <v>6.28</v>
      </c>
    </row>
    <row r="107" spans="1:10" ht="15.6" x14ac:dyDescent="0.3">
      <c r="A107" s="127"/>
      <c r="B107" s="25" t="s">
        <v>104</v>
      </c>
      <c r="C107" s="26">
        <f t="shared" ref="C107:J107" si="29">IF(OR(C105="",C106=""),"",C106/C105)</f>
        <v>1.7077363896848137</v>
      </c>
      <c r="D107" s="27">
        <f t="shared" si="29"/>
        <v>1.693877551020408</v>
      </c>
      <c r="E107" s="26">
        <f t="shared" si="29"/>
        <v>1.6910994764397906</v>
      </c>
      <c r="F107" s="27">
        <f t="shared" si="29"/>
        <v>1.6927536231884057</v>
      </c>
      <c r="G107" s="26">
        <f t="shared" si="29"/>
        <v>1.6923076923076923</v>
      </c>
      <c r="H107" s="27">
        <f t="shared" si="29"/>
        <v>1.7022471910112358</v>
      </c>
      <c r="I107" s="26" t="str">
        <f t="shared" si="29"/>
        <v/>
      </c>
      <c r="J107" s="28">
        <f t="shared" si="29"/>
        <v>1.6972972972972973</v>
      </c>
    </row>
    <row r="108" spans="1:10" ht="15.6" x14ac:dyDescent="0.3">
      <c r="A108" s="127">
        <v>110</v>
      </c>
      <c r="B108" s="6" t="s">
        <v>102</v>
      </c>
      <c r="C108" s="6">
        <v>4.6900000000000004</v>
      </c>
      <c r="D108" s="29">
        <v>4.58</v>
      </c>
      <c r="E108" s="6">
        <v>5.09</v>
      </c>
      <c r="F108" s="29">
        <v>4.62</v>
      </c>
      <c r="G108" s="6">
        <v>5.4</v>
      </c>
      <c r="H108" s="29">
        <v>4.7699999999999996</v>
      </c>
      <c r="I108" s="6"/>
      <c r="J108" s="30">
        <v>4.9400000000000004</v>
      </c>
    </row>
    <row r="109" spans="1:10" ht="15.6" x14ac:dyDescent="0.3">
      <c r="A109" s="127"/>
      <c r="B109" s="2" t="s">
        <v>103</v>
      </c>
      <c r="C109" s="2">
        <v>7.79</v>
      </c>
      <c r="D109" s="19">
        <v>7.59</v>
      </c>
      <c r="E109" s="2">
        <v>8.44</v>
      </c>
      <c r="F109" s="19">
        <v>7.62</v>
      </c>
      <c r="G109" s="2">
        <v>8.91</v>
      </c>
      <c r="H109" s="19">
        <v>7.9</v>
      </c>
      <c r="I109" s="2"/>
      <c r="J109" s="20">
        <v>8.16</v>
      </c>
    </row>
    <row r="110" spans="1:10" ht="15.6" x14ac:dyDescent="0.3">
      <c r="A110" s="127"/>
      <c r="B110" s="25" t="s">
        <v>104</v>
      </c>
      <c r="C110" s="26">
        <f t="shared" ref="C110:J110" si="30">IF(OR(C108="",C109=""),"",C109/C108)</f>
        <v>1.6609808102345414</v>
      </c>
      <c r="D110" s="27">
        <f t="shared" si="30"/>
        <v>1.6572052401746724</v>
      </c>
      <c r="E110" s="26">
        <f t="shared" si="30"/>
        <v>1.6581532416502947</v>
      </c>
      <c r="F110" s="27">
        <f t="shared" si="30"/>
        <v>1.6493506493506493</v>
      </c>
      <c r="G110" s="26">
        <f t="shared" si="30"/>
        <v>1.65</v>
      </c>
      <c r="H110" s="27">
        <f t="shared" si="30"/>
        <v>1.6561844863731658</v>
      </c>
      <c r="I110" s="26" t="str">
        <f t="shared" si="30"/>
        <v/>
      </c>
      <c r="J110" s="28">
        <f t="shared" si="30"/>
        <v>1.651821862348178</v>
      </c>
    </row>
    <row r="111" spans="1:10" ht="15.6" x14ac:dyDescent="0.3">
      <c r="A111" s="127">
        <v>120</v>
      </c>
      <c r="B111" s="6" t="s">
        <v>102</v>
      </c>
      <c r="C111" s="6">
        <v>5.98</v>
      </c>
      <c r="D111" s="29">
        <v>5.87</v>
      </c>
      <c r="E111" s="6">
        <v>6.52</v>
      </c>
      <c r="F111" s="29">
        <v>5.9</v>
      </c>
      <c r="G111" s="6">
        <v>6.92</v>
      </c>
      <c r="H111" s="29">
        <v>6.11</v>
      </c>
      <c r="I111" s="6"/>
      <c r="J111" s="30">
        <v>6.31</v>
      </c>
    </row>
    <row r="112" spans="1:10" ht="15.6" x14ac:dyDescent="0.3">
      <c r="A112" s="127"/>
      <c r="B112" s="2" t="s">
        <v>103</v>
      </c>
      <c r="C112" s="2">
        <v>9.8000000000000007</v>
      </c>
      <c r="D112" s="19">
        <v>9.5399999999999991</v>
      </c>
      <c r="E112" s="2">
        <v>10.6</v>
      </c>
      <c r="F112" s="19">
        <v>9.57</v>
      </c>
      <c r="G112" s="2">
        <v>11.19</v>
      </c>
      <c r="H112" s="19">
        <v>9.92</v>
      </c>
      <c r="I112" s="2"/>
      <c r="J112" s="20">
        <v>10.24</v>
      </c>
    </row>
    <row r="113" spans="1:10" ht="15.6" x14ac:dyDescent="0.3">
      <c r="A113" s="127"/>
      <c r="B113" s="25" t="s">
        <v>104</v>
      </c>
      <c r="C113" s="26">
        <f t="shared" ref="C113:J113" si="31">IF(OR(C111="",C112=""),"",C112/C111)</f>
        <v>1.6387959866220736</v>
      </c>
      <c r="D113" s="27">
        <f t="shared" si="31"/>
        <v>1.625212947189097</v>
      </c>
      <c r="E113" s="26">
        <f t="shared" si="31"/>
        <v>1.6257668711656443</v>
      </c>
      <c r="F113" s="27">
        <f t="shared" si="31"/>
        <v>1.6220338983050846</v>
      </c>
      <c r="G113" s="26">
        <f t="shared" si="31"/>
        <v>1.6170520231213872</v>
      </c>
      <c r="H113" s="27">
        <f t="shared" si="31"/>
        <v>1.6235679214402619</v>
      </c>
      <c r="I113" s="26" t="str">
        <f t="shared" si="31"/>
        <v/>
      </c>
      <c r="J113" s="28">
        <f t="shared" si="31"/>
        <v>1.6228209191759113</v>
      </c>
    </row>
    <row r="114" spans="1:10" ht="15.6" x14ac:dyDescent="0.3">
      <c r="A114" s="127">
        <v>130</v>
      </c>
      <c r="B114" s="6" t="s">
        <v>102</v>
      </c>
      <c r="C114" s="6">
        <v>7.41</v>
      </c>
      <c r="D114" s="29">
        <v>7.27</v>
      </c>
      <c r="E114" s="6">
        <v>8.08</v>
      </c>
      <c r="F114" s="29">
        <v>7.33</v>
      </c>
      <c r="G114" s="6">
        <v>8.56</v>
      </c>
      <c r="H114" s="29">
        <v>7.57</v>
      </c>
      <c r="I114" s="6"/>
      <c r="J114" s="30">
        <v>7.81</v>
      </c>
    </row>
    <row r="115" spans="1:10" ht="15.6" x14ac:dyDescent="0.3">
      <c r="A115" s="127"/>
      <c r="B115" s="2" t="s">
        <v>103</v>
      </c>
      <c r="C115" s="2">
        <v>12</v>
      </c>
      <c r="D115" s="19">
        <v>11.68</v>
      </c>
      <c r="E115" s="2">
        <v>12.97</v>
      </c>
      <c r="F115" s="19">
        <v>1.71</v>
      </c>
      <c r="G115" s="2">
        <v>13.68</v>
      </c>
      <c r="H115" s="19">
        <v>12.12</v>
      </c>
      <c r="I115" s="2"/>
      <c r="J115" s="20">
        <v>12.49</v>
      </c>
    </row>
    <row r="116" spans="1:10" ht="15.6" x14ac:dyDescent="0.3">
      <c r="A116" s="127"/>
      <c r="B116" s="25" t="s">
        <v>104</v>
      </c>
      <c r="C116" s="26">
        <f t="shared" ref="C116:J116" si="32">IF(OR(C114="",C115=""),"",C115/C114)</f>
        <v>1.6194331983805668</v>
      </c>
      <c r="D116" s="27">
        <f t="shared" si="32"/>
        <v>1.6066024759284732</v>
      </c>
      <c r="E116" s="26">
        <f t="shared" si="32"/>
        <v>1.6051980198019802</v>
      </c>
      <c r="F116" s="27">
        <f t="shared" si="32"/>
        <v>0.23328785811732605</v>
      </c>
      <c r="G116" s="26">
        <f t="shared" si="32"/>
        <v>1.5981308411214952</v>
      </c>
      <c r="H116" s="27">
        <f t="shared" si="32"/>
        <v>1.6010568031704093</v>
      </c>
      <c r="I116" s="26" t="str">
        <f t="shared" si="32"/>
        <v/>
      </c>
      <c r="J116" s="28">
        <f t="shared" si="32"/>
        <v>1.5992317541613317</v>
      </c>
    </row>
    <row r="117" spans="1:10" ht="15.6" x14ac:dyDescent="0.3">
      <c r="A117" s="127">
        <v>140</v>
      </c>
      <c r="B117" s="6" t="s">
        <v>102</v>
      </c>
      <c r="C117" s="6">
        <v>8.9499999999999993</v>
      </c>
      <c r="D117" s="29">
        <v>8.77</v>
      </c>
      <c r="E117" s="6">
        <v>9.75</v>
      </c>
      <c r="F117" s="29">
        <v>8.83</v>
      </c>
      <c r="G117" s="6">
        <v>10.34</v>
      </c>
      <c r="H117" s="29">
        <v>9.1300000000000008</v>
      </c>
      <c r="I117" s="6"/>
      <c r="J117" s="30">
        <v>9.44</v>
      </c>
    </row>
    <row r="118" spans="1:10" ht="15.6" x14ac:dyDescent="0.3">
      <c r="A118" s="127"/>
      <c r="B118" s="2" t="s">
        <v>103</v>
      </c>
      <c r="C118" s="2">
        <v>14.39</v>
      </c>
      <c r="D118" s="19">
        <v>13.96</v>
      </c>
      <c r="E118" s="2">
        <v>15.51</v>
      </c>
      <c r="F118" s="19">
        <v>14</v>
      </c>
      <c r="G118" s="2">
        <v>16.350000000000001</v>
      </c>
      <c r="H118" s="19">
        <v>14.47</v>
      </c>
      <c r="I118" s="2"/>
      <c r="J118" s="20">
        <v>14.91</v>
      </c>
    </row>
    <row r="119" spans="1:10" ht="15.6" x14ac:dyDescent="0.3">
      <c r="A119" s="127"/>
      <c r="B119" s="25" t="s">
        <v>104</v>
      </c>
      <c r="C119" s="26">
        <f t="shared" ref="C119:J119" si="33">IF(OR(C117="",C118=""),"",C118/C117)</f>
        <v>1.6078212290502796</v>
      </c>
      <c r="D119" s="27">
        <f t="shared" si="33"/>
        <v>1.5917901938426455</v>
      </c>
      <c r="E119" s="26">
        <f t="shared" si="33"/>
        <v>1.5907692307692307</v>
      </c>
      <c r="F119" s="27">
        <f t="shared" si="33"/>
        <v>1.5855039637599093</v>
      </c>
      <c r="G119" s="26">
        <f t="shared" si="33"/>
        <v>1.5812379110251453</v>
      </c>
      <c r="H119" s="27">
        <f t="shared" si="33"/>
        <v>1.5848849945235486</v>
      </c>
      <c r="I119" s="26" t="str">
        <f t="shared" si="33"/>
        <v/>
      </c>
      <c r="J119" s="28">
        <f t="shared" si="33"/>
        <v>1.5794491525423731</v>
      </c>
    </row>
    <row r="120" spans="1:10" ht="15.6" x14ac:dyDescent="0.3">
      <c r="A120" s="127" t="s">
        <v>105</v>
      </c>
      <c r="B120" s="6" t="s">
        <v>102</v>
      </c>
      <c r="C120" s="6"/>
      <c r="D120" s="29"/>
      <c r="E120" s="6">
        <v>0.73</v>
      </c>
      <c r="F120" s="29">
        <v>0.66</v>
      </c>
      <c r="G120" s="6"/>
      <c r="H120" s="29">
        <v>0.69</v>
      </c>
      <c r="I120" s="6">
        <v>0.83</v>
      </c>
      <c r="J120" s="30">
        <v>0.71</v>
      </c>
    </row>
    <row r="121" spans="1:10" ht="15.6" x14ac:dyDescent="0.3">
      <c r="A121" s="127"/>
      <c r="B121" s="2" t="s">
        <v>103</v>
      </c>
      <c r="C121" s="2"/>
      <c r="D121" s="19"/>
      <c r="E121" s="2">
        <v>1.1000000000000001</v>
      </c>
      <c r="F121" s="19">
        <v>1</v>
      </c>
      <c r="G121" s="2"/>
      <c r="H121" s="19">
        <v>1.04</v>
      </c>
      <c r="I121" s="2">
        <v>1.24</v>
      </c>
      <c r="J121" s="20">
        <v>1.08</v>
      </c>
    </row>
    <row r="122" spans="1:10" ht="15.6" x14ac:dyDescent="0.3">
      <c r="A122" s="127"/>
      <c r="B122" s="25" t="s">
        <v>104</v>
      </c>
      <c r="C122" s="26" t="str">
        <f t="shared" ref="C122:J122" si="34">IF(OR(C120="",C121=""),"",C121/C120)</f>
        <v/>
      </c>
      <c r="D122" s="27" t="str">
        <f t="shared" si="34"/>
        <v/>
      </c>
      <c r="E122" s="26">
        <f t="shared" si="34"/>
        <v>1.5068493150684934</v>
      </c>
      <c r="F122" s="27">
        <f t="shared" si="34"/>
        <v>1.5151515151515151</v>
      </c>
      <c r="G122" s="26" t="str">
        <f t="shared" si="34"/>
        <v/>
      </c>
      <c r="H122" s="27">
        <f t="shared" si="34"/>
        <v>1.5072463768115945</v>
      </c>
      <c r="I122" s="26">
        <f t="shared" si="34"/>
        <v>1.493975903614458</v>
      </c>
      <c r="J122" s="28">
        <f t="shared" si="34"/>
        <v>1.5211267605633805</v>
      </c>
    </row>
    <row r="123" spans="1:10" ht="15.6" x14ac:dyDescent="0.3">
      <c r="A123" s="127" t="s">
        <v>106</v>
      </c>
      <c r="B123" s="6" t="s">
        <v>102</v>
      </c>
      <c r="C123" s="6"/>
      <c r="D123" s="29"/>
      <c r="E123" s="6">
        <v>1.1599999999999999</v>
      </c>
      <c r="F123" s="29">
        <v>1.06</v>
      </c>
      <c r="G123" s="6"/>
      <c r="H123" s="29">
        <v>1.1000000000000001</v>
      </c>
      <c r="I123" s="6">
        <v>1.32</v>
      </c>
      <c r="J123" s="30">
        <v>1.1399999999999999</v>
      </c>
    </row>
    <row r="124" spans="1:10" ht="15.6" x14ac:dyDescent="0.3">
      <c r="A124" s="127"/>
      <c r="B124" s="2" t="s">
        <v>103</v>
      </c>
      <c r="C124" s="2"/>
      <c r="D124" s="19"/>
      <c r="E124" s="2">
        <v>1.74</v>
      </c>
      <c r="F124" s="19">
        <v>1.57</v>
      </c>
      <c r="G124" s="2"/>
      <c r="H124" s="19">
        <v>1.65</v>
      </c>
      <c r="I124" s="2">
        <v>1.95</v>
      </c>
      <c r="J124" s="20">
        <v>1.7</v>
      </c>
    </row>
    <row r="125" spans="1:10" ht="15.6" x14ac:dyDescent="0.3">
      <c r="A125" s="127"/>
      <c r="B125" s="25" t="s">
        <v>104</v>
      </c>
      <c r="C125" s="26" t="str">
        <f t="shared" ref="C125:J125" si="35">IF(OR(C123="",C124=""),"",C124/C123)</f>
        <v/>
      </c>
      <c r="D125" s="27" t="str">
        <f t="shared" si="35"/>
        <v/>
      </c>
      <c r="E125" s="26">
        <f t="shared" si="35"/>
        <v>1.5</v>
      </c>
      <c r="F125" s="27">
        <f t="shared" si="35"/>
        <v>1.4811320754716981</v>
      </c>
      <c r="G125" s="26" t="str">
        <f t="shared" si="35"/>
        <v/>
      </c>
      <c r="H125" s="27">
        <f t="shared" si="35"/>
        <v>1.4999999999999998</v>
      </c>
      <c r="I125" s="26">
        <f t="shared" si="35"/>
        <v>1.4772727272727271</v>
      </c>
      <c r="J125" s="28">
        <f t="shared" si="35"/>
        <v>1.4912280701754388</v>
      </c>
    </row>
    <row r="126" spans="1:10" ht="15.6" x14ac:dyDescent="0.3">
      <c r="A126" s="127" t="s">
        <v>107</v>
      </c>
      <c r="B126" s="6" t="s">
        <v>102</v>
      </c>
      <c r="C126" s="6"/>
      <c r="D126" s="29"/>
      <c r="E126" s="6">
        <v>1.72</v>
      </c>
      <c r="F126" s="29">
        <v>1.56</v>
      </c>
      <c r="G126" s="6"/>
      <c r="H126" s="29">
        <v>1.63</v>
      </c>
      <c r="I126" s="6">
        <v>1.94</v>
      </c>
      <c r="J126" s="30">
        <v>1.68</v>
      </c>
    </row>
    <row r="127" spans="1:10" ht="15.6" x14ac:dyDescent="0.3">
      <c r="A127" s="127"/>
      <c r="B127" s="2" t="s">
        <v>103</v>
      </c>
      <c r="C127" s="2"/>
      <c r="D127" s="19"/>
      <c r="E127" s="2">
        <v>2.54</v>
      </c>
      <c r="F127" s="19">
        <v>2.2999999999999998</v>
      </c>
      <c r="G127" s="2"/>
      <c r="H127" s="19">
        <v>2.41</v>
      </c>
      <c r="I127" s="2">
        <v>2.85</v>
      </c>
      <c r="J127" s="20">
        <v>2.48</v>
      </c>
    </row>
    <row r="128" spans="1:10" ht="15.6" x14ac:dyDescent="0.3">
      <c r="A128" s="127"/>
      <c r="B128" s="25" t="s">
        <v>104</v>
      </c>
      <c r="C128" s="26" t="str">
        <f t="shared" ref="C128:J128" si="36">IF(OR(C126="",C127=""),"",C127/C126)</f>
        <v/>
      </c>
      <c r="D128" s="27" t="str">
        <f t="shared" si="36"/>
        <v/>
      </c>
      <c r="E128" s="26">
        <f t="shared" si="36"/>
        <v>1.4767441860465116</v>
      </c>
      <c r="F128" s="27">
        <f t="shared" si="36"/>
        <v>1.4743589743589742</v>
      </c>
      <c r="G128" s="26" t="str">
        <f t="shared" si="36"/>
        <v/>
      </c>
      <c r="H128" s="27">
        <f t="shared" si="36"/>
        <v>1.4785276073619633</v>
      </c>
      <c r="I128" s="26">
        <f t="shared" si="36"/>
        <v>1.4690721649484537</v>
      </c>
      <c r="J128" s="28">
        <f t="shared" si="36"/>
        <v>1.4761904761904763</v>
      </c>
    </row>
    <row r="129" spans="1:10" ht="15.6" x14ac:dyDescent="0.3">
      <c r="A129" s="127" t="s">
        <v>108</v>
      </c>
      <c r="B129" s="6" t="s">
        <v>102</v>
      </c>
      <c r="C129" s="6"/>
      <c r="D129" s="29"/>
      <c r="E129" s="6">
        <v>2.39</v>
      </c>
      <c r="F129" s="29">
        <v>2.17</v>
      </c>
      <c r="G129" s="6"/>
      <c r="H129" s="29">
        <v>2.27</v>
      </c>
      <c r="I129" s="6">
        <v>2.7</v>
      </c>
      <c r="J129" s="30">
        <v>2.34</v>
      </c>
    </row>
    <row r="130" spans="1:10" ht="15.6" x14ac:dyDescent="0.3">
      <c r="A130" s="127"/>
      <c r="B130" s="2" t="s">
        <v>103</v>
      </c>
      <c r="C130" s="2"/>
      <c r="D130" s="19"/>
      <c r="E130" s="2">
        <v>3.53</v>
      </c>
      <c r="F130" s="19">
        <v>3.19</v>
      </c>
      <c r="G130" s="2"/>
      <c r="H130" s="19">
        <v>3.34</v>
      </c>
      <c r="I130" s="2">
        <v>3.94</v>
      </c>
      <c r="J130" s="20">
        <v>3.43</v>
      </c>
    </row>
    <row r="131" spans="1:10" ht="15.6" x14ac:dyDescent="0.3">
      <c r="A131" s="127"/>
      <c r="B131" s="25" t="s">
        <v>104</v>
      </c>
      <c r="C131" s="26" t="str">
        <f t="shared" ref="C131:J131" si="37">IF(OR(C129="",C130=""),"",C130/C129)</f>
        <v/>
      </c>
      <c r="D131" s="27" t="str">
        <f t="shared" si="37"/>
        <v/>
      </c>
      <c r="E131" s="26">
        <f t="shared" si="37"/>
        <v>1.4769874476987446</v>
      </c>
      <c r="F131" s="27">
        <f t="shared" si="37"/>
        <v>1.4700460829493087</v>
      </c>
      <c r="G131" s="26" t="str">
        <f t="shared" si="37"/>
        <v/>
      </c>
      <c r="H131" s="27">
        <f t="shared" si="37"/>
        <v>1.4713656387665197</v>
      </c>
      <c r="I131" s="26">
        <f t="shared" si="37"/>
        <v>1.459259259259259</v>
      </c>
      <c r="J131" s="28">
        <f t="shared" si="37"/>
        <v>1.4658119658119659</v>
      </c>
    </row>
    <row r="132" spans="1:10" ht="15.6" x14ac:dyDescent="0.3">
      <c r="A132" s="127" t="s">
        <v>109</v>
      </c>
      <c r="B132" s="6" t="s">
        <v>102</v>
      </c>
      <c r="C132" s="6"/>
      <c r="D132" s="29"/>
      <c r="E132" s="6">
        <v>3.18</v>
      </c>
      <c r="F132" s="29">
        <v>2.89</v>
      </c>
      <c r="G132" s="6"/>
      <c r="H132" s="29">
        <v>3.02</v>
      </c>
      <c r="I132" s="6">
        <v>3.6</v>
      </c>
      <c r="J132" s="30">
        <v>3.12</v>
      </c>
    </row>
    <row r="133" spans="1:10" ht="15.6" x14ac:dyDescent="0.3">
      <c r="A133" s="127"/>
      <c r="B133" s="2" t="s">
        <v>103</v>
      </c>
      <c r="C133" s="2"/>
      <c r="D133" s="19"/>
      <c r="E133" s="2">
        <v>4.7</v>
      </c>
      <c r="F133" s="19">
        <v>4.25</v>
      </c>
      <c r="G133" s="2"/>
      <c r="H133" s="19">
        <v>4.4400000000000004</v>
      </c>
      <c r="I133" s="2">
        <v>5.24</v>
      </c>
      <c r="J133" s="20">
        <v>4.5599999999999996</v>
      </c>
    </row>
    <row r="134" spans="1:10" ht="15.6" x14ac:dyDescent="0.3">
      <c r="A134" s="127"/>
      <c r="B134" s="25" t="s">
        <v>104</v>
      </c>
      <c r="C134" s="26" t="str">
        <f t="shared" ref="C134:J134" si="38">IF(OR(C132="",C133=""),"",C133/C132)</f>
        <v/>
      </c>
      <c r="D134" s="27" t="str">
        <f t="shared" si="38"/>
        <v/>
      </c>
      <c r="E134" s="26">
        <f t="shared" si="38"/>
        <v>1.4779874213836477</v>
      </c>
      <c r="F134" s="27">
        <f t="shared" si="38"/>
        <v>1.4705882352941175</v>
      </c>
      <c r="G134" s="26" t="str">
        <f t="shared" si="38"/>
        <v/>
      </c>
      <c r="H134" s="27">
        <f t="shared" si="38"/>
        <v>1.4701986754966889</v>
      </c>
      <c r="I134" s="26">
        <f t="shared" si="38"/>
        <v>1.4555555555555555</v>
      </c>
      <c r="J134" s="28">
        <f t="shared" si="38"/>
        <v>1.4615384615384615</v>
      </c>
    </row>
    <row r="136" spans="1:10" ht="15.6" x14ac:dyDescent="0.3">
      <c r="A136" s="8" t="s">
        <v>112</v>
      </c>
    </row>
    <row r="137" spans="1:10" ht="15.6" x14ac:dyDescent="0.3">
      <c r="B137" s="14"/>
      <c r="C137" s="126" t="s">
        <v>98</v>
      </c>
      <c r="D137" s="126"/>
      <c r="E137" s="126"/>
      <c r="F137" s="126"/>
      <c r="G137" s="126"/>
      <c r="H137" s="126"/>
      <c r="I137" s="126" t="s">
        <v>99</v>
      </c>
      <c r="J137" s="126"/>
    </row>
    <row r="138" spans="1:10" ht="15.6" x14ac:dyDescent="0.3">
      <c r="B138" s="15" t="s">
        <v>100</v>
      </c>
      <c r="C138" s="4" t="s">
        <v>14</v>
      </c>
      <c r="D138" s="16" t="s">
        <v>18</v>
      </c>
      <c r="E138" s="4" t="s">
        <v>68</v>
      </c>
      <c r="F138" s="16" t="s">
        <v>27</v>
      </c>
      <c r="G138" s="4" t="s">
        <v>21</v>
      </c>
      <c r="H138" s="16" t="s">
        <v>22</v>
      </c>
      <c r="I138" s="4" t="s">
        <v>21</v>
      </c>
      <c r="J138" s="17" t="s">
        <v>22</v>
      </c>
    </row>
    <row r="139" spans="1:10" ht="15.6" x14ac:dyDescent="0.3">
      <c r="B139" s="18" t="s">
        <v>101</v>
      </c>
      <c r="C139" s="2" t="s">
        <v>14</v>
      </c>
      <c r="D139" s="19" t="s">
        <v>18</v>
      </c>
      <c r="E139" s="2" t="s">
        <v>68</v>
      </c>
      <c r="F139" s="19" t="s">
        <v>27</v>
      </c>
      <c r="G139" s="2" t="s">
        <v>21</v>
      </c>
      <c r="H139" s="19" t="s">
        <v>22</v>
      </c>
      <c r="I139" s="2" t="s">
        <v>21</v>
      </c>
      <c r="J139" s="20" t="s">
        <v>22</v>
      </c>
    </row>
    <row r="140" spans="1:10" ht="15.6" x14ac:dyDescent="0.3">
      <c r="A140" s="7" t="s">
        <v>6</v>
      </c>
      <c r="B140" s="21"/>
      <c r="C140" s="22"/>
      <c r="D140" s="23"/>
      <c r="E140" s="22"/>
      <c r="F140" s="23"/>
      <c r="G140" s="22"/>
      <c r="H140" s="23"/>
      <c r="I140" s="22"/>
      <c r="J140" s="24"/>
    </row>
    <row r="141" spans="1:10" ht="15.6" x14ac:dyDescent="0.3">
      <c r="A141" s="127">
        <v>70</v>
      </c>
      <c r="B141" s="2" t="s">
        <v>102</v>
      </c>
      <c r="C141" s="2">
        <v>0.79</v>
      </c>
      <c r="D141" s="19">
        <v>0.79</v>
      </c>
      <c r="E141" s="2">
        <v>0.86</v>
      </c>
      <c r="F141" s="19">
        <v>0.79</v>
      </c>
      <c r="G141" s="2">
        <v>0.91</v>
      </c>
      <c r="H141" s="19">
        <v>0.8</v>
      </c>
      <c r="I141" s="2"/>
      <c r="J141" s="20">
        <v>0.85</v>
      </c>
    </row>
    <row r="142" spans="1:10" ht="15.6" x14ac:dyDescent="0.3">
      <c r="A142" s="127"/>
      <c r="B142" s="2" t="s">
        <v>103</v>
      </c>
      <c r="C142" s="2">
        <v>1.38</v>
      </c>
      <c r="D142" s="19">
        <v>1.36</v>
      </c>
      <c r="E142" s="2">
        <v>1.51</v>
      </c>
      <c r="F142" s="19">
        <v>1.36</v>
      </c>
      <c r="G142" s="2">
        <v>1.59</v>
      </c>
      <c r="H142" s="19">
        <v>1.41</v>
      </c>
      <c r="I142" s="2"/>
      <c r="J142" s="20">
        <v>1.48</v>
      </c>
    </row>
    <row r="143" spans="1:10" ht="15.6" x14ac:dyDescent="0.3">
      <c r="A143" s="127"/>
      <c r="B143" s="25" t="s">
        <v>104</v>
      </c>
      <c r="C143" s="26">
        <f t="shared" ref="C143:J143" si="39">IF(OR(C141="",C142=""),"",C142/C141)</f>
        <v>1.7468354430379744</v>
      </c>
      <c r="D143" s="27">
        <f t="shared" si="39"/>
        <v>1.7215189873417722</v>
      </c>
      <c r="E143" s="26">
        <f t="shared" si="39"/>
        <v>1.7558139534883721</v>
      </c>
      <c r="F143" s="27">
        <f t="shared" si="39"/>
        <v>1.7215189873417722</v>
      </c>
      <c r="G143" s="26">
        <f t="shared" si="39"/>
        <v>1.7472527472527473</v>
      </c>
      <c r="H143" s="27">
        <f t="shared" si="39"/>
        <v>1.7624999999999997</v>
      </c>
      <c r="I143" s="26" t="str">
        <f t="shared" si="39"/>
        <v/>
      </c>
      <c r="J143" s="28">
        <f t="shared" si="39"/>
        <v>1.7411764705882353</v>
      </c>
    </row>
    <row r="144" spans="1:10" ht="15.6" x14ac:dyDescent="0.3">
      <c r="A144" s="127">
        <v>80</v>
      </c>
      <c r="B144" s="6" t="s">
        <v>102</v>
      </c>
      <c r="C144" s="6">
        <v>1.39</v>
      </c>
      <c r="D144" s="29">
        <v>1.37</v>
      </c>
      <c r="E144" s="6">
        <v>1.52</v>
      </c>
      <c r="F144" s="29">
        <v>1.37</v>
      </c>
      <c r="G144" s="6">
        <v>1.61</v>
      </c>
      <c r="H144" s="29">
        <v>1.42</v>
      </c>
      <c r="I144" s="6"/>
      <c r="J144" s="30">
        <v>1.48</v>
      </c>
    </row>
    <row r="145" spans="1:10" ht="15.6" x14ac:dyDescent="0.3">
      <c r="A145" s="127"/>
      <c r="B145" s="2" t="s">
        <v>103</v>
      </c>
      <c r="C145" s="2">
        <v>2.2599999999999998</v>
      </c>
      <c r="D145" s="19">
        <v>2.2200000000000002</v>
      </c>
      <c r="E145" s="2">
        <v>2.4700000000000002</v>
      </c>
      <c r="F145" s="19">
        <v>2.23</v>
      </c>
      <c r="G145" s="2">
        <v>2.61</v>
      </c>
      <c r="H145" s="19">
        <v>2.31</v>
      </c>
      <c r="I145" s="2"/>
      <c r="J145" s="20">
        <v>2.41</v>
      </c>
    </row>
    <row r="146" spans="1:10" ht="15.6" x14ac:dyDescent="0.3">
      <c r="A146" s="127"/>
      <c r="B146" s="25" t="s">
        <v>104</v>
      </c>
      <c r="C146" s="26">
        <f t="shared" ref="C146:J146" si="40">IF(OR(C144="",C145=""),"",C145/C144)</f>
        <v>1.6258992805755395</v>
      </c>
      <c r="D146" s="27">
        <f t="shared" si="40"/>
        <v>1.6204379562043796</v>
      </c>
      <c r="E146" s="26">
        <f t="shared" si="40"/>
        <v>1.625</v>
      </c>
      <c r="F146" s="27">
        <f t="shared" si="40"/>
        <v>1.6277372262773722</v>
      </c>
      <c r="G146" s="26">
        <f t="shared" si="40"/>
        <v>1.6211180124223601</v>
      </c>
      <c r="H146" s="27">
        <f t="shared" si="40"/>
        <v>1.6267605633802817</v>
      </c>
      <c r="I146" s="26" t="str">
        <f t="shared" si="40"/>
        <v/>
      </c>
      <c r="J146" s="28">
        <f t="shared" si="40"/>
        <v>1.6283783783783785</v>
      </c>
    </row>
    <row r="147" spans="1:10" ht="15.6" x14ac:dyDescent="0.3">
      <c r="A147" s="127">
        <v>90</v>
      </c>
      <c r="B147" s="6" t="s">
        <v>102</v>
      </c>
      <c r="C147" s="6">
        <v>2.17</v>
      </c>
      <c r="D147" s="29">
        <v>2.13</v>
      </c>
      <c r="E147" s="6">
        <v>2.36</v>
      </c>
      <c r="F147" s="29">
        <v>2.13</v>
      </c>
      <c r="G147" s="6">
        <v>2.5</v>
      </c>
      <c r="H147" s="29">
        <v>2.2000000000000002</v>
      </c>
      <c r="I147" s="6"/>
      <c r="J147" s="30">
        <v>2.2999999999999998</v>
      </c>
    </row>
    <row r="148" spans="1:10" ht="15.6" x14ac:dyDescent="0.3">
      <c r="A148" s="127"/>
      <c r="B148" s="2" t="s">
        <v>103</v>
      </c>
      <c r="C148" s="2">
        <v>3.37</v>
      </c>
      <c r="D148" s="19">
        <v>3.3</v>
      </c>
      <c r="E148" s="2">
        <v>3.67</v>
      </c>
      <c r="F148" s="19">
        <v>3.31</v>
      </c>
      <c r="G148" s="2">
        <v>3.87</v>
      </c>
      <c r="H148" s="19">
        <v>3.43</v>
      </c>
      <c r="I148" s="2"/>
      <c r="J148" s="20">
        <v>3.57</v>
      </c>
    </row>
    <row r="149" spans="1:10" ht="15.6" x14ac:dyDescent="0.3">
      <c r="A149" s="127"/>
      <c r="B149" s="25" t="s">
        <v>104</v>
      </c>
      <c r="C149" s="26">
        <f t="shared" ref="C149:J149" si="41">IF(OR(C147="",C148=""),"",C148/C147)</f>
        <v>1.5529953917050692</v>
      </c>
      <c r="D149" s="27">
        <f t="shared" si="41"/>
        <v>1.5492957746478873</v>
      </c>
      <c r="E149" s="26">
        <f t="shared" si="41"/>
        <v>1.5550847457627119</v>
      </c>
      <c r="F149" s="27">
        <f t="shared" si="41"/>
        <v>1.5539906103286385</v>
      </c>
      <c r="G149" s="26">
        <f t="shared" si="41"/>
        <v>1.548</v>
      </c>
      <c r="H149" s="27">
        <f t="shared" si="41"/>
        <v>1.5590909090909091</v>
      </c>
      <c r="I149" s="26" t="str">
        <f t="shared" si="41"/>
        <v/>
      </c>
      <c r="J149" s="28">
        <f t="shared" si="41"/>
        <v>1.5521739130434784</v>
      </c>
    </row>
    <row r="150" spans="1:10" ht="15.6" x14ac:dyDescent="0.3">
      <c r="A150" s="127">
        <v>100</v>
      </c>
      <c r="B150" s="6" t="s">
        <v>102</v>
      </c>
      <c r="C150" s="6">
        <v>3.09</v>
      </c>
      <c r="D150" s="29">
        <v>3.04</v>
      </c>
      <c r="E150" s="6">
        <v>3.38</v>
      </c>
      <c r="F150" s="29">
        <v>3.05</v>
      </c>
      <c r="G150" s="6">
        <v>3.57</v>
      </c>
      <c r="H150" s="29">
        <v>3.13</v>
      </c>
      <c r="I150" s="6"/>
      <c r="J150" s="30">
        <v>3.27</v>
      </c>
    </row>
    <row r="151" spans="1:10" ht="15.6" x14ac:dyDescent="0.3">
      <c r="A151" s="127"/>
      <c r="B151" s="2" t="s">
        <v>103</v>
      </c>
      <c r="C151" s="2">
        <v>4.66</v>
      </c>
      <c r="D151" s="19">
        <v>4.57</v>
      </c>
      <c r="E151" s="2">
        <v>5.08</v>
      </c>
      <c r="F151" s="19">
        <v>4.58</v>
      </c>
      <c r="G151" s="2">
        <v>5.36</v>
      </c>
      <c r="H151" s="19">
        <v>4.7300000000000004</v>
      </c>
      <c r="I151" s="2"/>
      <c r="J151" s="20">
        <v>4.92</v>
      </c>
    </row>
    <row r="152" spans="1:10" ht="15.6" x14ac:dyDescent="0.3">
      <c r="A152" s="127"/>
      <c r="B152" s="25" t="s">
        <v>104</v>
      </c>
      <c r="C152" s="26">
        <f t="shared" ref="C152:J152" si="42">IF(OR(C150="",C151=""),"",C151/C150)</f>
        <v>1.5080906148867315</v>
      </c>
      <c r="D152" s="27">
        <f t="shared" si="42"/>
        <v>1.5032894736842106</v>
      </c>
      <c r="E152" s="26">
        <f t="shared" si="42"/>
        <v>1.5029585798816569</v>
      </c>
      <c r="F152" s="27">
        <f t="shared" si="42"/>
        <v>1.5016393442622953</v>
      </c>
      <c r="G152" s="26">
        <f t="shared" si="42"/>
        <v>1.5014005602240899</v>
      </c>
      <c r="H152" s="27">
        <f t="shared" si="42"/>
        <v>1.5111821086261983</v>
      </c>
      <c r="I152" s="26" t="str">
        <f t="shared" si="42"/>
        <v/>
      </c>
      <c r="J152" s="28">
        <f t="shared" si="42"/>
        <v>1.5045871559633026</v>
      </c>
    </row>
    <row r="153" spans="1:10" ht="15.6" x14ac:dyDescent="0.3">
      <c r="A153" s="127">
        <v>110</v>
      </c>
      <c r="B153" s="6" t="s">
        <v>102</v>
      </c>
      <c r="C153" s="6">
        <v>4.1500000000000004</v>
      </c>
      <c r="D153" s="29">
        <v>4.08</v>
      </c>
      <c r="E153" s="6">
        <v>4.54</v>
      </c>
      <c r="F153" s="29">
        <v>4.0999999999999996</v>
      </c>
      <c r="G153" s="6">
        <v>4.79</v>
      </c>
      <c r="H153" s="29">
        <v>4.22</v>
      </c>
      <c r="I153" s="6"/>
      <c r="J153" s="30">
        <v>4.38</v>
      </c>
    </row>
    <row r="154" spans="1:10" ht="15.6" x14ac:dyDescent="0.3">
      <c r="A154" s="127"/>
      <c r="B154" s="2" t="s">
        <v>103</v>
      </c>
      <c r="C154" s="2">
        <v>6.14</v>
      </c>
      <c r="D154" s="19">
        <v>6.01</v>
      </c>
      <c r="E154" s="2">
        <v>6.68</v>
      </c>
      <c r="F154" s="19">
        <v>6.03</v>
      </c>
      <c r="G154" s="2">
        <v>7.04</v>
      </c>
      <c r="H154" s="19">
        <v>6.22</v>
      </c>
      <c r="I154" s="2"/>
      <c r="J154" s="20">
        <v>6.45</v>
      </c>
    </row>
    <row r="155" spans="1:10" ht="15.6" x14ac:dyDescent="0.3">
      <c r="A155" s="127"/>
      <c r="B155" s="25" t="s">
        <v>104</v>
      </c>
      <c r="C155" s="26">
        <f t="shared" ref="C155:J155" si="43">IF(OR(C153="",C154=""),"",C154/C153)</f>
        <v>1.4795180722891563</v>
      </c>
      <c r="D155" s="27">
        <f t="shared" si="43"/>
        <v>1.4730392156862744</v>
      </c>
      <c r="E155" s="26">
        <f t="shared" si="43"/>
        <v>1.4713656387665197</v>
      </c>
      <c r="F155" s="27">
        <f t="shared" si="43"/>
        <v>1.4707317073170734</v>
      </c>
      <c r="G155" s="26">
        <f t="shared" si="43"/>
        <v>1.4697286012526096</v>
      </c>
      <c r="H155" s="27">
        <f t="shared" si="43"/>
        <v>1.4739336492890995</v>
      </c>
      <c r="I155" s="26" t="str">
        <f t="shared" si="43"/>
        <v/>
      </c>
      <c r="J155" s="28">
        <f t="shared" si="43"/>
        <v>1.4726027397260275</v>
      </c>
    </row>
    <row r="156" spans="1:10" ht="15.6" x14ac:dyDescent="0.3">
      <c r="A156" s="127">
        <v>120</v>
      </c>
      <c r="B156" s="6" t="s">
        <v>102</v>
      </c>
      <c r="C156" s="6">
        <v>5.35</v>
      </c>
      <c r="D156" s="29">
        <v>5.25</v>
      </c>
      <c r="E156" s="6">
        <v>5.83</v>
      </c>
      <c r="F156" s="29">
        <v>5.26</v>
      </c>
      <c r="G156" s="6">
        <v>6.17</v>
      </c>
      <c r="H156" s="29">
        <v>5.42</v>
      </c>
      <c r="I156" s="6"/>
      <c r="J156" s="30">
        <v>5.62</v>
      </c>
    </row>
    <row r="157" spans="1:10" ht="15.6" x14ac:dyDescent="0.3">
      <c r="A157" s="127"/>
      <c r="B157" s="2" t="s">
        <v>103</v>
      </c>
      <c r="C157" s="2">
        <v>7.78</v>
      </c>
      <c r="D157" s="19">
        <v>7.6</v>
      </c>
      <c r="E157" s="2">
        <v>8.4499999999999993</v>
      </c>
      <c r="F157" s="19">
        <v>7.62</v>
      </c>
      <c r="G157" s="2">
        <v>8.91</v>
      </c>
      <c r="H157" s="19">
        <v>7.87</v>
      </c>
      <c r="I157" s="2"/>
      <c r="J157" s="20">
        <v>8.14</v>
      </c>
    </row>
    <row r="158" spans="1:10" ht="15.6" x14ac:dyDescent="0.3">
      <c r="A158" s="127"/>
      <c r="B158" s="25" t="s">
        <v>104</v>
      </c>
      <c r="C158" s="26">
        <f t="shared" ref="C158:J158" si="44">IF(OR(C156="",C157=""),"",C157/C156)</f>
        <v>1.4542056074766356</v>
      </c>
      <c r="D158" s="27">
        <f t="shared" si="44"/>
        <v>1.4476190476190476</v>
      </c>
      <c r="E158" s="26">
        <f t="shared" si="44"/>
        <v>1.4493996569468266</v>
      </c>
      <c r="F158" s="27">
        <f t="shared" si="44"/>
        <v>1.4486692015209126</v>
      </c>
      <c r="G158" s="26">
        <f t="shared" si="44"/>
        <v>1.4440842787682335</v>
      </c>
      <c r="H158" s="27">
        <f t="shared" si="44"/>
        <v>1.4520295202952029</v>
      </c>
      <c r="I158" s="26" t="str">
        <f t="shared" si="44"/>
        <v/>
      </c>
      <c r="J158" s="28">
        <f t="shared" si="44"/>
        <v>1.4483985765124556</v>
      </c>
    </row>
    <row r="159" spans="1:10" ht="15.6" x14ac:dyDescent="0.3">
      <c r="A159" s="127">
        <v>130</v>
      </c>
      <c r="B159" s="6" t="s">
        <v>102</v>
      </c>
      <c r="C159" s="6">
        <v>6.67</v>
      </c>
      <c r="D159" s="29">
        <v>6.54</v>
      </c>
      <c r="E159" s="6">
        <v>7.26</v>
      </c>
      <c r="F159" s="29">
        <v>6.55</v>
      </c>
      <c r="G159" s="6">
        <v>7.68</v>
      </c>
      <c r="H159" s="29">
        <v>6.74</v>
      </c>
      <c r="I159" s="6"/>
      <c r="J159" s="30">
        <v>6.98</v>
      </c>
    </row>
    <row r="160" spans="1:10" ht="15.6" x14ac:dyDescent="0.3">
      <c r="A160" s="127"/>
      <c r="B160" s="2" t="s">
        <v>103</v>
      </c>
      <c r="C160" s="2">
        <v>9.57</v>
      </c>
      <c r="D160" s="19">
        <v>9.36</v>
      </c>
      <c r="E160" s="2">
        <v>10.4</v>
      </c>
      <c r="F160" s="19">
        <v>9.3699999999999992</v>
      </c>
      <c r="G160" s="2">
        <v>10.95</v>
      </c>
      <c r="H160" s="19">
        <v>9.66</v>
      </c>
      <c r="I160" s="2"/>
      <c r="J160" s="20">
        <v>9.98</v>
      </c>
    </row>
    <row r="161" spans="1:10" ht="15.6" x14ac:dyDescent="0.3">
      <c r="A161" s="127"/>
      <c r="B161" s="25" t="s">
        <v>104</v>
      </c>
      <c r="C161" s="26">
        <f t="shared" ref="C161:J161" si="45">IF(OR(C159="",C160=""),"",C160/C159)</f>
        <v>1.4347826086956523</v>
      </c>
      <c r="D161" s="27">
        <f t="shared" si="45"/>
        <v>1.4311926605504586</v>
      </c>
      <c r="E161" s="26">
        <f t="shared" si="45"/>
        <v>1.4325068870523416</v>
      </c>
      <c r="F161" s="27">
        <f t="shared" si="45"/>
        <v>1.4305343511450381</v>
      </c>
      <c r="G161" s="26">
        <f t="shared" si="45"/>
        <v>1.42578125</v>
      </c>
      <c r="H161" s="27">
        <f t="shared" si="45"/>
        <v>1.4332344213649852</v>
      </c>
      <c r="I161" s="26" t="str">
        <f t="shared" si="45"/>
        <v/>
      </c>
      <c r="J161" s="28">
        <f t="shared" si="45"/>
        <v>1.4297994269340975</v>
      </c>
    </row>
    <row r="162" spans="1:10" ht="15.6" x14ac:dyDescent="0.3">
      <c r="A162" s="127">
        <v>140</v>
      </c>
      <c r="B162" s="6" t="s">
        <v>102</v>
      </c>
      <c r="C162" s="6">
        <v>8.0299999999999994</v>
      </c>
      <c r="D162" s="29">
        <v>7.9</v>
      </c>
      <c r="E162" s="6">
        <v>8.7799999999999994</v>
      </c>
      <c r="F162" s="29">
        <v>7.93</v>
      </c>
      <c r="G162" s="6">
        <v>9.3000000000000007</v>
      </c>
      <c r="H162" s="29">
        <v>8.18</v>
      </c>
      <c r="I162" s="6"/>
      <c r="J162" s="30">
        <v>8.4600000000000009</v>
      </c>
    </row>
    <row r="163" spans="1:10" ht="15.6" x14ac:dyDescent="0.3">
      <c r="A163" s="127"/>
      <c r="B163" s="2" t="s">
        <v>103</v>
      </c>
      <c r="C163" s="2">
        <v>11.5</v>
      </c>
      <c r="D163" s="19">
        <v>11.25</v>
      </c>
      <c r="E163" s="2">
        <v>12.5</v>
      </c>
      <c r="F163" s="19">
        <v>11.25</v>
      </c>
      <c r="G163" s="2">
        <v>13.15</v>
      </c>
      <c r="H163" s="19">
        <v>11.61</v>
      </c>
      <c r="I163" s="2"/>
      <c r="J163" s="20">
        <v>11.98</v>
      </c>
    </row>
    <row r="164" spans="1:10" ht="15.6" x14ac:dyDescent="0.3">
      <c r="A164" s="127"/>
      <c r="B164" s="25" t="s">
        <v>104</v>
      </c>
      <c r="C164" s="26">
        <f t="shared" ref="C164:J164" si="46">IF(OR(C162="",C163=""),"",C163/C162)</f>
        <v>1.4321295143212953</v>
      </c>
      <c r="D164" s="27">
        <f t="shared" si="46"/>
        <v>1.4240506329113924</v>
      </c>
      <c r="E164" s="26">
        <f t="shared" si="46"/>
        <v>1.4236902050113895</v>
      </c>
      <c r="F164" s="27">
        <f t="shared" si="46"/>
        <v>1.4186633039092056</v>
      </c>
      <c r="G164" s="26">
        <f t="shared" si="46"/>
        <v>1.4139784946236558</v>
      </c>
      <c r="H164" s="27">
        <f t="shared" si="46"/>
        <v>1.4193154034229829</v>
      </c>
      <c r="I164" s="26" t="str">
        <f t="shared" si="46"/>
        <v/>
      </c>
      <c r="J164" s="28">
        <f t="shared" si="46"/>
        <v>1.4160756501182032</v>
      </c>
    </row>
    <row r="165" spans="1:10" ht="15.6" x14ac:dyDescent="0.3">
      <c r="A165" s="127" t="s">
        <v>105</v>
      </c>
      <c r="B165" s="6" t="s">
        <v>102</v>
      </c>
      <c r="C165" s="6"/>
      <c r="D165" s="29"/>
      <c r="E165" s="6">
        <v>0.66</v>
      </c>
      <c r="F165" s="29">
        <v>0.59</v>
      </c>
      <c r="G165" s="6"/>
      <c r="H165" s="29">
        <v>0.62</v>
      </c>
      <c r="I165" s="6">
        <v>0.74</v>
      </c>
      <c r="J165" s="30">
        <v>0.64</v>
      </c>
    </row>
    <row r="166" spans="1:10" ht="15.6" x14ac:dyDescent="0.3">
      <c r="A166" s="127"/>
      <c r="B166" s="2" t="s">
        <v>103</v>
      </c>
      <c r="C166" s="2"/>
      <c r="D166" s="19"/>
      <c r="E166" s="2">
        <v>0.9</v>
      </c>
      <c r="F166" s="19">
        <v>0.81</v>
      </c>
      <c r="G166" s="2"/>
      <c r="H166" s="19">
        <v>0.85</v>
      </c>
      <c r="I166" s="2">
        <v>1.01</v>
      </c>
      <c r="J166" s="20">
        <v>0.88</v>
      </c>
    </row>
    <row r="167" spans="1:10" ht="15.6" x14ac:dyDescent="0.3">
      <c r="A167" s="127"/>
      <c r="B167" s="25" t="s">
        <v>104</v>
      </c>
      <c r="C167" s="26" t="str">
        <f t="shared" ref="C167:J167" si="47">IF(OR(C165="",C166=""),"",C166/C165)</f>
        <v/>
      </c>
      <c r="D167" s="27" t="str">
        <f t="shared" si="47"/>
        <v/>
      </c>
      <c r="E167" s="26">
        <f t="shared" si="47"/>
        <v>1.3636363636363635</v>
      </c>
      <c r="F167" s="27">
        <f t="shared" si="47"/>
        <v>1.3728813559322035</v>
      </c>
      <c r="G167" s="26" t="str">
        <f t="shared" si="47"/>
        <v/>
      </c>
      <c r="H167" s="27">
        <f t="shared" si="47"/>
        <v>1.3709677419354838</v>
      </c>
      <c r="I167" s="26">
        <f t="shared" si="47"/>
        <v>1.3648648648648649</v>
      </c>
      <c r="J167" s="28">
        <f t="shared" si="47"/>
        <v>1.375</v>
      </c>
    </row>
    <row r="168" spans="1:10" ht="15.6" x14ac:dyDescent="0.3">
      <c r="A168" s="127" t="s">
        <v>106</v>
      </c>
      <c r="B168" s="6" t="s">
        <v>102</v>
      </c>
      <c r="C168" s="6"/>
      <c r="D168" s="29"/>
      <c r="E168" s="6">
        <v>1.05</v>
      </c>
      <c r="F168" s="29">
        <v>0.95</v>
      </c>
      <c r="G168" s="6"/>
      <c r="H168" s="29">
        <v>0.99</v>
      </c>
      <c r="I168" s="6">
        <v>1.19</v>
      </c>
      <c r="J168" s="30">
        <v>1.03</v>
      </c>
    </row>
    <row r="169" spans="1:10" ht="15.6" x14ac:dyDescent="0.3">
      <c r="A169" s="127"/>
      <c r="B169" s="2" t="s">
        <v>103</v>
      </c>
      <c r="C169" s="2"/>
      <c r="D169" s="19"/>
      <c r="E169" s="2">
        <v>1.42</v>
      </c>
      <c r="F169" s="19">
        <v>1.29</v>
      </c>
      <c r="G169" s="2"/>
      <c r="H169" s="19">
        <v>1.34</v>
      </c>
      <c r="I169" s="2">
        <v>1.6</v>
      </c>
      <c r="J169" s="20">
        <v>1.39</v>
      </c>
    </row>
    <row r="170" spans="1:10" ht="15.6" x14ac:dyDescent="0.3">
      <c r="A170" s="127"/>
      <c r="B170" s="25" t="s">
        <v>104</v>
      </c>
      <c r="C170" s="26" t="str">
        <f t="shared" ref="C170:J170" si="48">IF(OR(C168="",C169=""),"",C169/C168)</f>
        <v/>
      </c>
      <c r="D170" s="27" t="str">
        <f t="shared" si="48"/>
        <v/>
      </c>
      <c r="E170" s="26">
        <f t="shared" si="48"/>
        <v>1.3523809523809522</v>
      </c>
      <c r="F170" s="27">
        <f t="shared" si="48"/>
        <v>1.3578947368421053</v>
      </c>
      <c r="G170" s="26" t="str">
        <f t="shared" si="48"/>
        <v/>
      </c>
      <c r="H170" s="27">
        <f t="shared" si="48"/>
        <v>1.3535353535353536</v>
      </c>
      <c r="I170" s="26">
        <f t="shared" si="48"/>
        <v>1.3445378151260505</v>
      </c>
      <c r="J170" s="28">
        <f t="shared" si="48"/>
        <v>1.349514563106796</v>
      </c>
    </row>
    <row r="171" spans="1:10" ht="15.6" x14ac:dyDescent="0.3">
      <c r="A171" s="127" t="s">
        <v>107</v>
      </c>
      <c r="B171" s="6" t="s">
        <v>102</v>
      </c>
      <c r="C171" s="6"/>
      <c r="D171" s="29"/>
      <c r="E171" s="6">
        <v>1.56</v>
      </c>
      <c r="F171" s="29">
        <v>1.41</v>
      </c>
      <c r="G171" s="6"/>
      <c r="H171" s="29">
        <v>1.47</v>
      </c>
      <c r="I171" s="6">
        <v>1.76</v>
      </c>
      <c r="J171" s="30">
        <v>1.53</v>
      </c>
    </row>
    <row r="172" spans="1:10" ht="15.6" x14ac:dyDescent="0.3">
      <c r="A172" s="127"/>
      <c r="B172" s="2" t="s">
        <v>103</v>
      </c>
      <c r="C172" s="2"/>
      <c r="D172" s="19"/>
      <c r="E172" s="2">
        <v>2.1</v>
      </c>
      <c r="F172" s="19">
        <v>1.9</v>
      </c>
      <c r="G172" s="2"/>
      <c r="H172" s="19">
        <v>1.98</v>
      </c>
      <c r="I172" s="2">
        <v>2.35</v>
      </c>
      <c r="J172" s="20">
        <v>2.04</v>
      </c>
    </row>
    <row r="173" spans="1:10" ht="15.6" x14ac:dyDescent="0.3">
      <c r="A173" s="127"/>
      <c r="B173" s="25" t="s">
        <v>104</v>
      </c>
      <c r="C173" s="26" t="str">
        <f t="shared" ref="C173:I173" si="49">IF(OR(C171="",C172=""),"",C172/C171)</f>
        <v/>
      </c>
      <c r="D173" s="27" t="str">
        <f t="shared" si="49"/>
        <v/>
      </c>
      <c r="E173" s="26">
        <f t="shared" si="49"/>
        <v>1.3461538461538463</v>
      </c>
      <c r="F173" s="27">
        <f t="shared" si="49"/>
        <v>1.3475177304964538</v>
      </c>
      <c r="G173" s="26" t="str">
        <f t="shared" si="49"/>
        <v/>
      </c>
      <c r="H173" s="27">
        <f t="shared" si="49"/>
        <v>1.346938775510204</v>
      </c>
      <c r="I173" s="26">
        <f t="shared" si="49"/>
        <v>1.3352272727272727</v>
      </c>
      <c r="J173" s="28">
        <v>2.13</v>
      </c>
    </row>
    <row r="174" spans="1:10" ht="15.6" x14ac:dyDescent="0.3">
      <c r="A174" s="127" t="s">
        <v>108</v>
      </c>
      <c r="B174" s="6" t="s">
        <v>102</v>
      </c>
      <c r="C174" s="6"/>
      <c r="D174" s="29"/>
      <c r="E174" s="6">
        <v>2.1800000000000002</v>
      </c>
      <c r="F174" s="29">
        <v>1.98</v>
      </c>
      <c r="G174" s="6"/>
      <c r="H174" s="29">
        <v>2.06</v>
      </c>
      <c r="I174" s="6">
        <v>2.46</v>
      </c>
      <c r="J174" s="30">
        <v>2.13</v>
      </c>
    </row>
    <row r="175" spans="1:10" ht="15.6" x14ac:dyDescent="0.3">
      <c r="A175" s="127"/>
      <c r="B175" s="2" t="s">
        <v>103</v>
      </c>
      <c r="C175" s="2"/>
      <c r="D175" s="19"/>
      <c r="E175" s="2">
        <v>2.92</v>
      </c>
      <c r="F175" s="19">
        <v>2.64</v>
      </c>
      <c r="G175" s="2"/>
      <c r="H175" s="19">
        <v>2.76</v>
      </c>
      <c r="I175" s="2">
        <v>3.27</v>
      </c>
      <c r="J175" s="20">
        <v>2.84</v>
      </c>
    </row>
    <row r="176" spans="1:10" ht="15.6" x14ac:dyDescent="0.3">
      <c r="A176" s="127"/>
      <c r="B176" s="25" t="s">
        <v>104</v>
      </c>
      <c r="C176" s="26" t="str">
        <f t="shared" ref="C176:I176" si="50">IF(OR(C174="",C175=""),"",C175/C174)</f>
        <v/>
      </c>
      <c r="D176" s="27" t="str">
        <f t="shared" si="50"/>
        <v/>
      </c>
      <c r="E176" s="26">
        <f t="shared" si="50"/>
        <v>1.3394495412844036</v>
      </c>
      <c r="F176" s="27">
        <f t="shared" si="50"/>
        <v>1.3333333333333335</v>
      </c>
      <c r="G176" s="26" t="str">
        <f t="shared" si="50"/>
        <v/>
      </c>
      <c r="H176" s="27">
        <f t="shared" si="50"/>
        <v>1.3398058252427183</v>
      </c>
      <c r="I176" s="26">
        <f t="shared" si="50"/>
        <v>1.3292682926829269</v>
      </c>
      <c r="J176" s="28">
        <v>3.79</v>
      </c>
    </row>
    <row r="177" spans="1:10" ht="15.6" x14ac:dyDescent="0.3">
      <c r="A177" s="127" t="s">
        <v>109</v>
      </c>
      <c r="B177" s="6" t="s">
        <v>102</v>
      </c>
      <c r="C177" s="6"/>
      <c r="D177" s="29"/>
      <c r="E177" s="6">
        <v>2.92</v>
      </c>
      <c r="F177" s="29">
        <v>2.64</v>
      </c>
      <c r="G177" s="6"/>
      <c r="H177" s="29">
        <v>2.75</v>
      </c>
      <c r="I177" s="6">
        <v>3.3</v>
      </c>
      <c r="J177" s="30">
        <v>2.85</v>
      </c>
    </row>
    <row r="178" spans="1:10" ht="15.6" x14ac:dyDescent="0.3">
      <c r="A178" s="127"/>
      <c r="B178" s="2" t="s">
        <v>103</v>
      </c>
      <c r="C178" s="2"/>
      <c r="D178" s="19"/>
      <c r="E178" s="2">
        <v>3.91</v>
      </c>
      <c r="F178" s="19">
        <v>3.53</v>
      </c>
      <c r="G178" s="2"/>
      <c r="H178" s="19">
        <v>6.68</v>
      </c>
      <c r="I178" s="2">
        <v>4.37</v>
      </c>
      <c r="J178" s="20">
        <v>3.79</v>
      </c>
    </row>
    <row r="179" spans="1:10" ht="15.6" x14ac:dyDescent="0.3">
      <c r="A179" s="127"/>
      <c r="B179" s="25" t="s">
        <v>104</v>
      </c>
      <c r="C179" s="26" t="str">
        <f t="shared" ref="C179:J179" si="51">IF(OR(C177="",C178=""),"",C178/C177)</f>
        <v/>
      </c>
      <c r="D179" s="27" t="str">
        <f t="shared" si="51"/>
        <v/>
      </c>
      <c r="E179" s="26">
        <f t="shared" si="51"/>
        <v>1.3390410958904111</v>
      </c>
      <c r="F179" s="27">
        <f t="shared" si="51"/>
        <v>1.3371212121212119</v>
      </c>
      <c r="G179" s="26" t="str">
        <f t="shared" si="51"/>
        <v/>
      </c>
      <c r="H179" s="27">
        <f t="shared" si="51"/>
        <v>2.4290909090909092</v>
      </c>
      <c r="I179" s="26">
        <f t="shared" si="51"/>
        <v>1.3242424242424244</v>
      </c>
      <c r="J179" s="28">
        <f t="shared" si="51"/>
        <v>1.3298245614035087</v>
      </c>
    </row>
  </sheetData>
  <mergeCells count="60">
    <mergeCell ref="A165:A167"/>
    <mergeCell ref="A168:A170"/>
    <mergeCell ref="A171:A173"/>
    <mergeCell ref="A174:A176"/>
    <mergeCell ref="A177:A179"/>
    <mergeCell ref="A150:A152"/>
    <mergeCell ref="A153:A155"/>
    <mergeCell ref="A156:A158"/>
    <mergeCell ref="A159:A161"/>
    <mergeCell ref="A162:A164"/>
    <mergeCell ref="C137:H137"/>
    <mergeCell ref="I137:J137"/>
    <mergeCell ref="A141:A143"/>
    <mergeCell ref="A144:A146"/>
    <mergeCell ref="A147:A149"/>
    <mergeCell ref="A120:A122"/>
    <mergeCell ref="A123:A125"/>
    <mergeCell ref="A126:A128"/>
    <mergeCell ref="A129:A131"/>
    <mergeCell ref="A132:A134"/>
    <mergeCell ref="A105:A107"/>
    <mergeCell ref="A108:A110"/>
    <mergeCell ref="A111:A113"/>
    <mergeCell ref="A114:A116"/>
    <mergeCell ref="A117:A119"/>
    <mergeCell ref="C92:H92"/>
    <mergeCell ref="I92:J92"/>
    <mergeCell ref="A96:A98"/>
    <mergeCell ref="A99:A101"/>
    <mergeCell ref="A102:A104"/>
    <mergeCell ref="A75:A77"/>
    <mergeCell ref="A78:A80"/>
    <mergeCell ref="A81:A83"/>
    <mergeCell ref="A84:A86"/>
    <mergeCell ref="A87:A89"/>
    <mergeCell ref="A60:A62"/>
    <mergeCell ref="A63:A65"/>
    <mergeCell ref="A66:A68"/>
    <mergeCell ref="A69:A71"/>
    <mergeCell ref="A72:A74"/>
    <mergeCell ref="C47:H47"/>
    <mergeCell ref="I47:J47"/>
    <mergeCell ref="A51:A53"/>
    <mergeCell ref="A54:A56"/>
    <mergeCell ref="A57:A59"/>
    <mergeCell ref="A30:A32"/>
    <mergeCell ref="A33:A35"/>
    <mergeCell ref="A36:A38"/>
    <mergeCell ref="A39:A41"/>
    <mergeCell ref="A42:A44"/>
    <mergeCell ref="A15:A17"/>
    <mergeCell ref="A18:A20"/>
    <mergeCell ref="A21:A23"/>
    <mergeCell ref="A24:A26"/>
    <mergeCell ref="A27:A29"/>
    <mergeCell ref="C2:H2"/>
    <mergeCell ref="I2:J2"/>
    <mergeCell ref="A6:A8"/>
    <mergeCell ref="A9:A11"/>
    <mergeCell ref="A12:A14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37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6" ht="15" customHeight="1" x14ac:dyDescent="0.3">
      <c r="A1" s="8" t="s">
        <v>113</v>
      </c>
    </row>
    <row r="2" spans="1:6" ht="15" customHeight="1" x14ac:dyDescent="0.3">
      <c r="B2" s="15" t="s">
        <v>100</v>
      </c>
      <c r="C2" s="31" t="s">
        <v>31</v>
      </c>
      <c r="E2" s="37">
        <v>7.9</v>
      </c>
      <c r="F2" s="32">
        <v>9.4600000000000009</v>
      </c>
    </row>
    <row r="3" spans="1:6" ht="15" customHeight="1" x14ac:dyDescent="0.3">
      <c r="B3" s="18" t="s">
        <v>114</v>
      </c>
      <c r="C3" s="32">
        <f>16*0.6</f>
        <v>9.6</v>
      </c>
      <c r="E3" s="37">
        <v>16.23</v>
      </c>
      <c r="F3" s="32">
        <v>18.100000000000001</v>
      </c>
    </row>
    <row r="4" spans="1:6" ht="15" customHeight="1" x14ac:dyDescent="0.3">
      <c r="B4" s="18" t="s">
        <v>101</v>
      </c>
      <c r="C4" s="32" t="s">
        <v>31</v>
      </c>
      <c r="E4" s="37">
        <v>24.62</v>
      </c>
      <c r="F4" s="32">
        <v>27.07</v>
      </c>
    </row>
    <row r="5" spans="1:6" ht="15" customHeight="1" x14ac:dyDescent="0.3">
      <c r="A5" s="13"/>
      <c r="B5" s="33" t="s">
        <v>115</v>
      </c>
      <c r="C5" s="34"/>
      <c r="E5" s="37">
        <v>35</v>
      </c>
      <c r="F5" s="32">
        <v>37.74</v>
      </c>
    </row>
    <row r="6" spans="1:6" ht="15" customHeight="1" x14ac:dyDescent="0.3">
      <c r="A6" s="7" t="s">
        <v>6</v>
      </c>
      <c r="B6" s="35"/>
      <c r="C6" s="36"/>
      <c r="E6" s="37">
        <v>1.49</v>
      </c>
      <c r="F6" s="32">
        <v>3.15</v>
      </c>
    </row>
    <row r="7" spans="1:6" ht="15" customHeight="1" x14ac:dyDescent="0.3">
      <c r="A7" s="128">
        <v>80</v>
      </c>
      <c r="B7" s="30" t="s">
        <v>102</v>
      </c>
      <c r="C7" s="37">
        <v>7.9</v>
      </c>
      <c r="E7" s="37">
        <v>3.08</v>
      </c>
      <c r="F7" s="32">
        <v>5.85</v>
      </c>
    </row>
    <row r="8" spans="1:6" ht="15" customHeight="1" x14ac:dyDescent="0.3">
      <c r="A8" s="128"/>
      <c r="B8" s="20" t="s">
        <v>103</v>
      </c>
      <c r="C8" s="32">
        <v>9.4600000000000009</v>
      </c>
      <c r="E8" s="37">
        <v>5.53</v>
      </c>
      <c r="F8" s="32">
        <v>9.23</v>
      </c>
    </row>
    <row r="9" spans="1:6" ht="15" customHeight="1" x14ac:dyDescent="0.3">
      <c r="A9" s="128"/>
      <c r="B9" s="38" t="s">
        <v>104</v>
      </c>
      <c r="C9" s="26">
        <f>IF(OR(C7="",C8=""),"",C8/C7)</f>
        <v>1.1974683544303799</v>
      </c>
      <c r="E9" s="37">
        <v>8.26</v>
      </c>
      <c r="F9" s="32">
        <v>13.13</v>
      </c>
    </row>
    <row r="10" spans="1:6" ht="15" customHeight="1" x14ac:dyDescent="0.3">
      <c r="A10" s="128">
        <v>100</v>
      </c>
      <c r="B10" s="30" t="s">
        <v>102</v>
      </c>
      <c r="C10" s="37">
        <v>16.23</v>
      </c>
    </row>
    <row r="11" spans="1:6" ht="15" customHeight="1" x14ac:dyDescent="0.3">
      <c r="A11" s="128"/>
      <c r="B11" s="20" t="s">
        <v>103</v>
      </c>
      <c r="C11" s="32">
        <v>18.100000000000001</v>
      </c>
    </row>
    <row r="12" spans="1:6" ht="15" customHeight="1" x14ac:dyDescent="0.3">
      <c r="A12" s="128"/>
      <c r="B12" s="38" t="s">
        <v>104</v>
      </c>
      <c r="C12" s="26">
        <f>IF(OR(C10="",C11=""),"",C11/C10)</f>
        <v>1.115218730745533</v>
      </c>
    </row>
    <row r="13" spans="1:6" ht="15" customHeight="1" x14ac:dyDescent="0.3">
      <c r="A13" s="128">
        <v>120</v>
      </c>
      <c r="B13" s="30" t="s">
        <v>102</v>
      </c>
      <c r="C13" s="37">
        <v>24.62</v>
      </c>
    </row>
    <row r="14" spans="1:6" ht="15" customHeight="1" x14ac:dyDescent="0.3">
      <c r="A14" s="128"/>
      <c r="B14" s="20" t="s">
        <v>103</v>
      </c>
      <c r="C14" s="32">
        <v>27.07</v>
      </c>
    </row>
    <row r="15" spans="1:6" ht="15" customHeight="1" x14ac:dyDescent="0.3">
      <c r="A15" s="128"/>
      <c r="B15" s="38" t="s">
        <v>104</v>
      </c>
      <c r="C15" s="26">
        <f>IF(OR(C13="",C14=""),"",C14/C13)</f>
        <v>1.0995125913891146</v>
      </c>
    </row>
    <row r="16" spans="1:6" ht="15" customHeight="1" x14ac:dyDescent="0.3">
      <c r="A16" s="128">
        <v>140</v>
      </c>
      <c r="B16" s="30" t="s">
        <v>102</v>
      </c>
      <c r="C16" s="37">
        <v>35</v>
      </c>
    </row>
    <row r="17" spans="1:3" ht="15" customHeight="1" x14ac:dyDescent="0.3">
      <c r="A17" s="128"/>
      <c r="B17" s="20" t="s">
        <v>103</v>
      </c>
      <c r="C17" s="32">
        <v>37.74</v>
      </c>
    </row>
    <row r="18" spans="1:3" ht="15" customHeight="1" x14ac:dyDescent="0.3">
      <c r="A18" s="128"/>
      <c r="B18" s="38" t="s">
        <v>104</v>
      </c>
      <c r="C18" s="26">
        <f>IF(OR(C16="",C17=""),"",C17/C16)</f>
        <v>1.0782857142857143</v>
      </c>
    </row>
    <row r="20" spans="1:3" ht="15" customHeight="1" x14ac:dyDescent="0.3">
      <c r="A20" s="8" t="s">
        <v>116</v>
      </c>
    </row>
    <row r="21" spans="1:3" ht="15" customHeight="1" x14ac:dyDescent="0.3">
      <c r="B21" s="15" t="s">
        <v>100</v>
      </c>
      <c r="C21" s="31" t="s">
        <v>22</v>
      </c>
    </row>
    <row r="22" spans="1:3" ht="15" customHeight="1" x14ac:dyDescent="0.3">
      <c r="B22" s="18" t="s">
        <v>114</v>
      </c>
      <c r="C22" s="32">
        <v>38.4</v>
      </c>
    </row>
    <row r="23" spans="1:3" ht="15" customHeight="1" x14ac:dyDescent="0.3">
      <c r="B23" s="18" t="s">
        <v>101</v>
      </c>
      <c r="C23" s="32" t="s">
        <v>22</v>
      </c>
    </row>
    <row r="24" spans="1:3" ht="15" customHeight="1" x14ac:dyDescent="0.3">
      <c r="A24" s="13"/>
      <c r="B24" s="33" t="s">
        <v>115</v>
      </c>
      <c r="C24" s="34"/>
    </row>
    <row r="25" spans="1:3" ht="15" customHeight="1" x14ac:dyDescent="0.3">
      <c r="A25" s="7" t="s">
        <v>6</v>
      </c>
      <c r="B25" s="35"/>
      <c r="C25" s="36"/>
    </row>
    <row r="26" spans="1:3" ht="15" customHeight="1" x14ac:dyDescent="0.3">
      <c r="A26" s="128">
        <v>80</v>
      </c>
      <c r="B26" s="30" t="s">
        <v>102</v>
      </c>
      <c r="C26" s="37">
        <v>1.49</v>
      </c>
    </row>
    <row r="27" spans="1:3" ht="15" customHeight="1" x14ac:dyDescent="0.3">
      <c r="A27" s="128"/>
      <c r="B27" s="20" t="s">
        <v>103</v>
      </c>
      <c r="C27" s="32">
        <v>3.15</v>
      </c>
    </row>
    <row r="28" spans="1:3" ht="15" customHeight="1" x14ac:dyDescent="0.3">
      <c r="A28" s="128"/>
      <c r="B28" s="38" t="s">
        <v>104</v>
      </c>
      <c r="C28" s="26">
        <f>IF(OR(C26="",C27=""),"",C27/C26)</f>
        <v>2.1140939597315436</v>
      </c>
    </row>
    <row r="29" spans="1:3" ht="15" customHeight="1" x14ac:dyDescent="0.3">
      <c r="A29" s="128">
        <v>100</v>
      </c>
      <c r="B29" s="30" t="s">
        <v>102</v>
      </c>
      <c r="C29" s="37">
        <v>3.08</v>
      </c>
    </row>
    <row r="30" spans="1:3" ht="15.6" x14ac:dyDescent="0.3">
      <c r="A30" s="128"/>
      <c r="B30" s="20" t="s">
        <v>103</v>
      </c>
      <c r="C30" s="32">
        <v>5.85</v>
      </c>
    </row>
    <row r="31" spans="1:3" ht="15.6" x14ac:dyDescent="0.3">
      <c r="A31" s="128"/>
      <c r="B31" s="38" t="s">
        <v>104</v>
      </c>
      <c r="C31" s="26">
        <f>IF(OR(C29="",C30=""),"",C30/C29)</f>
        <v>1.8993506493506491</v>
      </c>
    </row>
    <row r="32" spans="1:3" ht="15.6" x14ac:dyDescent="0.3">
      <c r="A32" s="128">
        <v>120</v>
      </c>
      <c r="B32" s="30" t="s">
        <v>102</v>
      </c>
      <c r="C32" s="37">
        <v>5.53</v>
      </c>
    </row>
    <row r="33" spans="1:3" ht="15.6" x14ac:dyDescent="0.3">
      <c r="A33" s="128"/>
      <c r="B33" s="20" t="s">
        <v>103</v>
      </c>
      <c r="C33" s="32">
        <v>9.23</v>
      </c>
    </row>
    <row r="34" spans="1:3" ht="15.6" x14ac:dyDescent="0.3">
      <c r="A34" s="128"/>
      <c r="B34" s="38" t="s">
        <v>104</v>
      </c>
      <c r="C34" s="26">
        <f>IF(OR(C32="",C33=""),"",C33/C32)</f>
        <v>1.6690777576853526</v>
      </c>
    </row>
    <row r="35" spans="1:3" ht="15.6" x14ac:dyDescent="0.3">
      <c r="A35" s="128">
        <v>140</v>
      </c>
      <c r="B35" s="30" t="s">
        <v>102</v>
      </c>
      <c r="C35" s="37">
        <v>8.26</v>
      </c>
    </row>
    <row r="36" spans="1:3" ht="15.6" x14ac:dyDescent="0.3">
      <c r="A36" s="128"/>
      <c r="B36" s="20" t="s">
        <v>103</v>
      </c>
      <c r="C36" s="32">
        <v>13.13</v>
      </c>
    </row>
    <row r="37" spans="1:3" ht="15.6" x14ac:dyDescent="0.3">
      <c r="A37" s="128"/>
      <c r="B37" s="38" t="s">
        <v>104</v>
      </c>
      <c r="C37" s="26">
        <f>IF(OR(C35="",C36=""),"",C36/C35)</f>
        <v>1.589588377723971</v>
      </c>
    </row>
  </sheetData>
  <mergeCells count="8">
    <mergeCell ref="A29:A31"/>
    <mergeCell ref="A32:A34"/>
    <mergeCell ref="A35:A37"/>
    <mergeCell ref="A7:A9"/>
    <mergeCell ref="A10:A12"/>
    <mergeCell ref="A13:A15"/>
    <mergeCell ref="A16:A18"/>
    <mergeCell ref="A26:A2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31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3" ht="15" customHeight="1" x14ac:dyDescent="0.3">
      <c r="A1" s="8" t="s">
        <v>113</v>
      </c>
      <c r="I1" s="37">
        <v>5.33</v>
      </c>
      <c r="J1" s="32">
        <v>5.92</v>
      </c>
    </row>
    <row r="2" spans="1:13" ht="15" customHeight="1" x14ac:dyDescent="0.3">
      <c r="B2" s="15" t="s">
        <v>100</v>
      </c>
      <c r="C2" s="31" t="s">
        <v>14</v>
      </c>
      <c r="D2" s="31" t="s">
        <v>18</v>
      </c>
      <c r="E2" s="31" t="s">
        <v>68</v>
      </c>
      <c r="F2" s="31" t="s">
        <v>70</v>
      </c>
      <c r="G2" s="31" t="s">
        <v>77</v>
      </c>
      <c r="I2" s="37">
        <v>5.36</v>
      </c>
      <c r="J2" s="32">
        <v>5.93</v>
      </c>
    </row>
    <row r="3" spans="1:13" ht="15" customHeight="1" x14ac:dyDescent="0.3">
      <c r="B3" s="18" t="s">
        <v>114</v>
      </c>
      <c r="C3" s="32">
        <v>5</v>
      </c>
      <c r="D3" s="32">
        <v>10</v>
      </c>
      <c r="E3" s="32">
        <v>9</v>
      </c>
      <c r="F3" s="32">
        <v>11.2</v>
      </c>
      <c r="G3" s="32">
        <v>11.2</v>
      </c>
      <c r="I3" s="37">
        <v>5.96</v>
      </c>
      <c r="J3" s="32">
        <v>6.59</v>
      </c>
    </row>
    <row r="4" spans="1:13" ht="15" customHeight="1" x14ac:dyDescent="0.3">
      <c r="B4" s="18" t="s">
        <v>101</v>
      </c>
      <c r="C4" s="32" t="s">
        <v>14</v>
      </c>
      <c r="D4" s="32" t="s">
        <v>18</v>
      </c>
      <c r="E4" s="32" t="s">
        <v>68</v>
      </c>
      <c r="F4" s="32" t="s">
        <v>70</v>
      </c>
      <c r="G4" s="32" t="s">
        <v>77</v>
      </c>
      <c r="I4" s="37">
        <v>6.38</v>
      </c>
      <c r="J4" s="32">
        <v>7.08</v>
      </c>
      <c r="K4" s="39"/>
      <c r="L4" s="39"/>
      <c r="M4" s="39"/>
    </row>
    <row r="5" spans="1:13" ht="15" customHeight="1" x14ac:dyDescent="0.3">
      <c r="A5" s="13"/>
      <c r="B5" s="33" t="s">
        <v>115</v>
      </c>
      <c r="C5" s="34"/>
      <c r="D5" s="34"/>
      <c r="E5" s="34"/>
      <c r="F5" s="34"/>
      <c r="G5" s="34"/>
      <c r="I5" s="37"/>
      <c r="J5" s="32"/>
      <c r="K5" s="39"/>
      <c r="L5" s="39"/>
    </row>
    <row r="6" spans="1:13" ht="15" customHeight="1" x14ac:dyDescent="0.3">
      <c r="A6" s="7" t="s">
        <v>6</v>
      </c>
      <c r="B6" s="35"/>
      <c r="C6" s="36"/>
      <c r="D6" s="36"/>
      <c r="E6" s="36"/>
      <c r="F6" s="36"/>
      <c r="G6" s="36"/>
      <c r="H6" s="8"/>
      <c r="I6" s="37">
        <v>13.33</v>
      </c>
      <c r="J6" s="32">
        <v>14.3</v>
      </c>
    </row>
    <row r="7" spans="1:13" ht="15" customHeight="1" x14ac:dyDescent="0.3">
      <c r="A7" s="128">
        <v>80</v>
      </c>
      <c r="B7" s="30" t="s">
        <v>102</v>
      </c>
      <c r="C7" s="37">
        <v>5.33</v>
      </c>
      <c r="D7" s="37">
        <v>5.36</v>
      </c>
      <c r="E7" s="37">
        <v>5.96</v>
      </c>
      <c r="F7" s="37">
        <v>6.38</v>
      </c>
      <c r="G7" s="37"/>
      <c r="I7" s="37">
        <v>13.39</v>
      </c>
      <c r="J7" s="32">
        <v>14.32</v>
      </c>
    </row>
    <row r="8" spans="1:13" ht="15" customHeight="1" x14ac:dyDescent="0.3">
      <c r="A8" s="128"/>
      <c r="B8" s="20" t="s">
        <v>103</v>
      </c>
      <c r="C8" s="32">
        <v>5.92</v>
      </c>
      <c r="D8" s="32">
        <v>5.93</v>
      </c>
      <c r="E8" s="32">
        <v>6.59</v>
      </c>
      <c r="F8" s="32">
        <v>7.08</v>
      </c>
      <c r="G8" s="32"/>
      <c r="I8" s="37">
        <v>14.87</v>
      </c>
      <c r="J8" s="32">
        <v>15.92</v>
      </c>
    </row>
    <row r="9" spans="1:13" ht="15" customHeight="1" x14ac:dyDescent="0.3">
      <c r="A9" s="128"/>
      <c r="B9" s="38" t="s">
        <v>104</v>
      </c>
      <c r="C9" s="26">
        <f>IF(OR(C7="",C8=""),"",C8/C7)</f>
        <v>1.1106941838649156</v>
      </c>
      <c r="D9" s="26">
        <f>IF(OR(D7="",D8=""),"",D8/D7)</f>
        <v>1.1063432835820894</v>
      </c>
      <c r="E9" s="26">
        <f>IF(OR(E7="",E8=""),"",E8/E7)</f>
        <v>1.1057046979865772</v>
      </c>
      <c r="F9" s="26">
        <f>IF(OR(F7="",F8=""),"",F8/F7)</f>
        <v>1.109717868338558</v>
      </c>
      <c r="G9" s="26" t="str">
        <f>IF(OR(G7="",G8=""),"",G8/G7)</f>
        <v/>
      </c>
      <c r="H9" s="39"/>
      <c r="I9" s="37">
        <v>15.98</v>
      </c>
      <c r="J9" s="32">
        <v>17.100000000000001</v>
      </c>
      <c r="K9" s="39"/>
      <c r="L9" s="39"/>
      <c r="M9" s="39"/>
    </row>
    <row r="10" spans="1:13" ht="15" customHeight="1" x14ac:dyDescent="0.3">
      <c r="A10" s="128">
        <v>110</v>
      </c>
      <c r="B10" s="30" t="s">
        <v>102</v>
      </c>
      <c r="C10" s="37">
        <v>13.33</v>
      </c>
      <c r="D10" s="37">
        <v>13.39</v>
      </c>
      <c r="E10" s="37">
        <v>14.87</v>
      </c>
      <c r="F10" s="37">
        <v>15.98</v>
      </c>
      <c r="G10" s="37">
        <v>2.99</v>
      </c>
      <c r="I10" s="37">
        <v>2.99</v>
      </c>
      <c r="J10" s="32">
        <v>3.08</v>
      </c>
    </row>
    <row r="11" spans="1:13" ht="15" customHeight="1" x14ac:dyDescent="0.3">
      <c r="A11" s="128"/>
      <c r="B11" s="20" t="s">
        <v>103</v>
      </c>
      <c r="C11" s="32">
        <v>14.3</v>
      </c>
      <c r="D11" s="32">
        <v>14.32</v>
      </c>
      <c r="E11" s="32">
        <v>15.92</v>
      </c>
      <c r="F11" s="32">
        <v>17.100000000000001</v>
      </c>
      <c r="G11" s="32">
        <v>3.08</v>
      </c>
      <c r="I11" s="37">
        <v>20.27</v>
      </c>
      <c r="J11" s="32">
        <v>21.52</v>
      </c>
    </row>
    <row r="12" spans="1:13" ht="15" customHeight="1" x14ac:dyDescent="0.3">
      <c r="A12" s="128"/>
      <c r="B12" s="38" t="s">
        <v>104</v>
      </c>
      <c r="C12" s="26">
        <f>IF(OR(C10="",C11=""),"",C11/C10)</f>
        <v>1.0727681920480121</v>
      </c>
      <c r="D12" s="26">
        <f>IF(OR(D10="",D11=""),"",D11/D10)</f>
        <v>1.0694548170276326</v>
      </c>
      <c r="E12" s="26">
        <f>IF(OR(E10="",E11=""),"",E11/E10)</f>
        <v>1.0706119704102219</v>
      </c>
      <c r="F12" s="26">
        <f>IF(OR(F10="",F11=""),"",F11/F10)</f>
        <v>1.0700876095118899</v>
      </c>
      <c r="G12" s="26">
        <f>IF(OR(G10="",G11=""),"",G11/G10)</f>
        <v>1.0301003344481605</v>
      </c>
      <c r="H12" s="39"/>
      <c r="I12" s="37">
        <v>20.27</v>
      </c>
      <c r="J12" s="32">
        <v>21.52</v>
      </c>
    </row>
    <row r="13" spans="1:13" ht="15" customHeight="1" x14ac:dyDescent="0.3">
      <c r="A13" s="128">
        <v>130</v>
      </c>
      <c r="B13" s="30" t="s">
        <v>102</v>
      </c>
      <c r="C13" s="37">
        <v>20.27</v>
      </c>
      <c r="D13" s="37">
        <v>20.27</v>
      </c>
      <c r="E13" s="37">
        <v>22.52</v>
      </c>
      <c r="F13" s="37">
        <v>24.24</v>
      </c>
      <c r="G13" s="37">
        <v>5.86</v>
      </c>
      <c r="I13" s="37">
        <v>22.52</v>
      </c>
      <c r="J13" s="32">
        <v>23.91</v>
      </c>
    </row>
    <row r="14" spans="1:13" ht="15" customHeight="1" x14ac:dyDescent="0.3">
      <c r="A14" s="128"/>
      <c r="B14" s="20" t="s">
        <v>103</v>
      </c>
      <c r="C14" s="32">
        <v>21.52</v>
      </c>
      <c r="D14" s="32">
        <v>21.52</v>
      </c>
      <c r="E14" s="32">
        <v>23.91</v>
      </c>
      <c r="F14" s="32">
        <v>25.7</v>
      </c>
      <c r="G14" s="32">
        <v>6.05</v>
      </c>
      <c r="I14" s="37">
        <v>24.24</v>
      </c>
      <c r="J14" s="32">
        <v>25.7</v>
      </c>
      <c r="K14" s="39"/>
      <c r="L14" s="39"/>
      <c r="M14" s="39"/>
    </row>
    <row r="15" spans="1:13" ht="15" customHeight="1" x14ac:dyDescent="0.3">
      <c r="A15" s="128"/>
      <c r="B15" s="38" t="s">
        <v>104</v>
      </c>
      <c r="C15" s="26">
        <f>IF(OR(C13="",C14=""),"",C14/C13)</f>
        <v>1.0616674888998521</v>
      </c>
      <c r="D15" s="26">
        <f>IF(OR(D13="",D14=""),"",D14/D13)</f>
        <v>1.0616674888998521</v>
      </c>
      <c r="E15" s="26">
        <f>IF(OR(E13="",E14=""),"",E14/E13)</f>
        <v>1.0617229129662522</v>
      </c>
      <c r="F15" s="26">
        <f>IF(OR(F13="",F14=""),"",F14/F13)</f>
        <v>1.0602310231023102</v>
      </c>
      <c r="G15" s="26">
        <f>IF(OR(G13="",G14=""),"",G14/G13)</f>
        <v>1.0324232081911262</v>
      </c>
      <c r="H15" s="39"/>
      <c r="I15" s="37">
        <v>5.86</v>
      </c>
      <c r="J15" s="32">
        <v>6.05</v>
      </c>
    </row>
    <row r="16" spans="1:13" ht="15" customHeight="1" x14ac:dyDescent="0.3">
      <c r="I16" s="37">
        <v>1.36</v>
      </c>
      <c r="J16" s="32">
        <v>2.64</v>
      </c>
    </row>
    <row r="17" spans="1:10" ht="15" customHeight="1" x14ac:dyDescent="0.3">
      <c r="A17" s="8" t="s">
        <v>116</v>
      </c>
      <c r="I17" s="37">
        <v>1.36</v>
      </c>
      <c r="J17" s="32">
        <v>2.64</v>
      </c>
    </row>
    <row r="18" spans="1:10" ht="15" customHeight="1" x14ac:dyDescent="0.3">
      <c r="B18" s="15" t="s">
        <v>100</v>
      </c>
      <c r="C18" s="31" t="s">
        <v>14</v>
      </c>
      <c r="D18" s="31" t="s">
        <v>18</v>
      </c>
      <c r="E18" s="31" t="s">
        <v>68</v>
      </c>
      <c r="F18" s="31" t="s">
        <v>70</v>
      </c>
      <c r="G18" s="31" t="s">
        <v>77</v>
      </c>
      <c r="I18" s="37">
        <v>1.51</v>
      </c>
      <c r="J18" s="32">
        <v>2.94</v>
      </c>
    </row>
    <row r="19" spans="1:10" ht="15" customHeight="1" x14ac:dyDescent="0.3">
      <c r="B19" s="18" t="s">
        <v>114</v>
      </c>
      <c r="C19" s="32">
        <v>5</v>
      </c>
      <c r="D19" s="32">
        <v>10</v>
      </c>
      <c r="E19" s="32">
        <v>9</v>
      </c>
      <c r="F19" s="32">
        <v>11.2</v>
      </c>
      <c r="G19" s="32">
        <v>11.2</v>
      </c>
      <c r="I19" s="37">
        <v>1.62</v>
      </c>
      <c r="J19" s="32">
        <v>3.15</v>
      </c>
    </row>
    <row r="20" spans="1:10" ht="15" customHeight="1" x14ac:dyDescent="0.3">
      <c r="B20" s="18" t="s">
        <v>101</v>
      </c>
      <c r="C20" s="32" t="s">
        <v>14</v>
      </c>
      <c r="D20" s="32" t="s">
        <v>18</v>
      </c>
      <c r="E20" s="32" t="s">
        <v>68</v>
      </c>
      <c r="F20" s="32" t="s">
        <v>70</v>
      </c>
      <c r="G20" s="32" t="s">
        <v>77</v>
      </c>
      <c r="I20" s="37"/>
      <c r="J20" s="32"/>
    </row>
    <row r="21" spans="1:10" ht="15" customHeight="1" x14ac:dyDescent="0.3">
      <c r="A21" s="13"/>
      <c r="B21" s="33" t="s">
        <v>115</v>
      </c>
      <c r="C21" s="34"/>
      <c r="D21" s="34"/>
      <c r="E21" s="34"/>
      <c r="F21" s="34"/>
      <c r="G21" s="34"/>
      <c r="I21" s="37">
        <v>3.98</v>
      </c>
      <c r="J21" s="32">
        <v>6.82</v>
      </c>
    </row>
    <row r="22" spans="1:10" ht="15" customHeight="1" x14ac:dyDescent="0.3">
      <c r="A22" s="7" t="s">
        <v>6</v>
      </c>
      <c r="B22" s="35"/>
      <c r="C22" s="36"/>
      <c r="D22" s="36"/>
      <c r="E22" s="36"/>
      <c r="F22" s="36"/>
      <c r="G22" s="36"/>
      <c r="H22" s="8"/>
      <c r="I22" s="37">
        <v>3.97</v>
      </c>
      <c r="J22" s="32">
        <v>6.83</v>
      </c>
    </row>
    <row r="23" spans="1:10" ht="15" customHeight="1" x14ac:dyDescent="0.3">
      <c r="A23" s="128">
        <v>80</v>
      </c>
      <c r="B23" s="30" t="s">
        <v>102</v>
      </c>
      <c r="C23" s="37">
        <v>1.36</v>
      </c>
      <c r="D23" s="37">
        <v>1.36</v>
      </c>
      <c r="E23" s="37">
        <v>1.51</v>
      </c>
      <c r="F23" s="37">
        <v>1.62</v>
      </c>
      <c r="G23" s="37"/>
      <c r="I23" s="37">
        <v>4.41</v>
      </c>
      <c r="J23" s="32">
        <v>7.59</v>
      </c>
    </row>
    <row r="24" spans="1:10" ht="15" customHeight="1" x14ac:dyDescent="0.3">
      <c r="A24" s="128"/>
      <c r="B24" s="20" t="s">
        <v>103</v>
      </c>
      <c r="C24" s="32">
        <v>2.64</v>
      </c>
      <c r="D24" s="32">
        <v>2.64</v>
      </c>
      <c r="E24" s="32">
        <v>2.94</v>
      </c>
      <c r="F24" s="32">
        <v>3.15</v>
      </c>
      <c r="G24" s="32"/>
      <c r="I24" s="37">
        <v>4.75</v>
      </c>
      <c r="J24" s="32">
        <v>8.1300000000000008</v>
      </c>
    </row>
    <row r="25" spans="1:10" ht="15" customHeight="1" x14ac:dyDescent="0.3">
      <c r="A25" s="128"/>
      <c r="B25" s="38" t="s">
        <v>104</v>
      </c>
      <c r="C25" s="26">
        <f>IF(OR(C23="",C24=""),"",C24/C23)</f>
        <v>1.9411764705882353</v>
      </c>
      <c r="D25" s="26">
        <f>IF(OR(D23="",D24=""),"",D24/D23)</f>
        <v>1.9411764705882353</v>
      </c>
      <c r="E25" s="26">
        <f>IF(OR(E23="",E24=""),"",E24/E23)</f>
        <v>1.9470198675496688</v>
      </c>
      <c r="F25" s="26">
        <f>IF(OR(F23="",F24=""),"",F24/F23)</f>
        <v>1.9444444444444442</v>
      </c>
      <c r="G25" s="26" t="str">
        <f>IF(OR(G23="",G24=""),"",G24/G23)</f>
        <v/>
      </c>
      <c r="H25" s="39"/>
      <c r="I25" s="37">
        <v>1.0900000000000001</v>
      </c>
      <c r="J25" s="32">
        <v>1.65</v>
      </c>
    </row>
    <row r="26" spans="1:10" ht="15" customHeight="1" x14ac:dyDescent="0.3">
      <c r="A26" s="128">
        <v>110</v>
      </c>
      <c r="B26" s="30" t="s">
        <v>102</v>
      </c>
      <c r="C26" s="37">
        <v>3.98</v>
      </c>
      <c r="D26" s="37">
        <v>3.97</v>
      </c>
      <c r="E26" s="37">
        <v>4.41</v>
      </c>
      <c r="F26" s="37">
        <v>4.75</v>
      </c>
      <c r="G26" s="37">
        <v>1.0900000000000001</v>
      </c>
      <c r="I26" s="37">
        <v>6.4</v>
      </c>
      <c r="J26" s="32">
        <v>10.57</v>
      </c>
    </row>
    <row r="27" spans="1:10" ht="15" customHeight="1" x14ac:dyDescent="0.3">
      <c r="A27" s="128"/>
      <c r="B27" s="20" t="s">
        <v>103</v>
      </c>
      <c r="C27" s="32">
        <v>6.82</v>
      </c>
      <c r="D27" s="32">
        <v>6.83</v>
      </c>
      <c r="E27" s="32">
        <v>7.59</v>
      </c>
      <c r="F27" s="32">
        <v>8.1300000000000008</v>
      </c>
      <c r="G27" s="32">
        <v>1.65</v>
      </c>
      <c r="I27" s="37">
        <v>6.39</v>
      </c>
      <c r="J27" s="32">
        <v>10.57</v>
      </c>
    </row>
    <row r="28" spans="1:10" ht="15" customHeight="1" x14ac:dyDescent="0.3">
      <c r="A28" s="128"/>
      <c r="B28" s="38" t="s">
        <v>104</v>
      </c>
      <c r="C28" s="26">
        <f>IF(OR(C26="",C27=""),"",C27/C26)</f>
        <v>1.7135678391959799</v>
      </c>
      <c r="D28" s="26">
        <f>IF(OR(D26="",D27=""),"",D27/D26)</f>
        <v>1.7204030226700251</v>
      </c>
      <c r="E28" s="26">
        <f>IF(OR(E26="",E27=""),"",E27/E26)</f>
        <v>1.7210884353741496</v>
      </c>
      <c r="F28" s="26">
        <f>IF(OR(F26="",F27=""),"",F27/F26)</f>
        <v>1.7115789473684213</v>
      </c>
      <c r="G28" s="26">
        <f>IF(OR(G26="",G27=""),"",G27/G26)</f>
        <v>1.5137614678899081</v>
      </c>
      <c r="H28" s="39"/>
      <c r="I28" s="37">
        <v>7.1</v>
      </c>
      <c r="J28" s="32">
        <v>11.74</v>
      </c>
    </row>
    <row r="29" spans="1:10" ht="15" customHeight="1" x14ac:dyDescent="0.3">
      <c r="A29" s="128">
        <v>130</v>
      </c>
      <c r="B29" s="30" t="s">
        <v>102</v>
      </c>
      <c r="C29" s="37">
        <v>6.4</v>
      </c>
      <c r="D29" s="37">
        <v>6.39</v>
      </c>
      <c r="E29" s="37">
        <v>7.1</v>
      </c>
      <c r="F29" s="37">
        <v>7.63</v>
      </c>
      <c r="G29" s="37">
        <v>2.23</v>
      </c>
      <c r="I29" s="37">
        <v>7.63</v>
      </c>
      <c r="J29" s="32">
        <v>12.57</v>
      </c>
    </row>
    <row r="30" spans="1:10" ht="15.6" x14ac:dyDescent="0.3">
      <c r="A30" s="128"/>
      <c r="B30" s="20" t="s">
        <v>103</v>
      </c>
      <c r="C30" s="32">
        <v>10.57</v>
      </c>
      <c r="D30" s="32">
        <v>10.57</v>
      </c>
      <c r="E30" s="32">
        <v>11.74</v>
      </c>
      <c r="F30" s="32">
        <v>12.57</v>
      </c>
      <c r="G30" s="32">
        <v>3.32</v>
      </c>
      <c r="I30" s="37">
        <v>2.23</v>
      </c>
      <c r="J30" s="32">
        <v>3.32</v>
      </c>
    </row>
    <row r="31" spans="1:10" ht="15.6" x14ac:dyDescent="0.3">
      <c r="A31" s="128"/>
      <c r="B31" s="38" t="s">
        <v>104</v>
      </c>
      <c r="C31" s="26">
        <f>IF(OR(C29="",C30=""),"",C30/C29)</f>
        <v>1.6515625</v>
      </c>
      <c r="D31" s="26">
        <f>IF(OR(D29="",D30=""),"",D30/D29)</f>
        <v>1.6541471048513303</v>
      </c>
      <c r="E31" s="26">
        <f>IF(OR(E29="",E30=""),"",E30/E29)</f>
        <v>1.6535211267605634</v>
      </c>
      <c r="F31" s="26">
        <f>IF(OR(F29="",F30=""),"",F30/F29)</f>
        <v>1.6474442988204456</v>
      </c>
      <c r="G31" s="26">
        <f>IF(OR(G29="",G30=""),"",G30/G29)</f>
        <v>1.4887892376681613</v>
      </c>
      <c r="H31" s="39"/>
      <c r="I31" s="39"/>
    </row>
  </sheetData>
  <mergeCells count="6">
    <mergeCell ref="A29:A31"/>
    <mergeCell ref="A7:A9"/>
    <mergeCell ref="A10:A12"/>
    <mergeCell ref="A13:A15"/>
    <mergeCell ref="A23:A25"/>
    <mergeCell ref="A26:A2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31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9" ht="15" customHeight="1" x14ac:dyDescent="0.3">
      <c r="A1" s="8" t="s">
        <v>117</v>
      </c>
    </row>
    <row r="2" spans="1:9" ht="15" customHeight="1" x14ac:dyDescent="0.3">
      <c r="B2" s="15" t="s">
        <v>100</v>
      </c>
      <c r="C2" s="31" t="s">
        <v>29</v>
      </c>
      <c r="D2" s="31" t="s">
        <v>30</v>
      </c>
      <c r="E2" s="31" t="s">
        <v>31</v>
      </c>
      <c r="F2" s="31" t="s">
        <v>18</v>
      </c>
      <c r="G2" s="31" t="s">
        <v>20</v>
      </c>
      <c r="H2" s="31" t="s">
        <v>32</v>
      </c>
      <c r="I2" s="31" t="s">
        <v>23</v>
      </c>
    </row>
    <row r="3" spans="1:9" ht="15" customHeight="1" x14ac:dyDescent="0.3">
      <c r="B3" s="18" t="s">
        <v>114</v>
      </c>
      <c r="C3" s="32">
        <v>2.4</v>
      </c>
      <c r="D3" s="32">
        <v>7.2</v>
      </c>
      <c r="E3" s="32">
        <v>9.6</v>
      </c>
      <c r="F3" s="32">
        <v>10</v>
      </c>
      <c r="G3" s="32">
        <v>14.4</v>
      </c>
      <c r="H3" s="32">
        <v>16</v>
      </c>
      <c r="I3" s="32">
        <v>19.2</v>
      </c>
    </row>
    <row r="4" spans="1:9" ht="15" customHeight="1" x14ac:dyDescent="0.3">
      <c r="B4" s="18" t="s">
        <v>101</v>
      </c>
      <c r="C4" s="32" t="s">
        <v>29</v>
      </c>
      <c r="D4" s="32" t="s">
        <v>30</v>
      </c>
      <c r="E4" s="32" t="s">
        <v>31</v>
      </c>
      <c r="F4" s="32" t="s">
        <v>18</v>
      </c>
      <c r="G4" s="32" t="s">
        <v>20</v>
      </c>
      <c r="H4" s="32" t="s">
        <v>32</v>
      </c>
      <c r="I4" s="32" t="s">
        <v>23</v>
      </c>
    </row>
    <row r="5" spans="1:9" ht="15" customHeight="1" x14ac:dyDescent="0.3">
      <c r="A5" s="13"/>
      <c r="B5" s="33" t="s">
        <v>115</v>
      </c>
      <c r="C5" s="34"/>
      <c r="D5" s="34"/>
      <c r="E5" s="34"/>
      <c r="F5" s="34"/>
      <c r="G5" s="34"/>
      <c r="H5" s="34"/>
      <c r="I5" s="34"/>
    </row>
    <row r="6" spans="1:9" ht="15" customHeight="1" x14ac:dyDescent="0.3">
      <c r="A6" s="7" t="s">
        <v>6</v>
      </c>
      <c r="B6" s="35"/>
      <c r="C6" s="36"/>
      <c r="D6" s="36"/>
      <c r="E6" s="36"/>
      <c r="F6" s="36"/>
      <c r="G6" s="36"/>
      <c r="H6" s="36"/>
      <c r="I6" s="36"/>
    </row>
    <row r="7" spans="1:9" ht="15" customHeight="1" x14ac:dyDescent="0.3">
      <c r="A7" s="128">
        <v>80</v>
      </c>
      <c r="B7" s="30" t="s">
        <v>102</v>
      </c>
      <c r="C7" s="37">
        <v>7.6</v>
      </c>
      <c r="D7" s="37">
        <v>7.7</v>
      </c>
      <c r="E7" s="37">
        <v>6.64</v>
      </c>
      <c r="F7" s="37">
        <v>5.55</v>
      </c>
      <c r="G7" s="37">
        <v>6.04</v>
      </c>
      <c r="H7" s="37">
        <v>5.43</v>
      </c>
      <c r="I7" s="37">
        <v>6.13</v>
      </c>
    </row>
    <row r="8" spans="1:9" ht="15" customHeight="1" x14ac:dyDescent="0.3">
      <c r="A8" s="128"/>
      <c r="B8" s="20" t="s">
        <v>103</v>
      </c>
      <c r="C8" s="32">
        <v>8.1199999999999992</v>
      </c>
      <c r="D8" s="32">
        <v>8.1999999999999993</v>
      </c>
      <c r="E8" s="32">
        <v>7.19</v>
      </c>
      <c r="F8" s="32">
        <v>5.9</v>
      </c>
      <c r="G8" s="32">
        <v>6.45</v>
      </c>
      <c r="H8" s="32">
        <v>5.81</v>
      </c>
      <c r="I8" s="32">
        <v>6.56</v>
      </c>
    </row>
    <row r="9" spans="1:9" ht="15" customHeight="1" x14ac:dyDescent="0.3">
      <c r="A9" s="128"/>
      <c r="B9" s="38" t="s">
        <v>104</v>
      </c>
      <c r="C9" s="26">
        <f t="shared" ref="C9:I9" si="0">IF(OR(C7="",C8=""),"",C8/C7)</f>
        <v>1.0684210526315789</v>
      </c>
      <c r="D9" s="26">
        <f t="shared" si="0"/>
        <v>1.0649350649350648</v>
      </c>
      <c r="E9" s="26">
        <f t="shared" si="0"/>
        <v>1.082831325301205</v>
      </c>
      <c r="F9" s="26">
        <f t="shared" si="0"/>
        <v>1.0630630630630631</v>
      </c>
      <c r="G9" s="26">
        <f t="shared" si="0"/>
        <v>1.0678807947019868</v>
      </c>
      <c r="H9" s="26">
        <f t="shared" si="0"/>
        <v>1.0699815837937385</v>
      </c>
      <c r="I9" s="26">
        <f t="shared" si="0"/>
        <v>1.0701468189233279</v>
      </c>
    </row>
    <row r="10" spans="1:9" ht="15" customHeight="1" x14ac:dyDescent="0.3">
      <c r="A10" s="128">
        <v>110</v>
      </c>
      <c r="B10" s="30" t="s">
        <v>102</v>
      </c>
      <c r="C10" s="37">
        <v>18</v>
      </c>
      <c r="D10" s="37">
        <v>17.63</v>
      </c>
      <c r="E10" s="37">
        <v>15.57</v>
      </c>
      <c r="F10" s="37">
        <v>12.69</v>
      </c>
      <c r="G10" s="37">
        <v>13.88</v>
      </c>
      <c r="H10" s="37">
        <v>12.49</v>
      </c>
      <c r="I10" s="37">
        <v>14.14</v>
      </c>
    </row>
    <row r="11" spans="1:9" ht="15" customHeight="1" x14ac:dyDescent="0.3">
      <c r="A11" s="128"/>
      <c r="B11" s="20" t="s">
        <v>103</v>
      </c>
      <c r="C11" s="32">
        <v>18.649999999999999</v>
      </c>
      <c r="D11" s="32">
        <v>18.309999999999999</v>
      </c>
      <c r="E11" s="32">
        <v>16.18</v>
      </c>
      <c r="F11" s="32">
        <v>13.18</v>
      </c>
      <c r="G11" s="32">
        <v>14.43</v>
      </c>
      <c r="H11" s="32">
        <v>12.99</v>
      </c>
      <c r="I11" s="32">
        <v>14.7</v>
      </c>
    </row>
    <row r="12" spans="1:9" ht="15" customHeight="1" x14ac:dyDescent="0.3">
      <c r="A12" s="128"/>
      <c r="B12" s="38" t="s">
        <v>104</v>
      </c>
      <c r="C12" s="26">
        <f t="shared" ref="C12:I12" si="1">IF(OR(C10="",C11=""),"",C11/C10)</f>
        <v>1.036111111111111</v>
      </c>
      <c r="D12" s="26">
        <f t="shared" si="1"/>
        <v>1.0385706182643222</v>
      </c>
      <c r="E12" s="26">
        <f t="shared" si="1"/>
        <v>1.0391779062299293</v>
      </c>
      <c r="F12" s="26">
        <f t="shared" si="1"/>
        <v>1.0386130811662726</v>
      </c>
      <c r="G12" s="26">
        <f t="shared" si="1"/>
        <v>1.0396253602305474</v>
      </c>
      <c r="H12" s="26">
        <f t="shared" si="1"/>
        <v>1.0400320256204965</v>
      </c>
      <c r="I12" s="26">
        <f t="shared" si="1"/>
        <v>1.0396039603960394</v>
      </c>
    </row>
    <row r="13" spans="1:9" ht="15" customHeight="1" x14ac:dyDescent="0.3">
      <c r="A13" s="128">
        <v>130</v>
      </c>
      <c r="B13" s="30" t="s">
        <v>102</v>
      </c>
      <c r="C13" s="37">
        <v>25.78</v>
      </c>
      <c r="D13" s="37">
        <v>25.93</v>
      </c>
      <c r="E13" s="37">
        <v>22.91</v>
      </c>
      <c r="F13" s="37">
        <v>18.670000000000002</v>
      </c>
      <c r="G13" s="37">
        <v>20.420000000000002</v>
      </c>
      <c r="H13" s="37">
        <v>18.38</v>
      </c>
      <c r="I13" s="37">
        <v>20.81</v>
      </c>
    </row>
    <row r="14" spans="1:9" ht="15" customHeight="1" x14ac:dyDescent="0.3">
      <c r="A14" s="128"/>
      <c r="B14" s="20" t="s">
        <v>103</v>
      </c>
      <c r="C14" s="32">
        <v>26.52</v>
      </c>
      <c r="D14" s="32">
        <v>26.72</v>
      </c>
      <c r="E14" s="32">
        <v>23.62</v>
      </c>
      <c r="F14" s="32">
        <v>19.239999999999998</v>
      </c>
      <c r="G14" s="32">
        <v>21.05</v>
      </c>
      <c r="H14" s="32">
        <v>18.940000000000001</v>
      </c>
      <c r="I14" s="32">
        <v>21.45</v>
      </c>
    </row>
    <row r="15" spans="1:9" ht="15" customHeight="1" x14ac:dyDescent="0.3">
      <c r="A15" s="128"/>
      <c r="B15" s="38" t="s">
        <v>104</v>
      </c>
      <c r="C15" s="26">
        <f t="shared" ref="C15:I15" si="2">IF(OR(C13="",C14=""),"",C14/C13)</f>
        <v>1.0287044220325834</v>
      </c>
      <c r="D15" s="26">
        <f t="shared" si="2"/>
        <v>1.0304666409564212</v>
      </c>
      <c r="E15" s="26">
        <f t="shared" si="2"/>
        <v>1.0309908336970754</v>
      </c>
      <c r="F15" s="26">
        <f t="shared" si="2"/>
        <v>1.0305302624531332</v>
      </c>
      <c r="G15" s="26">
        <f t="shared" si="2"/>
        <v>1.0308521057786484</v>
      </c>
      <c r="H15" s="26">
        <f t="shared" si="2"/>
        <v>1.0304678998911863</v>
      </c>
      <c r="I15" s="26">
        <f t="shared" si="2"/>
        <v>1.0307544449783759</v>
      </c>
    </row>
    <row r="17" spans="1:9" ht="15" customHeight="1" x14ac:dyDescent="0.3">
      <c r="A17" s="8" t="s">
        <v>116</v>
      </c>
    </row>
    <row r="18" spans="1:9" ht="15" customHeight="1" x14ac:dyDescent="0.3">
      <c r="B18" s="15" t="s">
        <v>100</v>
      </c>
      <c r="C18" s="31" t="s">
        <v>29</v>
      </c>
      <c r="D18" s="31" t="s">
        <v>30</v>
      </c>
      <c r="E18" s="31" t="s">
        <v>31</v>
      </c>
      <c r="F18" s="31" t="s">
        <v>18</v>
      </c>
      <c r="G18" s="31" t="s">
        <v>20</v>
      </c>
      <c r="H18" s="31" t="s">
        <v>32</v>
      </c>
      <c r="I18" s="31" t="s">
        <v>23</v>
      </c>
    </row>
    <row r="19" spans="1:9" ht="15" customHeight="1" x14ac:dyDescent="0.3">
      <c r="B19" s="18" t="s">
        <v>114</v>
      </c>
      <c r="C19" s="32">
        <v>2.4</v>
      </c>
      <c r="D19" s="32">
        <v>7.2</v>
      </c>
      <c r="E19" s="32">
        <v>9.6</v>
      </c>
      <c r="F19" s="32">
        <v>10</v>
      </c>
      <c r="G19" s="32">
        <v>14.4</v>
      </c>
      <c r="H19" s="32">
        <v>16</v>
      </c>
      <c r="I19" s="32">
        <v>19.2</v>
      </c>
    </row>
    <row r="20" spans="1:9" ht="15" customHeight="1" x14ac:dyDescent="0.3">
      <c r="B20" s="18" t="s">
        <v>101</v>
      </c>
      <c r="C20" s="32" t="s">
        <v>29</v>
      </c>
      <c r="D20" s="32" t="s">
        <v>30</v>
      </c>
      <c r="E20" s="32" t="s">
        <v>31</v>
      </c>
      <c r="F20" s="32" t="s">
        <v>18</v>
      </c>
      <c r="G20" s="32" t="s">
        <v>20</v>
      </c>
      <c r="H20" s="32" t="s">
        <v>32</v>
      </c>
      <c r="I20" s="32" t="s">
        <v>23</v>
      </c>
    </row>
    <row r="21" spans="1:9" ht="15" customHeight="1" x14ac:dyDescent="0.3">
      <c r="A21" s="13"/>
      <c r="B21" s="33" t="s">
        <v>115</v>
      </c>
      <c r="C21" s="34"/>
      <c r="D21" s="34"/>
      <c r="E21" s="34"/>
      <c r="F21" s="34"/>
      <c r="G21" s="34"/>
      <c r="H21" s="34"/>
      <c r="I21" s="34"/>
    </row>
    <row r="22" spans="1:9" ht="15" customHeight="1" x14ac:dyDescent="0.3">
      <c r="A22" s="7" t="s">
        <v>6</v>
      </c>
      <c r="B22" s="35"/>
      <c r="C22" s="36"/>
      <c r="D22" s="36"/>
      <c r="E22" s="36"/>
      <c r="F22" s="36"/>
      <c r="G22" s="36"/>
      <c r="H22" s="36"/>
      <c r="I22" s="36"/>
    </row>
    <row r="23" spans="1:9" ht="15" customHeight="1" x14ac:dyDescent="0.3">
      <c r="A23" s="128">
        <v>80</v>
      </c>
      <c r="B23" s="30" t="s">
        <v>102</v>
      </c>
      <c r="C23" s="37">
        <v>1.88</v>
      </c>
      <c r="D23" s="37">
        <v>1.9</v>
      </c>
      <c r="E23" s="37">
        <v>1.68</v>
      </c>
      <c r="F23" s="37">
        <v>1.37</v>
      </c>
      <c r="G23" s="37">
        <v>1.5</v>
      </c>
      <c r="H23" s="37">
        <v>1.35</v>
      </c>
      <c r="I23" s="37">
        <v>1.52</v>
      </c>
    </row>
    <row r="24" spans="1:9" ht="15" customHeight="1" x14ac:dyDescent="0.3">
      <c r="A24" s="128"/>
      <c r="B24" s="20" t="s">
        <v>103</v>
      </c>
      <c r="C24" s="32">
        <v>3.49</v>
      </c>
      <c r="D24" s="32">
        <v>3.54</v>
      </c>
      <c r="E24" s="32">
        <v>3.12</v>
      </c>
      <c r="F24" s="32">
        <v>2.5499999999999998</v>
      </c>
      <c r="G24" s="32">
        <v>2.78</v>
      </c>
      <c r="H24" s="32">
        <v>2.5</v>
      </c>
      <c r="I24" s="32">
        <v>2.9</v>
      </c>
    </row>
    <row r="25" spans="1:9" ht="15" customHeight="1" x14ac:dyDescent="0.3">
      <c r="A25" s="128"/>
      <c r="B25" s="38" t="s">
        <v>104</v>
      </c>
      <c r="C25" s="26">
        <f t="shared" ref="C25:I25" si="3">IF(OR(C23="",C24=""),"",C24/C23)</f>
        <v>1.8563829787234045</v>
      </c>
      <c r="D25" s="26">
        <f t="shared" si="3"/>
        <v>1.8631578947368421</v>
      </c>
      <c r="E25" s="26">
        <f t="shared" si="3"/>
        <v>1.8571428571428572</v>
      </c>
      <c r="F25" s="26">
        <f t="shared" si="3"/>
        <v>1.8613138686131385</v>
      </c>
      <c r="G25" s="26">
        <f t="shared" si="3"/>
        <v>1.8533333333333333</v>
      </c>
      <c r="H25" s="26">
        <f t="shared" si="3"/>
        <v>1.8518518518518516</v>
      </c>
      <c r="I25" s="26">
        <f t="shared" si="3"/>
        <v>1.9078947368421051</v>
      </c>
    </row>
    <row r="26" spans="1:9" ht="15" customHeight="1" x14ac:dyDescent="0.3">
      <c r="A26" s="128">
        <v>110</v>
      </c>
      <c r="B26" s="30" t="s">
        <v>102</v>
      </c>
      <c r="C26" s="37">
        <v>5.24</v>
      </c>
      <c r="D26" s="37">
        <v>5.12</v>
      </c>
      <c r="E26" s="37">
        <v>4.5199999999999996</v>
      </c>
      <c r="F26" s="37">
        <v>3.68</v>
      </c>
      <c r="G26" s="37">
        <v>4.05</v>
      </c>
      <c r="H26" s="37">
        <v>3.64</v>
      </c>
      <c r="I26" s="37">
        <v>4.12</v>
      </c>
    </row>
    <row r="27" spans="1:9" ht="15" customHeight="1" x14ac:dyDescent="0.3">
      <c r="A27" s="128"/>
      <c r="B27" s="20" t="s">
        <v>103</v>
      </c>
      <c r="C27" s="32">
        <v>8.6300000000000008</v>
      </c>
      <c r="D27" s="32">
        <v>8.5</v>
      </c>
      <c r="E27" s="32">
        <v>7.51</v>
      </c>
      <c r="F27" s="32">
        <v>6.12</v>
      </c>
      <c r="G27" s="32">
        <v>6.69</v>
      </c>
      <c r="H27" s="32">
        <v>6.02</v>
      </c>
      <c r="I27" s="32">
        <v>6.82</v>
      </c>
    </row>
    <row r="28" spans="1:9" ht="15" customHeight="1" x14ac:dyDescent="0.3">
      <c r="A28" s="128"/>
      <c r="B28" s="38" t="s">
        <v>104</v>
      </c>
      <c r="C28" s="26">
        <f t="shared" ref="C28:I28" si="4">IF(OR(C26="",C27=""),"",C27/C26)</f>
        <v>1.6469465648854962</v>
      </c>
      <c r="D28" s="26">
        <f t="shared" si="4"/>
        <v>1.66015625</v>
      </c>
      <c r="E28" s="26">
        <f t="shared" si="4"/>
        <v>1.6615044247787611</v>
      </c>
      <c r="F28" s="26">
        <f t="shared" si="4"/>
        <v>1.6630434782608696</v>
      </c>
      <c r="G28" s="26">
        <f t="shared" si="4"/>
        <v>1.6518518518518521</v>
      </c>
      <c r="H28" s="26">
        <f t="shared" si="4"/>
        <v>1.6538461538461537</v>
      </c>
      <c r="I28" s="26">
        <f t="shared" si="4"/>
        <v>1.6553398058252426</v>
      </c>
    </row>
    <row r="29" spans="1:9" ht="15" customHeight="1" x14ac:dyDescent="0.3">
      <c r="A29" s="128">
        <v>130</v>
      </c>
      <c r="B29" s="30" t="s">
        <v>102</v>
      </c>
      <c r="C29" s="37">
        <v>7.95</v>
      </c>
      <c r="D29" s="37">
        <v>8.02</v>
      </c>
      <c r="E29" s="37">
        <v>7.09</v>
      </c>
      <c r="F29" s="37">
        <v>5.78</v>
      </c>
      <c r="G29" s="37">
        <v>6.31</v>
      </c>
      <c r="H29" s="37">
        <v>5.68</v>
      </c>
      <c r="I29" s="37">
        <v>6.41</v>
      </c>
    </row>
    <row r="30" spans="1:9" ht="15.6" x14ac:dyDescent="0.3">
      <c r="A30" s="128"/>
      <c r="B30" s="20" t="s">
        <v>103</v>
      </c>
      <c r="C30" s="32">
        <v>12.63</v>
      </c>
      <c r="D30" s="32">
        <v>12.79</v>
      </c>
      <c r="E30" s="32">
        <v>11.29</v>
      </c>
      <c r="F30" s="32">
        <v>9.2100000000000009</v>
      </c>
      <c r="G30" s="32">
        <v>10.039999999999999</v>
      </c>
      <c r="H30" s="32">
        <v>9.0399999999999991</v>
      </c>
      <c r="I30" s="32">
        <v>10.210000000000001</v>
      </c>
    </row>
    <row r="31" spans="1:9" ht="15.6" x14ac:dyDescent="0.3">
      <c r="A31" s="128"/>
      <c r="B31" s="38" t="s">
        <v>104</v>
      </c>
      <c r="C31" s="26">
        <f t="shared" ref="C31:I31" si="5">IF(OR(C29="",C30=""),"",C30/C29)</f>
        <v>1.588679245283019</v>
      </c>
      <c r="D31" s="26">
        <f t="shared" si="5"/>
        <v>1.5947630922693266</v>
      </c>
      <c r="E31" s="26">
        <f t="shared" si="5"/>
        <v>1.5923836389280677</v>
      </c>
      <c r="F31" s="26">
        <f t="shared" si="5"/>
        <v>1.5934256055363323</v>
      </c>
      <c r="G31" s="26">
        <f t="shared" si="5"/>
        <v>1.5911251980982566</v>
      </c>
      <c r="H31" s="26">
        <f t="shared" si="5"/>
        <v>1.5915492957746478</v>
      </c>
      <c r="I31" s="26">
        <f t="shared" si="5"/>
        <v>1.5928237129485181</v>
      </c>
    </row>
  </sheetData>
  <mergeCells count="6">
    <mergeCell ref="A29:A31"/>
    <mergeCell ref="A7:A9"/>
    <mergeCell ref="A10:A12"/>
    <mergeCell ref="A13:A15"/>
    <mergeCell ref="A23:A25"/>
    <mergeCell ref="A26:A2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N87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x14ac:dyDescent="0.3">
      <c r="A1" s="8" t="s">
        <v>97</v>
      </c>
    </row>
    <row r="2" spans="1:14" ht="15" customHeight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22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19.2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x14ac:dyDescent="0.3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x14ac:dyDescent="0.3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x14ac:dyDescent="0.3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x14ac:dyDescent="0.3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x14ac:dyDescent="0.3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x14ac:dyDescent="0.3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x14ac:dyDescent="0.3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x14ac:dyDescent="0.3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x14ac:dyDescent="0.3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x14ac:dyDescent="0.3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x14ac:dyDescent="0.3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x14ac:dyDescent="0.3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x14ac:dyDescent="0.3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x14ac:dyDescent="0.3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x14ac:dyDescent="0.3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x14ac:dyDescent="0.3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x14ac:dyDescent="0.3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3" spans="1:14" ht="15" customHeight="1" x14ac:dyDescent="0.3">
      <c r="A23" s="8" t="s">
        <v>122</v>
      </c>
    </row>
    <row r="24" spans="1:14" ht="15" customHeight="1" x14ac:dyDescent="0.3">
      <c r="B24" s="15" t="s">
        <v>100</v>
      </c>
      <c r="C24" s="31" t="s">
        <v>13</v>
      </c>
      <c r="D24" s="31" t="s">
        <v>26</v>
      </c>
      <c r="E24" s="31" t="s">
        <v>34</v>
      </c>
      <c r="F24" s="31" t="s">
        <v>34</v>
      </c>
      <c r="G24" s="31" t="s">
        <v>14</v>
      </c>
      <c r="H24" s="31" t="s">
        <v>15</v>
      </c>
      <c r="I24" s="31" t="s">
        <v>17</v>
      </c>
      <c r="J24" s="31" t="s">
        <v>18</v>
      </c>
      <c r="K24" s="31" t="s">
        <v>16</v>
      </c>
      <c r="L24" s="31" t="s">
        <v>20</v>
      </c>
      <c r="M24" s="31" t="s">
        <v>21</v>
      </c>
      <c r="N24" s="31" t="s">
        <v>22</v>
      </c>
    </row>
    <row r="25" spans="1:14" ht="15" customHeight="1" x14ac:dyDescent="0.3">
      <c r="B25" s="18" t="s">
        <v>114</v>
      </c>
      <c r="C25" s="32">
        <v>2</v>
      </c>
      <c r="D25" s="32">
        <v>3.6</v>
      </c>
      <c r="E25" s="32">
        <v>4.8</v>
      </c>
      <c r="F25" s="32">
        <v>4.8</v>
      </c>
      <c r="G25" s="32">
        <v>5</v>
      </c>
      <c r="H25" s="32">
        <v>6</v>
      </c>
      <c r="I25" s="32">
        <v>7.2</v>
      </c>
      <c r="J25" s="32">
        <v>10</v>
      </c>
      <c r="K25" s="32">
        <v>12</v>
      </c>
      <c r="L25" s="32">
        <v>14.4</v>
      </c>
      <c r="M25" s="32">
        <v>38.4</v>
      </c>
      <c r="N25" s="32">
        <v>38.4</v>
      </c>
    </row>
    <row r="26" spans="1:14" ht="15" customHeight="1" x14ac:dyDescent="0.3">
      <c r="B26" s="18" t="s">
        <v>101</v>
      </c>
      <c r="C26" s="32" t="s">
        <v>13</v>
      </c>
      <c r="D26" s="32" t="s">
        <v>26</v>
      </c>
      <c r="E26" s="32" t="s">
        <v>34</v>
      </c>
      <c r="F26" s="32" t="s">
        <v>31</v>
      </c>
      <c r="G26" s="32" t="s">
        <v>14</v>
      </c>
      <c r="H26" s="32" t="s">
        <v>16</v>
      </c>
      <c r="I26" s="32" t="s">
        <v>17</v>
      </c>
      <c r="J26" s="32" t="s">
        <v>18</v>
      </c>
      <c r="K26" s="32" t="s">
        <v>19</v>
      </c>
      <c r="L26" s="32" t="s">
        <v>20</v>
      </c>
      <c r="M26" s="32" t="s">
        <v>35</v>
      </c>
      <c r="N26" s="32" t="s">
        <v>123</v>
      </c>
    </row>
    <row r="27" spans="1:14" ht="15" customHeight="1" x14ac:dyDescent="0.3">
      <c r="B27" s="33" t="s">
        <v>115</v>
      </c>
      <c r="C27" s="40"/>
      <c r="D27" s="40"/>
      <c r="E27" s="40"/>
      <c r="F27" s="40" t="s">
        <v>121</v>
      </c>
      <c r="G27" s="40"/>
      <c r="H27" s="40" t="s">
        <v>121</v>
      </c>
      <c r="I27" s="40"/>
      <c r="J27" s="40"/>
      <c r="K27" s="40" t="s">
        <v>121</v>
      </c>
      <c r="L27" s="40"/>
      <c r="M27" s="40"/>
      <c r="N27" s="40" t="s">
        <v>121</v>
      </c>
    </row>
    <row r="28" spans="1:14" ht="15" customHeight="1" x14ac:dyDescent="0.3">
      <c r="A28" s="7" t="s">
        <v>6</v>
      </c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ht="15" customHeight="1" x14ac:dyDescent="0.3">
      <c r="A29" s="128">
        <v>70</v>
      </c>
      <c r="B29" s="30" t="s">
        <v>102</v>
      </c>
      <c r="C29" s="37">
        <v>2.36</v>
      </c>
      <c r="D29" s="37">
        <v>3.83</v>
      </c>
      <c r="E29" s="37">
        <v>3.52</v>
      </c>
      <c r="F29" s="37">
        <v>4.12</v>
      </c>
      <c r="G29" s="37">
        <v>2.12</v>
      </c>
      <c r="H29" s="37">
        <v>2.86</v>
      </c>
      <c r="I29" s="37">
        <v>3.05</v>
      </c>
      <c r="J29" s="37">
        <v>2.12</v>
      </c>
      <c r="K29" s="37">
        <v>2.91</v>
      </c>
      <c r="L29" s="37">
        <v>2.72</v>
      </c>
      <c r="M29" s="37">
        <v>2.38</v>
      </c>
      <c r="N29" s="37">
        <v>2.4</v>
      </c>
    </row>
    <row r="30" spans="1:14" ht="15.6" x14ac:dyDescent="0.3">
      <c r="A30" s="128"/>
      <c r="B30" s="20" t="s">
        <v>103</v>
      </c>
      <c r="C30" s="32">
        <v>2.36</v>
      </c>
      <c r="D30" s="32">
        <v>3.81</v>
      </c>
      <c r="E30" s="32">
        <v>3.51</v>
      </c>
      <c r="F30" s="32">
        <v>4.07</v>
      </c>
      <c r="G30" s="32">
        <v>2.11</v>
      </c>
      <c r="H30" s="32">
        <v>2.82</v>
      </c>
      <c r="I30" s="32">
        <v>3.04</v>
      </c>
      <c r="J30" s="32">
        <v>2.11</v>
      </c>
      <c r="K30" s="32">
        <v>2.88</v>
      </c>
      <c r="L30" s="32">
        <v>2.71</v>
      </c>
      <c r="M30" s="32">
        <v>2.37</v>
      </c>
      <c r="N30" s="32">
        <v>2.37</v>
      </c>
    </row>
    <row r="31" spans="1:14" ht="15.6" x14ac:dyDescent="0.3">
      <c r="A31" s="128"/>
      <c r="B31" s="38" t="s">
        <v>104</v>
      </c>
      <c r="C31" s="26">
        <f t="shared" ref="C31:N31" si="5">IF(OR(C29="",C30=""),"",C30/C29)</f>
        <v>1</v>
      </c>
      <c r="D31" s="26">
        <f t="shared" si="5"/>
        <v>0.99477806788511747</v>
      </c>
      <c r="E31" s="26">
        <f t="shared" si="5"/>
        <v>0.99715909090909083</v>
      </c>
      <c r="F31" s="26">
        <f t="shared" si="5"/>
        <v>0.98786407766990292</v>
      </c>
      <c r="G31" s="26">
        <f t="shared" si="5"/>
        <v>0.99528301886792447</v>
      </c>
      <c r="H31" s="26">
        <f t="shared" si="5"/>
        <v>0.98601398601398604</v>
      </c>
      <c r="I31" s="26">
        <f t="shared" si="5"/>
        <v>0.99672131147540988</v>
      </c>
      <c r="J31" s="26">
        <f t="shared" si="5"/>
        <v>0.99528301886792447</v>
      </c>
      <c r="K31" s="26">
        <f t="shared" si="5"/>
        <v>0.98969072164948446</v>
      </c>
      <c r="L31" s="26">
        <f t="shared" si="5"/>
        <v>0.99632352941176461</v>
      </c>
      <c r="M31" s="26">
        <f t="shared" si="5"/>
        <v>0.99579831932773122</v>
      </c>
      <c r="N31" s="26">
        <f t="shared" si="5"/>
        <v>0.98750000000000004</v>
      </c>
    </row>
    <row r="32" spans="1:14" ht="15.6" x14ac:dyDescent="0.3">
      <c r="A32" s="128">
        <v>80</v>
      </c>
      <c r="B32" s="30" t="s">
        <v>102</v>
      </c>
      <c r="C32" s="37">
        <v>3.81</v>
      </c>
      <c r="D32" s="37">
        <v>6.17</v>
      </c>
      <c r="E32" s="37">
        <v>5.67</v>
      </c>
      <c r="F32" s="37">
        <v>6.58</v>
      </c>
      <c r="G32" s="37">
        <v>3.42</v>
      </c>
      <c r="H32" s="37">
        <v>4.5599999999999996</v>
      </c>
      <c r="I32" s="37">
        <v>4.92</v>
      </c>
      <c r="J32" s="37">
        <v>3.42</v>
      </c>
      <c r="K32" s="37">
        <v>4.6500000000000004</v>
      </c>
      <c r="L32" s="37">
        <v>4.3899999999999997</v>
      </c>
      <c r="M32" s="37">
        <v>3.83</v>
      </c>
      <c r="N32" s="37">
        <v>3.84</v>
      </c>
    </row>
    <row r="33" spans="1:14" ht="15.6" x14ac:dyDescent="0.3">
      <c r="A33" s="128"/>
      <c r="B33" s="20" t="s">
        <v>103</v>
      </c>
      <c r="C33" s="32">
        <v>3.78</v>
      </c>
      <c r="D33" s="32">
        <v>6.12</v>
      </c>
      <c r="E33" s="32">
        <v>5.63</v>
      </c>
      <c r="F33" s="32">
        <v>6.44</v>
      </c>
      <c r="G33" s="32">
        <v>3.39</v>
      </c>
      <c r="H33" s="32">
        <v>4.47</v>
      </c>
      <c r="I33" s="32">
        <v>4.88</v>
      </c>
      <c r="J33" s="32">
        <v>3.39</v>
      </c>
      <c r="K33" s="32">
        <v>4.55</v>
      </c>
      <c r="L33" s="32">
        <v>4.3499999999999996</v>
      </c>
      <c r="M33" s="32">
        <v>3.8</v>
      </c>
      <c r="N33" s="32">
        <v>3.76</v>
      </c>
    </row>
    <row r="34" spans="1:14" ht="15.6" x14ac:dyDescent="0.3">
      <c r="A34" s="128"/>
      <c r="B34" s="38" t="s">
        <v>104</v>
      </c>
      <c r="C34" s="26">
        <f t="shared" ref="C34:N34" si="6">IF(OR(C32="",C33=""),"",C33/C32)</f>
        <v>0.99212598425196841</v>
      </c>
      <c r="D34" s="26">
        <f t="shared" si="6"/>
        <v>0.99189627228525123</v>
      </c>
      <c r="E34" s="26">
        <f t="shared" si="6"/>
        <v>0.99294532627865961</v>
      </c>
      <c r="F34" s="26">
        <f t="shared" si="6"/>
        <v>0.97872340425531923</v>
      </c>
      <c r="G34" s="26">
        <f t="shared" si="6"/>
        <v>0.99122807017543868</v>
      </c>
      <c r="H34" s="26">
        <f t="shared" si="6"/>
        <v>0.98026315789473684</v>
      </c>
      <c r="I34" s="26">
        <f t="shared" si="6"/>
        <v>0.99186991869918695</v>
      </c>
      <c r="J34" s="26">
        <f t="shared" si="6"/>
        <v>0.99122807017543868</v>
      </c>
      <c r="K34" s="26">
        <f t="shared" si="6"/>
        <v>0.97849462365591389</v>
      </c>
      <c r="L34" s="26">
        <f t="shared" si="6"/>
        <v>0.99088838268792712</v>
      </c>
      <c r="M34" s="26">
        <f t="shared" si="6"/>
        <v>0.9921671018276762</v>
      </c>
      <c r="N34" s="26">
        <f t="shared" si="6"/>
        <v>0.97916666666666663</v>
      </c>
    </row>
    <row r="35" spans="1:14" ht="15.6" x14ac:dyDescent="0.3">
      <c r="A35" s="128">
        <v>100</v>
      </c>
      <c r="B35" s="30" t="s">
        <v>102</v>
      </c>
      <c r="C35" s="37">
        <v>7.81</v>
      </c>
      <c r="D35" s="37">
        <v>12.65</v>
      </c>
      <c r="E35" s="37">
        <v>11.63</v>
      </c>
      <c r="F35" s="37">
        <v>13.53</v>
      </c>
      <c r="G35" s="37">
        <v>7.01</v>
      </c>
      <c r="H35" s="37">
        <v>9.3800000000000008</v>
      </c>
      <c r="I35" s="37">
        <v>10.08</v>
      </c>
      <c r="J35" s="37">
        <v>7.01</v>
      </c>
      <c r="K35" s="37">
        <v>9.56</v>
      </c>
      <c r="L35" s="37">
        <v>8.99</v>
      </c>
      <c r="M35" s="37">
        <v>7.85</v>
      </c>
      <c r="N35" s="37">
        <v>7.89</v>
      </c>
    </row>
    <row r="36" spans="1:14" ht="15.6" x14ac:dyDescent="0.3">
      <c r="A36" s="128"/>
      <c r="B36" s="20" t="s">
        <v>103</v>
      </c>
      <c r="C36" s="32">
        <v>7.69</v>
      </c>
      <c r="D36" s="32">
        <v>12.45</v>
      </c>
      <c r="E36" s="32">
        <v>11.44</v>
      </c>
      <c r="F36" s="32">
        <v>13.14</v>
      </c>
      <c r="G36" s="32">
        <v>6.9</v>
      </c>
      <c r="H36" s="32">
        <v>9.11</v>
      </c>
      <c r="I36" s="32">
        <v>9.92</v>
      </c>
      <c r="J36" s="32">
        <v>6.9</v>
      </c>
      <c r="K36" s="32">
        <v>9.2899999999999991</v>
      </c>
      <c r="L36" s="32">
        <v>8.85</v>
      </c>
      <c r="M36" s="32">
        <v>7.72</v>
      </c>
      <c r="N36" s="32">
        <v>7.67</v>
      </c>
    </row>
    <row r="37" spans="1:14" ht="15.6" x14ac:dyDescent="0.3">
      <c r="A37" s="128"/>
      <c r="B37" s="38" t="s">
        <v>104</v>
      </c>
      <c r="C37" s="26">
        <f t="shared" ref="C37:N37" si="7">IF(OR(C35="",C36=""),"",C36/C35)</f>
        <v>0.98463508322663262</v>
      </c>
      <c r="D37" s="26">
        <f t="shared" si="7"/>
        <v>0.98418972332015797</v>
      </c>
      <c r="E37" s="26">
        <f t="shared" si="7"/>
        <v>0.98366294067067916</v>
      </c>
      <c r="F37" s="26">
        <f t="shared" si="7"/>
        <v>0.97117516629711764</v>
      </c>
      <c r="G37" s="26">
        <f t="shared" si="7"/>
        <v>0.98430813124108429</v>
      </c>
      <c r="H37" s="26">
        <f t="shared" si="7"/>
        <v>0.97121535181236662</v>
      </c>
      <c r="I37" s="26">
        <f t="shared" si="7"/>
        <v>0.98412698412698407</v>
      </c>
      <c r="J37" s="26">
        <f t="shared" si="7"/>
        <v>0.98430813124108429</v>
      </c>
      <c r="K37" s="26">
        <f t="shared" si="7"/>
        <v>0.97175732217573207</v>
      </c>
      <c r="L37" s="26">
        <f t="shared" si="7"/>
        <v>0.98442714126807562</v>
      </c>
      <c r="M37" s="26">
        <f t="shared" si="7"/>
        <v>0.98343949044585988</v>
      </c>
      <c r="N37" s="26">
        <f t="shared" si="7"/>
        <v>0.97211660329531058</v>
      </c>
    </row>
    <row r="38" spans="1:14" ht="15.6" x14ac:dyDescent="0.3">
      <c r="A38" s="128">
        <v>120</v>
      </c>
      <c r="B38" s="30" t="s">
        <v>102</v>
      </c>
      <c r="C38" s="37">
        <v>12.93</v>
      </c>
      <c r="D38" s="37">
        <v>20.93</v>
      </c>
      <c r="E38" s="37">
        <v>19.23</v>
      </c>
      <c r="F38" s="37">
        <v>22.53</v>
      </c>
      <c r="G38" s="37">
        <v>11.6</v>
      </c>
      <c r="H38" s="37">
        <v>15.62</v>
      </c>
      <c r="I38" s="37">
        <v>16.670000000000002</v>
      </c>
      <c r="J38" s="37">
        <v>11.6</v>
      </c>
      <c r="K38" s="37">
        <v>15.92</v>
      </c>
      <c r="L38" s="37">
        <v>14.87</v>
      </c>
      <c r="M38" s="37">
        <v>12.98</v>
      </c>
      <c r="N38" s="37">
        <v>13.14</v>
      </c>
    </row>
    <row r="39" spans="1:14" ht="15.6" x14ac:dyDescent="0.3">
      <c r="A39" s="128"/>
      <c r="B39" s="20" t="s">
        <v>103</v>
      </c>
      <c r="C39" s="32">
        <v>12.68</v>
      </c>
      <c r="D39" s="32">
        <v>20.52</v>
      </c>
      <c r="E39" s="32">
        <v>18.86</v>
      </c>
      <c r="F39" s="32">
        <v>21.91</v>
      </c>
      <c r="G39" s="32">
        <v>11.37</v>
      </c>
      <c r="H39" s="32">
        <v>15.19</v>
      </c>
      <c r="I39" s="32">
        <v>16.350000000000001</v>
      </c>
      <c r="J39" s="32">
        <v>11.37</v>
      </c>
      <c r="K39" s="32">
        <v>15.48</v>
      </c>
      <c r="L39" s="32">
        <v>14.59</v>
      </c>
      <c r="M39" s="32">
        <v>12.73</v>
      </c>
      <c r="N39" s="32">
        <v>12.78</v>
      </c>
    </row>
    <row r="40" spans="1:14" ht="15.6" x14ac:dyDescent="0.3">
      <c r="A40" s="128"/>
      <c r="B40" s="38" t="s">
        <v>104</v>
      </c>
      <c r="C40" s="26">
        <f t="shared" ref="C40:N40" si="8">IF(OR(C38="",C39=""),"",C39/C38)</f>
        <v>0.98066511987625682</v>
      </c>
      <c r="D40" s="26">
        <f t="shared" si="8"/>
        <v>0.98041089345437171</v>
      </c>
      <c r="E40" s="26">
        <f t="shared" si="8"/>
        <v>0.98075923036921475</v>
      </c>
      <c r="F40" s="26">
        <f t="shared" si="8"/>
        <v>0.97248113626276067</v>
      </c>
      <c r="G40" s="26">
        <f t="shared" si="8"/>
        <v>0.98017241379310338</v>
      </c>
      <c r="H40" s="26">
        <f t="shared" si="8"/>
        <v>0.97247119078104993</v>
      </c>
      <c r="I40" s="26">
        <f t="shared" si="8"/>
        <v>0.98080383923215353</v>
      </c>
      <c r="J40" s="26">
        <f t="shared" si="8"/>
        <v>0.98017241379310338</v>
      </c>
      <c r="K40" s="26">
        <f t="shared" si="8"/>
        <v>0.97236180904522618</v>
      </c>
      <c r="L40" s="26">
        <f t="shared" si="8"/>
        <v>0.98117014122394086</v>
      </c>
      <c r="M40" s="26">
        <f t="shared" si="8"/>
        <v>0.98073959938366717</v>
      </c>
      <c r="N40" s="26">
        <f t="shared" si="8"/>
        <v>0.97260273972602729</v>
      </c>
    </row>
    <row r="41" spans="1:14" ht="15.6" x14ac:dyDescent="0.3">
      <c r="A41" s="128">
        <v>140</v>
      </c>
      <c r="B41" s="30" t="s">
        <v>102</v>
      </c>
      <c r="C41" s="37">
        <v>18.829999999999998</v>
      </c>
      <c r="D41" s="37">
        <v>30.49</v>
      </c>
      <c r="E41" s="37">
        <v>28.02</v>
      </c>
      <c r="F41" s="37">
        <v>33.71</v>
      </c>
      <c r="G41" s="37">
        <v>16.89</v>
      </c>
      <c r="H41" s="37">
        <v>23.38</v>
      </c>
      <c r="I41" s="37">
        <v>24.29</v>
      </c>
      <c r="J41" s="37">
        <v>16.89</v>
      </c>
      <c r="K41" s="37">
        <v>23.82</v>
      </c>
      <c r="L41" s="37">
        <v>21.67</v>
      </c>
      <c r="M41" s="37">
        <v>18.91</v>
      </c>
      <c r="N41" s="37">
        <v>19.670000000000002</v>
      </c>
    </row>
    <row r="42" spans="1:14" ht="15.6" x14ac:dyDescent="0.3">
      <c r="A42" s="128"/>
      <c r="B42" s="20" t="s">
        <v>103</v>
      </c>
      <c r="C42" s="32">
        <v>18.5</v>
      </c>
      <c r="D42" s="32">
        <v>29.95</v>
      </c>
      <c r="E42" s="32">
        <v>27.53</v>
      </c>
      <c r="F42" s="32">
        <v>32.85</v>
      </c>
      <c r="G42" s="32">
        <v>16.600000000000001</v>
      </c>
      <c r="H42" s="32">
        <v>22.77</v>
      </c>
      <c r="I42" s="32">
        <v>23.86</v>
      </c>
      <c r="J42" s="32">
        <v>16.600000000000001</v>
      </c>
      <c r="K42" s="32">
        <v>23.21</v>
      </c>
      <c r="L42" s="32">
        <v>21.29</v>
      </c>
      <c r="M42" s="32">
        <v>18.579999999999998</v>
      </c>
      <c r="N42" s="32">
        <v>19.16</v>
      </c>
    </row>
    <row r="43" spans="1:14" ht="15.6" x14ac:dyDescent="0.3">
      <c r="A43" s="128"/>
      <c r="B43" s="38" t="s">
        <v>104</v>
      </c>
      <c r="C43" s="26">
        <f t="shared" ref="C43:N43" si="9">IF(OR(C41="",C42=""),"",C42/C41)</f>
        <v>0.98247477429633567</v>
      </c>
      <c r="D43" s="26">
        <f t="shared" si="9"/>
        <v>0.98228927517218767</v>
      </c>
      <c r="E43" s="26">
        <f t="shared" si="9"/>
        <v>0.98251249107780159</v>
      </c>
      <c r="F43" s="26">
        <f t="shared" si="9"/>
        <v>0.97448828240878083</v>
      </c>
      <c r="G43" s="26">
        <f t="shared" si="9"/>
        <v>0.98283007696862057</v>
      </c>
      <c r="H43" s="26">
        <f t="shared" si="9"/>
        <v>0.97390932420872545</v>
      </c>
      <c r="I43" s="26">
        <f t="shared" si="9"/>
        <v>0.98229724166323595</v>
      </c>
      <c r="J43" s="26">
        <f t="shared" si="9"/>
        <v>0.98283007696862057</v>
      </c>
      <c r="K43" s="26">
        <f t="shared" si="9"/>
        <v>0.97439126784214947</v>
      </c>
      <c r="L43" s="26">
        <f t="shared" si="9"/>
        <v>0.98246423627134272</v>
      </c>
      <c r="M43" s="26">
        <f t="shared" si="9"/>
        <v>0.98254891591750382</v>
      </c>
      <c r="N43" s="26">
        <f t="shared" si="9"/>
        <v>0.97407219115404164</v>
      </c>
    </row>
    <row r="45" spans="1:14" ht="15.6" x14ac:dyDescent="0.3">
      <c r="A45" s="8" t="s">
        <v>124</v>
      </c>
    </row>
    <row r="46" spans="1:14" ht="15.6" x14ac:dyDescent="0.3">
      <c r="B46" s="15" t="s">
        <v>100</v>
      </c>
      <c r="C46" s="31" t="s">
        <v>13</v>
      </c>
      <c r="D46" s="31" t="s">
        <v>26</v>
      </c>
      <c r="E46" s="31" t="s">
        <v>34</v>
      </c>
      <c r="F46" s="31" t="s">
        <v>34</v>
      </c>
      <c r="G46" s="31" t="s">
        <v>14</v>
      </c>
      <c r="H46" s="31" t="s">
        <v>15</v>
      </c>
      <c r="I46" s="31" t="s">
        <v>17</v>
      </c>
      <c r="J46" s="31" t="s">
        <v>18</v>
      </c>
      <c r="K46" s="31" t="s">
        <v>16</v>
      </c>
      <c r="L46" s="31" t="s">
        <v>20</v>
      </c>
      <c r="M46" s="31" t="s">
        <v>21</v>
      </c>
      <c r="N46" s="31" t="s">
        <v>22</v>
      </c>
    </row>
    <row r="47" spans="1:14" ht="15.6" x14ac:dyDescent="0.3">
      <c r="B47" s="18" t="s">
        <v>114</v>
      </c>
      <c r="C47" s="32">
        <v>2</v>
      </c>
      <c r="D47" s="32">
        <v>3.6</v>
      </c>
      <c r="E47" s="32">
        <v>4.8</v>
      </c>
      <c r="F47" s="32">
        <v>4.8</v>
      </c>
      <c r="G47" s="32">
        <v>5</v>
      </c>
      <c r="H47" s="32">
        <v>6</v>
      </c>
      <c r="I47" s="32">
        <v>7.2</v>
      </c>
      <c r="J47" s="32">
        <v>10</v>
      </c>
      <c r="K47" s="32">
        <v>12</v>
      </c>
      <c r="L47" s="32">
        <v>14.4</v>
      </c>
      <c r="M47" s="32">
        <v>38.4</v>
      </c>
      <c r="N47" s="32">
        <v>38.4</v>
      </c>
    </row>
    <row r="48" spans="1:14" ht="15.6" x14ac:dyDescent="0.3">
      <c r="B48" s="18" t="s">
        <v>101</v>
      </c>
      <c r="C48" s="32" t="s">
        <v>13</v>
      </c>
      <c r="D48" s="32" t="s">
        <v>26</v>
      </c>
      <c r="E48" s="32" t="s">
        <v>34</v>
      </c>
      <c r="F48" s="32" t="s">
        <v>31</v>
      </c>
      <c r="G48" s="32" t="s">
        <v>14</v>
      </c>
      <c r="H48" s="32" t="s">
        <v>16</v>
      </c>
      <c r="I48" s="32" t="s">
        <v>17</v>
      </c>
      <c r="J48" s="32" t="s">
        <v>18</v>
      </c>
      <c r="K48" s="32" t="s">
        <v>19</v>
      </c>
      <c r="L48" s="32" t="s">
        <v>20</v>
      </c>
      <c r="M48" s="32" t="s">
        <v>35</v>
      </c>
      <c r="N48" s="32" t="s">
        <v>123</v>
      </c>
    </row>
    <row r="49" spans="1:14" ht="15.6" x14ac:dyDescent="0.3">
      <c r="B49" s="33" t="s">
        <v>115</v>
      </c>
      <c r="C49" s="40"/>
      <c r="D49" s="40"/>
      <c r="E49" s="40"/>
      <c r="F49" s="40" t="s">
        <v>121</v>
      </c>
      <c r="G49" s="40"/>
      <c r="H49" s="40" t="s">
        <v>121</v>
      </c>
      <c r="I49" s="40"/>
      <c r="J49" s="40"/>
      <c r="K49" s="40" t="s">
        <v>121</v>
      </c>
      <c r="L49" s="40"/>
      <c r="M49" s="40"/>
      <c r="N49" s="40" t="s">
        <v>121</v>
      </c>
    </row>
    <row r="50" spans="1:14" ht="15.6" x14ac:dyDescent="0.3">
      <c r="A50" s="7" t="s">
        <v>6</v>
      </c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spans="1:14" ht="15.6" x14ac:dyDescent="0.3">
      <c r="A51" s="128">
        <v>70</v>
      </c>
      <c r="B51" s="30" t="s">
        <v>102</v>
      </c>
      <c r="C51" s="37">
        <v>0.61</v>
      </c>
      <c r="D51" s="37">
        <v>0.99</v>
      </c>
      <c r="E51" s="37">
        <v>0.91</v>
      </c>
      <c r="F51" s="37">
        <v>1.07</v>
      </c>
      <c r="G51" s="37">
        <v>0.55000000000000004</v>
      </c>
      <c r="H51" s="37">
        <v>0.74</v>
      </c>
      <c r="I51" s="37">
        <v>0.79</v>
      </c>
      <c r="J51" s="37">
        <v>0.55000000000000004</v>
      </c>
      <c r="K51" s="37">
        <v>0.75</v>
      </c>
      <c r="L51" s="37">
        <v>0.7</v>
      </c>
      <c r="M51" s="37">
        <v>0.61</v>
      </c>
      <c r="N51" s="37">
        <v>0.62</v>
      </c>
    </row>
    <row r="52" spans="1:14" ht="15.6" x14ac:dyDescent="0.3">
      <c r="A52" s="128"/>
      <c r="B52" s="20" t="s">
        <v>103</v>
      </c>
      <c r="C52" s="32">
        <v>1.1299999999999999</v>
      </c>
      <c r="D52" s="32">
        <v>1.83</v>
      </c>
      <c r="E52" s="32">
        <v>1.68</v>
      </c>
      <c r="F52" s="32">
        <v>1.97</v>
      </c>
      <c r="G52" s="32">
        <v>1.01</v>
      </c>
      <c r="H52" s="32">
        <v>1.37</v>
      </c>
      <c r="I52" s="32">
        <v>1.46</v>
      </c>
      <c r="J52" s="32">
        <v>1.01</v>
      </c>
      <c r="K52" s="32">
        <v>1.4</v>
      </c>
      <c r="L52" s="32">
        <v>1.3</v>
      </c>
      <c r="M52" s="32">
        <v>1.1399999999999999</v>
      </c>
      <c r="N52" s="32">
        <v>1.1499999999999999</v>
      </c>
    </row>
    <row r="53" spans="1:14" ht="15.6" x14ac:dyDescent="0.3">
      <c r="A53" s="128"/>
      <c r="B53" s="38" t="s">
        <v>104</v>
      </c>
      <c r="C53" s="26">
        <f t="shared" ref="C53:N53" si="10">IF(OR(C51="",C52=""),"",C52/C51)</f>
        <v>1.8524590163934425</v>
      </c>
      <c r="D53" s="26">
        <f t="shared" si="10"/>
        <v>1.8484848484848486</v>
      </c>
      <c r="E53" s="26">
        <f t="shared" si="10"/>
        <v>1.846153846153846</v>
      </c>
      <c r="F53" s="26">
        <f t="shared" si="10"/>
        <v>1.8411214953271027</v>
      </c>
      <c r="G53" s="26">
        <f t="shared" si="10"/>
        <v>1.8363636363636362</v>
      </c>
      <c r="H53" s="26">
        <f t="shared" si="10"/>
        <v>1.8513513513513515</v>
      </c>
      <c r="I53" s="26">
        <f t="shared" si="10"/>
        <v>1.8481012658227847</v>
      </c>
      <c r="J53" s="26">
        <f t="shared" si="10"/>
        <v>1.8363636363636362</v>
      </c>
      <c r="K53" s="26">
        <f t="shared" si="10"/>
        <v>1.8666666666666665</v>
      </c>
      <c r="L53" s="26">
        <f t="shared" si="10"/>
        <v>1.8571428571428574</v>
      </c>
      <c r="M53" s="26">
        <f t="shared" si="10"/>
        <v>1.8688524590163933</v>
      </c>
      <c r="N53" s="26">
        <f t="shared" si="10"/>
        <v>1.8548387096774193</v>
      </c>
    </row>
    <row r="54" spans="1:14" ht="15.6" x14ac:dyDescent="0.3">
      <c r="A54" s="128">
        <v>80</v>
      </c>
      <c r="B54" s="30" t="s">
        <v>102</v>
      </c>
      <c r="C54" s="37">
        <v>1.07</v>
      </c>
      <c r="D54" s="37">
        <v>1.73</v>
      </c>
      <c r="E54" s="37">
        <v>1.59</v>
      </c>
      <c r="F54" s="37">
        <v>1.83</v>
      </c>
      <c r="G54" s="37">
        <v>0.96</v>
      </c>
      <c r="H54" s="37">
        <v>1.27</v>
      </c>
      <c r="I54" s="37">
        <v>1.38</v>
      </c>
      <c r="J54" s="37">
        <v>0.96</v>
      </c>
      <c r="K54" s="37">
        <v>1.29</v>
      </c>
      <c r="L54" s="37">
        <v>1.23</v>
      </c>
      <c r="M54" s="37">
        <v>1.08</v>
      </c>
      <c r="N54" s="37">
        <v>1.07</v>
      </c>
    </row>
    <row r="55" spans="1:14" ht="15.6" x14ac:dyDescent="0.3">
      <c r="A55" s="128"/>
      <c r="B55" s="20" t="s">
        <v>103</v>
      </c>
      <c r="C55" s="32">
        <v>1.86</v>
      </c>
      <c r="D55" s="32">
        <v>3.01</v>
      </c>
      <c r="E55" s="32">
        <v>2.77</v>
      </c>
      <c r="F55" s="32">
        <v>3.18</v>
      </c>
      <c r="G55" s="32">
        <v>1.67</v>
      </c>
      <c r="H55" s="32">
        <v>2.21</v>
      </c>
      <c r="I55" s="32">
        <v>2.4</v>
      </c>
      <c r="J55" s="32">
        <v>1.67</v>
      </c>
      <c r="K55" s="32">
        <v>2.25</v>
      </c>
      <c r="L55" s="32">
        <v>2.14</v>
      </c>
      <c r="M55" s="32">
        <v>1.87</v>
      </c>
      <c r="N55" s="32">
        <v>1.86</v>
      </c>
    </row>
    <row r="56" spans="1:14" ht="15.6" x14ac:dyDescent="0.3">
      <c r="A56" s="128"/>
      <c r="B56" s="38" t="s">
        <v>104</v>
      </c>
      <c r="C56" s="26">
        <f t="shared" ref="C56:N56" si="11">IF(OR(C54="",C55=""),"",C55/C54)</f>
        <v>1.7383177570093458</v>
      </c>
      <c r="D56" s="26">
        <f t="shared" si="11"/>
        <v>1.7398843930635837</v>
      </c>
      <c r="E56" s="26">
        <f t="shared" si="11"/>
        <v>1.742138364779874</v>
      </c>
      <c r="F56" s="26">
        <f t="shared" si="11"/>
        <v>1.7377049180327868</v>
      </c>
      <c r="G56" s="26">
        <f t="shared" si="11"/>
        <v>1.7395833333333333</v>
      </c>
      <c r="H56" s="26">
        <f t="shared" si="11"/>
        <v>1.7401574803149606</v>
      </c>
      <c r="I56" s="26">
        <f t="shared" si="11"/>
        <v>1.7391304347826089</v>
      </c>
      <c r="J56" s="26">
        <f t="shared" si="11"/>
        <v>1.7395833333333333</v>
      </c>
      <c r="K56" s="26">
        <f t="shared" si="11"/>
        <v>1.7441860465116279</v>
      </c>
      <c r="L56" s="26">
        <f t="shared" si="11"/>
        <v>1.7398373983739839</v>
      </c>
      <c r="M56" s="26">
        <f t="shared" si="11"/>
        <v>1.7314814814814814</v>
      </c>
      <c r="N56" s="26">
        <f t="shared" si="11"/>
        <v>1.7383177570093458</v>
      </c>
    </row>
    <row r="57" spans="1:14" ht="15.6" x14ac:dyDescent="0.3">
      <c r="A57" s="128">
        <v>100</v>
      </c>
      <c r="B57" s="30" t="s">
        <v>102</v>
      </c>
      <c r="C57" s="37">
        <v>2.4300000000000002</v>
      </c>
      <c r="D57" s="37">
        <v>3.94</v>
      </c>
      <c r="E57" s="37">
        <v>3.62</v>
      </c>
      <c r="F57" s="37">
        <v>4.1900000000000004</v>
      </c>
      <c r="G57" s="37">
        <v>2.1800000000000002</v>
      </c>
      <c r="H57" s="37">
        <v>2.91</v>
      </c>
      <c r="I57" s="37">
        <v>3.14</v>
      </c>
      <c r="J57" s="37">
        <v>2.1800000000000002</v>
      </c>
      <c r="K57" s="37">
        <v>2.96</v>
      </c>
      <c r="L57" s="37">
        <v>2.8</v>
      </c>
      <c r="M57" s="37">
        <v>2.44</v>
      </c>
      <c r="N57" s="37">
        <v>2.4500000000000002</v>
      </c>
    </row>
    <row r="58" spans="1:14" ht="15.6" x14ac:dyDescent="0.3">
      <c r="A58" s="128"/>
      <c r="B58" s="20" t="s">
        <v>103</v>
      </c>
      <c r="C58" s="32">
        <v>3.9</v>
      </c>
      <c r="D58" s="32">
        <v>6.32</v>
      </c>
      <c r="E58" s="32">
        <v>5.81</v>
      </c>
      <c r="F58" s="32">
        <v>6.75</v>
      </c>
      <c r="G58" s="32">
        <v>3.5</v>
      </c>
      <c r="H58" s="32">
        <v>4.68</v>
      </c>
      <c r="I58" s="32">
        <v>5.03</v>
      </c>
      <c r="J58" s="32">
        <v>3.5</v>
      </c>
      <c r="K58" s="32">
        <v>4.7699999999999996</v>
      </c>
      <c r="L58" s="32">
        <v>4.49</v>
      </c>
      <c r="M58" s="32">
        <v>3.92</v>
      </c>
      <c r="N58" s="32">
        <v>3.94</v>
      </c>
    </row>
    <row r="59" spans="1:14" ht="15.6" x14ac:dyDescent="0.3">
      <c r="A59" s="128"/>
      <c r="B59" s="38" t="s">
        <v>104</v>
      </c>
      <c r="C59" s="26">
        <f t="shared" ref="C59:N59" si="12">IF(OR(C57="",C58=""),"",C58/C57)</f>
        <v>1.6049382716049381</v>
      </c>
      <c r="D59" s="26">
        <f t="shared" si="12"/>
        <v>1.6040609137055839</v>
      </c>
      <c r="E59" s="26">
        <f t="shared" si="12"/>
        <v>1.6049723756906076</v>
      </c>
      <c r="F59" s="26">
        <f t="shared" si="12"/>
        <v>1.610978520286396</v>
      </c>
      <c r="G59" s="26">
        <f t="shared" si="12"/>
        <v>1.6055045871559632</v>
      </c>
      <c r="H59" s="26">
        <f t="shared" si="12"/>
        <v>1.6082474226804122</v>
      </c>
      <c r="I59" s="26">
        <f t="shared" si="12"/>
        <v>1.6019108280254777</v>
      </c>
      <c r="J59" s="26">
        <f t="shared" si="12"/>
        <v>1.6055045871559632</v>
      </c>
      <c r="K59" s="26">
        <f t="shared" si="12"/>
        <v>1.6114864864864864</v>
      </c>
      <c r="L59" s="26">
        <f t="shared" si="12"/>
        <v>1.6035714285714286</v>
      </c>
      <c r="M59" s="26">
        <f t="shared" si="12"/>
        <v>1.6065573770491803</v>
      </c>
      <c r="N59" s="26">
        <f t="shared" si="12"/>
        <v>1.6081632653061224</v>
      </c>
    </row>
    <row r="60" spans="1:14" ht="15.6" x14ac:dyDescent="0.3">
      <c r="A60" s="128">
        <v>120</v>
      </c>
      <c r="B60" s="30" t="s">
        <v>102</v>
      </c>
      <c r="C60" s="37">
        <v>4.28</v>
      </c>
      <c r="D60" s="37">
        <v>6.93</v>
      </c>
      <c r="E60" s="37">
        <v>6.37</v>
      </c>
      <c r="F60" s="37">
        <v>7.5</v>
      </c>
      <c r="G60" s="37">
        <v>3.84</v>
      </c>
      <c r="H60" s="37">
        <v>5</v>
      </c>
      <c r="I60" s="37">
        <v>5.52</v>
      </c>
      <c r="J60" s="37">
        <v>3.84</v>
      </c>
      <c r="K60" s="37">
        <v>5.3</v>
      </c>
      <c r="L60" s="37">
        <v>4.93</v>
      </c>
      <c r="M60" s="37">
        <v>4.3</v>
      </c>
      <c r="N60" s="37">
        <v>4.37</v>
      </c>
    </row>
    <row r="61" spans="1:14" ht="15.6" x14ac:dyDescent="0.3">
      <c r="A61" s="128"/>
      <c r="B61" s="20" t="s">
        <v>103</v>
      </c>
      <c r="C61" s="32">
        <v>6.61</v>
      </c>
      <c r="D61" s="32">
        <v>10.7</v>
      </c>
      <c r="E61" s="32">
        <v>9.84</v>
      </c>
      <c r="F61" s="32">
        <v>11.55</v>
      </c>
      <c r="G61" s="32">
        <v>5.93</v>
      </c>
      <c r="H61" s="32">
        <v>8.01</v>
      </c>
      <c r="I61" s="32">
        <v>8.5299999999999994</v>
      </c>
      <c r="J61" s="32">
        <v>5.93</v>
      </c>
      <c r="K61" s="32">
        <v>8.16</v>
      </c>
      <c r="L61" s="32">
        <v>7.61</v>
      </c>
      <c r="M61" s="32">
        <v>6.64</v>
      </c>
      <c r="N61" s="32">
        <v>6.74</v>
      </c>
    </row>
    <row r="62" spans="1:14" ht="15.6" x14ac:dyDescent="0.3">
      <c r="A62" s="128"/>
      <c r="B62" s="38" t="s">
        <v>104</v>
      </c>
      <c r="C62" s="26">
        <f t="shared" ref="C62:N62" si="13">IF(OR(C60="",C61=""),"",C61/C60)</f>
        <v>1.544392523364486</v>
      </c>
      <c r="D62" s="26">
        <f t="shared" si="13"/>
        <v>1.5440115440115441</v>
      </c>
      <c r="E62" s="26">
        <f t="shared" si="13"/>
        <v>1.5447409733124018</v>
      </c>
      <c r="F62" s="26">
        <f t="shared" si="13"/>
        <v>1.54</v>
      </c>
      <c r="G62" s="26">
        <f t="shared" si="13"/>
        <v>1.5442708333333333</v>
      </c>
      <c r="H62" s="26">
        <f t="shared" si="13"/>
        <v>1.6019999999999999</v>
      </c>
      <c r="I62" s="26">
        <f t="shared" si="13"/>
        <v>1.5452898550724639</v>
      </c>
      <c r="J62" s="26">
        <f t="shared" si="13"/>
        <v>1.5442708333333333</v>
      </c>
      <c r="K62" s="26">
        <f t="shared" si="13"/>
        <v>1.5396226415094341</v>
      </c>
      <c r="L62" s="26">
        <f t="shared" si="13"/>
        <v>1.543610547667343</v>
      </c>
      <c r="M62" s="26">
        <f t="shared" si="13"/>
        <v>1.5441860465116279</v>
      </c>
      <c r="N62" s="26">
        <f t="shared" si="13"/>
        <v>1.5423340961098397</v>
      </c>
    </row>
    <row r="63" spans="1:14" ht="15.6" x14ac:dyDescent="0.3">
      <c r="A63" s="128">
        <v>140</v>
      </c>
      <c r="B63" s="30" t="s">
        <v>102</v>
      </c>
      <c r="C63" s="37">
        <v>6.57</v>
      </c>
      <c r="D63" s="37">
        <v>10.64</v>
      </c>
      <c r="E63" s="37">
        <v>9.7799999999999994</v>
      </c>
      <c r="F63" s="37">
        <v>11.59</v>
      </c>
      <c r="G63" s="37">
        <v>5.89</v>
      </c>
      <c r="H63" s="37">
        <v>8.0299999999999994</v>
      </c>
      <c r="I63" s="37">
        <v>8.4700000000000006</v>
      </c>
      <c r="J63" s="37">
        <v>5.89</v>
      </c>
      <c r="K63" s="37">
        <v>8.19</v>
      </c>
      <c r="L63" s="37">
        <v>7.56</v>
      </c>
      <c r="M63" s="37">
        <v>6.6</v>
      </c>
      <c r="N63" s="37">
        <v>6.76</v>
      </c>
    </row>
    <row r="64" spans="1:14" ht="15.6" x14ac:dyDescent="0.3">
      <c r="A64" s="128"/>
      <c r="B64" s="20" t="s">
        <v>103</v>
      </c>
      <c r="C64" s="32">
        <v>9.94</v>
      </c>
      <c r="D64" s="32">
        <v>16.09</v>
      </c>
      <c r="E64" s="32">
        <v>14.79</v>
      </c>
      <c r="F64" s="32">
        <v>17.62</v>
      </c>
      <c r="G64" s="32">
        <v>8.91</v>
      </c>
      <c r="H64" s="32">
        <v>12.22</v>
      </c>
      <c r="I64" s="32">
        <v>12.81</v>
      </c>
      <c r="J64" s="32">
        <v>8.91</v>
      </c>
      <c r="K64" s="32">
        <v>12.45</v>
      </c>
      <c r="L64" s="32">
        <v>11.43</v>
      </c>
      <c r="M64" s="32">
        <v>9.98</v>
      </c>
      <c r="N64" s="32">
        <v>10.28</v>
      </c>
    </row>
    <row r="65" spans="1:14" ht="15.6" x14ac:dyDescent="0.3">
      <c r="A65" s="128"/>
      <c r="B65" s="38" t="s">
        <v>104</v>
      </c>
      <c r="C65" s="26">
        <f t="shared" ref="C65:N65" si="14">IF(OR(C63="",C64=""),"",C64/C63)</f>
        <v>1.5129375951293758</v>
      </c>
      <c r="D65" s="26">
        <f t="shared" si="14"/>
        <v>1.5122180451127818</v>
      </c>
      <c r="E65" s="26">
        <f t="shared" si="14"/>
        <v>1.5122699386503067</v>
      </c>
      <c r="F65" s="26">
        <f t="shared" si="14"/>
        <v>1.5202761000862814</v>
      </c>
      <c r="G65" s="26">
        <f t="shared" si="14"/>
        <v>1.5127334465195248</v>
      </c>
      <c r="H65" s="26">
        <f t="shared" si="14"/>
        <v>1.5217932752179331</v>
      </c>
      <c r="I65" s="26">
        <f t="shared" si="14"/>
        <v>1.5123966942148759</v>
      </c>
      <c r="J65" s="26">
        <f t="shared" si="14"/>
        <v>1.5127334465195248</v>
      </c>
      <c r="K65" s="26">
        <f t="shared" si="14"/>
        <v>1.5201465201465201</v>
      </c>
      <c r="L65" s="26">
        <f t="shared" si="14"/>
        <v>1.5119047619047619</v>
      </c>
      <c r="M65" s="26">
        <f t="shared" si="14"/>
        <v>1.5121212121212122</v>
      </c>
      <c r="N65" s="26">
        <f t="shared" si="14"/>
        <v>1.5207100591715976</v>
      </c>
    </row>
    <row r="67" spans="1:14" ht="15.6" x14ac:dyDescent="0.3">
      <c r="A67" s="8" t="s">
        <v>125</v>
      </c>
    </row>
    <row r="68" spans="1:14" ht="15.6" x14ac:dyDescent="0.3">
      <c r="B68" s="15" t="s">
        <v>100</v>
      </c>
      <c r="C68" s="31" t="s">
        <v>13</v>
      </c>
      <c r="D68" s="31" t="s">
        <v>26</v>
      </c>
      <c r="E68" s="31" t="s">
        <v>34</v>
      </c>
      <c r="F68" s="31" t="s">
        <v>34</v>
      </c>
      <c r="G68" s="31" t="s">
        <v>14</v>
      </c>
      <c r="H68" s="31" t="s">
        <v>15</v>
      </c>
      <c r="I68" s="31" t="s">
        <v>17</v>
      </c>
      <c r="J68" s="31" t="s">
        <v>18</v>
      </c>
      <c r="K68" s="31" t="s">
        <v>16</v>
      </c>
      <c r="L68" s="31" t="s">
        <v>20</v>
      </c>
      <c r="M68" s="31" t="s">
        <v>21</v>
      </c>
      <c r="N68" s="31" t="s">
        <v>22</v>
      </c>
    </row>
    <row r="69" spans="1:14" ht="15.6" x14ac:dyDescent="0.3">
      <c r="B69" s="18" t="s">
        <v>114</v>
      </c>
      <c r="C69" s="32">
        <v>2</v>
      </c>
      <c r="D69" s="32">
        <v>3.6</v>
      </c>
      <c r="E69" s="32">
        <v>4.8</v>
      </c>
      <c r="F69" s="32">
        <v>4.8</v>
      </c>
      <c r="G69" s="32">
        <v>5</v>
      </c>
      <c r="H69" s="32">
        <v>6</v>
      </c>
      <c r="I69" s="32">
        <v>7.2</v>
      </c>
      <c r="J69" s="32">
        <v>10</v>
      </c>
      <c r="K69" s="32">
        <v>12</v>
      </c>
      <c r="L69" s="32">
        <v>14.4</v>
      </c>
      <c r="M69" s="32">
        <v>38.4</v>
      </c>
      <c r="N69" s="32">
        <v>38.4</v>
      </c>
    </row>
    <row r="70" spans="1:14" ht="15.6" x14ac:dyDescent="0.3">
      <c r="B70" s="18" t="s">
        <v>101</v>
      </c>
      <c r="C70" s="32" t="s">
        <v>13</v>
      </c>
      <c r="D70" s="32" t="s">
        <v>26</v>
      </c>
      <c r="E70" s="32" t="s">
        <v>34</v>
      </c>
      <c r="F70" s="32" t="s">
        <v>31</v>
      </c>
      <c r="G70" s="32" t="s">
        <v>14</v>
      </c>
      <c r="H70" s="32" t="s">
        <v>16</v>
      </c>
      <c r="I70" s="32" t="s">
        <v>17</v>
      </c>
      <c r="J70" s="32" t="s">
        <v>18</v>
      </c>
      <c r="K70" s="32" t="s">
        <v>19</v>
      </c>
      <c r="L70" s="32" t="s">
        <v>20</v>
      </c>
      <c r="M70" s="32" t="s">
        <v>35</v>
      </c>
      <c r="N70" s="32" t="s">
        <v>123</v>
      </c>
    </row>
    <row r="71" spans="1:14" ht="15.6" x14ac:dyDescent="0.3">
      <c r="B71" s="33" t="s">
        <v>115</v>
      </c>
      <c r="C71" s="40"/>
      <c r="D71" s="40"/>
      <c r="E71" s="40"/>
      <c r="F71" s="40" t="s">
        <v>121</v>
      </c>
      <c r="G71" s="40"/>
      <c r="H71" s="40" t="s">
        <v>121</v>
      </c>
      <c r="I71" s="40"/>
      <c r="J71" s="40"/>
      <c r="K71" s="40" t="s">
        <v>121</v>
      </c>
      <c r="L71" s="40"/>
      <c r="M71" s="40"/>
      <c r="N71" s="40" t="s">
        <v>121</v>
      </c>
    </row>
    <row r="72" spans="1:14" ht="15.6" x14ac:dyDescent="0.3">
      <c r="A72" s="7" t="s">
        <v>6</v>
      </c>
      <c r="B72" s="35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spans="1:14" ht="15.6" x14ac:dyDescent="0.3">
      <c r="A73" s="128">
        <v>70</v>
      </c>
      <c r="B73" s="30" t="s">
        <v>102</v>
      </c>
      <c r="C73" s="37">
        <v>0.54</v>
      </c>
      <c r="D73" s="37">
        <v>0.87</v>
      </c>
      <c r="E73" s="37">
        <v>0.8</v>
      </c>
      <c r="F73" s="37">
        <v>0.93</v>
      </c>
      <c r="G73" s="37">
        <v>0.48</v>
      </c>
      <c r="H73" s="37">
        <v>0.65</v>
      </c>
      <c r="I73" s="37">
        <v>0.69</v>
      </c>
      <c r="J73" s="37">
        <v>0.48</v>
      </c>
      <c r="K73" s="37">
        <v>0.66</v>
      </c>
      <c r="L73" s="37">
        <v>0.62</v>
      </c>
      <c r="M73" s="37">
        <v>0.54</v>
      </c>
      <c r="N73" s="37">
        <v>0.55000000000000004</v>
      </c>
    </row>
    <row r="74" spans="1:14" ht="15.6" x14ac:dyDescent="0.3">
      <c r="A74" s="128"/>
      <c r="B74" s="20" t="s">
        <v>103</v>
      </c>
      <c r="C74" s="32">
        <v>0.9</v>
      </c>
      <c r="D74" s="32">
        <v>1.45</v>
      </c>
      <c r="E74" s="32">
        <v>1.33</v>
      </c>
      <c r="F74" s="32">
        <v>1.54</v>
      </c>
      <c r="G74" s="32">
        <v>0.8</v>
      </c>
      <c r="H74" s="32">
        <v>1.07</v>
      </c>
      <c r="I74" s="32">
        <v>1.1599999999999999</v>
      </c>
      <c r="J74" s="32">
        <v>0.8</v>
      </c>
      <c r="K74" s="32">
        <v>1.0900000000000001</v>
      </c>
      <c r="L74" s="32">
        <v>1.03</v>
      </c>
      <c r="M74" s="32">
        <v>0.9</v>
      </c>
      <c r="N74" s="32">
        <v>0.9</v>
      </c>
    </row>
    <row r="75" spans="1:14" ht="15.6" x14ac:dyDescent="0.3">
      <c r="A75" s="128"/>
      <c r="B75" s="38" t="s">
        <v>104</v>
      </c>
      <c r="C75" s="26">
        <f t="shared" ref="C75:N75" si="15">IF(OR(C73="",C74=""),"",C74/C73)</f>
        <v>1.6666666666666665</v>
      </c>
      <c r="D75" s="26">
        <f t="shared" si="15"/>
        <v>1.6666666666666665</v>
      </c>
      <c r="E75" s="26">
        <f t="shared" si="15"/>
        <v>1.6625000000000001</v>
      </c>
      <c r="F75" s="26">
        <f t="shared" si="15"/>
        <v>1.6559139784946235</v>
      </c>
      <c r="G75" s="26">
        <f t="shared" si="15"/>
        <v>1.6666666666666667</v>
      </c>
      <c r="H75" s="26">
        <f t="shared" si="15"/>
        <v>1.6461538461538463</v>
      </c>
      <c r="I75" s="26">
        <f t="shared" si="15"/>
        <v>1.681159420289855</v>
      </c>
      <c r="J75" s="26">
        <f t="shared" si="15"/>
        <v>1.6666666666666667</v>
      </c>
      <c r="K75" s="26">
        <f t="shared" si="15"/>
        <v>1.6515151515151516</v>
      </c>
      <c r="L75" s="26">
        <f t="shared" si="15"/>
        <v>1.6612903225806452</v>
      </c>
      <c r="M75" s="26">
        <f t="shared" si="15"/>
        <v>1.6666666666666665</v>
      </c>
      <c r="N75" s="26">
        <f t="shared" si="15"/>
        <v>1.6363636363636362</v>
      </c>
    </row>
    <row r="76" spans="1:14" ht="15.6" x14ac:dyDescent="0.3">
      <c r="A76" s="128">
        <v>80</v>
      </c>
      <c r="B76" s="30" t="s">
        <v>102</v>
      </c>
      <c r="C76" s="37">
        <v>0.94</v>
      </c>
      <c r="D76" s="37">
        <v>1.52</v>
      </c>
      <c r="E76" s="37">
        <v>1.39</v>
      </c>
      <c r="F76" s="37">
        <v>1.62</v>
      </c>
      <c r="G76" s="37">
        <v>0.84</v>
      </c>
      <c r="H76" s="37">
        <v>1.1200000000000001</v>
      </c>
      <c r="I76" s="37">
        <v>1.21</v>
      </c>
      <c r="J76" s="37">
        <v>0.84</v>
      </c>
      <c r="K76" s="37">
        <v>1.1499999999999999</v>
      </c>
      <c r="L76" s="37">
        <v>1.08</v>
      </c>
      <c r="M76" s="37">
        <v>0.94</v>
      </c>
      <c r="N76" s="37">
        <v>0.95</v>
      </c>
    </row>
    <row r="77" spans="1:14" ht="15.6" x14ac:dyDescent="0.3">
      <c r="A77" s="128"/>
      <c r="B77" s="20" t="s">
        <v>103</v>
      </c>
      <c r="C77" s="32">
        <v>1.46</v>
      </c>
      <c r="D77" s="32">
        <v>2.36</v>
      </c>
      <c r="E77" s="32">
        <v>2.17</v>
      </c>
      <c r="F77" s="32">
        <v>2.48</v>
      </c>
      <c r="G77" s="32">
        <v>1.31</v>
      </c>
      <c r="H77" s="32">
        <v>1.72</v>
      </c>
      <c r="I77" s="32">
        <v>1.88</v>
      </c>
      <c r="J77" s="32">
        <v>1.31</v>
      </c>
      <c r="K77" s="32">
        <v>1.76</v>
      </c>
      <c r="L77" s="32">
        <v>1.68</v>
      </c>
      <c r="M77" s="32">
        <v>1.47</v>
      </c>
      <c r="N77" s="32">
        <v>1.45</v>
      </c>
    </row>
    <row r="78" spans="1:14" ht="15.6" x14ac:dyDescent="0.3">
      <c r="A78" s="128"/>
      <c r="B78" s="38" t="s">
        <v>104</v>
      </c>
      <c r="C78" s="26">
        <f t="shared" ref="C78:N78" si="16">IF(OR(C76="",C77=""),"",C77/C76)</f>
        <v>1.5531914893617023</v>
      </c>
      <c r="D78" s="26">
        <f t="shared" si="16"/>
        <v>1.5526315789473684</v>
      </c>
      <c r="E78" s="26">
        <f t="shared" si="16"/>
        <v>1.5611510791366907</v>
      </c>
      <c r="F78" s="26">
        <f t="shared" si="16"/>
        <v>1.5308641975308641</v>
      </c>
      <c r="G78" s="26">
        <f t="shared" si="16"/>
        <v>1.5595238095238095</v>
      </c>
      <c r="H78" s="26">
        <f t="shared" si="16"/>
        <v>1.5357142857142856</v>
      </c>
      <c r="I78" s="26">
        <f t="shared" si="16"/>
        <v>1.5537190082644627</v>
      </c>
      <c r="J78" s="26">
        <f t="shared" si="16"/>
        <v>1.5595238095238095</v>
      </c>
      <c r="K78" s="26">
        <f t="shared" si="16"/>
        <v>1.5304347826086957</v>
      </c>
      <c r="L78" s="26">
        <f t="shared" si="16"/>
        <v>1.5555555555555554</v>
      </c>
      <c r="M78" s="26">
        <f t="shared" si="16"/>
        <v>1.5638297872340425</v>
      </c>
      <c r="N78" s="26">
        <f t="shared" si="16"/>
        <v>1.5263157894736843</v>
      </c>
    </row>
    <row r="79" spans="1:14" ht="15.6" x14ac:dyDescent="0.3">
      <c r="A79" s="128">
        <v>100</v>
      </c>
      <c r="B79" s="30" t="s">
        <v>102</v>
      </c>
      <c r="C79" s="37">
        <v>2.17</v>
      </c>
      <c r="D79" s="37">
        <v>3.51</v>
      </c>
      <c r="E79" s="37">
        <v>3.22</v>
      </c>
      <c r="F79" s="37">
        <v>3.75</v>
      </c>
      <c r="G79" s="37">
        <v>1.94</v>
      </c>
      <c r="H79" s="37">
        <v>2.6</v>
      </c>
      <c r="I79" s="37">
        <v>2.79</v>
      </c>
      <c r="J79" s="37">
        <v>1.94</v>
      </c>
      <c r="K79" s="37">
        <v>2.65</v>
      </c>
      <c r="L79" s="37">
        <v>2.4900000000000002</v>
      </c>
      <c r="M79" s="37">
        <v>2.17</v>
      </c>
      <c r="N79" s="37">
        <v>2.19</v>
      </c>
    </row>
    <row r="80" spans="1:14" ht="15.6" x14ac:dyDescent="0.3">
      <c r="A80" s="128"/>
      <c r="B80" s="20" t="s">
        <v>103</v>
      </c>
      <c r="C80" s="32">
        <v>3.12</v>
      </c>
      <c r="D80" s="32">
        <v>5.0599999999999996</v>
      </c>
      <c r="E80" s="32">
        <v>4.6500000000000004</v>
      </c>
      <c r="F80" s="32">
        <v>5.34</v>
      </c>
      <c r="G80" s="32">
        <v>2.8</v>
      </c>
      <c r="H80" s="32">
        <v>3.7</v>
      </c>
      <c r="I80" s="32">
        <v>4.03</v>
      </c>
      <c r="J80" s="32">
        <v>2.8</v>
      </c>
      <c r="K80" s="32">
        <v>3.78</v>
      </c>
      <c r="L80" s="32">
        <v>3.59</v>
      </c>
      <c r="M80" s="32">
        <v>3.14</v>
      </c>
      <c r="N80" s="32">
        <v>3.12</v>
      </c>
    </row>
    <row r="81" spans="1:14" ht="15.6" x14ac:dyDescent="0.3">
      <c r="A81" s="128"/>
      <c r="B81" s="38" t="s">
        <v>104</v>
      </c>
      <c r="C81" s="26">
        <f t="shared" ref="C81:N81" si="17">IF(OR(C79="",C80=""),"",C80/C79)</f>
        <v>1.4377880184331797</v>
      </c>
      <c r="D81" s="26">
        <f t="shared" si="17"/>
        <v>1.4415954415954415</v>
      </c>
      <c r="E81" s="26">
        <f t="shared" si="17"/>
        <v>1.4440993788819876</v>
      </c>
      <c r="F81" s="26">
        <f t="shared" si="17"/>
        <v>1.4239999999999999</v>
      </c>
      <c r="G81" s="26">
        <f t="shared" si="17"/>
        <v>1.4432989690721649</v>
      </c>
      <c r="H81" s="26">
        <f t="shared" si="17"/>
        <v>1.4230769230769231</v>
      </c>
      <c r="I81" s="26">
        <f t="shared" si="17"/>
        <v>1.4444444444444444</v>
      </c>
      <c r="J81" s="26">
        <f t="shared" si="17"/>
        <v>1.4432989690721649</v>
      </c>
      <c r="K81" s="26">
        <f t="shared" si="17"/>
        <v>1.4264150943396225</v>
      </c>
      <c r="L81" s="26">
        <f t="shared" si="17"/>
        <v>1.4417670682730921</v>
      </c>
      <c r="M81" s="26">
        <f t="shared" si="17"/>
        <v>1.447004608294931</v>
      </c>
      <c r="N81" s="26">
        <f t="shared" si="17"/>
        <v>1.4246575342465755</v>
      </c>
    </row>
    <row r="82" spans="1:14" ht="15.6" x14ac:dyDescent="0.3">
      <c r="A82" s="128">
        <v>120</v>
      </c>
      <c r="B82" s="30" t="s">
        <v>102</v>
      </c>
      <c r="C82" s="37">
        <v>3.84</v>
      </c>
      <c r="D82" s="37">
        <v>6.22</v>
      </c>
      <c r="E82" s="37">
        <v>5.72</v>
      </c>
      <c r="F82" s="37">
        <v>6.67</v>
      </c>
      <c r="G82" s="37">
        <v>3.45</v>
      </c>
      <c r="H82" s="37">
        <v>4.62</v>
      </c>
      <c r="I82" s="37">
        <v>4.95</v>
      </c>
      <c r="J82" s="37">
        <v>3.45</v>
      </c>
      <c r="K82" s="37">
        <v>4.71</v>
      </c>
      <c r="L82" s="37">
        <v>4.42</v>
      </c>
      <c r="M82" s="37">
        <v>3.86</v>
      </c>
      <c r="N82" s="37">
        <v>3.89</v>
      </c>
    </row>
    <row r="83" spans="1:14" ht="15.6" x14ac:dyDescent="0.3">
      <c r="A83" s="128"/>
      <c r="B83" s="20" t="s">
        <v>103</v>
      </c>
      <c r="C83" s="32">
        <v>5.36</v>
      </c>
      <c r="D83" s="32">
        <v>8.68</v>
      </c>
      <c r="E83" s="32">
        <v>7.98</v>
      </c>
      <c r="F83" s="32">
        <v>9.2100000000000009</v>
      </c>
      <c r="G83" s="32">
        <v>4.8099999999999996</v>
      </c>
      <c r="H83" s="32">
        <v>6.39</v>
      </c>
      <c r="I83" s="32">
        <v>6.91</v>
      </c>
      <c r="J83" s="32">
        <v>4.8099999999999996</v>
      </c>
      <c r="K83" s="32">
        <v>6.51</v>
      </c>
      <c r="L83" s="32">
        <v>6.17</v>
      </c>
      <c r="M83" s="32">
        <v>5.39</v>
      </c>
      <c r="N83" s="32">
        <v>5.38</v>
      </c>
    </row>
    <row r="84" spans="1:14" ht="15.6" x14ac:dyDescent="0.3">
      <c r="A84" s="128"/>
      <c r="B84" s="38" t="s">
        <v>104</v>
      </c>
      <c r="C84" s="26">
        <f t="shared" ref="C84:N84" si="18">IF(OR(C82="",C83=""),"",C83/C82)</f>
        <v>1.3958333333333335</v>
      </c>
      <c r="D84" s="26">
        <f t="shared" si="18"/>
        <v>1.3954983922829582</v>
      </c>
      <c r="E84" s="26">
        <f t="shared" si="18"/>
        <v>1.3951048951048952</v>
      </c>
      <c r="F84" s="26">
        <f t="shared" si="18"/>
        <v>1.3808095952023989</v>
      </c>
      <c r="G84" s="26">
        <f t="shared" si="18"/>
        <v>1.3942028985507244</v>
      </c>
      <c r="H84" s="26">
        <f t="shared" si="18"/>
        <v>1.383116883116883</v>
      </c>
      <c r="I84" s="26">
        <f t="shared" si="18"/>
        <v>1.3959595959595958</v>
      </c>
      <c r="J84" s="26">
        <f t="shared" si="18"/>
        <v>1.3942028985507244</v>
      </c>
      <c r="K84" s="26">
        <f t="shared" si="18"/>
        <v>1.3821656050955413</v>
      </c>
      <c r="L84" s="26">
        <f t="shared" si="18"/>
        <v>1.3959276018099547</v>
      </c>
      <c r="M84" s="26">
        <f t="shared" si="18"/>
        <v>1.3963730569948185</v>
      </c>
      <c r="N84" s="26">
        <f t="shared" si="18"/>
        <v>1.3830334190231361</v>
      </c>
    </row>
    <row r="85" spans="1:14" ht="15.6" x14ac:dyDescent="0.3">
      <c r="A85" s="128">
        <v>140</v>
      </c>
      <c r="B85" s="30" t="s">
        <v>102</v>
      </c>
      <c r="C85" s="37">
        <v>5.89</v>
      </c>
      <c r="D85" s="37">
        <v>9.5299999999999994</v>
      </c>
      <c r="E85" s="37">
        <v>8.76</v>
      </c>
      <c r="F85" s="37">
        <v>10.45</v>
      </c>
      <c r="G85" s="37">
        <v>5.28</v>
      </c>
      <c r="H85" s="37">
        <v>7.25</v>
      </c>
      <c r="I85" s="37">
        <v>7.59</v>
      </c>
      <c r="J85" s="37">
        <v>5.28</v>
      </c>
      <c r="K85" s="37">
        <v>7.38</v>
      </c>
      <c r="L85" s="37">
        <v>6.77</v>
      </c>
      <c r="M85" s="37">
        <v>5.91</v>
      </c>
      <c r="N85" s="37">
        <v>6.1</v>
      </c>
    </row>
    <row r="86" spans="1:14" ht="15.6" x14ac:dyDescent="0.3">
      <c r="A86" s="128"/>
      <c r="B86" s="20" t="s">
        <v>103</v>
      </c>
      <c r="C86" s="32">
        <v>8.0299999999999994</v>
      </c>
      <c r="D86" s="32">
        <v>13</v>
      </c>
      <c r="E86" s="32">
        <v>11.95</v>
      </c>
      <c r="F86" s="32">
        <v>14.2</v>
      </c>
      <c r="G86" s="32">
        <v>7.2</v>
      </c>
      <c r="H86" s="32">
        <v>9.84</v>
      </c>
      <c r="I86" s="32">
        <v>10.36</v>
      </c>
      <c r="J86" s="32">
        <v>7.2</v>
      </c>
      <c r="K86" s="32">
        <v>10.029999999999999</v>
      </c>
      <c r="L86" s="32">
        <v>9.24</v>
      </c>
      <c r="M86" s="32">
        <v>8.07</v>
      </c>
      <c r="N86" s="32">
        <v>8.2799999999999994</v>
      </c>
    </row>
    <row r="87" spans="1:14" ht="15.6" x14ac:dyDescent="0.3">
      <c r="A87" s="128"/>
      <c r="B87" s="38" t="s">
        <v>104</v>
      </c>
      <c r="C87" s="26">
        <f t="shared" ref="C87:N87" si="19">IF(OR(C85="",C86=""),"",C86/C85)</f>
        <v>1.363327674023769</v>
      </c>
      <c r="D87" s="26">
        <f t="shared" si="19"/>
        <v>1.3641133263378804</v>
      </c>
      <c r="E87" s="26">
        <f t="shared" si="19"/>
        <v>1.3641552511415524</v>
      </c>
      <c r="F87" s="26">
        <f t="shared" si="19"/>
        <v>1.3588516746411483</v>
      </c>
      <c r="G87" s="26">
        <f t="shared" si="19"/>
        <v>1.3636363636363635</v>
      </c>
      <c r="H87" s="26">
        <f t="shared" si="19"/>
        <v>1.3572413793103448</v>
      </c>
      <c r="I87" s="26">
        <f t="shared" si="19"/>
        <v>1.3649538866930171</v>
      </c>
      <c r="J87" s="26">
        <f t="shared" si="19"/>
        <v>1.3636363636363635</v>
      </c>
      <c r="K87" s="26">
        <f t="shared" si="19"/>
        <v>1.3590785907859078</v>
      </c>
      <c r="L87" s="26">
        <f t="shared" si="19"/>
        <v>1.3648449039881834</v>
      </c>
      <c r="M87" s="26">
        <f t="shared" si="19"/>
        <v>1.3654822335025381</v>
      </c>
      <c r="N87" s="26">
        <f t="shared" si="19"/>
        <v>1.3573770491803279</v>
      </c>
    </row>
  </sheetData>
  <mergeCells count="20">
    <mergeCell ref="A73:A75"/>
    <mergeCell ref="A76:A78"/>
    <mergeCell ref="A79:A81"/>
    <mergeCell ref="A82:A84"/>
    <mergeCell ref="A85:A87"/>
    <mergeCell ref="A51:A53"/>
    <mergeCell ref="A54:A56"/>
    <mergeCell ref="A57:A59"/>
    <mergeCell ref="A60:A62"/>
    <mergeCell ref="A63:A65"/>
    <mergeCell ref="A29:A31"/>
    <mergeCell ref="A32:A34"/>
    <mergeCell ref="A35:A37"/>
    <mergeCell ref="A38:A40"/>
    <mergeCell ref="A41:A43"/>
    <mergeCell ref="A7:A9"/>
    <mergeCell ref="A10:A12"/>
    <mergeCell ref="A13:A15"/>
    <mergeCell ref="A16:A18"/>
    <mergeCell ref="A19:A21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J235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0" ht="15" customHeight="1" x14ac:dyDescent="0.3">
      <c r="A1" s="8" t="s">
        <v>97</v>
      </c>
    </row>
    <row r="2" spans="1:10" ht="15" customHeight="1" x14ac:dyDescent="0.3">
      <c r="B2" s="15" t="s">
        <v>100</v>
      </c>
      <c r="C2" s="4" t="s">
        <v>26</v>
      </c>
      <c r="D2" s="16" t="s">
        <v>14</v>
      </c>
      <c r="E2" s="4" t="s">
        <v>18</v>
      </c>
      <c r="F2" s="16" t="s">
        <v>68</v>
      </c>
      <c r="G2" s="4" t="s">
        <v>27</v>
      </c>
      <c r="H2" s="16" t="s">
        <v>22</v>
      </c>
      <c r="I2" s="4" t="s">
        <v>22</v>
      </c>
      <c r="J2" s="17" t="s">
        <v>40</v>
      </c>
    </row>
    <row r="3" spans="1:10" ht="15" customHeight="1" x14ac:dyDescent="0.3">
      <c r="B3" s="41" t="s">
        <v>101</v>
      </c>
      <c r="C3" s="42" t="s">
        <v>26</v>
      </c>
      <c r="D3" s="43" t="s">
        <v>14</v>
      </c>
      <c r="E3" s="42" t="s">
        <v>18</v>
      </c>
      <c r="F3" s="43" t="s">
        <v>68</v>
      </c>
      <c r="G3" s="42" t="s">
        <v>27</v>
      </c>
      <c r="H3" s="43" t="s">
        <v>21</v>
      </c>
      <c r="I3" s="42" t="s">
        <v>22</v>
      </c>
      <c r="J3" s="44" t="s">
        <v>22</v>
      </c>
    </row>
    <row r="4" spans="1:10" ht="15" customHeight="1" x14ac:dyDescent="0.3">
      <c r="A4" s="7" t="s">
        <v>6</v>
      </c>
      <c r="B4" s="21"/>
      <c r="C4" s="22"/>
      <c r="D4" s="23"/>
      <c r="E4" s="22"/>
      <c r="F4" s="23"/>
      <c r="G4" s="22"/>
      <c r="H4" s="23"/>
      <c r="I4" s="22"/>
      <c r="J4" s="24"/>
    </row>
    <row r="5" spans="1:10" ht="15" customHeight="1" x14ac:dyDescent="0.3">
      <c r="A5" s="127">
        <v>70</v>
      </c>
      <c r="B5" s="2" t="s">
        <v>102</v>
      </c>
      <c r="C5" s="2"/>
      <c r="D5" s="19"/>
      <c r="E5" s="2">
        <v>3.16</v>
      </c>
      <c r="F5" s="19"/>
      <c r="G5" s="2"/>
      <c r="H5" s="19">
        <v>4.47</v>
      </c>
      <c r="I5" s="2">
        <v>3.93</v>
      </c>
      <c r="J5" s="20">
        <v>3.91</v>
      </c>
    </row>
    <row r="6" spans="1:10" ht="15" customHeight="1" x14ac:dyDescent="0.3">
      <c r="A6" s="127"/>
      <c r="B6" s="2" t="s">
        <v>103</v>
      </c>
      <c r="C6" s="2"/>
      <c r="D6" s="19"/>
      <c r="E6" s="2">
        <v>3.4</v>
      </c>
      <c r="F6" s="19"/>
      <c r="G6" s="2"/>
      <c r="H6" s="19">
        <v>4.8</v>
      </c>
      <c r="I6" s="2">
        <v>4.24</v>
      </c>
      <c r="J6" s="20">
        <v>4.21</v>
      </c>
    </row>
    <row r="7" spans="1:10" ht="15" customHeight="1" x14ac:dyDescent="0.3">
      <c r="A7" s="127"/>
      <c r="B7" s="25" t="s">
        <v>104</v>
      </c>
      <c r="C7" s="26" t="str">
        <f t="shared" ref="C7:J7" si="0">IF(OR(C5="",C6=""),"",C6/C5)</f>
        <v/>
      </c>
      <c r="D7" s="27" t="str">
        <f t="shared" si="0"/>
        <v/>
      </c>
      <c r="E7" s="26">
        <f t="shared" si="0"/>
        <v>1.0759493670886076</v>
      </c>
      <c r="F7" s="27" t="str">
        <f t="shared" si="0"/>
        <v/>
      </c>
      <c r="G7" s="26" t="str">
        <f t="shared" si="0"/>
        <v/>
      </c>
      <c r="H7" s="27">
        <f t="shared" si="0"/>
        <v>1.0738255033557047</v>
      </c>
      <c r="I7" s="26">
        <f t="shared" si="0"/>
        <v>1.078880407124682</v>
      </c>
      <c r="J7" s="28">
        <f t="shared" si="0"/>
        <v>1.0767263427109974</v>
      </c>
    </row>
    <row r="8" spans="1:10" ht="15" customHeight="1" x14ac:dyDescent="0.3">
      <c r="A8" s="127">
        <v>80</v>
      </c>
      <c r="B8" s="6" t="s">
        <v>102</v>
      </c>
      <c r="C8" s="6"/>
      <c r="D8" s="29"/>
      <c r="E8" s="6">
        <v>4.87</v>
      </c>
      <c r="F8" s="29"/>
      <c r="G8" s="6"/>
      <c r="H8" s="29">
        <v>6.88</v>
      </c>
      <c r="I8" s="6">
        <v>6.05</v>
      </c>
      <c r="J8" s="30">
        <v>6.02</v>
      </c>
    </row>
    <row r="9" spans="1:10" ht="15" customHeight="1" x14ac:dyDescent="0.3">
      <c r="A9" s="127"/>
      <c r="B9" s="2" t="s">
        <v>103</v>
      </c>
      <c r="C9" s="2"/>
      <c r="D9" s="19"/>
      <c r="E9" s="2">
        <v>5.14</v>
      </c>
      <c r="F9" s="19"/>
      <c r="G9" s="2"/>
      <c r="H9" s="19">
        <v>7.25</v>
      </c>
      <c r="I9" s="2">
        <v>6.42</v>
      </c>
      <c r="J9" s="20">
        <v>6.37</v>
      </c>
    </row>
    <row r="10" spans="1:10" ht="15" customHeight="1" x14ac:dyDescent="0.3">
      <c r="A10" s="127"/>
      <c r="B10" s="25" t="s">
        <v>104</v>
      </c>
      <c r="C10" s="26" t="str">
        <f t="shared" ref="C10:J10" si="1">IF(OR(C8="",C9=""),"",C9/C8)</f>
        <v/>
      </c>
      <c r="D10" s="27" t="str">
        <f t="shared" si="1"/>
        <v/>
      </c>
      <c r="E10" s="26">
        <f t="shared" si="1"/>
        <v>1.055441478439425</v>
      </c>
      <c r="F10" s="27" t="str">
        <f t="shared" si="1"/>
        <v/>
      </c>
      <c r="G10" s="26" t="str">
        <f t="shared" si="1"/>
        <v/>
      </c>
      <c r="H10" s="27">
        <f t="shared" si="1"/>
        <v>1.0537790697674418</v>
      </c>
      <c r="I10" s="26">
        <f t="shared" si="1"/>
        <v>1.0611570247933884</v>
      </c>
      <c r="J10" s="28">
        <f t="shared" si="1"/>
        <v>1.058139534883721</v>
      </c>
    </row>
    <row r="11" spans="1:10" ht="15" customHeight="1" x14ac:dyDescent="0.3">
      <c r="A11" s="127">
        <v>90</v>
      </c>
      <c r="B11" s="6" t="s">
        <v>102</v>
      </c>
      <c r="C11" s="6"/>
      <c r="D11" s="29"/>
      <c r="E11" s="6">
        <v>6.88</v>
      </c>
      <c r="F11" s="29"/>
      <c r="G11" s="6"/>
      <c r="H11" s="29">
        <v>9.73</v>
      </c>
      <c r="I11" s="6">
        <v>8.56</v>
      </c>
      <c r="J11" s="30">
        <v>8.52</v>
      </c>
    </row>
    <row r="12" spans="1:10" ht="15" customHeight="1" x14ac:dyDescent="0.3">
      <c r="A12" s="127"/>
      <c r="B12" s="2" t="s">
        <v>103</v>
      </c>
      <c r="C12" s="2"/>
      <c r="D12" s="19"/>
      <c r="E12" s="2">
        <v>7.19</v>
      </c>
      <c r="F12" s="19"/>
      <c r="G12" s="2"/>
      <c r="H12" s="19">
        <v>10.15</v>
      </c>
      <c r="I12" s="2">
        <v>8.9700000000000006</v>
      </c>
      <c r="J12" s="20">
        <v>8.9</v>
      </c>
    </row>
    <row r="13" spans="1:10" ht="15" customHeight="1" x14ac:dyDescent="0.3">
      <c r="A13" s="127"/>
      <c r="B13" s="25" t="s">
        <v>104</v>
      </c>
      <c r="C13" s="26" t="str">
        <f t="shared" ref="C13:J13" si="2">IF(OR(C11="",C12=""),"",C12/C11)</f>
        <v/>
      </c>
      <c r="D13" s="27" t="str">
        <f t="shared" si="2"/>
        <v/>
      </c>
      <c r="E13" s="26">
        <f t="shared" si="2"/>
        <v>1.0450581395348837</v>
      </c>
      <c r="F13" s="27" t="str">
        <f t="shared" si="2"/>
        <v/>
      </c>
      <c r="G13" s="26" t="str">
        <f t="shared" si="2"/>
        <v/>
      </c>
      <c r="H13" s="27">
        <f t="shared" si="2"/>
        <v>1.0431654676258992</v>
      </c>
      <c r="I13" s="26">
        <f t="shared" si="2"/>
        <v>1.0478971962616823</v>
      </c>
      <c r="J13" s="28">
        <f t="shared" si="2"/>
        <v>1.0446009389671362</v>
      </c>
    </row>
    <row r="14" spans="1:10" ht="15" customHeight="1" x14ac:dyDescent="0.3">
      <c r="A14" s="127">
        <v>100</v>
      </c>
      <c r="B14" s="6" t="s">
        <v>102</v>
      </c>
      <c r="C14" s="6"/>
      <c r="D14" s="29"/>
      <c r="E14" s="6">
        <v>9.15</v>
      </c>
      <c r="F14" s="29"/>
      <c r="G14" s="6"/>
      <c r="H14" s="29">
        <v>12.95</v>
      </c>
      <c r="I14" s="6">
        <v>11.38</v>
      </c>
      <c r="J14" s="30">
        <v>11.33</v>
      </c>
    </row>
    <row r="15" spans="1:10" ht="15" customHeight="1" x14ac:dyDescent="0.3">
      <c r="A15" s="127"/>
      <c r="B15" s="2" t="s">
        <v>103</v>
      </c>
      <c r="C15" s="2"/>
      <c r="D15" s="19"/>
      <c r="E15" s="2">
        <v>9.49</v>
      </c>
      <c r="F15" s="19"/>
      <c r="G15" s="2"/>
      <c r="H15" s="19">
        <v>13.39</v>
      </c>
      <c r="I15" s="2">
        <v>11.84</v>
      </c>
      <c r="J15" s="19">
        <v>11.75</v>
      </c>
    </row>
    <row r="16" spans="1:10" ht="15" customHeight="1" x14ac:dyDescent="0.3">
      <c r="A16" s="127"/>
      <c r="B16" s="25" t="s">
        <v>104</v>
      </c>
      <c r="C16" s="26" t="str">
        <f t="shared" ref="C16:J16" si="3">IF(OR(C14="",C15=""),"",C15/C14)</f>
        <v/>
      </c>
      <c r="D16" s="27" t="str">
        <f t="shared" si="3"/>
        <v/>
      </c>
      <c r="E16" s="26">
        <f t="shared" si="3"/>
        <v>1.0371584699453551</v>
      </c>
      <c r="F16" s="27" t="str">
        <f t="shared" si="3"/>
        <v/>
      </c>
      <c r="G16" s="26" t="str">
        <f t="shared" si="3"/>
        <v/>
      </c>
      <c r="H16" s="27">
        <f t="shared" si="3"/>
        <v>1.033976833976834</v>
      </c>
      <c r="I16" s="26">
        <f t="shared" si="3"/>
        <v>1.040421792618629</v>
      </c>
      <c r="J16" s="28">
        <f t="shared" si="3"/>
        <v>1.0370697263901147</v>
      </c>
    </row>
    <row r="17" spans="1:10" ht="15" customHeight="1" x14ac:dyDescent="0.3">
      <c r="A17" s="127">
        <v>110</v>
      </c>
      <c r="B17" s="6" t="s">
        <v>102</v>
      </c>
      <c r="C17" s="6"/>
      <c r="D17" s="29"/>
      <c r="E17" s="6">
        <v>11.63</v>
      </c>
      <c r="F17" s="29"/>
      <c r="G17" s="6"/>
      <c r="H17" s="29">
        <v>16.45</v>
      </c>
      <c r="I17" s="6">
        <v>14.46</v>
      </c>
      <c r="J17" s="30">
        <v>14.4</v>
      </c>
    </row>
    <row r="18" spans="1:10" ht="15" customHeight="1" x14ac:dyDescent="0.3">
      <c r="A18" s="127"/>
      <c r="B18" s="2" t="s">
        <v>103</v>
      </c>
      <c r="C18" s="2"/>
      <c r="D18" s="19"/>
      <c r="E18" s="2">
        <v>12.01</v>
      </c>
      <c r="F18" s="19"/>
      <c r="G18" s="2"/>
      <c r="H18" s="19">
        <v>16.940000000000001</v>
      </c>
      <c r="I18" s="2">
        <v>14.98</v>
      </c>
      <c r="J18" s="20">
        <v>14.86</v>
      </c>
    </row>
    <row r="19" spans="1:10" ht="15" customHeight="1" x14ac:dyDescent="0.3">
      <c r="A19" s="127"/>
      <c r="B19" s="25" t="s">
        <v>104</v>
      </c>
      <c r="C19" s="26" t="str">
        <f t="shared" ref="C19:J19" si="4">IF(OR(C17="",C18=""),"",C18/C17)</f>
        <v/>
      </c>
      <c r="D19" s="27" t="str">
        <f t="shared" si="4"/>
        <v/>
      </c>
      <c r="E19" s="26">
        <f t="shared" si="4"/>
        <v>1.0326741186586414</v>
      </c>
      <c r="F19" s="27" t="str">
        <f t="shared" si="4"/>
        <v/>
      </c>
      <c r="G19" s="26" t="str">
        <f t="shared" si="4"/>
        <v/>
      </c>
      <c r="H19" s="27">
        <f t="shared" si="4"/>
        <v>1.0297872340425533</v>
      </c>
      <c r="I19" s="26">
        <f t="shared" si="4"/>
        <v>1.0359612724757952</v>
      </c>
      <c r="J19" s="28">
        <f t="shared" si="4"/>
        <v>1.0319444444444443</v>
      </c>
    </row>
    <row r="20" spans="1:10" ht="15" customHeight="1" x14ac:dyDescent="0.3">
      <c r="A20" s="127">
        <v>120</v>
      </c>
      <c r="B20" s="6" t="s">
        <v>102</v>
      </c>
      <c r="C20" s="6"/>
      <c r="D20" s="29"/>
      <c r="E20" s="6">
        <v>14.33</v>
      </c>
      <c r="F20" s="29"/>
      <c r="G20" s="6"/>
      <c r="H20" s="29">
        <v>20.260000000000002</v>
      </c>
      <c r="I20" s="6">
        <v>17.809999999999999</v>
      </c>
      <c r="J20" s="30">
        <v>17.73</v>
      </c>
    </row>
    <row r="21" spans="1:10" ht="15" customHeight="1" x14ac:dyDescent="0.3">
      <c r="A21" s="127"/>
      <c r="B21" s="2" t="s">
        <v>103</v>
      </c>
      <c r="C21" s="2"/>
      <c r="D21" s="19"/>
      <c r="E21" s="2">
        <v>14.71</v>
      </c>
      <c r="F21" s="19"/>
      <c r="G21" s="2"/>
      <c r="H21" s="19">
        <v>20.75</v>
      </c>
      <c r="I21" s="2">
        <v>18.36</v>
      </c>
      <c r="J21" s="20">
        <v>18.21</v>
      </c>
    </row>
    <row r="22" spans="1:10" ht="15" customHeight="1" x14ac:dyDescent="0.3">
      <c r="A22" s="127"/>
      <c r="B22" s="25" t="s">
        <v>104</v>
      </c>
      <c r="C22" s="26" t="str">
        <f t="shared" ref="C22:J22" si="5">IF(OR(C20="",C21=""),"",C21/C20)</f>
        <v/>
      </c>
      <c r="D22" s="27" t="str">
        <f t="shared" si="5"/>
        <v/>
      </c>
      <c r="E22" s="26">
        <f t="shared" si="5"/>
        <v>1.0265177948360085</v>
      </c>
      <c r="F22" s="27" t="str">
        <f t="shared" si="5"/>
        <v/>
      </c>
      <c r="G22" s="26" t="str">
        <f t="shared" si="5"/>
        <v/>
      </c>
      <c r="H22" s="27">
        <f t="shared" si="5"/>
        <v>1.0241855873642645</v>
      </c>
      <c r="I22" s="26">
        <f t="shared" si="5"/>
        <v>1.0308815272318923</v>
      </c>
      <c r="J22" s="28">
        <f t="shared" si="5"/>
        <v>1.027072758037225</v>
      </c>
    </row>
    <row r="23" spans="1:10" ht="15" customHeight="1" x14ac:dyDescent="0.3">
      <c r="A23" s="127">
        <v>130</v>
      </c>
      <c r="B23" s="6" t="s">
        <v>102</v>
      </c>
      <c r="C23" s="6"/>
      <c r="D23" s="29"/>
      <c r="E23" s="6">
        <v>17.149999999999999</v>
      </c>
      <c r="F23" s="29"/>
      <c r="G23" s="6"/>
      <c r="H23" s="29">
        <v>24.27</v>
      </c>
      <c r="I23" s="6">
        <v>21.33</v>
      </c>
      <c r="J23" s="30">
        <v>21.24</v>
      </c>
    </row>
    <row r="24" spans="1:10" ht="15" customHeight="1" x14ac:dyDescent="0.3">
      <c r="A24" s="127"/>
      <c r="B24" s="2" t="s">
        <v>103</v>
      </c>
      <c r="C24" s="2"/>
      <c r="D24" s="19"/>
      <c r="E24" s="2">
        <v>17.600000000000001</v>
      </c>
      <c r="F24" s="19"/>
      <c r="G24" s="2"/>
      <c r="H24" s="19">
        <v>24.83</v>
      </c>
      <c r="I24" s="2">
        <v>21.96</v>
      </c>
      <c r="J24" s="20">
        <v>21.79</v>
      </c>
    </row>
    <row r="25" spans="1:10" ht="15" customHeight="1" x14ac:dyDescent="0.3">
      <c r="A25" s="127"/>
      <c r="B25" s="25" t="s">
        <v>104</v>
      </c>
      <c r="C25" s="26" t="str">
        <f t="shared" ref="C25:J25" si="6">IF(OR(C23="",C24=""),"",C24/C23)</f>
        <v/>
      </c>
      <c r="D25" s="27" t="str">
        <f t="shared" si="6"/>
        <v/>
      </c>
      <c r="E25" s="26">
        <f t="shared" si="6"/>
        <v>1.0262390670553938</v>
      </c>
      <c r="F25" s="27" t="str">
        <f t="shared" si="6"/>
        <v/>
      </c>
      <c r="G25" s="26" t="str">
        <f t="shared" si="6"/>
        <v/>
      </c>
      <c r="H25" s="27">
        <f t="shared" si="6"/>
        <v>1.0230737536052739</v>
      </c>
      <c r="I25" s="26">
        <f t="shared" si="6"/>
        <v>1.029535864978903</v>
      </c>
      <c r="J25" s="28">
        <f t="shared" si="6"/>
        <v>1.0258945386064031</v>
      </c>
    </row>
    <row r="26" spans="1:10" ht="15" customHeight="1" x14ac:dyDescent="0.3">
      <c r="A26" s="127">
        <v>140</v>
      </c>
      <c r="B26" s="6" t="s">
        <v>102</v>
      </c>
      <c r="C26" s="6"/>
      <c r="D26" s="29"/>
      <c r="E26" s="6">
        <v>20.149999999999999</v>
      </c>
      <c r="F26" s="29"/>
      <c r="G26" s="6"/>
      <c r="H26" s="29">
        <v>28.51</v>
      </c>
      <c r="I26" s="6">
        <v>25.06</v>
      </c>
      <c r="J26" s="30">
        <v>24.95</v>
      </c>
    </row>
    <row r="27" spans="1:10" ht="15" customHeight="1" x14ac:dyDescent="0.3">
      <c r="A27" s="127"/>
      <c r="B27" s="2" t="s">
        <v>103</v>
      </c>
      <c r="C27" s="2"/>
      <c r="D27" s="19"/>
      <c r="E27" s="2">
        <v>20.65</v>
      </c>
      <c r="F27" s="19"/>
      <c r="G27" s="2"/>
      <c r="H27" s="19">
        <v>29.14</v>
      </c>
      <c r="I27" s="2">
        <v>25.77</v>
      </c>
      <c r="J27" s="19">
        <v>25.57</v>
      </c>
    </row>
    <row r="28" spans="1:10" ht="15" customHeight="1" x14ac:dyDescent="0.3">
      <c r="A28" s="127"/>
      <c r="B28" s="25" t="s">
        <v>104</v>
      </c>
      <c r="C28" s="26" t="str">
        <f t="shared" ref="C28:J28" si="7">IF(OR(C26="",C27=""),"",C27/C26)</f>
        <v/>
      </c>
      <c r="D28" s="27" t="str">
        <f t="shared" si="7"/>
        <v/>
      </c>
      <c r="E28" s="26">
        <f t="shared" si="7"/>
        <v>1.0248138957816377</v>
      </c>
      <c r="F28" s="27" t="str">
        <f t="shared" si="7"/>
        <v/>
      </c>
      <c r="G28" s="26" t="str">
        <f t="shared" si="7"/>
        <v/>
      </c>
      <c r="H28" s="27">
        <f t="shared" si="7"/>
        <v>1.0220975096457383</v>
      </c>
      <c r="I28" s="26">
        <f t="shared" si="7"/>
        <v>1.0283320031923384</v>
      </c>
      <c r="J28" s="28">
        <f t="shared" si="7"/>
        <v>1.0248496993987977</v>
      </c>
    </row>
    <row r="29" spans="1:10" ht="15" customHeight="1" x14ac:dyDescent="0.3">
      <c r="A29" s="127">
        <v>150</v>
      </c>
      <c r="B29" s="6" t="s">
        <v>102</v>
      </c>
      <c r="C29" s="6"/>
      <c r="D29" s="29"/>
      <c r="E29" s="6">
        <v>23.36</v>
      </c>
      <c r="F29" s="29"/>
      <c r="G29" s="6"/>
      <c r="H29" s="29">
        <v>33.04</v>
      </c>
      <c r="I29" s="6">
        <v>29.05</v>
      </c>
      <c r="J29" s="30">
        <v>28.92</v>
      </c>
    </row>
    <row r="30" spans="1:10" ht="15.6" x14ac:dyDescent="0.3">
      <c r="A30" s="127"/>
      <c r="B30" s="2" t="s">
        <v>103</v>
      </c>
      <c r="C30" s="2"/>
      <c r="D30" s="19"/>
      <c r="E30" s="2">
        <v>23.89</v>
      </c>
      <c r="F30" s="19"/>
      <c r="G30" s="2"/>
      <c r="H30" s="19">
        <v>33.700000000000003</v>
      </c>
      <c r="I30" s="2">
        <v>29.81</v>
      </c>
      <c r="J30" s="20">
        <v>29.57</v>
      </c>
    </row>
    <row r="31" spans="1:10" ht="15.6" x14ac:dyDescent="0.3">
      <c r="A31" s="127"/>
      <c r="B31" s="25" t="s">
        <v>104</v>
      </c>
      <c r="C31" s="26" t="str">
        <f t="shared" ref="C31:J31" si="8">IF(OR(C29="",C30=""),"",C30/C29)</f>
        <v/>
      </c>
      <c r="D31" s="27" t="str">
        <f t="shared" si="8"/>
        <v/>
      </c>
      <c r="E31" s="26">
        <f t="shared" si="8"/>
        <v>1.0226883561643836</v>
      </c>
      <c r="F31" s="27" t="str">
        <f t="shared" si="8"/>
        <v/>
      </c>
      <c r="G31" s="26" t="str">
        <f t="shared" si="8"/>
        <v/>
      </c>
      <c r="H31" s="27">
        <f t="shared" si="8"/>
        <v>1.0199757869249395</v>
      </c>
      <c r="I31" s="26">
        <f t="shared" si="8"/>
        <v>1.0261617900172115</v>
      </c>
      <c r="J31" s="28">
        <f t="shared" si="8"/>
        <v>1.022475795297372</v>
      </c>
    </row>
    <row r="32" spans="1:10" ht="15.6" x14ac:dyDescent="0.3">
      <c r="A32" s="127" t="s">
        <v>126</v>
      </c>
      <c r="B32" s="6" t="s">
        <v>102</v>
      </c>
      <c r="C32" s="6">
        <v>2.7</v>
      </c>
      <c r="D32" s="29"/>
      <c r="E32" s="6"/>
      <c r="F32" s="29"/>
      <c r="G32" s="6"/>
      <c r="H32" s="29">
        <v>2.08</v>
      </c>
      <c r="I32" s="6">
        <v>1.83</v>
      </c>
      <c r="J32" s="30">
        <v>1.82</v>
      </c>
    </row>
    <row r="33" spans="1:10" ht="15.6" x14ac:dyDescent="0.3">
      <c r="A33" s="127"/>
      <c r="B33" s="2" t="s">
        <v>103</v>
      </c>
      <c r="C33" s="2">
        <v>2.69</v>
      </c>
      <c r="D33" s="19"/>
      <c r="E33" s="2"/>
      <c r="F33" s="19"/>
      <c r="G33" s="2"/>
      <c r="H33" s="19">
        <v>2.08</v>
      </c>
      <c r="I33" s="2">
        <v>1.84</v>
      </c>
      <c r="J33" s="20">
        <v>1.83</v>
      </c>
    </row>
    <row r="34" spans="1:10" ht="15.6" x14ac:dyDescent="0.3">
      <c r="A34" s="127"/>
      <c r="B34" s="25" t="s">
        <v>104</v>
      </c>
      <c r="C34" s="26">
        <f t="shared" ref="C34:J34" si="9">IF(OR(C32="",C33=""),"",C33/C32)</f>
        <v>0.99629629629629624</v>
      </c>
      <c r="D34" s="27" t="str">
        <f t="shared" si="9"/>
        <v/>
      </c>
      <c r="E34" s="26" t="str">
        <f t="shared" si="9"/>
        <v/>
      </c>
      <c r="F34" s="27" t="str">
        <f t="shared" si="9"/>
        <v/>
      </c>
      <c r="G34" s="26" t="str">
        <f t="shared" si="9"/>
        <v/>
      </c>
      <c r="H34" s="27">
        <f t="shared" si="9"/>
        <v>1</v>
      </c>
      <c r="I34" s="26">
        <f t="shared" si="9"/>
        <v>1.0054644808743169</v>
      </c>
      <c r="J34" s="28">
        <f t="shared" si="9"/>
        <v>1.0054945054945055</v>
      </c>
    </row>
    <row r="35" spans="1:10" ht="15.6" x14ac:dyDescent="0.3">
      <c r="A35" s="127" t="s">
        <v>127</v>
      </c>
      <c r="B35" s="6" t="s">
        <v>102</v>
      </c>
      <c r="C35" s="6"/>
      <c r="D35" s="29"/>
      <c r="E35" s="6"/>
      <c r="F35" s="29"/>
      <c r="G35" s="6"/>
      <c r="H35" s="29">
        <v>3.19</v>
      </c>
      <c r="I35" s="6">
        <v>2.8</v>
      </c>
      <c r="J35" s="30">
        <v>2.79</v>
      </c>
    </row>
    <row r="36" spans="1:10" ht="15.6" x14ac:dyDescent="0.3">
      <c r="A36" s="127"/>
      <c r="B36" s="2" t="s">
        <v>103</v>
      </c>
      <c r="C36" s="2"/>
      <c r="D36" s="19"/>
      <c r="E36" s="2"/>
      <c r="F36" s="19"/>
      <c r="G36" s="2"/>
      <c r="H36" s="19">
        <v>3.18</v>
      </c>
      <c r="I36" s="2">
        <v>2.8210000000000002</v>
      </c>
      <c r="J36" s="20">
        <v>2.8</v>
      </c>
    </row>
    <row r="37" spans="1:10" ht="15.6" x14ac:dyDescent="0.3">
      <c r="A37" s="127"/>
      <c r="B37" s="25" t="s">
        <v>104</v>
      </c>
      <c r="C37" s="26" t="str">
        <f t="shared" ref="C37:J37" si="10">IF(OR(C35="",C36=""),"",C36/C35)</f>
        <v/>
      </c>
      <c r="D37" s="27" t="str">
        <f t="shared" si="10"/>
        <v/>
      </c>
      <c r="E37" s="26" t="str">
        <f t="shared" si="10"/>
        <v/>
      </c>
      <c r="F37" s="27" t="str">
        <f t="shared" si="10"/>
        <v/>
      </c>
      <c r="G37" s="26" t="str">
        <f t="shared" si="10"/>
        <v/>
      </c>
      <c r="H37" s="27">
        <f t="shared" si="10"/>
        <v>0.99686520376175558</v>
      </c>
      <c r="I37" s="26">
        <f t="shared" si="10"/>
        <v>1.0075000000000001</v>
      </c>
      <c r="J37" s="28">
        <f t="shared" si="10"/>
        <v>1.0035842293906809</v>
      </c>
    </row>
    <row r="38" spans="1:10" ht="15.6" x14ac:dyDescent="0.3">
      <c r="A38" s="127" t="s">
        <v>128</v>
      </c>
      <c r="B38" s="6" t="s">
        <v>102</v>
      </c>
      <c r="C38" s="6"/>
      <c r="D38" s="29"/>
      <c r="E38" s="6"/>
      <c r="F38" s="29"/>
      <c r="G38" s="6"/>
      <c r="H38" s="29">
        <v>4.55</v>
      </c>
      <c r="I38" s="6">
        <v>4</v>
      </c>
      <c r="J38" s="30">
        <v>3.97</v>
      </c>
    </row>
    <row r="39" spans="1:10" ht="15.6" x14ac:dyDescent="0.3">
      <c r="A39" s="127"/>
      <c r="B39" s="2" t="s">
        <v>103</v>
      </c>
      <c r="C39" s="2"/>
      <c r="D39" s="19"/>
      <c r="E39" s="2"/>
      <c r="F39" s="19"/>
      <c r="G39" s="2"/>
      <c r="H39" s="19">
        <v>4.55</v>
      </c>
      <c r="I39" s="2">
        <v>4.03</v>
      </c>
      <c r="J39" s="20">
        <v>4</v>
      </c>
    </row>
    <row r="40" spans="1:10" ht="15.6" x14ac:dyDescent="0.3">
      <c r="A40" s="127"/>
      <c r="B40" s="25" t="s">
        <v>104</v>
      </c>
      <c r="C40" s="26" t="str">
        <f t="shared" ref="C40:J40" si="11">IF(OR(C38="",C39=""),"",C39/C38)</f>
        <v/>
      </c>
      <c r="D40" s="27" t="str">
        <f t="shared" si="11"/>
        <v/>
      </c>
      <c r="E40" s="26" t="str">
        <f t="shared" si="11"/>
        <v/>
      </c>
      <c r="F40" s="27" t="str">
        <f t="shared" si="11"/>
        <v/>
      </c>
      <c r="G40" s="26" t="str">
        <f t="shared" si="11"/>
        <v/>
      </c>
      <c r="H40" s="27">
        <f t="shared" si="11"/>
        <v>1</v>
      </c>
      <c r="I40" s="26">
        <f t="shared" si="11"/>
        <v>1.0075000000000001</v>
      </c>
      <c r="J40" s="28">
        <f t="shared" si="11"/>
        <v>1.0075566750629723</v>
      </c>
    </row>
    <row r="41" spans="1:10" ht="15.6" x14ac:dyDescent="0.3">
      <c r="A41" s="127" t="s">
        <v>129</v>
      </c>
      <c r="B41" s="6" t="s">
        <v>102</v>
      </c>
      <c r="C41" s="6"/>
      <c r="D41" s="29"/>
      <c r="E41" s="6"/>
      <c r="F41" s="29"/>
      <c r="G41" s="6"/>
      <c r="H41" s="29">
        <v>6.17</v>
      </c>
      <c r="I41" s="6">
        <v>5.43</v>
      </c>
      <c r="J41" s="30">
        <v>5.39</v>
      </c>
    </row>
    <row r="42" spans="1:10" ht="15.6" x14ac:dyDescent="0.3">
      <c r="A42" s="127"/>
      <c r="B42" s="2" t="s">
        <v>103</v>
      </c>
      <c r="C42" s="2"/>
      <c r="D42" s="19"/>
      <c r="E42" s="2"/>
      <c r="F42" s="19"/>
      <c r="G42" s="2"/>
      <c r="H42" s="19">
        <v>6.19</v>
      </c>
      <c r="I42" s="2">
        <v>5.49</v>
      </c>
      <c r="J42" s="20">
        <v>5.44</v>
      </c>
    </row>
    <row r="43" spans="1:10" ht="15.6" x14ac:dyDescent="0.3">
      <c r="A43" s="127"/>
      <c r="B43" s="25" t="s">
        <v>104</v>
      </c>
      <c r="C43" s="26" t="str">
        <f t="shared" ref="C43:J43" si="12">IF(OR(C41="",C42=""),"",C42/C41)</f>
        <v/>
      </c>
      <c r="D43" s="27" t="str">
        <f t="shared" si="12"/>
        <v/>
      </c>
      <c r="E43" s="26" t="str">
        <f t="shared" si="12"/>
        <v/>
      </c>
      <c r="F43" s="27" t="str">
        <f t="shared" si="12"/>
        <v/>
      </c>
      <c r="G43" s="26" t="str">
        <f t="shared" si="12"/>
        <v/>
      </c>
      <c r="H43" s="27">
        <f t="shared" si="12"/>
        <v>1.0032414910858996</v>
      </c>
      <c r="I43" s="26">
        <f t="shared" si="12"/>
        <v>1.0110497237569063</v>
      </c>
      <c r="J43" s="28">
        <f t="shared" si="12"/>
        <v>1.0092764378478665</v>
      </c>
    </row>
    <row r="44" spans="1:10" ht="15.6" x14ac:dyDescent="0.3">
      <c r="A44" s="127" t="s">
        <v>130</v>
      </c>
      <c r="B44" s="6" t="s">
        <v>102</v>
      </c>
      <c r="C44" s="6">
        <v>10.39</v>
      </c>
      <c r="D44" s="29"/>
      <c r="E44" s="6"/>
      <c r="F44" s="29"/>
      <c r="G44" s="6"/>
      <c r="H44" s="29">
        <v>8.0500000000000007</v>
      </c>
      <c r="I44" s="6">
        <v>7.09</v>
      </c>
      <c r="J44" s="30">
        <v>7.04</v>
      </c>
    </row>
    <row r="45" spans="1:10" ht="15.6" x14ac:dyDescent="0.3">
      <c r="A45" s="127"/>
      <c r="B45" s="2" t="s">
        <v>103</v>
      </c>
      <c r="C45" s="2">
        <v>10.47</v>
      </c>
      <c r="D45" s="19"/>
      <c r="E45" s="2"/>
      <c r="F45" s="19"/>
      <c r="G45" s="2"/>
      <c r="H45" s="19">
        <v>8.1</v>
      </c>
      <c r="I45" s="2">
        <v>7.18</v>
      </c>
      <c r="J45" s="20">
        <v>7.12</v>
      </c>
    </row>
    <row r="46" spans="1:10" ht="15.6" x14ac:dyDescent="0.3">
      <c r="A46" s="127"/>
      <c r="B46" s="25" t="s">
        <v>104</v>
      </c>
      <c r="C46" s="26">
        <f t="shared" ref="C46:J46" si="13">IF(OR(C44="",C45=""),"",C45/C44)</f>
        <v>1.0076997112608277</v>
      </c>
      <c r="D46" s="27" t="str">
        <f t="shared" si="13"/>
        <v/>
      </c>
      <c r="E46" s="26" t="str">
        <f t="shared" si="13"/>
        <v/>
      </c>
      <c r="F46" s="27" t="str">
        <f t="shared" si="13"/>
        <v/>
      </c>
      <c r="G46" s="26" t="str">
        <f t="shared" si="13"/>
        <v/>
      </c>
      <c r="H46" s="27">
        <f t="shared" si="13"/>
        <v>1.0062111801242235</v>
      </c>
      <c r="I46" s="26">
        <f t="shared" si="13"/>
        <v>1.0126939351198871</v>
      </c>
      <c r="J46" s="28">
        <f t="shared" si="13"/>
        <v>1.0113636363636365</v>
      </c>
    </row>
    <row r="47" spans="1:10" ht="15.6" x14ac:dyDescent="0.3">
      <c r="A47" s="127" t="s">
        <v>131</v>
      </c>
      <c r="B47" s="6" t="s">
        <v>102</v>
      </c>
      <c r="C47" s="6"/>
      <c r="D47" s="29"/>
      <c r="E47" s="6"/>
      <c r="F47" s="29"/>
      <c r="G47" s="6"/>
      <c r="H47" s="29">
        <v>10.19</v>
      </c>
      <c r="I47" s="6">
        <v>8.9700000000000006</v>
      </c>
      <c r="J47" s="30">
        <v>8.91</v>
      </c>
    </row>
    <row r="48" spans="1:10" ht="15.6" x14ac:dyDescent="0.3">
      <c r="A48" s="127"/>
      <c r="B48" s="2" t="s">
        <v>103</v>
      </c>
      <c r="C48" s="2"/>
      <c r="D48" s="19"/>
      <c r="E48" s="2"/>
      <c r="F48" s="19"/>
      <c r="G48" s="2"/>
      <c r="H48" s="19">
        <v>10.28</v>
      </c>
      <c r="I48" s="2">
        <v>9.11</v>
      </c>
      <c r="J48" s="20">
        <v>9.0399999999999991</v>
      </c>
    </row>
    <row r="49" spans="1:10" ht="15.6" x14ac:dyDescent="0.3">
      <c r="A49" s="127"/>
      <c r="B49" s="25" t="s">
        <v>104</v>
      </c>
      <c r="C49" s="26" t="str">
        <f t="shared" ref="C49:J49" si="14">IF(OR(C47="",C48=""),"",C48/C47)</f>
        <v/>
      </c>
      <c r="D49" s="27" t="str">
        <f t="shared" si="14"/>
        <v/>
      </c>
      <c r="E49" s="26" t="str">
        <f t="shared" si="14"/>
        <v/>
      </c>
      <c r="F49" s="27" t="str">
        <f t="shared" si="14"/>
        <v/>
      </c>
      <c r="G49" s="26" t="str">
        <f t="shared" si="14"/>
        <v/>
      </c>
      <c r="H49" s="27">
        <f t="shared" si="14"/>
        <v>1.0088321884200195</v>
      </c>
      <c r="I49" s="26">
        <f t="shared" si="14"/>
        <v>1.015607580824972</v>
      </c>
      <c r="J49" s="28">
        <f t="shared" si="14"/>
        <v>1.0145903479236811</v>
      </c>
    </row>
    <row r="50" spans="1:10" ht="15.6" x14ac:dyDescent="0.3">
      <c r="A50" s="127" t="s">
        <v>132</v>
      </c>
      <c r="B50" s="6" t="s">
        <v>102</v>
      </c>
      <c r="C50" s="6"/>
      <c r="D50" s="29"/>
      <c r="E50" s="6"/>
      <c r="F50" s="29"/>
      <c r="G50" s="6"/>
      <c r="H50" s="29">
        <v>6.01</v>
      </c>
      <c r="I50" s="6">
        <v>5.3</v>
      </c>
      <c r="J50" s="30">
        <v>5.27</v>
      </c>
    </row>
    <row r="51" spans="1:10" ht="15.6" x14ac:dyDescent="0.3">
      <c r="A51" s="127"/>
      <c r="B51" s="2" t="s">
        <v>103</v>
      </c>
      <c r="C51" s="2"/>
      <c r="D51" s="19"/>
      <c r="E51" s="2"/>
      <c r="F51" s="19"/>
      <c r="G51" s="2"/>
      <c r="H51" s="19">
        <v>6.1</v>
      </c>
      <c r="I51" s="2">
        <v>5.41</v>
      </c>
      <c r="J51" s="20">
        <v>6.36</v>
      </c>
    </row>
    <row r="52" spans="1:10" ht="15.6" x14ac:dyDescent="0.3">
      <c r="A52" s="127"/>
      <c r="B52" s="25" t="s">
        <v>104</v>
      </c>
      <c r="C52" s="26" t="str">
        <f t="shared" ref="C52:J52" si="15">IF(OR(C50="",C51=""),"",C51/C50)</f>
        <v/>
      </c>
      <c r="D52" s="27" t="str">
        <f t="shared" si="15"/>
        <v/>
      </c>
      <c r="E52" s="26" t="str">
        <f t="shared" si="15"/>
        <v/>
      </c>
      <c r="F52" s="27" t="str">
        <f t="shared" si="15"/>
        <v/>
      </c>
      <c r="G52" s="26" t="str">
        <f t="shared" si="15"/>
        <v/>
      </c>
      <c r="H52" s="27">
        <f t="shared" si="15"/>
        <v>1.0149750415973378</v>
      </c>
      <c r="I52" s="26">
        <f t="shared" si="15"/>
        <v>1.0207547169811322</v>
      </c>
      <c r="J52" s="28">
        <f t="shared" si="15"/>
        <v>1.2068311195445922</v>
      </c>
    </row>
    <row r="53" spans="1:10" ht="15.6" x14ac:dyDescent="0.3">
      <c r="A53" s="129" t="s">
        <v>133</v>
      </c>
      <c r="B53" s="45" t="s">
        <v>102</v>
      </c>
      <c r="C53" s="45"/>
      <c r="D53" s="46"/>
      <c r="E53" s="45"/>
      <c r="F53" s="46"/>
      <c r="G53" s="45"/>
      <c r="H53" s="46"/>
      <c r="I53" s="45">
        <v>4.09</v>
      </c>
      <c r="J53" s="47"/>
    </row>
    <row r="54" spans="1:10" ht="15.6" x14ac:dyDescent="0.3">
      <c r="A54" s="129"/>
      <c r="B54" s="48" t="s">
        <v>103</v>
      </c>
      <c r="C54" s="48"/>
      <c r="D54" s="49"/>
      <c r="E54" s="48"/>
      <c r="F54" s="49"/>
      <c r="G54" s="48"/>
      <c r="H54" s="49"/>
      <c r="I54" s="48">
        <v>4.1100000000000003</v>
      </c>
      <c r="J54" s="50"/>
    </row>
    <row r="55" spans="1:10" ht="15.6" x14ac:dyDescent="0.3">
      <c r="A55" s="129"/>
      <c r="B55" s="51" t="s">
        <v>104</v>
      </c>
      <c r="C55" s="52" t="str">
        <f t="shared" ref="C55:J55" si="16">IF(OR(C53="",C54=""),"",C54/C53)</f>
        <v/>
      </c>
      <c r="D55" s="53" t="str">
        <f t="shared" si="16"/>
        <v/>
      </c>
      <c r="E55" s="52" t="str">
        <f t="shared" si="16"/>
        <v/>
      </c>
      <c r="F55" s="53" t="str">
        <f t="shared" si="16"/>
        <v/>
      </c>
      <c r="G55" s="52" t="str">
        <f t="shared" si="16"/>
        <v/>
      </c>
      <c r="H55" s="53" t="str">
        <f t="shared" si="16"/>
        <v/>
      </c>
      <c r="I55" s="52">
        <f t="shared" si="16"/>
        <v>1.0048899755501224</v>
      </c>
      <c r="J55" s="54" t="str">
        <f t="shared" si="16"/>
        <v/>
      </c>
    </row>
    <row r="56" spans="1:10" ht="15.6" x14ac:dyDescent="0.3">
      <c r="A56" s="129" t="s">
        <v>134</v>
      </c>
      <c r="B56" s="45" t="s">
        <v>102</v>
      </c>
      <c r="C56" s="45"/>
      <c r="D56" s="46"/>
      <c r="E56" s="45"/>
      <c r="F56" s="46"/>
      <c r="G56" s="45"/>
      <c r="H56" s="46"/>
      <c r="I56" s="45">
        <v>6.73</v>
      </c>
      <c r="J56" s="47"/>
    </row>
    <row r="57" spans="1:10" ht="15.6" x14ac:dyDescent="0.3">
      <c r="A57" s="129"/>
      <c r="B57" s="48" t="s">
        <v>103</v>
      </c>
      <c r="C57" s="48"/>
      <c r="D57" s="49"/>
      <c r="E57" s="48"/>
      <c r="F57" s="49"/>
      <c r="G57" s="48"/>
      <c r="H57" s="49"/>
      <c r="I57" s="48">
        <v>6.8</v>
      </c>
      <c r="J57" s="50"/>
    </row>
    <row r="58" spans="1:10" ht="15.6" x14ac:dyDescent="0.3">
      <c r="A58" s="129"/>
      <c r="B58" s="51" t="s">
        <v>104</v>
      </c>
      <c r="C58" s="52" t="str">
        <f t="shared" ref="C58:J58" si="17">IF(OR(C56="",C57=""),"",C57/C56)</f>
        <v/>
      </c>
      <c r="D58" s="53" t="str">
        <f t="shared" si="17"/>
        <v/>
      </c>
      <c r="E58" s="52" t="str">
        <f t="shared" si="17"/>
        <v/>
      </c>
      <c r="F58" s="53" t="str">
        <f t="shared" si="17"/>
        <v/>
      </c>
      <c r="G58" s="52" t="str">
        <f t="shared" si="17"/>
        <v/>
      </c>
      <c r="H58" s="53" t="str">
        <f t="shared" si="17"/>
        <v/>
      </c>
      <c r="I58" s="52">
        <f t="shared" si="17"/>
        <v>1.0104011887072808</v>
      </c>
      <c r="J58" s="54" t="str">
        <f t="shared" si="17"/>
        <v/>
      </c>
    </row>
    <row r="60" spans="1:10" ht="15.6" x14ac:dyDescent="0.3">
      <c r="A60" s="8" t="s">
        <v>110</v>
      </c>
    </row>
    <row r="61" spans="1:10" ht="15.6" x14ac:dyDescent="0.3">
      <c r="B61" s="15" t="s">
        <v>100</v>
      </c>
      <c r="C61" s="4" t="s">
        <v>26</v>
      </c>
      <c r="D61" s="16" t="s">
        <v>14</v>
      </c>
      <c r="E61" s="4" t="s">
        <v>18</v>
      </c>
      <c r="F61" s="16" t="s">
        <v>68</v>
      </c>
      <c r="G61" s="4" t="s">
        <v>27</v>
      </c>
      <c r="H61" s="16" t="s">
        <v>22</v>
      </c>
      <c r="I61" s="4" t="s">
        <v>22</v>
      </c>
      <c r="J61" s="17" t="s">
        <v>40</v>
      </c>
    </row>
    <row r="62" spans="1:10" ht="15.6" x14ac:dyDescent="0.3">
      <c r="B62" s="41" t="s">
        <v>101</v>
      </c>
      <c r="C62" s="42" t="s">
        <v>26</v>
      </c>
      <c r="D62" s="43" t="s">
        <v>14</v>
      </c>
      <c r="E62" s="42" t="s">
        <v>18</v>
      </c>
      <c r="F62" s="43" t="s">
        <v>68</v>
      </c>
      <c r="G62" s="42" t="s">
        <v>27</v>
      </c>
      <c r="H62" s="43" t="s">
        <v>21</v>
      </c>
      <c r="I62" s="42" t="s">
        <v>22</v>
      </c>
      <c r="J62" s="44" t="s">
        <v>22</v>
      </c>
    </row>
    <row r="63" spans="1:10" ht="15.6" x14ac:dyDescent="0.3">
      <c r="A63" s="7" t="s">
        <v>6</v>
      </c>
      <c r="B63" s="21"/>
      <c r="C63" s="22"/>
      <c r="D63" s="23"/>
      <c r="E63" s="22"/>
      <c r="F63" s="23"/>
      <c r="G63" s="22"/>
      <c r="H63" s="23"/>
      <c r="I63" s="22"/>
      <c r="J63" s="24"/>
    </row>
    <row r="64" spans="1:10" ht="15.6" x14ac:dyDescent="0.3">
      <c r="A64" s="127">
        <v>70</v>
      </c>
      <c r="B64" s="2" t="s">
        <v>102</v>
      </c>
      <c r="C64" s="2"/>
      <c r="D64" s="2">
        <v>3.1</v>
      </c>
      <c r="E64" s="19">
        <v>2.82</v>
      </c>
      <c r="F64" s="2">
        <v>3.93</v>
      </c>
      <c r="G64" s="19">
        <v>3.75</v>
      </c>
      <c r="H64" s="2">
        <v>3.98</v>
      </c>
      <c r="I64" s="19">
        <v>3.5</v>
      </c>
      <c r="J64" s="2">
        <v>3.48</v>
      </c>
    </row>
    <row r="65" spans="1:10" ht="15.6" x14ac:dyDescent="0.3">
      <c r="A65" s="127"/>
      <c r="B65" s="2" t="s">
        <v>103</v>
      </c>
      <c r="C65" s="2"/>
      <c r="D65" s="19">
        <v>3.12</v>
      </c>
      <c r="E65" s="2">
        <v>2.84</v>
      </c>
      <c r="F65" s="19">
        <v>4</v>
      </c>
      <c r="G65" s="2">
        <v>3.81</v>
      </c>
      <c r="H65" s="19">
        <v>4.01</v>
      </c>
      <c r="I65" s="2">
        <v>3.55</v>
      </c>
      <c r="J65" s="20">
        <v>3.52</v>
      </c>
    </row>
    <row r="66" spans="1:10" ht="15.6" x14ac:dyDescent="0.3">
      <c r="A66" s="127"/>
      <c r="B66" s="25" t="s">
        <v>104</v>
      </c>
      <c r="C66" s="26" t="str">
        <f t="shared" ref="C66:J66" si="18">IF(OR(C64="",C65=""),"",C65/C64)</f>
        <v/>
      </c>
      <c r="D66" s="27">
        <f t="shared" si="18"/>
        <v>1.0064516129032257</v>
      </c>
      <c r="E66" s="26">
        <f t="shared" si="18"/>
        <v>1.0070921985815602</v>
      </c>
      <c r="F66" s="27">
        <f t="shared" si="18"/>
        <v>1.0178117048346056</v>
      </c>
      <c r="G66" s="26">
        <f t="shared" si="18"/>
        <v>1.016</v>
      </c>
      <c r="H66" s="27">
        <f t="shared" si="18"/>
        <v>1.0075376884422109</v>
      </c>
      <c r="I66" s="26">
        <f t="shared" si="18"/>
        <v>1.0142857142857142</v>
      </c>
      <c r="J66" s="28">
        <f t="shared" si="18"/>
        <v>1.0114942528735633</v>
      </c>
    </row>
    <row r="67" spans="1:10" ht="15.6" x14ac:dyDescent="0.3">
      <c r="A67" s="127">
        <v>80</v>
      </c>
      <c r="B67" s="6" t="s">
        <v>102</v>
      </c>
      <c r="C67" s="6"/>
      <c r="D67" s="29">
        <v>4.83</v>
      </c>
      <c r="E67" s="6">
        <v>4.38</v>
      </c>
      <c r="F67" s="29">
        <v>6.13</v>
      </c>
      <c r="G67" s="6">
        <v>5.85</v>
      </c>
      <c r="H67" s="29">
        <v>6.19</v>
      </c>
      <c r="I67" s="6">
        <v>5.45</v>
      </c>
      <c r="J67" s="30">
        <v>5.42</v>
      </c>
    </row>
    <row r="68" spans="1:10" ht="15.6" x14ac:dyDescent="0.3">
      <c r="A68" s="127"/>
      <c r="B68" s="2" t="s">
        <v>103</v>
      </c>
      <c r="C68" s="2"/>
      <c r="D68" s="19">
        <v>4.8</v>
      </c>
      <c r="E68" s="2">
        <v>4.37</v>
      </c>
      <c r="F68" s="19">
        <v>6.15</v>
      </c>
      <c r="G68" s="2">
        <v>5.86</v>
      </c>
      <c r="H68" s="19">
        <v>6.16</v>
      </c>
      <c r="I68" s="2">
        <v>5.46</v>
      </c>
      <c r="J68" s="20">
        <v>5.41</v>
      </c>
    </row>
    <row r="69" spans="1:10" ht="15.6" x14ac:dyDescent="0.3">
      <c r="A69" s="127"/>
      <c r="B69" s="25" t="s">
        <v>104</v>
      </c>
      <c r="C69" s="26" t="str">
        <f t="shared" ref="C69:J69" si="19">IF(OR(C67="",C68=""),"",C68/C67)</f>
        <v/>
      </c>
      <c r="D69" s="27">
        <f t="shared" si="19"/>
        <v>0.99378881987577639</v>
      </c>
      <c r="E69" s="26">
        <f t="shared" si="19"/>
        <v>0.99771689497716898</v>
      </c>
      <c r="F69" s="27">
        <f t="shared" si="19"/>
        <v>1.0032626427406199</v>
      </c>
      <c r="G69" s="26">
        <f t="shared" si="19"/>
        <v>1.0017094017094019</v>
      </c>
      <c r="H69" s="27">
        <f t="shared" si="19"/>
        <v>0.99515347334410331</v>
      </c>
      <c r="I69" s="26">
        <f t="shared" si="19"/>
        <v>1.001834862385321</v>
      </c>
      <c r="J69" s="28">
        <f t="shared" si="19"/>
        <v>0.99815498154981552</v>
      </c>
    </row>
    <row r="70" spans="1:10" ht="15.6" x14ac:dyDescent="0.3">
      <c r="A70" s="127">
        <v>90</v>
      </c>
      <c r="B70" s="6" t="s">
        <v>102</v>
      </c>
      <c r="C70" s="6"/>
      <c r="D70" s="29">
        <v>6.89</v>
      </c>
      <c r="E70" s="6">
        <v>6.26</v>
      </c>
      <c r="F70" s="29">
        <v>8.75</v>
      </c>
      <c r="G70" s="6">
        <v>8.34</v>
      </c>
      <c r="H70" s="29">
        <v>8.84</v>
      </c>
      <c r="I70" s="6">
        <v>7.78</v>
      </c>
      <c r="J70" s="30">
        <v>7.74</v>
      </c>
    </row>
    <row r="71" spans="1:10" ht="15.6" x14ac:dyDescent="0.3">
      <c r="A71" s="127"/>
      <c r="B71" s="2" t="s">
        <v>103</v>
      </c>
      <c r="C71" s="2"/>
      <c r="D71" s="19">
        <v>6.8</v>
      </c>
      <c r="E71" s="2">
        <v>6.19</v>
      </c>
      <c r="F71" s="19">
        <v>8.7200000000000006</v>
      </c>
      <c r="G71" s="2">
        <v>8.3000000000000007</v>
      </c>
      <c r="H71" s="19">
        <v>8.73</v>
      </c>
      <c r="I71" s="2">
        <v>7.74</v>
      </c>
      <c r="J71" s="20">
        <v>7.67</v>
      </c>
    </row>
    <row r="72" spans="1:10" ht="15.6" x14ac:dyDescent="0.3">
      <c r="A72" s="127"/>
      <c r="B72" s="25" t="s">
        <v>104</v>
      </c>
      <c r="C72" s="26" t="str">
        <f t="shared" ref="C72:J72" si="20">IF(OR(C70="",C71=""),"",C71/C70)</f>
        <v/>
      </c>
      <c r="D72" s="27">
        <f t="shared" si="20"/>
        <v>0.98693759071117559</v>
      </c>
      <c r="E72" s="26">
        <f t="shared" si="20"/>
        <v>0.98881789137380205</v>
      </c>
      <c r="F72" s="27">
        <f t="shared" si="20"/>
        <v>0.99657142857142866</v>
      </c>
      <c r="G72" s="26">
        <f t="shared" si="20"/>
        <v>0.99520383693045578</v>
      </c>
      <c r="H72" s="27">
        <f t="shared" si="20"/>
        <v>0.98755656108597289</v>
      </c>
      <c r="I72" s="26">
        <f t="shared" si="20"/>
        <v>0.99485861182519275</v>
      </c>
      <c r="J72" s="28">
        <f t="shared" si="20"/>
        <v>0.99095607235142114</v>
      </c>
    </row>
    <row r="73" spans="1:10" ht="15.6" x14ac:dyDescent="0.3">
      <c r="A73" s="127">
        <v>100</v>
      </c>
      <c r="B73" s="6" t="s">
        <v>102</v>
      </c>
      <c r="C73" s="6"/>
      <c r="D73" s="29">
        <v>9.2200000000000006</v>
      </c>
      <c r="E73" s="6">
        <v>8.36</v>
      </c>
      <c r="F73" s="29">
        <v>11.69</v>
      </c>
      <c r="G73" s="6">
        <v>11.15</v>
      </c>
      <c r="H73" s="29">
        <v>11.81</v>
      </c>
      <c r="I73" s="6">
        <v>10.4</v>
      </c>
      <c r="J73" s="30">
        <v>10.35</v>
      </c>
    </row>
    <row r="74" spans="1:10" ht="15.6" x14ac:dyDescent="0.3">
      <c r="A74" s="127"/>
      <c r="B74" s="2" t="s">
        <v>103</v>
      </c>
      <c r="C74" s="2"/>
      <c r="D74" s="19">
        <v>9.06</v>
      </c>
      <c r="E74" s="2">
        <v>8.24</v>
      </c>
      <c r="F74" s="19">
        <v>11.61</v>
      </c>
      <c r="G74" s="2">
        <v>11.06</v>
      </c>
      <c r="H74" s="19">
        <v>11.63</v>
      </c>
      <c r="I74" s="2">
        <v>10.3</v>
      </c>
      <c r="J74" s="20">
        <v>10.210000000000001</v>
      </c>
    </row>
    <row r="75" spans="1:10" ht="15.6" x14ac:dyDescent="0.3">
      <c r="A75" s="127"/>
      <c r="B75" s="25" t="s">
        <v>104</v>
      </c>
      <c r="C75" s="26" t="str">
        <f t="shared" ref="C75:J75" si="21">IF(OR(C73="",C74=""),"",C74/C73)</f>
        <v/>
      </c>
      <c r="D75" s="27">
        <f t="shared" si="21"/>
        <v>0.98264642082429499</v>
      </c>
      <c r="E75" s="26">
        <f t="shared" si="21"/>
        <v>0.98564593301435421</v>
      </c>
      <c r="F75" s="27">
        <f t="shared" si="21"/>
        <v>0.99315654405474763</v>
      </c>
      <c r="G75" s="26">
        <f t="shared" si="21"/>
        <v>0.9919282511210763</v>
      </c>
      <c r="H75" s="27">
        <f t="shared" si="21"/>
        <v>0.98475867908552073</v>
      </c>
      <c r="I75" s="26">
        <f t="shared" si="21"/>
        <v>0.99038461538461542</v>
      </c>
      <c r="J75" s="28">
        <f t="shared" si="21"/>
        <v>0.98647342995169096</v>
      </c>
    </row>
    <row r="76" spans="1:10" ht="15.6" x14ac:dyDescent="0.3">
      <c r="A76" s="127">
        <v>110</v>
      </c>
      <c r="B76" s="6" t="s">
        <v>102</v>
      </c>
      <c r="C76" s="6"/>
      <c r="D76" s="29">
        <v>11.77</v>
      </c>
      <c r="E76" s="6">
        <v>10.69</v>
      </c>
      <c r="F76" s="29">
        <v>14.94</v>
      </c>
      <c r="G76" s="6">
        <v>14.23</v>
      </c>
      <c r="H76" s="29">
        <v>15.1</v>
      </c>
      <c r="I76" s="6">
        <v>13.29</v>
      </c>
      <c r="J76" s="30">
        <v>13.23</v>
      </c>
    </row>
    <row r="77" spans="1:10" ht="15.6" x14ac:dyDescent="0.3">
      <c r="A77" s="127"/>
      <c r="B77" s="2" t="s">
        <v>103</v>
      </c>
      <c r="C77" s="2"/>
      <c r="D77" s="19">
        <v>11.53</v>
      </c>
      <c r="E77" s="2">
        <v>10.5</v>
      </c>
      <c r="F77" s="19">
        <v>14.79</v>
      </c>
      <c r="G77" s="2">
        <v>14.09</v>
      </c>
      <c r="H77" s="19">
        <v>14.81</v>
      </c>
      <c r="I77" s="2">
        <v>13.13</v>
      </c>
      <c r="J77" s="20">
        <v>13.01</v>
      </c>
    </row>
    <row r="78" spans="1:10" ht="15.6" x14ac:dyDescent="0.3">
      <c r="A78" s="127"/>
      <c r="B78" s="25" t="s">
        <v>104</v>
      </c>
      <c r="C78" s="26" t="str">
        <f t="shared" ref="C78:J78" si="22">IF(OR(C76="",C77=""),"",C77/C76)</f>
        <v/>
      </c>
      <c r="D78" s="27">
        <f t="shared" si="22"/>
        <v>0.97960917587085805</v>
      </c>
      <c r="E78" s="26">
        <f t="shared" si="22"/>
        <v>0.98222637979420024</v>
      </c>
      <c r="F78" s="27">
        <f t="shared" si="22"/>
        <v>0.98995983935742971</v>
      </c>
      <c r="G78" s="26">
        <f t="shared" si="22"/>
        <v>0.99016163035839766</v>
      </c>
      <c r="H78" s="27">
        <f t="shared" si="22"/>
        <v>0.980794701986755</v>
      </c>
      <c r="I78" s="26">
        <f t="shared" si="22"/>
        <v>0.98796087283671941</v>
      </c>
      <c r="J78" s="28">
        <f t="shared" si="22"/>
        <v>0.98337112622826905</v>
      </c>
    </row>
    <row r="79" spans="1:10" ht="15.6" x14ac:dyDescent="0.3">
      <c r="A79" s="127">
        <v>120</v>
      </c>
      <c r="B79" s="6" t="s">
        <v>102</v>
      </c>
      <c r="C79" s="6"/>
      <c r="D79" s="29">
        <v>14.55</v>
      </c>
      <c r="E79" s="6">
        <v>13.2</v>
      </c>
      <c r="F79" s="29">
        <v>18.440000000000001</v>
      </c>
      <c r="G79" s="6">
        <v>17.59</v>
      </c>
      <c r="H79" s="29">
        <v>18.64</v>
      </c>
      <c r="I79" s="6">
        <v>16.41</v>
      </c>
      <c r="J79" s="30">
        <v>16.329999999999998</v>
      </c>
    </row>
    <row r="80" spans="1:10" ht="15.6" x14ac:dyDescent="0.3">
      <c r="A80" s="127"/>
      <c r="B80" s="2" t="s">
        <v>103</v>
      </c>
      <c r="C80" s="2"/>
      <c r="D80" s="19">
        <v>14.23</v>
      </c>
      <c r="E80" s="2">
        <v>12.95</v>
      </c>
      <c r="F80" s="19">
        <v>18.239999999999998</v>
      </c>
      <c r="G80" s="2">
        <v>17.38</v>
      </c>
      <c r="H80" s="19">
        <v>18.260000000000002</v>
      </c>
      <c r="I80" s="2">
        <v>16.190000000000001</v>
      </c>
      <c r="J80" s="20">
        <v>16.04</v>
      </c>
    </row>
    <row r="81" spans="1:10" ht="15.6" x14ac:dyDescent="0.3">
      <c r="A81" s="127"/>
      <c r="B81" s="25" t="s">
        <v>104</v>
      </c>
      <c r="C81" s="26" t="str">
        <f t="shared" ref="C81:J81" si="23">IF(OR(C79="",C80=""),"",C80/C79)</f>
        <v/>
      </c>
      <c r="D81" s="27">
        <f t="shared" si="23"/>
        <v>0.97800687285223364</v>
      </c>
      <c r="E81" s="26">
        <f t="shared" si="23"/>
        <v>0.98106060606060608</v>
      </c>
      <c r="F81" s="27">
        <f t="shared" si="23"/>
        <v>0.98915401301518424</v>
      </c>
      <c r="G81" s="26">
        <f t="shared" si="23"/>
        <v>0.98806139852188735</v>
      </c>
      <c r="H81" s="27">
        <f t="shared" si="23"/>
        <v>0.97961373390557949</v>
      </c>
      <c r="I81" s="26">
        <f t="shared" si="23"/>
        <v>0.98659354052407078</v>
      </c>
      <c r="J81" s="28">
        <f t="shared" si="23"/>
        <v>0.98224127372933256</v>
      </c>
    </row>
    <row r="82" spans="1:10" ht="15.6" x14ac:dyDescent="0.3">
      <c r="A82" s="127">
        <v>130</v>
      </c>
      <c r="B82" s="6" t="s">
        <v>102</v>
      </c>
      <c r="C82" s="6"/>
      <c r="D82" s="29">
        <v>17.510000000000002</v>
      </c>
      <c r="E82" s="6">
        <v>15.87</v>
      </c>
      <c r="F82" s="29">
        <v>22.17</v>
      </c>
      <c r="G82" s="6">
        <v>21.17</v>
      </c>
      <c r="H82" s="29">
        <v>22.41</v>
      </c>
      <c r="I82" s="6">
        <v>19.73</v>
      </c>
      <c r="J82" s="30">
        <v>19.64</v>
      </c>
    </row>
    <row r="83" spans="1:10" ht="15.6" x14ac:dyDescent="0.3">
      <c r="A83" s="127"/>
      <c r="B83" s="2" t="s">
        <v>103</v>
      </c>
      <c r="C83" s="2"/>
      <c r="D83" s="19">
        <v>17.11</v>
      </c>
      <c r="E83" s="2">
        <v>15.57</v>
      </c>
      <c r="F83" s="19">
        <v>21.93</v>
      </c>
      <c r="G83" s="2">
        <v>20.9</v>
      </c>
      <c r="H83" s="19">
        <v>21.96</v>
      </c>
      <c r="I83" s="2">
        <v>19.46</v>
      </c>
      <c r="J83" s="20">
        <v>19.29</v>
      </c>
    </row>
    <row r="84" spans="1:10" ht="15.6" x14ac:dyDescent="0.3">
      <c r="A84" s="127"/>
      <c r="B84" s="25" t="s">
        <v>104</v>
      </c>
      <c r="C84" s="26" t="str">
        <f t="shared" ref="C84:J84" si="24">IF(OR(C82="",C83=""),"",C83/C82)</f>
        <v/>
      </c>
      <c r="D84" s="27">
        <f t="shared" si="24"/>
        <v>0.97715591090805243</v>
      </c>
      <c r="E84" s="26">
        <f t="shared" si="24"/>
        <v>0.98109640831758038</v>
      </c>
      <c r="F84" s="27">
        <f t="shared" si="24"/>
        <v>0.98917456021650874</v>
      </c>
      <c r="G84" s="26">
        <f t="shared" si="24"/>
        <v>0.9872461029759092</v>
      </c>
      <c r="H84" s="27">
        <f t="shared" si="24"/>
        <v>0.97991967871485952</v>
      </c>
      <c r="I84" s="26">
        <f t="shared" si="24"/>
        <v>0.98631525595539793</v>
      </c>
      <c r="J84" s="28">
        <f t="shared" si="24"/>
        <v>0.98217922606924635</v>
      </c>
    </row>
    <row r="85" spans="1:10" ht="15.6" x14ac:dyDescent="0.3">
      <c r="A85" s="127">
        <v>140</v>
      </c>
      <c r="B85" s="6" t="s">
        <v>102</v>
      </c>
      <c r="C85" s="6"/>
      <c r="D85" s="29">
        <v>20.65</v>
      </c>
      <c r="E85" s="6">
        <v>18.71</v>
      </c>
      <c r="F85" s="29">
        <v>26.14</v>
      </c>
      <c r="G85" s="6">
        <v>24.97</v>
      </c>
      <c r="H85" s="29">
        <v>26.42</v>
      </c>
      <c r="I85" s="6">
        <v>23.26</v>
      </c>
      <c r="J85" s="30">
        <v>23.15</v>
      </c>
    </row>
    <row r="86" spans="1:10" ht="15.6" x14ac:dyDescent="0.3">
      <c r="A86" s="127"/>
      <c r="B86" s="2" t="s">
        <v>103</v>
      </c>
      <c r="C86" s="2"/>
      <c r="D86" s="19">
        <v>20.18</v>
      </c>
      <c r="E86" s="2">
        <v>18.36</v>
      </c>
      <c r="F86" s="19">
        <v>25.86</v>
      </c>
      <c r="G86" s="2">
        <v>24.65</v>
      </c>
      <c r="H86" s="19">
        <v>25.89</v>
      </c>
      <c r="I86" s="2">
        <v>22.95</v>
      </c>
      <c r="J86" s="20">
        <v>22.74</v>
      </c>
    </row>
    <row r="87" spans="1:10" ht="15.6" x14ac:dyDescent="0.3">
      <c r="A87" s="127"/>
      <c r="B87" s="25" t="s">
        <v>104</v>
      </c>
      <c r="C87" s="26" t="str">
        <f t="shared" ref="C87:J87" si="25">IF(OR(C85="",C86=""),"",C86/C85)</f>
        <v/>
      </c>
      <c r="D87" s="27">
        <f t="shared" si="25"/>
        <v>0.97723970944309935</v>
      </c>
      <c r="E87" s="26">
        <f t="shared" si="25"/>
        <v>0.98129342597541414</v>
      </c>
      <c r="F87" s="27">
        <f t="shared" si="25"/>
        <v>0.98928844682478956</v>
      </c>
      <c r="G87" s="26">
        <f t="shared" si="25"/>
        <v>0.98718462154585507</v>
      </c>
      <c r="H87" s="27">
        <f t="shared" si="25"/>
        <v>0.97993943981831944</v>
      </c>
      <c r="I87" s="26">
        <f t="shared" si="25"/>
        <v>0.98667239896818559</v>
      </c>
      <c r="J87" s="28">
        <f t="shared" si="25"/>
        <v>0.98228941684665227</v>
      </c>
    </row>
    <row r="88" spans="1:10" ht="15.6" x14ac:dyDescent="0.3">
      <c r="A88" s="127">
        <v>150</v>
      </c>
      <c r="B88" s="6" t="s">
        <v>102</v>
      </c>
      <c r="C88" s="6"/>
      <c r="D88" s="29">
        <v>23.98</v>
      </c>
      <c r="E88" s="6">
        <v>21.71</v>
      </c>
      <c r="F88" s="29">
        <v>30.33</v>
      </c>
      <c r="G88" s="6">
        <v>28.92</v>
      </c>
      <c r="H88" s="29">
        <v>30.66</v>
      </c>
      <c r="I88" s="6">
        <v>26.99</v>
      </c>
      <c r="J88" s="30">
        <v>26.86</v>
      </c>
    </row>
    <row r="89" spans="1:10" ht="15.6" x14ac:dyDescent="0.3">
      <c r="A89" s="127"/>
      <c r="B89" s="2" t="s">
        <v>103</v>
      </c>
      <c r="C89" s="2"/>
      <c r="D89" s="19">
        <v>23.43</v>
      </c>
      <c r="E89" s="2">
        <v>21.31</v>
      </c>
      <c r="F89" s="19">
        <v>30.02</v>
      </c>
      <c r="G89" s="2">
        <v>28.6</v>
      </c>
      <c r="H89" s="19">
        <v>30.06</v>
      </c>
      <c r="I89" s="2">
        <v>26.64</v>
      </c>
      <c r="J89" s="20">
        <v>26.4</v>
      </c>
    </row>
    <row r="90" spans="1:10" ht="15.6" x14ac:dyDescent="0.3">
      <c r="A90" s="127"/>
      <c r="B90" s="25" t="s">
        <v>104</v>
      </c>
      <c r="C90" s="26" t="str">
        <f t="shared" ref="C90:J90" si="26">IF(OR(C88="",C89=""),"",C89/C88)</f>
        <v/>
      </c>
      <c r="D90" s="27">
        <f t="shared" si="26"/>
        <v>0.97706422018348615</v>
      </c>
      <c r="E90" s="26">
        <f t="shared" si="26"/>
        <v>0.9815753109166282</v>
      </c>
      <c r="F90" s="27">
        <f t="shared" si="26"/>
        <v>0.98977909660402241</v>
      </c>
      <c r="G90" s="26">
        <f t="shared" si="26"/>
        <v>0.98893499308437072</v>
      </c>
      <c r="H90" s="27">
        <f t="shared" si="26"/>
        <v>0.98043052837573386</v>
      </c>
      <c r="I90" s="26">
        <f t="shared" si="26"/>
        <v>0.98703223416080033</v>
      </c>
      <c r="J90" s="28">
        <f t="shared" si="26"/>
        <v>0.98287416232315705</v>
      </c>
    </row>
    <row r="91" spans="1:10" ht="15.6" x14ac:dyDescent="0.3">
      <c r="A91" s="127" t="s">
        <v>126</v>
      </c>
      <c r="B91" s="6" t="s">
        <v>102</v>
      </c>
      <c r="C91" s="6">
        <v>2.5299999999999998</v>
      </c>
      <c r="D91" s="29"/>
      <c r="E91" s="6"/>
      <c r="F91" s="29">
        <v>1094</v>
      </c>
      <c r="G91" s="6">
        <v>1.84</v>
      </c>
      <c r="H91" s="29">
        <v>1.96</v>
      </c>
      <c r="I91" s="6">
        <v>1.72</v>
      </c>
      <c r="J91" s="30">
        <v>1.71</v>
      </c>
    </row>
    <row r="92" spans="1:10" ht="15.6" x14ac:dyDescent="0.3">
      <c r="A92" s="127"/>
      <c r="B92" s="2" t="s">
        <v>103</v>
      </c>
      <c r="C92" s="2">
        <v>2.4500000000000002</v>
      </c>
      <c r="D92" s="19"/>
      <c r="E92" s="2"/>
      <c r="F92" s="19">
        <v>1.89</v>
      </c>
      <c r="G92" s="2">
        <v>1.8</v>
      </c>
      <c r="H92" s="19">
        <v>1.9</v>
      </c>
      <c r="I92" s="2">
        <v>1.68</v>
      </c>
      <c r="J92" s="20">
        <v>1.66</v>
      </c>
    </row>
    <row r="93" spans="1:10" ht="15.6" x14ac:dyDescent="0.3">
      <c r="A93" s="127"/>
      <c r="B93" s="25" t="s">
        <v>104</v>
      </c>
      <c r="C93" s="26">
        <f t="shared" ref="C93:J93" si="27">IF(OR(C91="",C92=""),"",C92/C91)</f>
        <v>0.96837944664031639</v>
      </c>
      <c r="D93" s="27" t="str">
        <f t="shared" si="27"/>
        <v/>
      </c>
      <c r="E93" s="26" t="str">
        <f t="shared" si="27"/>
        <v/>
      </c>
      <c r="F93" s="27">
        <f t="shared" si="27"/>
        <v>1.7276051188299816E-3</v>
      </c>
      <c r="G93" s="26">
        <f t="shared" si="27"/>
        <v>0.97826086956521741</v>
      </c>
      <c r="H93" s="27">
        <f t="shared" si="27"/>
        <v>0.96938775510204078</v>
      </c>
      <c r="I93" s="26">
        <f t="shared" si="27"/>
        <v>0.97674418604651159</v>
      </c>
      <c r="J93" s="28">
        <f t="shared" si="27"/>
        <v>0.9707602339181286</v>
      </c>
    </row>
    <row r="94" spans="1:10" ht="15.6" x14ac:dyDescent="0.3">
      <c r="A94" s="127" t="s">
        <v>127</v>
      </c>
      <c r="B94" s="6" t="s">
        <v>102</v>
      </c>
      <c r="C94" s="6"/>
      <c r="D94" s="29"/>
      <c r="E94" s="6"/>
      <c r="F94" s="29">
        <v>2.97</v>
      </c>
      <c r="G94" s="6">
        <v>2.82</v>
      </c>
      <c r="H94" s="29">
        <v>3</v>
      </c>
      <c r="I94" s="6">
        <v>2.64</v>
      </c>
      <c r="J94" s="30">
        <v>2.62</v>
      </c>
    </row>
    <row r="95" spans="1:10" ht="15.6" x14ac:dyDescent="0.3">
      <c r="A95" s="127"/>
      <c r="B95" s="2" t="s">
        <v>103</v>
      </c>
      <c r="C95" s="2"/>
      <c r="D95" s="19"/>
      <c r="E95" s="2"/>
      <c r="F95" s="19">
        <v>2.91</v>
      </c>
      <c r="G95" s="2">
        <v>2.77</v>
      </c>
      <c r="H95" s="19">
        <v>2.92</v>
      </c>
      <c r="I95" s="2">
        <v>2.58</v>
      </c>
      <c r="J95" s="20">
        <v>2.56</v>
      </c>
    </row>
    <row r="96" spans="1:10" ht="15.6" x14ac:dyDescent="0.3">
      <c r="A96" s="127"/>
      <c r="B96" s="25" t="s">
        <v>104</v>
      </c>
      <c r="C96" s="26" t="str">
        <f t="shared" ref="C96:J96" si="28">IF(OR(C94="",C95=""),"",C95/C94)</f>
        <v/>
      </c>
      <c r="D96" s="27" t="str">
        <f t="shared" si="28"/>
        <v/>
      </c>
      <c r="E96" s="26" t="str">
        <f t="shared" si="28"/>
        <v/>
      </c>
      <c r="F96" s="27">
        <f t="shared" si="28"/>
        <v>0.97979797979797978</v>
      </c>
      <c r="G96" s="26">
        <f t="shared" si="28"/>
        <v>0.98226950354609932</v>
      </c>
      <c r="H96" s="27">
        <f t="shared" si="28"/>
        <v>0.97333333333333327</v>
      </c>
      <c r="I96" s="26">
        <f t="shared" si="28"/>
        <v>0.97727272727272729</v>
      </c>
      <c r="J96" s="28">
        <f t="shared" si="28"/>
        <v>0.97709923664122134</v>
      </c>
    </row>
    <row r="97" spans="1:10" ht="15.6" x14ac:dyDescent="0.3">
      <c r="A97" s="127" t="s">
        <v>128</v>
      </c>
      <c r="B97" s="6" t="s">
        <v>102</v>
      </c>
      <c r="C97" s="6"/>
      <c r="D97" s="29"/>
      <c r="E97" s="6"/>
      <c r="F97" s="29">
        <v>4.25</v>
      </c>
      <c r="G97" s="6">
        <v>4.04</v>
      </c>
      <c r="H97" s="29">
        <v>4.3</v>
      </c>
      <c r="I97" s="6">
        <v>3.78</v>
      </c>
      <c r="J97" s="30">
        <v>3.76</v>
      </c>
    </row>
    <row r="98" spans="1:10" ht="15.6" x14ac:dyDescent="0.3">
      <c r="A98" s="127"/>
      <c r="B98" s="2" t="s">
        <v>103</v>
      </c>
      <c r="C98" s="2"/>
      <c r="D98" s="19"/>
      <c r="E98" s="2"/>
      <c r="F98" s="19">
        <v>4.17</v>
      </c>
      <c r="G98" s="2">
        <v>3.97</v>
      </c>
      <c r="H98" s="19">
        <v>4.1900000000000004</v>
      </c>
      <c r="I98" s="2">
        <v>3.7</v>
      </c>
      <c r="J98" s="20">
        <v>3.67</v>
      </c>
    </row>
    <row r="99" spans="1:10" ht="15.6" x14ac:dyDescent="0.3">
      <c r="A99" s="127"/>
      <c r="B99" s="25" t="s">
        <v>104</v>
      </c>
      <c r="C99" s="26" t="str">
        <f t="shared" ref="C99:J99" si="29">IF(OR(C97="",C98=""),"",C98/C97)</f>
        <v/>
      </c>
      <c r="D99" s="27" t="str">
        <f t="shared" si="29"/>
        <v/>
      </c>
      <c r="E99" s="26" t="str">
        <f t="shared" si="29"/>
        <v/>
      </c>
      <c r="F99" s="27">
        <f t="shared" si="29"/>
        <v>0.98117647058823532</v>
      </c>
      <c r="G99" s="26">
        <f t="shared" si="29"/>
        <v>0.98267326732673266</v>
      </c>
      <c r="H99" s="27">
        <f t="shared" si="29"/>
        <v>0.97441860465116292</v>
      </c>
      <c r="I99" s="26">
        <f t="shared" si="29"/>
        <v>0.97883597883597895</v>
      </c>
      <c r="J99" s="28">
        <f t="shared" si="29"/>
        <v>0.97606382978723405</v>
      </c>
    </row>
    <row r="100" spans="1:10" ht="15.6" x14ac:dyDescent="0.3">
      <c r="A100" s="127" t="s">
        <v>129</v>
      </c>
      <c r="B100" s="6" t="s">
        <v>102</v>
      </c>
      <c r="C100" s="6"/>
      <c r="D100" s="29"/>
      <c r="E100" s="6"/>
      <c r="F100" s="29">
        <v>5.77</v>
      </c>
      <c r="G100" s="6">
        <v>5.49</v>
      </c>
      <c r="H100" s="29">
        <v>5.84</v>
      </c>
      <c r="I100" s="6">
        <v>4.1399999999999997</v>
      </c>
      <c r="J100" s="30">
        <v>5.1100000000000003</v>
      </c>
    </row>
    <row r="101" spans="1:10" ht="15.6" x14ac:dyDescent="0.3">
      <c r="A101" s="127"/>
      <c r="B101" s="2" t="s">
        <v>103</v>
      </c>
      <c r="C101" s="2"/>
      <c r="D101" s="19"/>
      <c r="E101" s="2"/>
      <c r="F101" s="19">
        <v>5.69</v>
      </c>
      <c r="G101" s="2">
        <v>5.42</v>
      </c>
      <c r="H101" s="19">
        <v>5.71</v>
      </c>
      <c r="I101" s="2">
        <v>5.05</v>
      </c>
      <c r="J101" s="20">
        <v>5.01</v>
      </c>
    </row>
    <row r="102" spans="1:10" ht="15.6" x14ac:dyDescent="0.3">
      <c r="A102" s="127"/>
      <c r="B102" s="25" t="s">
        <v>104</v>
      </c>
      <c r="C102" s="26" t="str">
        <f t="shared" ref="C102:J102" si="30">IF(OR(C100="",C101=""),"",C101/C100)</f>
        <v/>
      </c>
      <c r="D102" s="27" t="str">
        <f t="shared" si="30"/>
        <v/>
      </c>
      <c r="E102" s="26" t="str">
        <f t="shared" si="30"/>
        <v/>
      </c>
      <c r="F102" s="27">
        <f t="shared" si="30"/>
        <v>0.98613518197573669</v>
      </c>
      <c r="G102" s="26">
        <f t="shared" si="30"/>
        <v>0.98724954462659376</v>
      </c>
      <c r="H102" s="27">
        <f t="shared" si="30"/>
        <v>0.97773972602739723</v>
      </c>
      <c r="I102" s="26">
        <f t="shared" si="30"/>
        <v>1.2198067632850242</v>
      </c>
      <c r="J102" s="28">
        <f t="shared" si="30"/>
        <v>0.98043052837573375</v>
      </c>
    </row>
    <row r="103" spans="1:10" ht="15.6" x14ac:dyDescent="0.3">
      <c r="A103" s="127" t="s">
        <v>130</v>
      </c>
      <c r="B103" s="6" t="s">
        <v>102</v>
      </c>
      <c r="C103" s="6">
        <v>9.8699999999999992</v>
      </c>
      <c r="D103" s="29"/>
      <c r="E103" s="6"/>
      <c r="F103" s="29">
        <v>7.55</v>
      </c>
      <c r="G103" s="6">
        <v>7.18</v>
      </c>
      <c r="H103" s="29">
        <v>7.64</v>
      </c>
      <c r="I103" s="6">
        <v>6.73</v>
      </c>
      <c r="J103" s="30">
        <v>6.68</v>
      </c>
    </row>
    <row r="104" spans="1:10" ht="15.6" x14ac:dyDescent="0.3">
      <c r="A104" s="127"/>
      <c r="B104" s="2" t="s">
        <v>103</v>
      </c>
      <c r="C104" s="2">
        <v>9.68</v>
      </c>
      <c r="D104" s="19"/>
      <c r="E104" s="2"/>
      <c r="F104" s="19">
        <v>7.48</v>
      </c>
      <c r="G104" s="2">
        <v>7.12</v>
      </c>
      <c r="H104" s="19">
        <v>7.5</v>
      </c>
      <c r="I104" s="2">
        <v>6.63</v>
      </c>
      <c r="J104" s="20">
        <v>6.58</v>
      </c>
    </row>
    <row r="105" spans="1:10" ht="15.6" x14ac:dyDescent="0.3">
      <c r="A105" s="127"/>
      <c r="B105" s="25" t="s">
        <v>104</v>
      </c>
      <c r="C105" s="26">
        <f t="shared" ref="C105:J105" si="31">IF(OR(C103="",C104=""),"",C104/C103)</f>
        <v>0.98074974670719361</v>
      </c>
      <c r="D105" s="27" t="str">
        <f t="shared" si="31"/>
        <v/>
      </c>
      <c r="E105" s="26" t="str">
        <f t="shared" si="31"/>
        <v/>
      </c>
      <c r="F105" s="27">
        <f t="shared" si="31"/>
        <v>0.99072847682119214</v>
      </c>
      <c r="G105" s="26">
        <f t="shared" si="31"/>
        <v>0.99164345403899723</v>
      </c>
      <c r="H105" s="27">
        <f t="shared" si="31"/>
        <v>0.98167539267015713</v>
      </c>
      <c r="I105" s="26">
        <f t="shared" si="31"/>
        <v>0.98514115898959875</v>
      </c>
      <c r="J105" s="28">
        <f t="shared" si="31"/>
        <v>0.98502994011976053</v>
      </c>
    </row>
    <row r="106" spans="1:10" ht="15.6" x14ac:dyDescent="0.3">
      <c r="A106" s="127" t="s">
        <v>131</v>
      </c>
      <c r="B106" s="6" t="s">
        <v>102</v>
      </c>
      <c r="C106" s="6"/>
      <c r="D106" s="29"/>
      <c r="E106" s="6"/>
      <c r="F106" s="29">
        <v>9.58</v>
      </c>
      <c r="G106" s="6">
        <v>9.11</v>
      </c>
      <c r="H106" s="29">
        <v>9.69</v>
      </c>
      <c r="I106" s="6">
        <v>8.5299999999999994</v>
      </c>
      <c r="J106" s="30">
        <v>8.4700000000000006</v>
      </c>
    </row>
    <row r="107" spans="1:10" ht="15.6" x14ac:dyDescent="0.3">
      <c r="A107" s="127"/>
      <c r="B107" s="2" t="s">
        <v>103</v>
      </c>
      <c r="C107" s="2"/>
      <c r="D107" s="19"/>
      <c r="E107" s="2"/>
      <c r="F107" s="19">
        <v>9.51</v>
      </c>
      <c r="G107" s="2">
        <v>9.0500000000000007</v>
      </c>
      <c r="H107" s="19">
        <v>9.5500000000000007</v>
      </c>
      <c r="I107" s="2">
        <v>8.43</v>
      </c>
      <c r="J107" s="20">
        <v>8.3699999999999992</v>
      </c>
    </row>
    <row r="108" spans="1:10" ht="15.6" x14ac:dyDescent="0.3">
      <c r="A108" s="127"/>
      <c r="B108" s="25" t="s">
        <v>104</v>
      </c>
      <c r="C108" s="26" t="str">
        <f t="shared" ref="C108:J108" si="32">IF(OR(C106="",C107=""),"",C107/C106)</f>
        <v/>
      </c>
      <c r="D108" s="27" t="str">
        <f t="shared" si="32"/>
        <v/>
      </c>
      <c r="E108" s="26" t="str">
        <f t="shared" si="32"/>
        <v/>
      </c>
      <c r="F108" s="27">
        <f t="shared" si="32"/>
        <v>0.99269311064718158</v>
      </c>
      <c r="G108" s="26">
        <f t="shared" si="32"/>
        <v>0.99341383095499469</v>
      </c>
      <c r="H108" s="27">
        <f t="shared" si="32"/>
        <v>0.98555211558307543</v>
      </c>
      <c r="I108" s="26">
        <f t="shared" si="32"/>
        <v>0.98827667057444313</v>
      </c>
      <c r="J108" s="28">
        <f t="shared" si="32"/>
        <v>0.98819362455726079</v>
      </c>
    </row>
    <row r="109" spans="1:10" ht="15.6" x14ac:dyDescent="0.3">
      <c r="A109" s="127" t="s">
        <v>132</v>
      </c>
      <c r="B109" s="6" t="s">
        <v>102</v>
      </c>
      <c r="C109" s="6"/>
      <c r="D109" s="29"/>
      <c r="E109" s="6"/>
      <c r="F109" s="29"/>
      <c r="G109" s="6"/>
      <c r="H109" s="29">
        <v>5.73</v>
      </c>
      <c r="I109" s="6">
        <v>5.0599999999999996</v>
      </c>
      <c r="J109" s="30">
        <v>5.0199999999999996</v>
      </c>
    </row>
    <row r="110" spans="1:10" ht="15.6" x14ac:dyDescent="0.3">
      <c r="A110" s="127"/>
      <c r="B110" s="2" t="s">
        <v>103</v>
      </c>
      <c r="C110" s="2"/>
      <c r="D110" s="19"/>
      <c r="E110" s="2"/>
      <c r="F110" s="19"/>
      <c r="G110" s="2"/>
      <c r="H110" s="19">
        <v>5.67</v>
      </c>
      <c r="I110" s="2">
        <v>5.0199999999999996</v>
      </c>
      <c r="J110" s="20">
        <v>4.9800000000000004</v>
      </c>
    </row>
    <row r="111" spans="1:10" ht="15.6" x14ac:dyDescent="0.3">
      <c r="A111" s="127"/>
      <c r="B111" s="25" t="s">
        <v>104</v>
      </c>
      <c r="C111" s="26" t="str">
        <f t="shared" ref="C111:J111" si="33">IF(OR(C109="",C110=""),"",C110/C109)</f>
        <v/>
      </c>
      <c r="D111" s="27" t="str">
        <f t="shared" si="33"/>
        <v/>
      </c>
      <c r="E111" s="26" t="str">
        <f t="shared" si="33"/>
        <v/>
      </c>
      <c r="F111" s="27" t="str">
        <f t="shared" si="33"/>
        <v/>
      </c>
      <c r="G111" s="26" t="str">
        <f t="shared" si="33"/>
        <v/>
      </c>
      <c r="H111" s="27">
        <f t="shared" si="33"/>
        <v>0.9895287958115182</v>
      </c>
      <c r="I111" s="26">
        <f t="shared" si="33"/>
        <v>0.9920948616600791</v>
      </c>
      <c r="J111" s="28">
        <f t="shared" si="33"/>
        <v>0.99203187250996028</v>
      </c>
    </row>
    <row r="112" spans="1:10" ht="15.6" x14ac:dyDescent="0.3">
      <c r="A112" s="129" t="s">
        <v>133</v>
      </c>
      <c r="B112" s="45" t="s">
        <v>102</v>
      </c>
      <c r="C112" s="45"/>
      <c r="D112" s="46"/>
      <c r="E112" s="45"/>
      <c r="F112" s="46"/>
      <c r="G112" s="45"/>
      <c r="H112" s="46"/>
      <c r="I112" s="45"/>
      <c r="J112" s="47"/>
    </row>
    <row r="113" spans="1:10" ht="15.6" x14ac:dyDescent="0.3">
      <c r="A113" s="129"/>
      <c r="B113" s="48" t="s">
        <v>103</v>
      </c>
      <c r="C113" s="48"/>
      <c r="D113" s="49"/>
      <c r="E113" s="48"/>
      <c r="F113" s="49"/>
      <c r="G113" s="48"/>
      <c r="H113" s="49"/>
      <c r="I113" s="48"/>
      <c r="J113" s="50"/>
    </row>
    <row r="114" spans="1:10" ht="15.6" x14ac:dyDescent="0.3">
      <c r="A114" s="129"/>
      <c r="B114" s="51" t="s">
        <v>104</v>
      </c>
      <c r="C114" s="52" t="str">
        <f t="shared" ref="C114:J114" si="34">IF(OR(C112="",C113=""),"",C113/C112)</f>
        <v/>
      </c>
      <c r="D114" s="53" t="str">
        <f t="shared" si="34"/>
        <v/>
      </c>
      <c r="E114" s="52" t="str">
        <f t="shared" si="34"/>
        <v/>
      </c>
      <c r="F114" s="53" t="str">
        <f t="shared" si="34"/>
        <v/>
      </c>
      <c r="G114" s="52" t="str">
        <f t="shared" si="34"/>
        <v/>
      </c>
      <c r="H114" s="53" t="str">
        <f t="shared" si="34"/>
        <v/>
      </c>
      <c r="I114" s="52" t="str">
        <f t="shared" si="34"/>
        <v/>
      </c>
      <c r="J114" s="54" t="str">
        <f t="shared" si="34"/>
        <v/>
      </c>
    </row>
    <row r="115" spans="1:10" ht="15.6" x14ac:dyDescent="0.3">
      <c r="A115" s="129" t="s">
        <v>134</v>
      </c>
      <c r="B115" s="45" t="s">
        <v>102</v>
      </c>
      <c r="C115" s="45"/>
      <c r="D115" s="46"/>
      <c r="E115" s="45"/>
      <c r="F115" s="46"/>
      <c r="G115" s="45"/>
      <c r="H115" s="46"/>
      <c r="I115" s="45"/>
      <c r="J115" s="47"/>
    </row>
    <row r="116" spans="1:10" ht="15.6" x14ac:dyDescent="0.3">
      <c r="A116" s="129"/>
      <c r="B116" s="48" t="s">
        <v>103</v>
      </c>
      <c r="C116" s="48"/>
      <c r="D116" s="49"/>
      <c r="E116" s="48"/>
      <c r="F116" s="49"/>
      <c r="G116" s="48"/>
      <c r="H116" s="49"/>
      <c r="I116" s="48"/>
      <c r="J116" s="50"/>
    </row>
    <row r="117" spans="1:10" ht="15.6" x14ac:dyDescent="0.3">
      <c r="A117" s="129"/>
      <c r="B117" s="51" t="s">
        <v>104</v>
      </c>
      <c r="C117" s="52" t="str">
        <f t="shared" ref="C117:J117" si="35">IF(OR(C115="",C116=""),"",C116/C115)</f>
        <v/>
      </c>
      <c r="D117" s="53" t="str">
        <f t="shared" si="35"/>
        <v/>
      </c>
      <c r="E117" s="52" t="str">
        <f t="shared" si="35"/>
        <v/>
      </c>
      <c r="F117" s="53" t="str">
        <f t="shared" si="35"/>
        <v/>
      </c>
      <c r="G117" s="52" t="str">
        <f t="shared" si="35"/>
        <v/>
      </c>
      <c r="H117" s="53" t="str">
        <f t="shared" si="35"/>
        <v/>
      </c>
      <c r="I117" s="52" t="str">
        <f t="shared" si="35"/>
        <v/>
      </c>
      <c r="J117" s="54" t="str">
        <f t="shared" si="35"/>
        <v/>
      </c>
    </row>
    <row r="119" spans="1:10" ht="15.6" x14ac:dyDescent="0.3">
      <c r="A119" s="8" t="s">
        <v>135</v>
      </c>
    </row>
    <row r="120" spans="1:10" ht="15.6" x14ac:dyDescent="0.3">
      <c r="B120" s="15" t="s">
        <v>100</v>
      </c>
      <c r="C120" s="4" t="s">
        <v>26</v>
      </c>
      <c r="D120" s="16" t="s">
        <v>14</v>
      </c>
      <c r="E120" s="4" t="s">
        <v>18</v>
      </c>
      <c r="F120" s="16" t="s">
        <v>68</v>
      </c>
      <c r="G120" s="4" t="s">
        <v>27</v>
      </c>
      <c r="H120" s="16" t="s">
        <v>22</v>
      </c>
      <c r="I120" s="4" t="s">
        <v>22</v>
      </c>
      <c r="J120" s="17" t="s">
        <v>40</v>
      </c>
    </row>
    <row r="121" spans="1:10" ht="15.6" x14ac:dyDescent="0.3">
      <c r="B121" s="41" t="s">
        <v>101</v>
      </c>
      <c r="C121" s="42" t="s">
        <v>26</v>
      </c>
      <c r="D121" s="43" t="s">
        <v>14</v>
      </c>
      <c r="E121" s="42" t="s">
        <v>18</v>
      </c>
      <c r="F121" s="43" t="s">
        <v>68</v>
      </c>
      <c r="G121" s="42" t="s">
        <v>27</v>
      </c>
      <c r="H121" s="43" t="s">
        <v>21</v>
      </c>
      <c r="I121" s="42" t="s">
        <v>22</v>
      </c>
      <c r="J121" s="44" t="s">
        <v>22</v>
      </c>
    </row>
    <row r="122" spans="1:10" ht="15.6" x14ac:dyDescent="0.3">
      <c r="A122" s="7" t="s">
        <v>6</v>
      </c>
      <c r="B122" s="21"/>
      <c r="C122" s="22"/>
      <c r="D122" s="23"/>
      <c r="E122" s="22"/>
      <c r="F122" s="23"/>
      <c r="G122" s="22"/>
      <c r="H122" s="23"/>
      <c r="I122" s="22"/>
      <c r="J122" s="24"/>
    </row>
    <row r="123" spans="1:10" ht="15.6" x14ac:dyDescent="0.3">
      <c r="A123" s="127">
        <v>70</v>
      </c>
      <c r="B123" s="2" t="s">
        <v>102</v>
      </c>
      <c r="C123" s="2"/>
      <c r="D123" s="19"/>
      <c r="E123" s="2">
        <v>0.69</v>
      </c>
      <c r="F123" s="19"/>
      <c r="G123" s="2"/>
      <c r="H123" s="19">
        <v>0.97</v>
      </c>
      <c r="I123" s="2">
        <v>0.86</v>
      </c>
      <c r="J123" s="20">
        <v>0.85</v>
      </c>
    </row>
    <row r="124" spans="1:10" ht="15.6" x14ac:dyDescent="0.3">
      <c r="A124" s="127"/>
      <c r="B124" s="2" t="s">
        <v>103</v>
      </c>
      <c r="C124" s="2"/>
      <c r="D124" s="19"/>
      <c r="E124" s="2">
        <v>1.37</v>
      </c>
      <c r="F124" s="19"/>
      <c r="G124" s="2"/>
      <c r="H124" s="19">
        <v>1.94</v>
      </c>
      <c r="I124" s="2">
        <v>1.72</v>
      </c>
      <c r="J124" s="20">
        <v>1.7</v>
      </c>
    </row>
    <row r="125" spans="1:10" ht="15.6" x14ac:dyDescent="0.3">
      <c r="A125" s="127"/>
      <c r="B125" s="25" t="s">
        <v>104</v>
      </c>
      <c r="C125" s="26" t="str">
        <f t="shared" ref="C125:J125" si="36">IF(OR(C123="",C124=""),"",C124/C123)</f>
        <v/>
      </c>
      <c r="D125" s="27" t="str">
        <f t="shared" si="36"/>
        <v/>
      </c>
      <c r="E125" s="26">
        <f t="shared" si="36"/>
        <v>1.985507246376812</v>
      </c>
      <c r="F125" s="27" t="str">
        <f t="shared" si="36"/>
        <v/>
      </c>
      <c r="G125" s="26" t="str">
        <f t="shared" si="36"/>
        <v/>
      </c>
      <c r="H125" s="27">
        <f t="shared" si="36"/>
        <v>2</v>
      </c>
      <c r="I125" s="26">
        <f t="shared" si="36"/>
        <v>2</v>
      </c>
      <c r="J125" s="28">
        <f t="shared" si="36"/>
        <v>2</v>
      </c>
    </row>
    <row r="126" spans="1:10" ht="15.6" x14ac:dyDescent="0.3">
      <c r="A126" s="127">
        <v>80</v>
      </c>
      <c r="B126" s="6" t="s">
        <v>102</v>
      </c>
      <c r="C126" s="6"/>
      <c r="D126" s="29"/>
      <c r="E126" s="6">
        <v>1.18</v>
      </c>
      <c r="F126" s="29"/>
      <c r="G126" s="6"/>
      <c r="H126" s="29">
        <v>1.66</v>
      </c>
      <c r="I126" s="6">
        <v>1.46</v>
      </c>
      <c r="J126" s="30">
        <v>1.45</v>
      </c>
    </row>
    <row r="127" spans="1:10" ht="15.6" x14ac:dyDescent="0.3">
      <c r="A127" s="127"/>
      <c r="B127" s="2" t="s">
        <v>103</v>
      </c>
      <c r="C127" s="2"/>
      <c r="D127" s="19"/>
      <c r="E127" s="2">
        <v>2.16</v>
      </c>
      <c r="F127" s="19"/>
      <c r="G127" s="2"/>
      <c r="H127" s="19">
        <v>3.05</v>
      </c>
      <c r="I127" s="2">
        <v>2.7</v>
      </c>
      <c r="J127" s="20">
        <v>2.68</v>
      </c>
    </row>
    <row r="128" spans="1:10" ht="15.6" x14ac:dyDescent="0.3">
      <c r="A128" s="127"/>
      <c r="B128" s="25" t="s">
        <v>104</v>
      </c>
      <c r="C128" s="26" t="str">
        <f t="shared" ref="C128:J128" si="37">IF(OR(C126="",C127=""),"",C127/C126)</f>
        <v/>
      </c>
      <c r="D128" s="27" t="str">
        <f t="shared" si="37"/>
        <v/>
      </c>
      <c r="E128" s="26">
        <f t="shared" si="37"/>
        <v>1.8305084745762714</v>
      </c>
      <c r="F128" s="27" t="str">
        <f t="shared" si="37"/>
        <v/>
      </c>
      <c r="G128" s="26" t="str">
        <f t="shared" si="37"/>
        <v/>
      </c>
      <c r="H128" s="27">
        <f t="shared" si="37"/>
        <v>1.8373493975903614</v>
      </c>
      <c r="I128" s="26">
        <f t="shared" si="37"/>
        <v>1.8493150684931507</v>
      </c>
      <c r="J128" s="28">
        <f t="shared" si="37"/>
        <v>1.8482758620689657</v>
      </c>
    </row>
    <row r="129" spans="1:10" ht="15.6" x14ac:dyDescent="0.3">
      <c r="A129" s="127">
        <v>90</v>
      </c>
      <c r="B129" s="6" t="s">
        <v>102</v>
      </c>
      <c r="C129" s="6"/>
      <c r="D129" s="29"/>
      <c r="E129" s="6">
        <v>1.79</v>
      </c>
      <c r="F129" s="29"/>
      <c r="G129" s="6"/>
      <c r="H129" s="29">
        <v>2.52</v>
      </c>
      <c r="I129" s="6">
        <v>2.21</v>
      </c>
      <c r="J129" s="30">
        <v>2.2000000000000002</v>
      </c>
    </row>
    <row r="130" spans="1:10" ht="15.6" x14ac:dyDescent="0.3">
      <c r="A130" s="127"/>
      <c r="B130" s="2" t="s">
        <v>103</v>
      </c>
      <c r="C130" s="2"/>
      <c r="D130" s="19"/>
      <c r="E130" s="2">
        <v>3.11</v>
      </c>
      <c r="F130" s="19"/>
      <c r="G130" s="2"/>
      <c r="H130" s="19">
        <v>4.3899999999999997</v>
      </c>
      <c r="I130" s="2">
        <v>3.89</v>
      </c>
      <c r="J130" s="20">
        <v>3.86</v>
      </c>
    </row>
    <row r="131" spans="1:10" ht="15.6" x14ac:dyDescent="0.3">
      <c r="A131" s="127"/>
      <c r="B131" s="25" t="s">
        <v>104</v>
      </c>
      <c r="C131" s="26" t="str">
        <f t="shared" ref="C131:J131" si="38">IF(OR(C129="",C130=""),"",C130/C129)</f>
        <v/>
      </c>
      <c r="D131" s="27" t="str">
        <f t="shared" si="38"/>
        <v/>
      </c>
      <c r="E131" s="26">
        <f t="shared" si="38"/>
        <v>1.7374301675977653</v>
      </c>
      <c r="F131" s="27" t="str">
        <f t="shared" si="38"/>
        <v/>
      </c>
      <c r="G131" s="26" t="str">
        <f t="shared" si="38"/>
        <v/>
      </c>
      <c r="H131" s="27">
        <f t="shared" si="38"/>
        <v>1.7420634920634919</v>
      </c>
      <c r="I131" s="26">
        <f t="shared" si="38"/>
        <v>1.7601809954751133</v>
      </c>
      <c r="J131" s="28">
        <f t="shared" si="38"/>
        <v>1.7545454545454544</v>
      </c>
    </row>
    <row r="132" spans="1:10" ht="15.6" x14ac:dyDescent="0.3">
      <c r="A132" s="127">
        <v>100</v>
      </c>
      <c r="B132" s="6" t="s">
        <v>102</v>
      </c>
      <c r="C132" s="6"/>
      <c r="D132" s="29"/>
      <c r="E132" s="6">
        <v>2.5099999999999998</v>
      </c>
      <c r="F132" s="29"/>
      <c r="G132" s="6"/>
      <c r="H132" s="29">
        <v>3.54</v>
      </c>
      <c r="I132" s="6">
        <v>3.1</v>
      </c>
      <c r="J132" s="30">
        <v>3.09</v>
      </c>
    </row>
    <row r="133" spans="1:10" ht="15.6" x14ac:dyDescent="0.3">
      <c r="A133" s="127"/>
      <c r="B133" s="2" t="s">
        <v>103</v>
      </c>
      <c r="C133" s="2"/>
      <c r="D133" s="19"/>
      <c r="E133" s="2">
        <v>4.21</v>
      </c>
      <c r="F133" s="19"/>
      <c r="G133" s="2"/>
      <c r="H133" s="19">
        <v>5.95</v>
      </c>
      <c r="I133" s="2">
        <v>5.27</v>
      </c>
      <c r="J133" s="20">
        <v>5.23</v>
      </c>
    </row>
    <row r="134" spans="1:10" ht="15.6" x14ac:dyDescent="0.3">
      <c r="A134" s="127"/>
      <c r="B134" s="25" t="s">
        <v>104</v>
      </c>
      <c r="C134" s="26" t="str">
        <f t="shared" ref="C134:J134" si="39">IF(OR(C132="",C133=""),"",C133/C132)</f>
        <v/>
      </c>
      <c r="D134" s="27" t="str">
        <f t="shared" si="39"/>
        <v/>
      </c>
      <c r="E134" s="26">
        <f t="shared" si="39"/>
        <v>1.6772908366533865</v>
      </c>
      <c r="F134" s="27" t="str">
        <f t="shared" si="39"/>
        <v/>
      </c>
      <c r="G134" s="26" t="str">
        <f t="shared" si="39"/>
        <v/>
      </c>
      <c r="H134" s="27">
        <f t="shared" si="39"/>
        <v>1.6807909604519775</v>
      </c>
      <c r="I134" s="26">
        <f t="shared" si="39"/>
        <v>1.6999999999999997</v>
      </c>
      <c r="J134" s="28">
        <f t="shared" si="39"/>
        <v>1.6925566343042073</v>
      </c>
    </row>
    <row r="135" spans="1:10" ht="15.6" x14ac:dyDescent="0.3">
      <c r="A135" s="127">
        <v>110</v>
      </c>
      <c r="B135" s="6" t="s">
        <v>102</v>
      </c>
      <c r="C135" s="6"/>
      <c r="D135" s="29"/>
      <c r="E135" s="6">
        <v>3.33</v>
      </c>
      <c r="F135" s="29"/>
      <c r="G135" s="6"/>
      <c r="H135" s="29">
        <v>4.68</v>
      </c>
      <c r="I135" s="6">
        <v>4.12</v>
      </c>
      <c r="J135" s="30">
        <v>4.09</v>
      </c>
    </row>
    <row r="136" spans="1:10" ht="15.6" x14ac:dyDescent="0.3">
      <c r="A136" s="127"/>
      <c r="B136" s="2" t="s">
        <v>103</v>
      </c>
      <c r="C136" s="2"/>
      <c r="D136" s="19"/>
      <c r="E136" s="2">
        <v>5.44</v>
      </c>
      <c r="F136" s="19"/>
      <c r="G136" s="2"/>
      <c r="H136" s="19">
        <v>7.69</v>
      </c>
      <c r="I136" s="2">
        <v>6.8</v>
      </c>
      <c r="J136" s="20">
        <v>6.75</v>
      </c>
    </row>
    <row r="137" spans="1:10" ht="15.6" x14ac:dyDescent="0.3">
      <c r="A137" s="127"/>
      <c r="B137" s="25" t="s">
        <v>104</v>
      </c>
      <c r="C137" s="26" t="str">
        <f t="shared" ref="C137:J137" si="40">IF(OR(C135="",C136=""),"",C136/C135)</f>
        <v/>
      </c>
      <c r="D137" s="27" t="str">
        <f t="shared" si="40"/>
        <v/>
      </c>
      <c r="E137" s="26">
        <f t="shared" si="40"/>
        <v>1.6336336336336337</v>
      </c>
      <c r="F137" s="27" t="str">
        <f t="shared" si="40"/>
        <v/>
      </c>
      <c r="G137" s="26" t="str">
        <f t="shared" si="40"/>
        <v/>
      </c>
      <c r="H137" s="27">
        <f t="shared" si="40"/>
        <v>1.6431623931623933</v>
      </c>
      <c r="I137" s="26">
        <f t="shared" si="40"/>
        <v>1.6504854368932038</v>
      </c>
      <c r="J137" s="28">
        <f t="shared" si="40"/>
        <v>1.6503667481662592</v>
      </c>
    </row>
    <row r="138" spans="1:10" ht="15.6" x14ac:dyDescent="0.3">
      <c r="A138" s="127">
        <v>120</v>
      </c>
      <c r="B138" s="6" t="s">
        <v>102</v>
      </c>
      <c r="C138" s="6"/>
      <c r="D138" s="29"/>
      <c r="E138" s="6">
        <v>4.2300000000000004</v>
      </c>
      <c r="F138" s="29"/>
      <c r="G138" s="6"/>
      <c r="H138" s="29">
        <v>5.97</v>
      </c>
      <c r="I138" s="6">
        <v>5.24</v>
      </c>
      <c r="J138" s="30">
        <v>5.2</v>
      </c>
    </row>
    <row r="139" spans="1:10" ht="15.6" x14ac:dyDescent="0.3">
      <c r="A139" s="127"/>
      <c r="B139" s="2" t="s">
        <v>103</v>
      </c>
      <c r="C139" s="2"/>
      <c r="D139" s="19"/>
      <c r="E139" s="2">
        <v>6.8</v>
      </c>
      <c r="F139" s="19"/>
      <c r="G139" s="2"/>
      <c r="H139" s="19">
        <v>9.61</v>
      </c>
      <c r="I139" s="2">
        <v>8.49</v>
      </c>
      <c r="J139" s="20">
        <v>8.42</v>
      </c>
    </row>
    <row r="140" spans="1:10" ht="15.6" x14ac:dyDescent="0.3">
      <c r="A140" s="127"/>
      <c r="B140" s="25" t="s">
        <v>104</v>
      </c>
      <c r="C140" s="26" t="str">
        <f t="shared" ref="C140:J140" si="41">IF(OR(C138="",C139=""),"",C139/C138)</f>
        <v/>
      </c>
      <c r="D140" s="27" t="str">
        <f t="shared" si="41"/>
        <v/>
      </c>
      <c r="E140" s="26">
        <f t="shared" si="41"/>
        <v>1.6075650118203308</v>
      </c>
      <c r="F140" s="27" t="str">
        <f t="shared" si="41"/>
        <v/>
      </c>
      <c r="G140" s="26" t="str">
        <f t="shared" si="41"/>
        <v/>
      </c>
      <c r="H140" s="27">
        <f t="shared" si="41"/>
        <v>1.6097152428810719</v>
      </c>
      <c r="I140" s="26">
        <f t="shared" si="41"/>
        <v>1.6202290076335877</v>
      </c>
      <c r="J140" s="28">
        <f t="shared" si="41"/>
        <v>1.6192307692307693</v>
      </c>
    </row>
    <row r="141" spans="1:10" ht="15.6" x14ac:dyDescent="0.3">
      <c r="A141" s="127">
        <v>130</v>
      </c>
      <c r="B141" s="6" t="s">
        <v>102</v>
      </c>
      <c r="C141" s="6"/>
      <c r="D141" s="29"/>
      <c r="E141" s="6">
        <v>5.22</v>
      </c>
      <c r="F141" s="29"/>
      <c r="G141" s="6"/>
      <c r="H141" s="29">
        <v>7.37</v>
      </c>
      <c r="I141" s="6">
        <v>6.46</v>
      </c>
      <c r="J141" s="30">
        <v>6.42</v>
      </c>
    </row>
    <row r="142" spans="1:10" ht="15.6" x14ac:dyDescent="0.3">
      <c r="A142" s="127"/>
      <c r="B142" s="2" t="s">
        <v>103</v>
      </c>
      <c r="C142" s="2"/>
      <c r="D142" s="19"/>
      <c r="E142" s="2">
        <v>8.26</v>
      </c>
      <c r="F142" s="19"/>
      <c r="G142" s="2"/>
      <c r="H142" s="19">
        <v>11.66</v>
      </c>
      <c r="I142" s="2">
        <v>10.31</v>
      </c>
      <c r="J142" s="20">
        <v>10.23</v>
      </c>
    </row>
    <row r="143" spans="1:10" ht="15.6" x14ac:dyDescent="0.3">
      <c r="A143" s="127"/>
      <c r="B143" s="25" t="s">
        <v>104</v>
      </c>
      <c r="C143" s="26" t="str">
        <f t="shared" ref="C143:J143" si="42">IF(OR(C141="",C142=""),"",C142/C141)</f>
        <v/>
      </c>
      <c r="D143" s="27" t="str">
        <f t="shared" si="42"/>
        <v/>
      </c>
      <c r="E143" s="26">
        <f t="shared" si="42"/>
        <v>1.5823754789272031</v>
      </c>
      <c r="F143" s="27" t="str">
        <f t="shared" si="42"/>
        <v/>
      </c>
      <c r="G143" s="26" t="str">
        <f t="shared" si="42"/>
        <v/>
      </c>
      <c r="H143" s="27">
        <f t="shared" si="42"/>
        <v>1.5820895522388059</v>
      </c>
      <c r="I143" s="26">
        <f t="shared" si="42"/>
        <v>1.5959752321981424</v>
      </c>
      <c r="J143" s="28">
        <f t="shared" si="42"/>
        <v>1.5934579439252337</v>
      </c>
    </row>
    <row r="144" spans="1:10" ht="15.6" x14ac:dyDescent="0.3">
      <c r="A144" s="127">
        <v>140</v>
      </c>
      <c r="B144" s="6" t="s">
        <v>102</v>
      </c>
      <c r="C144" s="6"/>
      <c r="D144" s="29"/>
      <c r="E144" s="6">
        <v>6.29</v>
      </c>
      <c r="F144" s="29"/>
      <c r="G144" s="6"/>
      <c r="H144" s="29">
        <v>8.8699999999999992</v>
      </c>
      <c r="I144" s="6">
        <v>7.8</v>
      </c>
      <c r="J144" s="30">
        <v>7.73</v>
      </c>
    </row>
    <row r="145" spans="1:10" ht="15.6" x14ac:dyDescent="0.3">
      <c r="A145" s="127"/>
      <c r="B145" s="2" t="s">
        <v>103</v>
      </c>
      <c r="C145" s="2"/>
      <c r="D145" s="19"/>
      <c r="E145" s="2">
        <v>9.82</v>
      </c>
      <c r="F145" s="19"/>
      <c r="G145" s="2"/>
      <c r="H145" s="19">
        <v>13.88</v>
      </c>
      <c r="I145" s="2">
        <v>12.27</v>
      </c>
      <c r="J145" s="20">
        <v>12.15</v>
      </c>
    </row>
    <row r="146" spans="1:10" ht="15.6" x14ac:dyDescent="0.3">
      <c r="A146" s="127"/>
      <c r="B146" s="25" t="s">
        <v>104</v>
      </c>
      <c r="C146" s="26" t="str">
        <f t="shared" ref="C146:J146" si="43">IF(OR(C144="",C145=""),"",C145/C144)</f>
        <v/>
      </c>
      <c r="D146" s="27" t="str">
        <f t="shared" si="43"/>
        <v/>
      </c>
      <c r="E146" s="26">
        <f t="shared" si="43"/>
        <v>1.56120826709062</v>
      </c>
      <c r="F146" s="27" t="str">
        <f t="shared" si="43"/>
        <v/>
      </c>
      <c r="G146" s="26" t="str">
        <f t="shared" si="43"/>
        <v/>
      </c>
      <c r="H146" s="27">
        <f t="shared" si="43"/>
        <v>1.5648252536640364</v>
      </c>
      <c r="I146" s="26">
        <f t="shared" si="43"/>
        <v>1.573076923076923</v>
      </c>
      <c r="J146" s="28">
        <f t="shared" si="43"/>
        <v>1.5717981888745149</v>
      </c>
    </row>
    <row r="147" spans="1:10" ht="15.6" x14ac:dyDescent="0.3">
      <c r="A147" s="127">
        <v>150</v>
      </c>
      <c r="B147" s="6" t="s">
        <v>102</v>
      </c>
      <c r="C147" s="6"/>
      <c r="D147" s="29"/>
      <c r="E147" s="6">
        <v>7.43</v>
      </c>
      <c r="F147" s="29"/>
      <c r="G147" s="6"/>
      <c r="H147" s="29">
        <v>10.49</v>
      </c>
      <c r="I147" s="6">
        <v>9.23</v>
      </c>
      <c r="J147" s="30">
        <v>9.15</v>
      </c>
    </row>
    <row r="148" spans="1:10" ht="15.6" x14ac:dyDescent="0.3">
      <c r="A148" s="127"/>
      <c r="B148" s="2" t="s">
        <v>103</v>
      </c>
      <c r="C148" s="2"/>
      <c r="D148" s="19"/>
      <c r="E148" s="2">
        <v>11.51</v>
      </c>
      <c r="F148" s="19"/>
      <c r="G148" s="2"/>
      <c r="H148" s="19">
        <v>16.23</v>
      </c>
      <c r="I148" s="2">
        <v>14.37</v>
      </c>
      <c r="J148" s="20">
        <v>14.23</v>
      </c>
    </row>
    <row r="149" spans="1:10" ht="15.6" x14ac:dyDescent="0.3">
      <c r="A149" s="127"/>
      <c r="B149" s="25" t="s">
        <v>104</v>
      </c>
      <c r="C149" s="26" t="str">
        <f t="shared" ref="C149:J149" si="44">IF(OR(C147="",C148=""),"",C148/C147)</f>
        <v/>
      </c>
      <c r="D149" s="27" t="str">
        <f t="shared" si="44"/>
        <v/>
      </c>
      <c r="E149" s="26">
        <f t="shared" si="44"/>
        <v>1.5491251682368776</v>
      </c>
      <c r="F149" s="27" t="str">
        <f t="shared" si="44"/>
        <v/>
      </c>
      <c r="G149" s="26" t="str">
        <f t="shared" si="44"/>
        <v/>
      </c>
      <c r="H149" s="27">
        <f t="shared" si="44"/>
        <v>1.5471877979027646</v>
      </c>
      <c r="I149" s="26">
        <f t="shared" si="44"/>
        <v>1.5568797399783314</v>
      </c>
      <c r="J149" s="28">
        <f t="shared" si="44"/>
        <v>1.555191256830601</v>
      </c>
    </row>
    <row r="150" spans="1:10" ht="15.6" x14ac:dyDescent="0.3">
      <c r="A150" s="127" t="s">
        <v>126</v>
      </c>
      <c r="B150" s="6" t="s">
        <v>102</v>
      </c>
      <c r="C150" s="6">
        <v>0.92</v>
      </c>
      <c r="D150" s="29"/>
      <c r="E150" s="6"/>
      <c r="F150" s="29"/>
      <c r="G150" s="6"/>
      <c r="H150" s="29">
        <v>0.71</v>
      </c>
      <c r="I150" s="6">
        <v>0.63</v>
      </c>
      <c r="J150" s="30">
        <v>0.62</v>
      </c>
    </row>
    <row r="151" spans="1:10" ht="15.6" x14ac:dyDescent="0.3">
      <c r="A151" s="127"/>
      <c r="B151" s="2" t="s">
        <v>103</v>
      </c>
      <c r="C151" s="2">
        <v>1.35</v>
      </c>
      <c r="D151" s="19"/>
      <c r="E151" s="2"/>
      <c r="F151" s="19"/>
      <c r="G151" s="2"/>
      <c r="H151" s="19">
        <v>1.05</v>
      </c>
      <c r="I151" s="2">
        <v>0.93</v>
      </c>
      <c r="J151" s="20">
        <v>0.92</v>
      </c>
    </row>
    <row r="152" spans="1:10" ht="15.6" x14ac:dyDescent="0.3">
      <c r="A152" s="127"/>
      <c r="B152" s="25" t="s">
        <v>104</v>
      </c>
      <c r="C152" s="26">
        <f t="shared" ref="C152:J152" si="45">IF(OR(C150="",C151=""),"",C151/C150)</f>
        <v>1.4673913043478262</v>
      </c>
      <c r="D152" s="27" t="str">
        <f t="shared" si="45"/>
        <v/>
      </c>
      <c r="E152" s="26" t="str">
        <f t="shared" si="45"/>
        <v/>
      </c>
      <c r="F152" s="27" t="str">
        <f t="shared" si="45"/>
        <v/>
      </c>
      <c r="G152" s="26" t="str">
        <f t="shared" si="45"/>
        <v/>
      </c>
      <c r="H152" s="27">
        <f t="shared" si="45"/>
        <v>1.4788732394366197</v>
      </c>
      <c r="I152" s="26">
        <f t="shared" si="45"/>
        <v>1.4761904761904763</v>
      </c>
      <c r="J152" s="28">
        <f t="shared" si="45"/>
        <v>1.4838709677419355</v>
      </c>
    </row>
    <row r="153" spans="1:10" ht="15.6" x14ac:dyDescent="0.3">
      <c r="A153" s="127" t="s">
        <v>127</v>
      </c>
      <c r="B153" s="6" t="s">
        <v>102</v>
      </c>
      <c r="C153" s="6"/>
      <c r="D153" s="29"/>
      <c r="E153" s="6"/>
      <c r="F153" s="29"/>
      <c r="G153" s="6"/>
      <c r="H153" s="29">
        <v>1.1200000000000001</v>
      </c>
      <c r="I153" s="6">
        <v>0.99</v>
      </c>
      <c r="J153" s="30">
        <v>0.98</v>
      </c>
    </row>
    <row r="154" spans="1:10" ht="15.6" x14ac:dyDescent="0.3">
      <c r="A154" s="127"/>
      <c r="B154" s="2" t="s">
        <v>103</v>
      </c>
      <c r="C154" s="2"/>
      <c r="D154" s="19"/>
      <c r="E154" s="2"/>
      <c r="F154" s="19"/>
      <c r="G154" s="2"/>
      <c r="H154" s="19">
        <v>1.63</v>
      </c>
      <c r="I154" s="2">
        <v>1.44</v>
      </c>
      <c r="J154" s="20">
        <v>1.43</v>
      </c>
    </row>
    <row r="155" spans="1:10" ht="15.6" x14ac:dyDescent="0.3">
      <c r="A155" s="127"/>
      <c r="B155" s="25" t="s">
        <v>104</v>
      </c>
      <c r="C155" s="26" t="str">
        <f t="shared" ref="C155:J155" si="46">IF(OR(C153="",C154=""),"",C154/C153)</f>
        <v/>
      </c>
      <c r="D155" s="27" t="str">
        <f t="shared" si="46"/>
        <v/>
      </c>
      <c r="E155" s="26" t="str">
        <f t="shared" si="46"/>
        <v/>
      </c>
      <c r="F155" s="27" t="str">
        <f t="shared" si="46"/>
        <v/>
      </c>
      <c r="G155" s="26" t="str">
        <f t="shared" si="46"/>
        <v/>
      </c>
      <c r="H155" s="27">
        <f t="shared" si="46"/>
        <v>1.4553571428571426</v>
      </c>
      <c r="I155" s="26">
        <f t="shared" si="46"/>
        <v>1.4545454545454546</v>
      </c>
      <c r="J155" s="28">
        <f t="shared" si="46"/>
        <v>1.4591836734693877</v>
      </c>
    </row>
    <row r="156" spans="1:10" ht="15.6" x14ac:dyDescent="0.3">
      <c r="A156" s="127" t="s">
        <v>128</v>
      </c>
      <c r="B156" s="6" t="s">
        <v>102</v>
      </c>
      <c r="C156" s="6"/>
      <c r="D156" s="29"/>
      <c r="E156" s="6"/>
      <c r="F156" s="29"/>
      <c r="G156" s="6"/>
      <c r="H156" s="29">
        <v>1.63</v>
      </c>
      <c r="I156" s="6">
        <v>1.44</v>
      </c>
      <c r="J156" s="30">
        <v>1.43</v>
      </c>
    </row>
    <row r="157" spans="1:10" ht="15.6" x14ac:dyDescent="0.3">
      <c r="A157" s="127"/>
      <c r="B157" s="2" t="s">
        <v>103</v>
      </c>
      <c r="C157" s="2"/>
      <c r="D157" s="19"/>
      <c r="E157" s="2"/>
      <c r="F157" s="19"/>
      <c r="G157" s="2"/>
      <c r="H157" s="19">
        <v>2.36</v>
      </c>
      <c r="I157" s="2">
        <v>2.09</v>
      </c>
      <c r="J157" s="20">
        <v>2.0699999999999998</v>
      </c>
    </row>
    <row r="158" spans="1:10" ht="15.6" x14ac:dyDescent="0.3">
      <c r="A158" s="127"/>
      <c r="B158" s="25" t="s">
        <v>104</v>
      </c>
      <c r="C158" s="26" t="str">
        <f t="shared" ref="C158:J158" si="47">IF(OR(C156="",C157=""),"",C157/C156)</f>
        <v/>
      </c>
      <c r="D158" s="27" t="str">
        <f t="shared" si="47"/>
        <v/>
      </c>
      <c r="E158" s="26" t="str">
        <f t="shared" si="47"/>
        <v/>
      </c>
      <c r="F158" s="27" t="str">
        <f t="shared" si="47"/>
        <v/>
      </c>
      <c r="G158" s="26" t="str">
        <f t="shared" si="47"/>
        <v/>
      </c>
      <c r="H158" s="27">
        <f t="shared" si="47"/>
        <v>1.4478527607361964</v>
      </c>
      <c r="I158" s="26">
        <f t="shared" si="47"/>
        <v>1.4513888888888888</v>
      </c>
      <c r="J158" s="28">
        <f t="shared" si="47"/>
        <v>1.4475524475524475</v>
      </c>
    </row>
    <row r="159" spans="1:10" ht="15.6" x14ac:dyDescent="0.3">
      <c r="A159" s="127" t="s">
        <v>129</v>
      </c>
      <c r="B159" s="6" t="s">
        <v>102</v>
      </c>
      <c r="C159" s="6"/>
      <c r="D159" s="29"/>
      <c r="E159" s="6"/>
      <c r="F159" s="29"/>
      <c r="G159" s="6"/>
      <c r="H159" s="29">
        <v>2.2599999999999998</v>
      </c>
      <c r="I159" s="6">
        <v>1.99</v>
      </c>
      <c r="J159" s="30">
        <v>1.98</v>
      </c>
    </row>
    <row r="160" spans="1:10" ht="15.6" x14ac:dyDescent="0.3">
      <c r="A160" s="127"/>
      <c r="B160" s="2" t="s">
        <v>103</v>
      </c>
      <c r="C160" s="2"/>
      <c r="D160" s="19"/>
      <c r="E160" s="2"/>
      <c r="F160" s="19"/>
      <c r="G160" s="2"/>
      <c r="H160" s="19">
        <v>3.25</v>
      </c>
      <c r="I160" s="2">
        <v>2.88</v>
      </c>
      <c r="J160" s="20">
        <v>2.85</v>
      </c>
    </row>
    <row r="161" spans="1:10" ht="15.6" x14ac:dyDescent="0.3">
      <c r="A161" s="127"/>
      <c r="B161" s="25" t="s">
        <v>104</v>
      </c>
      <c r="C161" s="26" t="str">
        <f t="shared" ref="C161:J161" si="48">IF(OR(C159="",C160=""),"",C160/C159)</f>
        <v/>
      </c>
      <c r="D161" s="27" t="str">
        <f t="shared" si="48"/>
        <v/>
      </c>
      <c r="E161" s="26" t="str">
        <f t="shared" si="48"/>
        <v/>
      </c>
      <c r="F161" s="27" t="str">
        <f t="shared" si="48"/>
        <v/>
      </c>
      <c r="G161" s="26" t="str">
        <f t="shared" si="48"/>
        <v/>
      </c>
      <c r="H161" s="27">
        <f t="shared" si="48"/>
        <v>1.4380530973451329</v>
      </c>
      <c r="I161" s="26">
        <f t="shared" si="48"/>
        <v>1.4472361809045227</v>
      </c>
      <c r="J161" s="28">
        <f t="shared" si="48"/>
        <v>1.4393939393939394</v>
      </c>
    </row>
    <row r="162" spans="1:10" ht="15.6" x14ac:dyDescent="0.3">
      <c r="A162" s="127" t="s">
        <v>130</v>
      </c>
      <c r="B162" s="6" t="s">
        <v>102</v>
      </c>
      <c r="C162" s="6">
        <v>3.86</v>
      </c>
      <c r="D162" s="29"/>
      <c r="E162" s="6"/>
      <c r="F162" s="29"/>
      <c r="G162" s="6"/>
      <c r="H162" s="29">
        <v>3</v>
      </c>
      <c r="I162" s="6">
        <v>2.63</v>
      </c>
      <c r="J162" s="30">
        <v>2.62</v>
      </c>
    </row>
    <row r="163" spans="1:10" ht="15.6" x14ac:dyDescent="0.3">
      <c r="A163" s="127"/>
      <c r="B163" s="2" t="s">
        <v>103</v>
      </c>
      <c r="C163" s="2">
        <v>5.54</v>
      </c>
      <c r="D163" s="19"/>
      <c r="E163" s="2"/>
      <c r="F163" s="19"/>
      <c r="G163" s="2"/>
      <c r="H163" s="19">
        <v>4.3</v>
      </c>
      <c r="I163" s="2">
        <v>3.81</v>
      </c>
      <c r="J163" s="20">
        <v>3.77</v>
      </c>
    </row>
    <row r="164" spans="1:10" ht="15.6" x14ac:dyDescent="0.3">
      <c r="A164" s="127"/>
      <c r="B164" s="25" t="s">
        <v>104</v>
      </c>
      <c r="C164" s="26">
        <f t="shared" ref="C164:J164" si="49">IF(OR(C162="",C163=""),"",C163/C162)</f>
        <v>1.4352331606217616</v>
      </c>
      <c r="D164" s="27" t="str">
        <f t="shared" si="49"/>
        <v/>
      </c>
      <c r="E164" s="26" t="str">
        <f t="shared" si="49"/>
        <v/>
      </c>
      <c r="F164" s="27" t="str">
        <f t="shared" si="49"/>
        <v/>
      </c>
      <c r="G164" s="26" t="str">
        <f t="shared" si="49"/>
        <v/>
      </c>
      <c r="H164" s="27">
        <f t="shared" si="49"/>
        <v>1.4333333333333333</v>
      </c>
      <c r="I164" s="26">
        <f t="shared" si="49"/>
        <v>1.4486692015209126</v>
      </c>
      <c r="J164" s="28">
        <f t="shared" si="49"/>
        <v>1.4389312977099236</v>
      </c>
    </row>
    <row r="165" spans="1:10" ht="15.6" x14ac:dyDescent="0.3">
      <c r="A165" s="127" t="s">
        <v>131</v>
      </c>
      <c r="B165" s="6" t="s">
        <v>102</v>
      </c>
      <c r="C165" s="6"/>
      <c r="D165" s="29"/>
      <c r="E165" s="6"/>
      <c r="F165" s="29"/>
      <c r="G165" s="6"/>
      <c r="H165" s="29">
        <v>3.84</v>
      </c>
      <c r="I165" s="6">
        <v>3.38</v>
      </c>
      <c r="J165" s="30">
        <v>3.36</v>
      </c>
    </row>
    <row r="166" spans="1:10" ht="15.6" x14ac:dyDescent="0.3">
      <c r="A166" s="127"/>
      <c r="B166" s="2" t="s">
        <v>103</v>
      </c>
      <c r="C166" s="2"/>
      <c r="D166" s="19"/>
      <c r="E166" s="2"/>
      <c r="F166" s="19"/>
      <c r="G166" s="2"/>
      <c r="H166" s="19">
        <v>5.5</v>
      </c>
      <c r="I166" s="2">
        <v>4.87</v>
      </c>
      <c r="J166" s="20">
        <v>4.83</v>
      </c>
    </row>
    <row r="167" spans="1:10" ht="15.6" x14ac:dyDescent="0.3">
      <c r="A167" s="127"/>
      <c r="B167" s="25" t="s">
        <v>104</v>
      </c>
      <c r="C167" s="26" t="str">
        <f t="shared" ref="C167:J167" si="50">IF(OR(C165="",C166=""),"",C166/C165)</f>
        <v/>
      </c>
      <c r="D167" s="27" t="str">
        <f t="shared" si="50"/>
        <v/>
      </c>
      <c r="E167" s="26" t="str">
        <f t="shared" si="50"/>
        <v/>
      </c>
      <c r="F167" s="27" t="str">
        <f t="shared" si="50"/>
        <v/>
      </c>
      <c r="G167" s="26" t="str">
        <f t="shared" si="50"/>
        <v/>
      </c>
      <c r="H167" s="27">
        <f t="shared" si="50"/>
        <v>1.4322916666666667</v>
      </c>
      <c r="I167" s="26">
        <f t="shared" si="50"/>
        <v>1.440828402366864</v>
      </c>
      <c r="J167" s="28">
        <f t="shared" si="50"/>
        <v>1.4375</v>
      </c>
    </row>
    <row r="168" spans="1:10" ht="15.6" x14ac:dyDescent="0.3">
      <c r="A168" s="127" t="s">
        <v>132</v>
      </c>
      <c r="B168" s="6" t="s">
        <v>102</v>
      </c>
      <c r="C168" s="6"/>
      <c r="D168" s="29"/>
      <c r="E168" s="6"/>
      <c r="F168" s="29"/>
      <c r="G168" s="6"/>
      <c r="H168" s="29">
        <v>2.34</v>
      </c>
      <c r="I168" s="6">
        <v>2.06</v>
      </c>
      <c r="J168" s="30">
        <v>2.06</v>
      </c>
    </row>
    <row r="169" spans="1:10" ht="15.6" x14ac:dyDescent="0.3">
      <c r="A169" s="127"/>
      <c r="B169" s="2" t="s">
        <v>103</v>
      </c>
      <c r="C169" s="2"/>
      <c r="D169" s="19"/>
      <c r="E169" s="2"/>
      <c r="F169" s="19"/>
      <c r="G169" s="2"/>
      <c r="H169" s="19">
        <v>3.32</v>
      </c>
      <c r="I169" s="2">
        <v>2.95</v>
      </c>
      <c r="J169" s="20">
        <v>2.93</v>
      </c>
    </row>
    <row r="170" spans="1:10" ht="15.6" x14ac:dyDescent="0.3">
      <c r="A170" s="127"/>
      <c r="B170" s="25" t="s">
        <v>104</v>
      </c>
      <c r="C170" s="26" t="str">
        <f t="shared" ref="C170:J170" si="51">IF(OR(C168="",C169=""),"",C169/C168)</f>
        <v/>
      </c>
      <c r="D170" s="27" t="str">
        <f t="shared" si="51"/>
        <v/>
      </c>
      <c r="E170" s="26" t="str">
        <f t="shared" si="51"/>
        <v/>
      </c>
      <c r="F170" s="27" t="str">
        <f t="shared" si="51"/>
        <v/>
      </c>
      <c r="G170" s="26" t="str">
        <f t="shared" si="51"/>
        <v/>
      </c>
      <c r="H170" s="27">
        <f t="shared" si="51"/>
        <v>1.4188034188034189</v>
      </c>
      <c r="I170" s="26">
        <f t="shared" si="51"/>
        <v>1.4320388349514563</v>
      </c>
      <c r="J170" s="28">
        <f t="shared" si="51"/>
        <v>1.4223300970873787</v>
      </c>
    </row>
    <row r="171" spans="1:10" ht="15.6" x14ac:dyDescent="0.3">
      <c r="A171" s="129" t="s">
        <v>133</v>
      </c>
      <c r="B171" s="45" t="s">
        <v>102</v>
      </c>
      <c r="C171" s="45"/>
      <c r="D171" s="46"/>
      <c r="E171" s="45"/>
      <c r="F171" s="46"/>
      <c r="G171" s="45"/>
      <c r="H171" s="46"/>
      <c r="I171" s="45">
        <v>1.38</v>
      </c>
      <c r="J171" s="47"/>
    </row>
    <row r="172" spans="1:10" ht="15.6" x14ac:dyDescent="0.3">
      <c r="A172" s="129"/>
      <c r="B172" s="48" t="s">
        <v>103</v>
      </c>
      <c r="C172" s="48"/>
      <c r="D172" s="49"/>
      <c r="E172" s="48"/>
      <c r="F172" s="49"/>
      <c r="G172" s="48"/>
      <c r="H172" s="49"/>
      <c r="I172" s="48">
        <v>2.06</v>
      </c>
      <c r="J172" s="50"/>
    </row>
    <row r="173" spans="1:10" ht="15.6" x14ac:dyDescent="0.3">
      <c r="A173" s="129"/>
      <c r="B173" s="51" t="s">
        <v>104</v>
      </c>
      <c r="C173" s="52" t="str">
        <f t="shared" ref="C173:J173" si="52">IF(OR(C171="",C172=""),"",C172/C171)</f>
        <v/>
      </c>
      <c r="D173" s="53" t="str">
        <f t="shared" si="52"/>
        <v/>
      </c>
      <c r="E173" s="52" t="str">
        <f t="shared" si="52"/>
        <v/>
      </c>
      <c r="F173" s="53" t="str">
        <f t="shared" si="52"/>
        <v/>
      </c>
      <c r="G173" s="52" t="str">
        <f t="shared" si="52"/>
        <v/>
      </c>
      <c r="H173" s="53" t="str">
        <f t="shared" si="52"/>
        <v/>
      </c>
      <c r="I173" s="52">
        <f t="shared" si="52"/>
        <v>1.492753623188406</v>
      </c>
      <c r="J173" s="54" t="str">
        <f t="shared" si="52"/>
        <v/>
      </c>
    </row>
    <row r="174" spans="1:10" ht="15.6" x14ac:dyDescent="0.3">
      <c r="A174" s="129" t="s">
        <v>134</v>
      </c>
      <c r="B174" s="45" t="s">
        <v>102</v>
      </c>
      <c r="C174" s="45"/>
      <c r="D174" s="46"/>
      <c r="E174" s="45"/>
      <c r="F174" s="46"/>
      <c r="G174" s="45"/>
      <c r="H174" s="46"/>
      <c r="I174" s="45">
        <v>2.38</v>
      </c>
      <c r="J174" s="47"/>
    </row>
    <row r="175" spans="1:10" ht="15.6" x14ac:dyDescent="0.3">
      <c r="A175" s="129"/>
      <c r="B175" s="48" t="s">
        <v>103</v>
      </c>
      <c r="C175" s="48"/>
      <c r="D175" s="49"/>
      <c r="E175" s="48"/>
      <c r="F175" s="49"/>
      <c r="G175" s="48"/>
      <c r="H175" s="49"/>
      <c r="I175" s="48">
        <v>3.5</v>
      </c>
      <c r="J175" s="50"/>
    </row>
    <row r="176" spans="1:10" ht="15.6" x14ac:dyDescent="0.3">
      <c r="A176" s="129"/>
      <c r="B176" s="51" t="s">
        <v>104</v>
      </c>
      <c r="C176" s="52" t="str">
        <f t="shared" ref="C176:J176" si="53">IF(OR(C174="",C175=""),"",C175/C174)</f>
        <v/>
      </c>
      <c r="D176" s="53" t="str">
        <f t="shared" si="53"/>
        <v/>
      </c>
      <c r="E176" s="52" t="str">
        <f t="shared" si="53"/>
        <v/>
      </c>
      <c r="F176" s="53" t="str">
        <f t="shared" si="53"/>
        <v/>
      </c>
      <c r="G176" s="52" t="str">
        <f t="shared" si="53"/>
        <v/>
      </c>
      <c r="H176" s="53" t="str">
        <f t="shared" si="53"/>
        <v/>
      </c>
      <c r="I176" s="52">
        <f t="shared" si="53"/>
        <v>1.4705882352941178</v>
      </c>
      <c r="J176" s="54" t="str">
        <f t="shared" si="53"/>
        <v/>
      </c>
    </row>
    <row r="178" spans="1:10" ht="15.6" x14ac:dyDescent="0.3">
      <c r="A178" s="8" t="s">
        <v>112</v>
      </c>
    </row>
    <row r="179" spans="1:10" ht="15.6" x14ac:dyDescent="0.3">
      <c r="B179" s="15" t="s">
        <v>100</v>
      </c>
      <c r="C179" s="4" t="s">
        <v>26</v>
      </c>
      <c r="D179" s="16" t="s">
        <v>14</v>
      </c>
      <c r="E179" s="4" t="s">
        <v>18</v>
      </c>
      <c r="F179" s="16" t="s">
        <v>68</v>
      </c>
      <c r="G179" s="4" t="s">
        <v>27</v>
      </c>
      <c r="H179" s="16" t="s">
        <v>22</v>
      </c>
      <c r="I179" s="4" t="s">
        <v>22</v>
      </c>
      <c r="J179" s="17" t="s">
        <v>40</v>
      </c>
    </row>
    <row r="180" spans="1:10" ht="15.6" x14ac:dyDescent="0.3">
      <c r="B180" s="41" t="s">
        <v>101</v>
      </c>
      <c r="C180" s="42" t="s">
        <v>26</v>
      </c>
      <c r="D180" s="43" t="s">
        <v>14</v>
      </c>
      <c r="E180" s="42" t="s">
        <v>18</v>
      </c>
      <c r="F180" s="43" t="s">
        <v>68</v>
      </c>
      <c r="G180" s="42" t="s">
        <v>27</v>
      </c>
      <c r="H180" s="43" t="s">
        <v>21</v>
      </c>
      <c r="I180" s="42" t="s">
        <v>22</v>
      </c>
      <c r="J180" s="44" t="s">
        <v>22</v>
      </c>
    </row>
    <row r="181" spans="1:10" ht="15.6" x14ac:dyDescent="0.3">
      <c r="A181" s="7" t="s">
        <v>6</v>
      </c>
      <c r="B181" s="21"/>
      <c r="C181" s="22"/>
      <c r="D181" s="23"/>
      <c r="E181" s="22"/>
      <c r="F181" s="23"/>
      <c r="G181" s="22"/>
      <c r="H181" s="23"/>
      <c r="I181" s="22"/>
      <c r="J181" s="24"/>
    </row>
    <row r="182" spans="1:10" ht="15.6" x14ac:dyDescent="0.3">
      <c r="A182" s="127">
        <v>70</v>
      </c>
      <c r="B182" s="2" t="s">
        <v>102</v>
      </c>
      <c r="C182" s="2"/>
      <c r="D182" s="19">
        <v>0.65</v>
      </c>
      <c r="E182" s="2">
        <v>0.6</v>
      </c>
      <c r="F182" s="19">
        <v>0.83</v>
      </c>
      <c r="G182" s="2">
        <v>0.79</v>
      </c>
      <c r="H182" s="19">
        <v>0.84</v>
      </c>
      <c r="I182" s="2">
        <v>0.74</v>
      </c>
      <c r="J182" s="20">
        <v>0.73</v>
      </c>
    </row>
    <row r="183" spans="1:10" ht="15.6" x14ac:dyDescent="0.3">
      <c r="A183" s="127"/>
      <c r="B183" s="2" t="s">
        <v>103</v>
      </c>
      <c r="C183" s="2"/>
      <c r="D183" s="19">
        <v>1.1499999999999999</v>
      </c>
      <c r="E183" s="2">
        <v>1.05</v>
      </c>
      <c r="F183" s="19">
        <v>1.45</v>
      </c>
      <c r="G183" s="2">
        <v>1.4</v>
      </c>
      <c r="H183" s="19">
        <v>1.48</v>
      </c>
      <c r="I183" s="2">
        <v>1.31</v>
      </c>
      <c r="J183" s="20">
        <v>1.3</v>
      </c>
    </row>
    <row r="184" spans="1:10" ht="15.6" x14ac:dyDescent="0.3">
      <c r="A184" s="127"/>
      <c r="B184" s="25" t="s">
        <v>104</v>
      </c>
      <c r="C184" s="26" t="str">
        <f t="shared" ref="C184:J184" si="54">IF(OR(C182="",C183=""),"",C183/C182)</f>
        <v/>
      </c>
      <c r="D184" s="27">
        <f t="shared" si="54"/>
        <v>1.7692307692307689</v>
      </c>
      <c r="E184" s="26">
        <f t="shared" si="54"/>
        <v>1.7500000000000002</v>
      </c>
      <c r="F184" s="27">
        <f t="shared" si="54"/>
        <v>1.7469879518072289</v>
      </c>
      <c r="G184" s="26">
        <f t="shared" si="54"/>
        <v>1.7721518987341771</v>
      </c>
      <c r="H184" s="27">
        <f t="shared" si="54"/>
        <v>1.7619047619047619</v>
      </c>
      <c r="I184" s="26">
        <f t="shared" si="54"/>
        <v>1.7702702702702704</v>
      </c>
      <c r="J184" s="28">
        <f t="shared" si="54"/>
        <v>1.7808219178082192</v>
      </c>
    </row>
    <row r="185" spans="1:10" ht="15.6" x14ac:dyDescent="0.3">
      <c r="A185" s="127">
        <v>80</v>
      </c>
      <c r="B185" s="6" t="s">
        <v>102</v>
      </c>
      <c r="C185" s="6"/>
      <c r="D185" s="29">
        <v>1.1200000000000001</v>
      </c>
      <c r="E185" s="6">
        <v>1.03</v>
      </c>
      <c r="F185" s="29">
        <v>1.42</v>
      </c>
      <c r="G185" s="6">
        <v>1.36</v>
      </c>
      <c r="H185" s="29">
        <v>1.44</v>
      </c>
      <c r="I185" s="6">
        <v>1.27</v>
      </c>
      <c r="J185" s="30">
        <v>1.26</v>
      </c>
    </row>
    <row r="186" spans="1:10" ht="15.6" x14ac:dyDescent="0.3">
      <c r="A186" s="127"/>
      <c r="B186" s="2" t="s">
        <v>103</v>
      </c>
      <c r="C186" s="2"/>
      <c r="D186" s="19">
        <v>1.83</v>
      </c>
      <c r="E186" s="2">
        <v>1.67</v>
      </c>
      <c r="F186" s="19">
        <v>2.31</v>
      </c>
      <c r="G186" s="2">
        <v>2.2200000000000002</v>
      </c>
      <c r="H186" s="19">
        <v>2.35</v>
      </c>
      <c r="I186" s="2">
        <v>2.09</v>
      </c>
      <c r="J186" s="20">
        <v>2.0699999999999998</v>
      </c>
    </row>
    <row r="187" spans="1:10" ht="15.6" x14ac:dyDescent="0.3">
      <c r="A187" s="127"/>
      <c r="B187" s="25" t="s">
        <v>104</v>
      </c>
      <c r="C187" s="26" t="str">
        <f t="shared" ref="C187:J187" si="55">IF(OR(C185="",C186=""),"",C186/C185)</f>
        <v/>
      </c>
      <c r="D187" s="27">
        <f t="shared" si="55"/>
        <v>1.6339285714285714</v>
      </c>
      <c r="E187" s="26">
        <f t="shared" si="55"/>
        <v>1.6213592233009708</v>
      </c>
      <c r="F187" s="27">
        <f t="shared" si="55"/>
        <v>1.6267605633802817</v>
      </c>
      <c r="G187" s="26">
        <f t="shared" si="55"/>
        <v>1.6323529411764706</v>
      </c>
      <c r="H187" s="27">
        <f t="shared" si="55"/>
        <v>1.6319444444444446</v>
      </c>
      <c r="I187" s="26">
        <f t="shared" si="55"/>
        <v>1.6456692913385826</v>
      </c>
      <c r="J187" s="28">
        <f t="shared" si="55"/>
        <v>1.6428571428571428</v>
      </c>
    </row>
    <row r="188" spans="1:10" ht="15.6" x14ac:dyDescent="0.3">
      <c r="A188" s="127">
        <v>90</v>
      </c>
      <c r="B188" s="6" t="s">
        <v>102</v>
      </c>
      <c r="C188" s="6"/>
      <c r="D188" s="29">
        <v>1.72</v>
      </c>
      <c r="E188" s="6">
        <v>1.57</v>
      </c>
      <c r="F188" s="29">
        <v>2.1800000000000002</v>
      </c>
      <c r="G188" s="6">
        <v>2.08</v>
      </c>
      <c r="H188" s="29">
        <v>2.21</v>
      </c>
      <c r="I188" s="6">
        <v>1.94</v>
      </c>
      <c r="J188" s="30">
        <v>1.92</v>
      </c>
    </row>
    <row r="189" spans="1:10" ht="15.6" x14ac:dyDescent="0.3">
      <c r="A189" s="127"/>
      <c r="B189" s="2" t="s">
        <v>103</v>
      </c>
      <c r="C189" s="2"/>
      <c r="D189" s="19">
        <v>2.66</v>
      </c>
      <c r="E189" s="2">
        <v>2.44</v>
      </c>
      <c r="F189" s="19">
        <v>3.37</v>
      </c>
      <c r="G189" s="2">
        <v>3.24</v>
      </c>
      <c r="H189" s="19">
        <v>3.43</v>
      </c>
      <c r="I189" s="2">
        <v>3.04</v>
      </c>
      <c r="J189" s="20">
        <v>3.01</v>
      </c>
    </row>
    <row r="190" spans="1:10" ht="15.6" x14ac:dyDescent="0.3">
      <c r="A190" s="127"/>
      <c r="B190" s="25" t="s">
        <v>104</v>
      </c>
      <c r="C190" s="26" t="str">
        <f t="shared" ref="C190:J190" si="56">IF(OR(C188="",C189=""),"",C189/C188)</f>
        <v/>
      </c>
      <c r="D190" s="27">
        <f t="shared" si="56"/>
        <v>1.5465116279069768</v>
      </c>
      <c r="E190" s="26">
        <f t="shared" si="56"/>
        <v>1.5541401273885349</v>
      </c>
      <c r="F190" s="27">
        <f t="shared" si="56"/>
        <v>1.5458715596330275</v>
      </c>
      <c r="G190" s="26">
        <f t="shared" si="56"/>
        <v>1.5576923076923077</v>
      </c>
      <c r="H190" s="27">
        <f t="shared" si="56"/>
        <v>1.5520361990950227</v>
      </c>
      <c r="I190" s="26">
        <f t="shared" si="56"/>
        <v>1.5670103092783505</v>
      </c>
      <c r="J190" s="28">
        <f t="shared" si="56"/>
        <v>1.5677083333333333</v>
      </c>
    </row>
    <row r="191" spans="1:10" ht="15.6" x14ac:dyDescent="0.3">
      <c r="A191" s="127">
        <v>100</v>
      </c>
      <c r="B191" s="6" t="s">
        <v>102</v>
      </c>
      <c r="C191" s="6"/>
      <c r="D191" s="29">
        <v>2.42</v>
      </c>
      <c r="E191" s="6">
        <v>2.21</v>
      </c>
      <c r="F191" s="29">
        <v>3.08</v>
      </c>
      <c r="G191" s="6">
        <v>2.93</v>
      </c>
      <c r="H191" s="29">
        <v>3.12</v>
      </c>
      <c r="I191" s="6">
        <v>2.74</v>
      </c>
      <c r="J191" s="30">
        <v>2.71</v>
      </c>
    </row>
    <row r="192" spans="1:10" ht="15.6" x14ac:dyDescent="0.3">
      <c r="A192" s="127"/>
      <c r="B192" s="2" t="s">
        <v>103</v>
      </c>
      <c r="C192" s="2"/>
      <c r="D192" s="19">
        <v>3.63</v>
      </c>
      <c r="E192" s="2">
        <v>3.32</v>
      </c>
      <c r="F192" s="19">
        <v>4.59</v>
      </c>
      <c r="G192" s="2">
        <v>4.42</v>
      </c>
      <c r="H192" s="19">
        <v>4.68</v>
      </c>
      <c r="I192" s="2">
        <v>4.1500000000000004</v>
      </c>
      <c r="J192" s="20">
        <v>4.0999999999999996</v>
      </c>
    </row>
    <row r="193" spans="1:10" ht="15.6" x14ac:dyDescent="0.3">
      <c r="A193" s="127"/>
      <c r="B193" s="25" t="s">
        <v>104</v>
      </c>
      <c r="C193" s="26" t="str">
        <f t="shared" ref="C193:J193" si="57">IF(OR(C191="",C192=""),"",C192/C191)</f>
        <v/>
      </c>
      <c r="D193" s="27">
        <f t="shared" si="57"/>
        <v>1.5</v>
      </c>
      <c r="E193" s="26">
        <f t="shared" si="57"/>
        <v>1.502262443438914</v>
      </c>
      <c r="F193" s="27">
        <f t="shared" si="57"/>
        <v>1.4902597402597402</v>
      </c>
      <c r="G193" s="26">
        <f t="shared" si="57"/>
        <v>1.5085324232081909</v>
      </c>
      <c r="H193" s="27">
        <f t="shared" si="57"/>
        <v>1.4999999999999998</v>
      </c>
      <c r="I193" s="26">
        <f t="shared" si="57"/>
        <v>1.5145985401459854</v>
      </c>
      <c r="J193" s="28">
        <f t="shared" si="57"/>
        <v>1.5129151291512914</v>
      </c>
    </row>
    <row r="194" spans="1:10" ht="15.6" x14ac:dyDescent="0.3">
      <c r="A194" s="127">
        <v>110</v>
      </c>
      <c r="B194" s="6" t="s">
        <v>102</v>
      </c>
      <c r="C194" s="6"/>
      <c r="D194" s="29">
        <v>3.21</v>
      </c>
      <c r="E194" s="6">
        <v>2.94</v>
      </c>
      <c r="F194" s="29">
        <v>4.09</v>
      </c>
      <c r="G194" s="6">
        <v>3.89</v>
      </c>
      <c r="H194" s="29">
        <v>4.1399999999999997</v>
      </c>
      <c r="I194" s="6">
        <v>3.65</v>
      </c>
      <c r="J194" s="30">
        <v>3.61</v>
      </c>
    </row>
    <row r="195" spans="1:10" ht="15.6" x14ac:dyDescent="0.3">
      <c r="A195" s="127"/>
      <c r="B195" s="2" t="s">
        <v>103</v>
      </c>
      <c r="C195" s="2"/>
      <c r="D195" s="19">
        <v>4.71</v>
      </c>
      <c r="E195" s="2">
        <v>4.3099999999999996</v>
      </c>
      <c r="F195" s="19">
        <v>5.96</v>
      </c>
      <c r="G195" s="2">
        <v>5.74</v>
      </c>
      <c r="H195" s="19">
        <v>6.08</v>
      </c>
      <c r="I195" s="2">
        <v>5.39</v>
      </c>
      <c r="J195" s="20">
        <v>5.33</v>
      </c>
    </row>
    <row r="196" spans="1:10" ht="15.6" x14ac:dyDescent="0.3">
      <c r="A196" s="127"/>
      <c r="B196" s="25" t="s">
        <v>104</v>
      </c>
      <c r="C196" s="26" t="str">
        <f t="shared" ref="C196:J196" si="58">IF(OR(C194="",C195=""),"",C195/C194)</f>
        <v/>
      </c>
      <c r="D196" s="27">
        <f t="shared" si="58"/>
        <v>1.4672897196261683</v>
      </c>
      <c r="E196" s="26">
        <f t="shared" si="58"/>
        <v>1.4659863945578231</v>
      </c>
      <c r="F196" s="27">
        <f t="shared" si="58"/>
        <v>1.4572127139364304</v>
      </c>
      <c r="G196" s="26">
        <f t="shared" si="58"/>
        <v>1.4755784061696657</v>
      </c>
      <c r="H196" s="27">
        <f t="shared" si="58"/>
        <v>1.4685990338164252</v>
      </c>
      <c r="I196" s="26">
        <f t="shared" si="58"/>
        <v>1.4767123287671233</v>
      </c>
      <c r="J196" s="28">
        <f t="shared" si="58"/>
        <v>1.476454293628809</v>
      </c>
    </row>
    <row r="197" spans="1:10" ht="15.6" x14ac:dyDescent="0.3">
      <c r="A197" s="127">
        <v>120</v>
      </c>
      <c r="B197" s="6" t="s">
        <v>102</v>
      </c>
      <c r="C197" s="6"/>
      <c r="D197" s="29">
        <v>4.1100000000000003</v>
      </c>
      <c r="E197" s="6">
        <v>3.76</v>
      </c>
      <c r="F197" s="29">
        <v>5.22</v>
      </c>
      <c r="G197" s="6">
        <v>4.97</v>
      </c>
      <c r="H197" s="29">
        <v>5.29</v>
      </c>
      <c r="I197" s="6">
        <v>4.6500000000000004</v>
      </c>
      <c r="J197" s="30">
        <v>4.6100000000000003</v>
      </c>
    </row>
    <row r="198" spans="1:10" ht="15.6" x14ac:dyDescent="0.3">
      <c r="A198" s="127"/>
      <c r="B198" s="2" t="s">
        <v>103</v>
      </c>
      <c r="C198" s="2"/>
      <c r="D198" s="19">
        <v>5.92</v>
      </c>
      <c r="E198" s="2">
        <v>5.41</v>
      </c>
      <c r="F198" s="19">
        <v>7.49</v>
      </c>
      <c r="G198" s="2">
        <v>7.2</v>
      </c>
      <c r="H198" s="19">
        <v>7.63</v>
      </c>
      <c r="I198" s="2">
        <v>6.76</v>
      </c>
      <c r="J198" s="20">
        <v>6.69</v>
      </c>
    </row>
    <row r="199" spans="1:10" ht="15.6" x14ac:dyDescent="0.3">
      <c r="A199" s="127"/>
      <c r="B199" s="25" t="s">
        <v>104</v>
      </c>
      <c r="C199" s="26" t="str">
        <f t="shared" ref="C199:J199" si="59">IF(OR(C197="",C198=""),"",C198/C197)</f>
        <v/>
      </c>
      <c r="D199" s="27">
        <f t="shared" si="59"/>
        <v>1.4403892944038927</v>
      </c>
      <c r="E199" s="26">
        <f t="shared" si="59"/>
        <v>1.4388297872340428</v>
      </c>
      <c r="F199" s="27">
        <f t="shared" si="59"/>
        <v>1.4348659003831419</v>
      </c>
      <c r="G199" s="26">
        <f t="shared" si="59"/>
        <v>1.4486921529175052</v>
      </c>
      <c r="H199" s="27">
        <f t="shared" si="59"/>
        <v>1.44234404536862</v>
      </c>
      <c r="I199" s="26">
        <f t="shared" si="59"/>
        <v>1.4537634408602149</v>
      </c>
      <c r="J199" s="28">
        <f t="shared" si="59"/>
        <v>1.4511930585683297</v>
      </c>
    </row>
    <row r="200" spans="1:10" ht="15.6" x14ac:dyDescent="0.3">
      <c r="A200" s="127">
        <v>130</v>
      </c>
      <c r="B200" s="6" t="s">
        <v>102</v>
      </c>
      <c r="C200" s="6"/>
      <c r="D200" s="29">
        <v>5.08</v>
      </c>
      <c r="E200" s="6">
        <v>4.6500000000000004</v>
      </c>
      <c r="F200" s="29">
        <v>6.47</v>
      </c>
      <c r="G200" s="6">
        <v>6.14</v>
      </c>
      <c r="H200" s="29">
        <v>6.55</v>
      </c>
      <c r="I200" s="6">
        <v>5.76</v>
      </c>
      <c r="J200" s="30">
        <v>5.71</v>
      </c>
    </row>
    <row r="201" spans="1:10" ht="15.6" x14ac:dyDescent="0.3">
      <c r="A201" s="127"/>
      <c r="B201" s="2" t="s">
        <v>103</v>
      </c>
      <c r="C201" s="2"/>
      <c r="D201" s="19">
        <v>7.22</v>
      </c>
      <c r="E201" s="2">
        <v>6.61</v>
      </c>
      <c r="F201" s="19">
        <v>9.16</v>
      </c>
      <c r="G201" s="2">
        <v>8.7799999999999994</v>
      </c>
      <c r="H201" s="19">
        <v>9.31</v>
      </c>
      <c r="I201" s="2">
        <v>8.25</v>
      </c>
      <c r="J201" s="20">
        <v>8.17</v>
      </c>
    </row>
    <row r="202" spans="1:10" ht="15.6" x14ac:dyDescent="0.3">
      <c r="A202" s="127"/>
      <c r="B202" s="25" t="s">
        <v>104</v>
      </c>
      <c r="C202" s="26" t="str">
        <f t="shared" ref="C202:J202" si="60">IF(OR(C200="",C201=""),"",C201/C200)</f>
        <v/>
      </c>
      <c r="D202" s="27">
        <f t="shared" si="60"/>
        <v>1.421259842519685</v>
      </c>
      <c r="E202" s="26">
        <f t="shared" si="60"/>
        <v>1.4215053763440859</v>
      </c>
      <c r="F202" s="27">
        <f t="shared" si="60"/>
        <v>1.4157650695517776</v>
      </c>
      <c r="G202" s="26">
        <f t="shared" si="60"/>
        <v>1.4299674267100977</v>
      </c>
      <c r="H202" s="27">
        <f t="shared" si="60"/>
        <v>1.4213740458015269</v>
      </c>
      <c r="I202" s="26">
        <f t="shared" si="60"/>
        <v>1.4322916666666667</v>
      </c>
      <c r="J202" s="28">
        <f t="shared" si="60"/>
        <v>1.4308231173380035</v>
      </c>
    </row>
    <row r="203" spans="1:10" ht="15.6" x14ac:dyDescent="0.3">
      <c r="A203" s="127">
        <v>140</v>
      </c>
      <c r="B203" s="6" t="s">
        <v>102</v>
      </c>
      <c r="C203" s="6"/>
      <c r="D203" s="29">
        <v>6.14</v>
      </c>
      <c r="E203" s="6">
        <v>5.62</v>
      </c>
      <c r="F203" s="29">
        <v>7.81</v>
      </c>
      <c r="G203" s="6">
        <v>7.43</v>
      </c>
      <c r="H203" s="29">
        <v>7.92</v>
      </c>
      <c r="I203" s="6">
        <v>6.96</v>
      </c>
      <c r="J203" s="30">
        <v>6.9</v>
      </c>
    </row>
    <row r="204" spans="1:10" ht="15.6" x14ac:dyDescent="0.3">
      <c r="A204" s="127"/>
      <c r="B204" s="2" t="s">
        <v>103</v>
      </c>
      <c r="C204" s="2"/>
      <c r="D204" s="19">
        <v>8.6300000000000008</v>
      </c>
      <c r="E204" s="2">
        <v>7.91</v>
      </c>
      <c r="F204" s="19">
        <v>10.94</v>
      </c>
      <c r="G204" s="2">
        <v>10.5</v>
      </c>
      <c r="H204" s="19">
        <v>11.13</v>
      </c>
      <c r="I204" s="2">
        <v>9.86</v>
      </c>
      <c r="J204" s="20">
        <v>9.76</v>
      </c>
    </row>
    <row r="205" spans="1:10" ht="15.6" x14ac:dyDescent="0.3">
      <c r="A205" s="127"/>
      <c r="B205" s="25" t="s">
        <v>104</v>
      </c>
      <c r="C205" s="26" t="str">
        <f t="shared" ref="C205:J205" si="61">IF(OR(C203="",C204=""),"",C204/C203)</f>
        <v/>
      </c>
      <c r="D205" s="27">
        <f t="shared" si="61"/>
        <v>1.4055374592833878</v>
      </c>
      <c r="E205" s="26">
        <f t="shared" si="61"/>
        <v>1.407473309608541</v>
      </c>
      <c r="F205" s="27">
        <f t="shared" si="61"/>
        <v>1.4007682458386683</v>
      </c>
      <c r="G205" s="26">
        <f t="shared" si="61"/>
        <v>1.4131897711978467</v>
      </c>
      <c r="H205" s="27">
        <f t="shared" si="61"/>
        <v>1.4053030303030305</v>
      </c>
      <c r="I205" s="26">
        <f t="shared" si="61"/>
        <v>1.4166666666666665</v>
      </c>
      <c r="J205" s="28">
        <f t="shared" si="61"/>
        <v>1.4144927536231884</v>
      </c>
    </row>
    <row r="206" spans="1:10" ht="15.6" x14ac:dyDescent="0.3">
      <c r="A206" s="127">
        <v>150</v>
      </c>
      <c r="B206" s="6" t="s">
        <v>102</v>
      </c>
      <c r="C206" s="6"/>
      <c r="D206" s="29">
        <v>7.29</v>
      </c>
      <c r="E206" s="6">
        <v>6.66</v>
      </c>
      <c r="F206" s="29">
        <v>9.26</v>
      </c>
      <c r="G206" s="6">
        <v>8.8000000000000007</v>
      </c>
      <c r="H206" s="29">
        <v>9.3800000000000008</v>
      </c>
      <c r="I206" s="6">
        <v>8.26</v>
      </c>
      <c r="J206" s="30">
        <v>8.18</v>
      </c>
    </row>
    <row r="207" spans="1:10" ht="15.6" x14ac:dyDescent="0.3">
      <c r="A207" s="127"/>
      <c r="B207" s="2" t="s">
        <v>103</v>
      </c>
      <c r="C207" s="2"/>
      <c r="D207" s="19">
        <v>10.15</v>
      </c>
      <c r="E207" s="2">
        <v>9.2899999999999991</v>
      </c>
      <c r="F207" s="19">
        <v>12.85</v>
      </c>
      <c r="G207" s="2">
        <v>12.32</v>
      </c>
      <c r="H207" s="19">
        <v>13.08</v>
      </c>
      <c r="I207" s="2">
        <v>11.6</v>
      </c>
      <c r="J207" s="20">
        <v>11.47</v>
      </c>
    </row>
    <row r="208" spans="1:10" ht="15.6" x14ac:dyDescent="0.3">
      <c r="A208" s="127"/>
      <c r="B208" s="25" t="s">
        <v>104</v>
      </c>
      <c r="C208" s="26" t="str">
        <f t="shared" ref="C208:J208" si="62">IF(OR(C206="",C207=""),"",C207/C206)</f>
        <v/>
      </c>
      <c r="D208" s="27">
        <f t="shared" si="62"/>
        <v>1.3923182441700961</v>
      </c>
      <c r="E208" s="26">
        <f t="shared" si="62"/>
        <v>1.3948948948948947</v>
      </c>
      <c r="F208" s="27">
        <f t="shared" si="62"/>
        <v>1.3876889848812095</v>
      </c>
      <c r="G208" s="26">
        <f t="shared" si="62"/>
        <v>1.4</v>
      </c>
      <c r="H208" s="27">
        <f t="shared" si="62"/>
        <v>1.3944562899786779</v>
      </c>
      <c r="I208" s="26">
        <f t="shared" si="62"/>
        <v>1.4043583535108959</v>
      </c>
      <c r="J208" s="28">
        <f t="shared" si="62"/>
        <v>1.4022004889975552</v>
      </c>
    </row>
    <row r="209" spans="1:10" ht="15.6" x14ac:dyDescent="0.3">
      <c r="A209" s="127" t="s">
        <v>126</v>
      </c>
      <c r="B209" s="6" t="s">
        <v>102</v>
      </c>
      <c r="C209" s="6">
        <v>0.83</v>
      </c>
      <c r="D209" s="29"/>
      <c r="E209" s="6"/>
      <c r="F209" s="29">
        <v>0.63</v>
      </c>
      <c r="G209" s="6">
        <v>0.6</v>
      </c>
      <c r="H209" s="29">
        <v>0.64</v>
      </c>
      <c r="I209" s="6">
        <v>0.56000000000000005</v>
      </c>
      <c r="J209" s="30">
        <v>0.56000000000000005</v>
      </c>
    </row>
    <row r="210" spans="1:10" ht="15.6" x14ac:dyDescent="0.3">
      <c r="A210" s="127"/>
      <c r="B210" s="2" t="s">
        <v>103</v>
      </c>
      <c r="C210" s="2">
        <v>1.1000000000000001</v>
      </c>
      <c r="D210" s="19"/>
      <c r="E210" s="2"/>
      <c r="F210" s="19">
        <v>0.84</v>
      </c>
      <c r="G210" s="2">
        <v>0.81</v>
      </c>
      <c r="H210" s="19">
        <v>0.85</v>
      </c>
      <c r="I210" s="2">
        <v>0.76</v>
      </c>
      <c r="J210" s="20">
        <v>0.75</v>
      </c>
    </row>
    <row r="211" spans="1:10" ht="15.6" x14ac:dyDescent="0.3">
      <c r="A211" s="127"/>
      <c r="B211" s="25" t="s">
        <v>104</v>
      </c>
      <c r="C211" s="26">
        <f t="shared" ref="C211:J211" si="63">IF(OR(C209="",C210=""),"",C210/C209)</f>
        <v>1.3253012048192774</v>
      </c>
      <c r="D211" s="27" t="str">
        <f t="shared" si="63"/>
        <v/>
      </c>
      <c r="E211" s="26" t="str">
        <f t="shared" si="63"/>
        <v/>
      </c>
      <c r="F211" s="27">
        <f t="shared" si="63"/>
        <v>1.3333333333333333</v>
      </c>
      <c r="G211" s="26">
        <f t="shared" si="63"/>
        <v>1.35</v>
      </c>
      <c r="H211" s="27">
        <f t="shared" si="63"/>
        <v>1.328125</v>
      </c>
      <c r="I211" s="26">
        <f t="shared" si="63"/>
        <v>1.357142857142857</v>
      </c>
      <c r="J211" s="28">
        <f t="shared" si="63"/>
        <v>1.3392857142857142</v>
      </c>
    </row>
    <row r="212" spans="1:10" ht="15.6" x14ac:dyDescent="0.3">
      <c r="A212" s="127" t="s">
        <v>127</v>
      </c>
      <c r="B212" s="6" t="s">
        <v>102</v>
      </c>
      <c r="C212" s="6"/>
      <c r="D212" s="29"/>
      <c r="E212" s="6"/>
      <c r="F212" s="29">
        <v>1</v>
      </c>
      <c r="G212" s="6">
        <v>0.95</v>
      </c>
      <c r="H212" s="29">
        <v>1.01</v>
      </c>
      <c r="I212" s="6">
        <v>0.89</v>
      </c>
      <c r="J212" s="30">
        <v>0.88</v>
      </c>
    </row>
    <row r="213" spans="1:10" ht="15.6" x14ac:dyDescent="0.3">
      <c r="A213" s="127"/>
      <c r="B213" s="2" t="s">
        <v>103</v>
      </c>
      <c r="C213" s="2"/>
      <c r="D213" s="19"/>
      <c r="E213" s="2"/>
      <c r="F213" s="19">
        <v>1.31</v>
      </c>
      <c r="G213" s="2">
        <v>1.26</v>
      </c>
      <c r="H213" s="19">
        <v>1.33</v>
      </c>
      <c r="I213" s="2">
        <v>1.18</v>
      </c>
      <c r="J213" s="20">
        <v>1.17</v>
      </c>
    </row>
    <row r="214" spans="1:10" ht="15.6" x14ac:dyDescent="0.3">
      <c r="A214" s="127"/>
      <c r="B214" s="25" t="s">
        <v>104</v>
      </c>
      <c r="C214" s="26" t="str">
        <f t="shared" ref="C214:J214" si="64">IF(OR(C212="",C213=""),"",C213/C212)</f>
        <v/>
      </c>
      <c r="D214" s="27" t="str">
        <f t="shared" si="64"/>
        <v/>
      </c>
      <c r="E214" s="26" t="str">
        <f t="shared" si="64"/>
        <v/>
      </c>
      <c r="F214" s="27">
        <f t="shared" si="64"/>
        <v>1.31</v>
      </c>
      <c r="G214" s="26">
        <f t="shared" si="64"/>
        <v>1.3263157894736843</v>
      </c>
      <c r="H214" s="27">
        <f t="shared" si="64"/>
        <v>1.3168316831683169</v>
      </c>
      <c r="I214" s="26">
        <f t="shared" si="64"/>
        <v>1.3258426966292134</v>
      </c>
      <c r="J214" s="28">
        <f t="shared" si="64"/>
        <v>1.3295454545454544</v>
      </c>
    </row>
    <row r="215" spans="1:10" ht="15.6" x14ac:dyDescent="0.3">
      <c r="A215" s="127" t="s">
        <v>128</v>
      </c>
      <c r="B215" s="6" t="s">
        <v>102</v>
      </c>
      <c r="C215" s="6"/>
      <c r="D215" s="29"/>
      <c r="E215" s="6"/>
      <c r="F215" s="29">
        <v>1.46</v>
      </c>
      <c r="G215" s="6">
        <v>1.39</v>
      </c>
      <c r="H215" s="29">
        <v>1.48</v>
      </c>
      <c r="I215" s="6">
        <v>1.3</v>
      </c>
      <c r="J215" s="30">
        <v>1.29</v>
      </c>
    </row>
    <row r="216" spans="1:10" ht="15.6" x14ac:dyDescent="0.3">
      <c r="A216" s="127"/>
      <c r="B216" s="2" t="s">
        <v>103</v>
      </c>
      <c r="C216" s="2"/>
      <c r="D216" s="19"/>
      <c r="E216" s="2"/>
      <c r="F216" s="19">
        <v>1.91</v>
      </c>
      <c r="G216" s="2">
        <v>1.84</v>
      </c>
      <c r="H216" s="19">
        <v>1.94</v>
      </c>
      <c r="I216" s="2">
        <v>1.75</v>
      </c>
      <c r="J216" s="20">
        <v>1.71</v>
      </c>
    </row>
    <row r="217" spans="1:10" ht="15.6" x14ac:dyDescent="0.3">
      <c r="A217" s="127"/>
      <c r="B217" s="25" t="s">
        <v>104</v>
      </c>
      <c r="C217" s="26" t="str">
        <f t="shared" ref="C217:J217" si="65">IF(OR(C215="",C216=""),"",C216/C215)</f>
        <v/>
      </c>
      <c r="D217" s="27" t="str">
        <f t="shared" si="65"/>
        <v/>
      </c>
      <c r="E217" s="26" t="str">
        <f t="shared" si="65"/>
        <v/>
      </c>
      <c r="F217" s="27">
        <f t="shared" si="65"/>
        <v>1.3082191780821917</v>
      </c>
      <c r="G217" s="26">
        <f t="shared" si="65"/>
        <v>1.3237410071942448</v>
      </c>
      <c r="H217" s="27">
        <f t="shared" si="65"/>
        <v>1.3108108108108107</v>
      </c>
      <c r="I217" s="26">
        <f t="shared" si="65"/>
        <v>1.346153846153846</v>
      </c>
      <c r="J217" s="28">
        <f t="shared" si="65"/>
        <v>1.3255813953488371</v>
      </c>
    </row>
    <row r="218" spans="1:10" ht="15.6" x14ac:dyDescent="0.3">
      <c r="A218" s="127" t="s">
        <v>129</v>
      </c>
      <c r="B218" s="6" t="s">
        <v>102</v>
      </c>
      <c r="C218" s="6"/>
      <c r="D218" s="29"/>
      <c r="E218" s="6"/>
      <c r="F218" s="29">
        <v>2.02</v>
      </c>
      <c r="G218" s="6">
        <v>1.93</v>
      </c>
      <c r="H218" s="29">
        <v>2.0499999999999998</v>
      </c>
      <c r="I218" s="6">
        <v>1.8</v>
      </c>
      <c r="J218" s="30">
        <v>1.79</v>
      </c>
    </row>
    <row r="219" spans="1:10" ht="15.6" x14ac:dyDescent="0.3">
      <c r="A219" s="127"/>
      <c r="B219" s="2" t="s">
        <v>103</v>
      </c>
      <c r="C219" s="2"/>
      <c r="D219" s="19"/>
      <c r="E219" s="2"/>
      <c r="F219" s="19">
        <v>2.63</v>
      </c>
      <c r="G219" s="2">
        <v>2.5299999999999998</v>
      </c>
      <c r="H219" s="19">
        <v>2.68</v>
      </c>
      <c r="I219" s="2">
        <v>2.38</v>
      </c>
      <c r="J219" s="20">
        <v>2.36</v>
      </c>
    </row>
    <row r="220" spans="1:10" ht="15.6" x14ac:dyDescent="0.3">
      <c r="A220" s="127"/>
      <c r="B220" s="25" t="s">
        <v>104</v>
      </c>
      <c r="C220" s="26" t="str">
        <f t="shared" ref="C220:J220" si="66">IF(OR(C218="",C219=""),"",C219/C218)</f>
        <v/>
      </c>
      <c r="D220" s="27" t="str">
        <f t="shared" si="66"/>
        <v/>
      </c>
      <c r="E220" s="26" t="str">
        <f t="shared" si="66"/>
        <v/>
      </c>
      <c r="F220" s="27">
        <f t="shared" si="66"/>
        <v>1.301980198019802</v>
      </c>
      <c r="G220" s="26">
        <f t="shared" si="66"/>
        <v>1.310880829015544</v>
      </c>
      <c r="H220" s="27">
        <f t="shared" si="66"/>
        <v>1.307317073170732</v>
      </c>
      <c r="I220" s="26">
        <f t="shared" si="66"/>
        <v>1.3222222222222222</v>
      </c>
      <c r="J220" s="28">
        <f t="shared" si="66"/>
        <v>1.3184357541899441</v>
      </c>
    </row>
    <row r="221" spans="1:10" ht="15.6" x14ac:dyDescent="0.3">
      <c r="A221" s="127" t="s">
        <v>130</v>
      </c>
      <c r="B221" s="6" t="s">
        <v>102</v>
      </c>
      <c r="C221" s="6"/>
      <c r="D221" s="29"/>
      <c r="E221" s="6"/>
      <c r="F221" s="29">
        <v>2.69</v>
      </c>
      <c r="G221" s="6">
        <v>2.56</v>
      </c>
      <c r="H221" s="29">
        <v>2.73</v>
      </c>
      <c r="I221" s="6">
        <v>2.4</v>
      </c>
      <c r="J221" s="30">
        <v>2.38</v>
      </c>
    </row>
    <row r="222" spans="1:10" ht="15.6" x14ac:dyDescent="0.3">
      <c r="A222" s="127"/>
      <c r="B222" s="2" t="s">
        <v>103</v>
      </c>
      <c r="C222" s="2"/>
      <c r="D222" s="19"/>
      <c r="E222" s="2"/>
      <c r="F222" s="19">
        <v>3.5</v>
      </c>
      <c r="G222" s="2">
        <v>3.36</v>
      </c>
      <c r="H222" s="19">
        <v>3.56</v>
      </c>
      <c r="I222" s="2">
        <v>3.16</v>
      </c>
      <c r="J222" s="20">
        <v>3.13</v>
      </c>
    </row>
    <row r="223" spans="1:10" ht="15.6" x14ac:dyDescent="0.3">
      <c r="A223" s="127"/>
      <c r="B223" s="25" t="s">
        <v>104</v>
      </c>
      <c r="C223" s="26" t="str">
        <f t="shared" ref="C223:J223" si="67">IF(OR(C221="",C222=""),"",C222/C221)</f>
        <v/>
      </c>
      <c r="D223" s="27" t="str">
        <f t="shared" si="67"/>
        <v/>
      </c>
      <c r="E223" s="26" t="str">
        <f t="shared" si="67"/>
        <v/>
      </c>
      <c r="F223" s="27">
        <f t="shared" si="67"/>
        <v>1.3011152416356877</v>
      </c>
      <c r="G223" s="26">
        <f t="shared" si="67"/>
        <v>1.3125</v>
      </c>
      <c r="H223" s="27">
        <f t="shared" si="67"/>
        <v>1.3040293040293041</v>
      </c>
      <c r="I223" s="26">
        <f t="shared" si="67"/>
        <v>1.3166666666666669</v>
      </c>
      <c r="J223" s="28">
        <f t="shared" si="67"/>
        <v>1.3151260504201681</v>
      </c>
    </row>
    <row r="224" spans="1:10" ht="15.6" x14ac:dyDescent="0.3">
      <c r="A224" s="127" t="s">
        <v>131</v>
      </c>
      <c r="B224" s="6" t="s">
        <v>102</v>
      </c>
      <c r="C224" s="6"/>
      <c r="D224" s="29"/>
      <c r="E224" s="6"/>
      <c r="F224" s="29">
        <v>3.46</v>
      </c>
      <c r="G224" s="6">
        <v>3.3</v>
      </c>
      <c r="H224" s="29">
        <v>3.51</v>
      </c>
      <c r="I224" s="6">
        <v>3.08</v>
      </c>
      <c r="J224" s="30">
        <v>3.06</v>
      </c>
    </row>
    <row r="225" spans="1:10" ht="15.6" x14ac:dyDescent="0.3">
      <c r="A225" s="127"/>
      <c r="B225" s="2" t="s">
        <v>103</v>
      </c>
      <c r="C225" s="2"/>
      <c r="D225" s="19"/>
      <c r="E225" s="2"/>
      <c r="F225" s="19">
        <v>4.49</v>
      </c>
      <c r="G225" s="2">
        <v>4.3099999999999996</v>
      </c>
      <c r="H225" s="19">
        <v>4.57</v>
      </c>
      <c r="I225" s="2">
        <v>4.0599999999999996</v>
      </c>
      <c r="J225" s="20">
        <v>4.0199999999999996</v>
      </c>
    </row>
    <row r="226" spans="1:10" ht="15.6" x14ac:dyDescent="0.3">
      <c r="A226" s="127"/>
      <c r="B226" s="25" t="s">
        <v>104</v>
      </c>
      <c r="C226" s="26" t="str">
        <f t="shared" ref="C226:J226" si="68">IF(OR(C224="",C225=""),"",C225/C224)</f>
        <v/>
      </c>
      <c r="D226" s="27" t="str">
        <f t="shared" si="68"/>
        <v/>
      </c>
      <c r="E226" s="26" t="str">
        <f t="shared" si="68"/>
        <v/>
      </c>
      <c r="F226" s="27">
        <f t="shared" si="68"/>
        <v>1.2976878612716765</v>
      </c>
      <c r="G226" s="26">
        <f t="shared" si="68"/>
        <v>1.3060606060606059</v>
      </c>
      <c r="H226" s="27">
        <f t="shared" si="68"/>
        <v>1.3019943019943021</v>
      </c>
      <c r="I226" s="26">
        <f t="shared" si="68"/>
        <v>1.3181818181818181</v>
      </c>
      <c r="J226" s="28">
        <f t="shared" si="68"/>
        <v>1.3137254901960782</v>
      </c>
    </row>
    <row r="227" spans="1:10" ht="15.6" x14ac:dyDescent="0.3">
      <c r="A227" s="127" t="s">
        <v>132</v>
      </c>
      <c r="B227" s="6" t="s">
        <v>102</v>
      </c>
      <c r="C227" s="6"/>
      <c r="D227" s="29"/>
      <c r="E227" s="6"/>
      <c r="F227" s="29"/>
      <c r="G227" s="6"/>
      <c r="H227" s="29">
        <v>2.14</v>
      </c>
      <c r="I227" s="6">
        <v>1.89</v>
      </c>
      <c r="J227" s="30">
        <v>1.88</v>
      </c>
    </row>
    <row r="228" spans="1:10" ht="15.6" x14ac:dyDescent="0.3">
      <c r="A228" s="127"/>
      <c r="B228" s="2" t="s">
        <v>103</v>
      </c>
      <c r="C228" s="2"/>
      <c r="D228" s="19"/>
      <c r="E228" s="2"/>
      <c r="F228" s="19"/>
      <c r="G228" s="2"/>
      <c r="H228" s="19">
        <v>2.78</v>
      </c>
      <c r="I228" s="2">
        <v>2.4700000000000002</v>
      </c>
      <c r="J228" s="20">
        <v>2.4500000000000002</v>
      </c>
    </row>
    <row r="229" spans="1:10" ht="15.6" x14ac:dyDescent="0.3">
      <c r="A229" s="127"/>
      <c r="B229" s="25" t="s">
        <v>104</v>
      </c>
      <c r="C229" s="26" t="str">
        <f t="shared" ref="C229:J229" si="69">IF(OR(C227="",C228=""),"",C228/C227)</f>
        <v/>
      </c>
      <c r="D229" s="27" t="str">
        <f t="shared" si="69"/>
        <v/>
      </c>
      <c r="E229" s="26" t="str">
        <f t="shared" si="69"/>
        <v/>
      </c>
      <c r="F229" s="27" t="str">
        <f t="shared" si="69"/>
        <v/>
      </c>
      <c r="G229" s="26" t="str">
        <f t="shared" si="69"/>
        <v/>
      </c>
      <c r="H229" s="27">
        <f t="shared" si="69"/>
        <v>1.2990654205607475</v>
      </c>
      <c r="I229" s="26">
        <f t="shared" si="69"/>
        <v>1.306878306878307</v>
      </c>
      <c r="J229" s="28">
        <f t="shared" si="69"/>
        <v>1.3031914893617023</v>
      </c>
    </row>
    <row r="230" spans="1:10" ht="15.6" x14ac:dyDescent="0.3">
      <c r="A230" s="129" t="s">
        <v>133</v>
      </c>
      <c r="B230" s="45" t="s">
        <v>102</v>
      </c>
      <c r="C230" s="45"/>
      <c r="D230" s="46"/>
      <c r="E230" s="45"/>
      <c r="F230" s="46"/>
      <c r="G230" s="45"/>
      <c r="H230" s="46"/>
      <c r="I230" s="45"/>
      <c r="J230" s="47"/>
    </row>
    <row r="231" spans="1:10" ht="15.6" x14ac:dyDescent="0.3">
      <c r="A231" s="129"/>
      <c r="B231" s="48" t="s">
        <v>103</v>
      </c>
      <c r="C231" s="48"/>
      <c r="D231" s="49"/>
      <c r="E231" s="48"/>
      <c r="F231" s="49"/>
      <c r="G231" s="48"/>
      <c r="H231" s="49"/>
      <c r="I231" s="48"/>
      <c r="J231" s="50"/>
    </row>
    <row r="232" spans="1:10" ht="15.6" x14ac:dyDescent="0.3">
      <c r="A232" s="129"/>
      <c r="B232" s="51" t="s">
        <v>104</v>
      </c>
      <c r="C232" s="52" t="str">
        <f t="shared" ref="C232:J232" si="70">IF(OR(C230="",C231=""),"",C231/C230)</f>
        <v/>
      </c>
      <c r="D232" s="53" t="str">
        <f t="shared" si="70"/>
        <v/>
      </c>
      <c r="E232" s="52" t="str">
        <f t="shared" si="70"/>
        <v/>
      </c>
      <c r="F232" s="53" t="str">
        <f t="shared" si="70"/>
        <v/>
      </c>
      <c r="G232" s="52" t="str">
        <f t="shared" si="70"/>
        <v/>
      </c>
      <c r="H232" s="53" t="str">
        <f t="shared" si="70"/>
        <v/>
      </c>
      <c r="I232" s="52" t="str">
        <f t="shared" si="70"/>
        <v/>
      </c>
      <c r="J232" s="54" t="str">
        <f t="shared" si="70"/>
        <v/>
      </c>
    </row>
    <row r="233" spans="1:10" ht="15.6" x14ac:dyDescent="0.3">
      <c r="A233" s="129" t="s">
        <v>134</v>
      </c>
      <c r="B233" s="45" t="s">
        <v>102</v>
      </c>
      <c r="C233" s="45"/>
      <c r="D233" s="46"/>
      <c r="E233" s="45"/>
      <c r="F233" s="46"/>
      <c r="G233" s="45"/>
      <c r="H233" s="46"/>
      <c r="I233" s="45"/>
      <c r="J233" s="47"/>
    </row>
    <row r="234" spans="1:10" ht="15.6" x14ac:dyDescent="0.3">
      <c r="A234" s="129"/>
      <c r="B234" s="48" t="s">
        <v>103</v>
      </c>
      <c r="C234" s="48"/>
      <c r="D234" s="49"/>
      <c r="E234" s="48"/>
      <c r="F234" s="49"/>
      <c r="G234" s="48"/>
      <c r="H234" s="49"/>
      <c r="I234" s="48"/>
      <c r="J234" s="50"/>
    </row>
    <row r="235" spans="1:10" ht="15.6" x14ac:dyDescent="0.3">
      <c r="A235" s="129"/>
      <c r="B235" s="51" t="s">
        <v>104</v>
      </c>
      <c r="C235" s="52" t="str">
        <f t="shared" ref="C235:J235" si="71">IF(OR(C233="",C234=""),"",C234/C233)</f>
        <v/>
      </c>
      <c r="D235" s="53" t="str">
        <f t="shared" si="71"/>
        <v/>
      </c>
      <c r="E235" s="52" t="str">
        <f t="shared" si="71"/>
        <v/>
      </c>
      <c r="F235" s="53" t="str">
        <f t="shared" si="71"/>
        <v/>
      </c>
      <c r="G235" s="52" t="str">
        <f t="shared" si="71"/>
        <v/>
      </c>
      <c r="H235" s="53" t="str">
        <f t="shared" si="71"/>
        <v/>
      </c>
      <c r="I235" s="52" t="str">
        <f t="shared" si="71"/>
        <v/>
      </c>
      <c r="J235" s="54" t="str">
        <f t="shared" si="71"/>
        <v/>
      </c>
    </row>
  </sheetData>
  <mergeCells count="72">
    <mergeCell ref="A230:A232"/>
    <mergeCell ref="A233:A235"/>
    <mergeCell ref="A215:A217"/>
    <mergeCell ref="A218:A220"/>
    <mergeCell ref="A221:A223"/>
    <mergeCell ref="A224:A226"/>
    <mergeCell ref="A227:A229"/>
    <mergeCell ref="A200:A202"/>
    <mergeCell ref="A203:A205"/>
    <mergeCell ref="A206:A208"/>
    <mergeCell ref="A209:A211"/>
    <mergeCell ref="A212:A214"/>
    <mergeCell ref="A185:A187"/>
    <mergeCell ref="A188:A190"/>
    <mergeCell ref="A191:A193"/>
    <mergeCell ref="A194:A196"/>
    <mergeCell ref="A197:A199"/>
    <mergeCell ref="A165:A167"/>
    <mergeCell ref="A168:A170"/>
    <mergeCell ref="A171:A173"/>
    <mergeCell ref="A174:A176"/>
    <mergeCell ref="A182:A184"/>
    <mergeCell ref="A150:A152"/>
    <mergeCell ref="A153:A155"/>
    <mergeCell ref="A156:A158"/>
    <mergeCell ref="A159:A161"/>
    <mergeCell ref="A162:A164"/>
    <mergeCell ref="A135:A137"/>
    <mergeCell ref="A138:A140"/>
    <mergeCell ref="A141:A143"/>
    <mergeCell ref="A144:A146"/>
    <mergeCell ref="A147:A149"/>
    <mergeCell ref="A115:A117"/>
    <mergeCell ref="A123:A125"/>
    <mergeCell ref="A126:A128"/>
    <mergeCell ref="A129:A131"/>
    <mergeCell ref="A132:A134"/>
    <mergeCell ref="A100:A102"/>
    <mergeCell ref="A103:A105"/>
    <mergeCell ref="A106:A108"/>
    <mergeCell ref="A109:A111"/>
    <mergeCell ref="A112:A114"/>
    <mergeCell ref="A85:A87"/>
    <mergeCell ref="A88:A90"/>
    <mergeCell ref="A91:A93"/>
    <mergeCell ref="A94:A96"/>
    <mergeCell ref="A97:A99"/>
    <mergeCell ref="A70:A72"/>
    <mergeCell ref="A73:A75"/>
    <mergeCell ref="A76:A78"/>
    <mergeCell ref="A79:A81"/>
    <mergeCell ref="A82:A84"/>
    <mergeCell ref="A50:A52"/>
    <mergeCell ref="A53:A55"/>
    <mergeCell ref="A56:A58"/>
    <mergeCell ref="A64:A66"/>
    <mergeCell ref="A67:A69"/>
    <mergeCell ref="A35:A37"/>
    <mergeCell ref="A38:A40"/>
    <mergeCell ref="A41:A43"/>
    <mergeCell ref="A44:A46"/>
    <mergeCell ref="A47:A49"/>
    <mergeCell ref="A20:A22"/>
    <mergeCell ref="A23:A25"/>
    <mergeCell ref="A26:A28"/>
    <mergeCell ref="A29:A31"/>
    <mergeCell ref="A32:A34"/>
    <mergeCell ref="A5:A7"/>
    <mergeCell ref="A8:A10"/>
    <mergeCell ref="A11:A13"/>
    <mergeCell ref="A14:A16"/>
    <mergeCell ref="A17:A1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84"/>
  <sheetViews>
    <sheetView zoomScaleNormal="100" workbookViewId="0">
      <selection activeCellId="1" sqref="D93:D181 A1"/>
    </sheetView>
  </sheetViews>
  <sheetFormatPr defaultColWidth="11.19921875" defaultRowHeight="15" customHeight="1" x14ac:dyDescent="0.3"/>
  <cols>
    <col min="1" max="10" width="8.59765625" customWidth="1"/>
  </cols>
  <sheetData>
    <row r="1" spans="1:10" ht="15.75" customHeight="1" thickBot="1" x14ac:dyDescent="0.35">
      <c r="A1" s="8" t="s">
        <v>97</v>
      </c>
    </row>
    <row r="2" spans="1:10" ht="15.75" customHeight="1" thickTop="1" x14ac:dyDescent="0.3">
      <c r="B2" s="55" t="s">
        <v>100</v>
      </c>
      <c r="C2" s="4" t="s">
        <v>13</v>
      </c>
      <c r="D2" s="16" t="s">
        <v>14</v>
      </c>
      <c r="E2" s="4" t="s">
        <v>15</v>
      </c>
      <c r="F2" s="16" t="s">
        <v>17</v>
      </c>
      <c r="G2" s="4" t="s">
        <v>18</v>
      </c>
      <c r="H2" s="16" t="s">
        <v>16</v>
      </c>
      <c r="I2" s="4" t="s">
        <v>20</v>
      </c>
      <c r="J2" s="17" t="s">
        <v>23</v>
      </c>
    </row>
    <row r="3" spans="1:10" ht="15.75" customHeight="1" x14ac:dyDescent="0.3">
      <c r="B3" s="56" t="s">
        <v>114</v>
      </c>
      <c r="C3" s="2">
        <v>2</v>
      </c>
      <c r="D3" s="19">
        <v>5</v>
      </c>
      <c r="E3" s="2">
        <v>6</v>
      </c>
      <c r="F3" s="19">
        <v>7.2</v>
      </c>
      <c r="G3" s="2">
        <v>10</v>
      </c>
      <c r="H3" s="19">
        <v>12</v>
      </c>
      <c r="I3" s="2">
        <v>14.4</v>
      </c>
      <c r="J3" s="20">
        <v>19.2</v>
      </c>
    </row>
    <row r="4" spans="1:10" ht="15.75" customHeight="1" thickBot="1" x14ac:dyDescent="0.35">
      <c r="B4" s="56" t="s">
        <v>101</v>
      </c>
      <c r="C4" s="2" t="s">
        <v>13</v>
      </c>
      <c r="D4" s="19" t="s">
        <v>14</v>
      </c>
      <c r="E4" s="2" t="s">
        <v>15</v>
      </c>
      <c r="F4" s="19" t="s">
        <v>17</v>
      </c>
      <c r="G4" s="2" t="s">
        <v>18</v>
      </c>
      <c r="H4" s="19" t="s">
        <v>16</v>
      </c>
      <c r="I4" s="2" t="s">
        <v>20</v>
      </c>
      <c r="J4" s="20" t="s">
        <v>23</v>
      </c>
    </row>
    <row r="5" spans="1:10" ht="15.75" customHeight="1" thickTop="1" thickBot="1" x14ac:dyDescent="0.35">
      <c r="A5" s="57" t="s">
        <v>6</v>
      </c>
      <c r="B5" s="58"/>
      <c r="C5" s="59"/>
      <c r="D5" s="60"/>
      <c r="E5" s="59"/>
      <c r="F5" s="60"/>
      <c r="G5" s="59"/>
      <c r="H5" s="60"/>
      <c r="I5" s="59"/>
      <c r="J5" s="61"/>
    </row>
    <row r="6" spans="1:10" ht="15.75" customHeight="1" thickTop="1" thickBot="1" x14ac:dyDescent="0.35">
      <c r="A6" s="126">
        <v>70</v>
      </c>
      <c r="B6" s="62" t="s">
        <v>102</v>
      </c>
      <c r="C6" s="4">
        <v>2.86</v>
      </c>
      <c r="D6" s="16">
        <v>2.57</v>
      </c>
      <c r="E6" s="4">
        <v>3.54</v>
      </c>
      <c r="F6" s="16">
        <v>3.69</v>
      </c>
      <c r="G6" s="4">
        <v>2.57</v>
      </c>
      <c r="H6" s="16">
        <v>3.48</v>
      </c>
      <c r="I6" s="4">
        <v>3.29</v>
      </c>
      <c r="J6" s="17">
        <v>3.15</v>
      </c>
    </row>
    <row r="7" spans="1:10" ht="15.75" customHeight="1" thickTop="1" thickBot="1" x14ac:dyDescent="0.35">
      <c r="A7" s="126"/>
      <c r="B7" s="63" t="s">
        <v>103</v>
      </c>
      <c r="C7" s="2">
        <v>3.06</v>
      </c>
      <c r="D7" s="19">
        <v>2.74</v>
      </c>
      <c r="E7" s="2">
        <v>3.79</v>
      </c>
      <c r="F7" s="19">
        <v>3.94</v>
      </c>
      <c r="G7" s="2">
        <v>2.74</v>
      </c>
      <c r="H7" s="19">
        <v>3.71</v>
      </c>
      <c r="I7" s="2">
        <v>3.52</v>
      </c>
      <c r="J7" s="20">
        <v>3.37</v>
      </c>
    </row>
    <row r="8" spans="1:10" ht="15.75" customHeight="1" thickTop="1" thickBot="1" x14ac:dyDescent="0.35">
      <c r="A8" s="126"/>
      <c r="B8" s="64" t="s">
        <v>104</v>
      </c>
      <c r="C8" s="26">
        <f t="shared" ref="C8:J8" si="0">IF(OR(C6="",C7=""),"",C7/C6)</f>
        <v>1.06993006993007</v>
      </c>
      <c r="D8" s="27">
        <f t="shared" si="0"/>
        <v>1.0661478599221792</v>
      </c>
      <c r="E8" s="26">
        <f t="shared" si="0"/>
        <v>1.0706214689265536</v>
      </c>
      <c r="F8" s="27">
        <f t="shared" si="0"/>
        <v>1.0677506775067751</v>
      </c>
      <c r="G8" s="26">
        <f t="shared" si="0"/>
        <v>1.0661478599221792</v>
      </c>
      <c r="H8" s="27">
        <f t="shared" si="0"/>
        <v>1.0660919540229885</v>
      </c>
      <c r="I8" s="26">
        <f t="shared" si="0"/>
        <v>1.0699088145896656</v>
      </c>
      <c r="J8" s="28">
        <f t="shared" si="0"/>
        <v>1.0698412698412698</v>
      </c>
    </row>
    <row r="9" spans="1:10" ht="15.75" customHeight="1" thickTop="1" x14ac:dyDescent="0.3">
      <c r="A9" s="130">
        <v>80</v>
      </c>
      <c r="B9" s="5" t="s">
        <v>102</v>
      </c>
      <c r="C9" s="6">
        <v>4.57</v>
      </c>
      <c r="D9" s="29">
        <v>4.0999999999999996</v>
      </c>
      <c r="E9" s="6">
        <v>5.65</v>
      </c>
      <c r="F9" s="29">
        <v>5.89</v>
      </c>
      <c r="G9" s="6">
        <v>4.0999999999999996</v>
      </c>
      <c r="H9" s="29">
        <v>5.54</v>
      </c>
      <c r="I9" s="6">
        <v>5.25</v>
      </c>
      <c r="J9" s="30">
        <v>5.03</v>
      </c>
    </row>
    <row r="10" spans="1:10" ht="15.75" customHeight="1" x14ac:dyDescent="0.3">
      <c r="A10" s="130"/>
      <c r="B10" s="63" t="s">
        <v>103</v>
      </c>
      <c r="C10" s="2">
        <v>4.7699999999999996</v>
      </c>
      <c r="D10" s="19">
        <v>4.28</v>
      </c>
      <c r="E10" s="2">
        <v>5.91</v>
      </c>
      <c r="F10" s="19">
        <v>6.16</v>
      </c>
      <c r="G10" s="2">
        <v>4.28</v>
      </c>
      <c r="H10" s="19">
        <v>5.8</v>
      </c>
      <c r="I10" s="2">
        <v>5.49</v>
      </c>
      <c r="J10" s="20">
        <v>5.26</v>
      </c>
    </row>
    <row r="11" spans="1:10" ht="15.75" customHeight="1" thickBot="1" x14ac:dyDescent="0.35">
      <c r="A11" s="130"/>
      <c r="B11" s="65" t="s">
        <v>104</v>
      </c>
      <c r="C11" s="66">
        <f t="shared" ref="C11:J11" si="1">IF(OR(C9="",C10=""),"",C10/C9)</f>
        <v>1.0437636761487963</v>
      </c>
      <c r="D11" s="67">
        <f t="shared" si="1"/>
        <v>1.0439024390243905</v>
      </c>
      <c r="E11" s="66">
        <f t="shared" si="1"/>
        <v>1.0460176991150443</v>
      </c>
      <c r="F11" s="67">
        <f t="shared" si="1"/>
        <v>1.0458404074702887</v>
      </c>
      <c r="G11" s="66">
        <f t="shared" si="1"/>
        <v>1.0439024390243905</v>
      </c>
      <c r="H11" s="67">
        <f t="shared" si="1"/>
        <v>1.0469314079422383</v>
      </c>
      <c r="I11" s="66">
        <f t="shared" si="1"/>
        <v>1.0457142857142858</v>
      </c>
      <c r="J11" s="68">
        <f t="shared" si="1"/>
        <v>1.0457256461232602</v>
      </c>
    </row>
    <row r="12" spans="1:10" ht="15.75" customHeight="1" thickTop="1" thickBot="1" x14ac:dyDescent="0.35">
      <c r="A12" s="126">
        <v>100</v>
      </c>
      <c r="B12" s="62" t="s">
        <v>102</v>
      </c>
      <c r="C12" s="4">
        <v>8.84</v>
      </c>
      <c r="D12" s="16">
        <v>7.93</v>
      </c>
      <c r="E12" s="4">
        <v>10.94</v>
      </c>
      <c r="F12" s="16">
        <v>11.4</v>
      </c>
      <c r="G12" s="4">
        <v>7.93</v>
      </c>
      <c r="H12" s="16">
        <v>10.73</v>
      </c>
      <c r="I12" s="4">
        <v>10.17</v>
      </c>
      <c r="J12" s="17">
        <v>9.73</v>
      </c>
    </row>
    <row r="13" spans="1:10" ht="15.75" customHeight="1" thickTop="1" thickBot="1" x14ac:dyDescent="0.35">
      <c r="A13" s="126"/>
      <c r="B13" s="63" t="s">
        <v>103</v>
      </c>
      <c r="C13" s="2">
        <v>9.02</v>
      </c>
      <c r="D13" s="19">
        <v>8.1</v>
      </c>
      <c r="E13" s="2">
        <v>11.17</v>
      </c>
      <c r="F13" s="19">
        <v>11.64</v>
      </c>
      <c r="G13" s="2">
        <v>8.1</v>
      </c>
      <c r="H13" s="19">
        <v>10.96</v>
      </c>
      <c r="I13" s="2">
        <v>10.39</v>
      </c>
      <c r="J13" s="20">
        <v>9.94</v>
      </c>
    </row>
    <row r="14" spans="1:10" ht="15.75" customHeight="1" thickTop="1" thickBot="1" x14ac:dyDescent="0.35">
      <c r="A14" s="126"/>
      <c r="B14" s="64" t="s">
        <v>104</v>
      </c>
      <c r="C14" s="26">
        <f t="shared" ref="C14:J14" si="2">IF(OR(C12="",C13=""),"",C13/C12)</f>
        <v>1.0203619909502262</v>
      </c>
      <c r="D14" s="27">
        <f t="shared" si="2"/>
        <v>1.0214375788146279</v>
      </c>
      <c r="E14" s="26">
        <f t="shared" si="2"/>
        <v>1.0210237659963437</v>
      </c>
      <c r="F14" s="27">
        <f t="shared" si="2"/>
        <v>1.0210526315789474</v>
      </c>
      <c r="G14" s="26">
        <f t="shared" si="2"/>
        <v>1.0214375788146279</v>
      </c>
      <c r="H14" s="27">
        <f t="shared" si="2"/>
        <v>1.02143522833178</v>
      </c>
      <c r="I14" s="26">
        <f t="shared" si="2"/>
        <v>1.0216322517207475</v>
      </c>
      <c r="J14" s="28">
        <f t="shared" si="2"/>
        <v>1.0215827338129495</v>
      </c>
    </row>
    <row r="15" spans="1:10" ht="15.75" customHeight="1" thickTop="1" x14ac:dyDescent="0.3">
      <c r="A15" s="130">
        <v>120</v>
      </c>
      <c r="B15" s="5" t="s">
        <v>102</v>
      </c>
      <c r="C15" s="6">
        <v>14.89</v>
      </c>
      <c r="D15" s="29">
        <v>13.36</v>
      </c>
      <c r="E15" s="6">
        <v>18.440000000000001</v>
      </c>
      <c r="F15" s="29">
        <v>19.21</v>
      </c>
      <c r="G15" s="6">
        <v>13.36</v>
      </c>
      <c r="H15" s="29">
        <v>18.079999999999998</v>
      </c>
      <c r="I15" s="6">
        <v>17.14</v>
      </c>
      <c r="J15" s="30">
        <v>16.399999999999999</v>
      </c>
    </row>
    <row r="16" spans="1:10" ht="15.75" customHeight="1" x14ac:dyDescent="0.3">
      <c r="A16" s="130"/>
      <c r="B16" s="63" t="s">
        <v>103</v>
      </c>
      <c r="C16" s="2">
        <v>15.07</v>
      </c>
      <c r="D16" s="19">
        <v>13.52</v>
      </c>
      <c r="E16" s="2">
        <v>18.66</v>
      </c>
      <c r="F16" s="19">
        <v>19.43</v>
      </c>
      <c r="G16" s="2">
        <v>13.52</v>
      </c>
      <c r="H16" s="19">
        <v>18.3</v>
      </c>
      <c r="I16" s="2">
        <v>17.34</v>
      </c>
      <c r="J16" s="20">
        <v>16.59</v>
      </c>
    </row>
    <row r="17" spans="1:10" ht="15.75" customHeight="1" thickBot="1" x14ac:dyDescent="0.35">
      <c r="A17" s="130"/>
      <c r="B17" s="65" t="s">
        <v>104</v>
      </c>
      <c r="C17" s="66">
        <f t="shared" ref="C17:J17" si="3">IF(OR(C15="",C16=""),"",C16/C15)</f>
        <v>1.0120886501007387</v>
      </c>
      <c r="D17" s="67">
        <f t="shared" si="3"/>
        <v>1.0119760479041917</v>
      </c>
      <c r="E17" s="66">
        <f t="shared" si="3"/>
        <v>1.0119305856832972</v>
      </c>
      <c r="F17" s="67">
        <f t="shared" si="3"/>
        <v>1.0114523685580425</v>
      </c>
      <c r="G17" s="66">
        <f t="shared" si="3"/>
        <v>1.0119760479041917</v>
      </c>
      <c r="H17" s="67">
        <f t="shared" si="3"/>
        <v>1.0121681415929205</v>
      </c>
      <c r="I17" s="66">
        <f t="shared" si="3"/>
        <v>1.0116686114352391</v>
      </c>
      <c r="J17" s="68">
        <f t="shared" si="3"/>
        <v>1.0115853658536587</v>
      </c>
    </row>
    <row r="18" spans="1:10" ht="15.75" customHeight="1" thickTop="1" thickBot="1" x14ac:dyDescent="0.35">
      <c r="A18" s="126">
        <v>140</v>
      </c>
      <c r="B18" s="62" t="s">
        <v>102</v>
      </c>
      <c r="C18" s="4">
        <v>21.22</v>
      </c>
      <c r="D18" s="16">
        <v>19.04</v>
      </c>
      <c r="E18" s="4">
        <v>26.27</v>
      </c>
      <c r="F18" s="16">
        <v>27.37</v>
      </c>
      <c r="G18" s="4">
        <v>19.04</v>
      </c>
      <c r="H18" s="16">
        <v>25.77</v>
      </c>
      <c r="I18" s="4">
        <v>24.42</v>
      </c>
      <c r="J18" s="17">
        <v>23.37</v>
      </c>
    </row>
    <row r="19" spans="1:10" ht="15.75" customHeight="1" thickTop="1" thickBot="1" x14ac:dyDescent="0.35">
      <c r="A19" s="126"/>
      <c r="B19" s="63" t="s">
        <v>103</v>
      </c>
      <c r="C19" s="2">
        <v>21.38</v>
      </c>
      <c r="D19" s="19">
        <v>19.18</v>
      </c>
      <c r="E19" s="2">
        <v>26.47</v>
      </c>
      <c r="F19" s="19">
        <v>27.57</v>
      </c>
      <c r="G19" s="2">
        <v>19.18</v>
      </c>
      <c r="H19" s="19">
        <v>15.96</v>
      </c>
      <c r="I19" s="2">
        <v>24.6</v>
      </c>
      <c r="J19" s="20">
        <v>23.54</v>
      </c>
    </row>
    <row r="20" spans="1:10" ht="15.75" customHeight="1" thickTop="1" thickBot="1" x14ac:dyDescent="0.35">
      <c r="A20" s="126"/>
      <c r="B20" s="64" t="s">
        <v>104</v>
      </c>
      <c r="C20" s="26">
        <f t="shared" ref="C20:J20" si="4">IF(OR(C18="",C19=""),"",C19/C18)</f>
        <v>1.0075400565504242</v>
      </c>
      <c r="D20" s="27">
        <f t="shared" si="4"/>
        <v>1.0073529411764706</v>
      </c>
      <c r="E20" s="26">
        <f t="shared" si="4"/>
        <v>1.0076132470498667</v>
      </c>
      <c r="F20" s="27">
        <f t="shared" si="4"/>
        <v>1.0073072707343806</v>
      </c>
      <c r="G20" s="26">
        <f t="shared" si="4"/>
        <v>1.0073529411764706</v>
      </c>
      <c r="H20" s="27">
        <f t="shared" si="4"/>
        <v>0.61932479627473813</v>
      </c>
      <c r="I20" s="26">
        <f t="shared" si="4"/>
        <v>1.0073710073710074</v>
      </c>
      <c r="J20" s="28">
        <f t="shared" si="4"/>
        <v>1.0072742832691484</v>
      </c>
    </row>
    <row r="21" spans="1:10" ht="15.75" customHeight="1" thickTop="1" x14ac:dyDescent="0.3"/>
    <row r="22" spans="1:10" ht="15.75" customHeight="1" thickBot="1" x14ac:dyDescent="0.35">
      <c r="A22" s="8" t="s">
        <v>122</v>
      </c>
    </row>
    <row r="23" spans="1:10" ht="15.75" customHeight="1" thickTop="1" x14ac:dyDescent="0.3">
      <c r="B23" s="55" t="s">
        <v>100</v>
      </c>
      <c r="C23" s="4" t="s">
        <v>13</v>
      </c>
      <c r="D23" s="16" t="s">
        <v>14</v>
      </c>
      <c r="E23" s="4" t="s">
        <v>15</v>
      </c>
      <c r="F23" s="16" t="s">
        <v>17</v>
      </c>
      <c r="G23" s="4" t="s">
        <v>18</v>
      </c>
      <c r="H23" s="16" t="s">
        <v>16</v>
      </c>
      <c r="I23" s="4" t="s">
        <v>20</v>
      </c>
      <c r="J23" s="17" t="s">
        <v>23</v>
      </c>
    </row>
    <row r="24" spans="1:10" ht="15.75" customHeight="1" x14ac:dyDescent="0.3">
      <c r="B24" s="56" t="s">
        <v>114</v>
      </c>
      <c r="C24" s="2">
        <v>2</v>
      </c>
      <c r="D24" s="19">
        <v>5</v>
      </c>
      <c r="E24" s="2">
        <v>6</v>
      </c>
      <c r="F24" s="19">
        <v>7.2</v>
      </c>
      <c r="G24" s="2">
        <v>10</v>
      </c>
      <c r="H24" s="19">
        <v>12</v>
      </c>
      <c r="I24" s="2">
        <v>14.4</v>
      </c>
      <c r="J24" s="20">
        <v>19.2</v>
      </c>
    </row>
    <row r="25" spans="1:10" ht="15.75" customHeight="1" thickBot="1" x14ac:dyDescent="0.35">
      <c r="B25" s="56" t="s">
        <v>101</v>
      </c>
      <c r="C25" s="2" t="s">
        <v>13</v>
      </c>
      <c r="D25" s="19" t="s">
        <v>14</v>
      </c>
      <c r="E25" s="2" t="s">
        <v>15</v>
      </c>
      <c r="F25" s="19" t="s">
        <v>17</v>
      </c>
      <c r="G25" s="2" t="s">
        <v>18</v>
      </c>
      <c r="H25" s="19" t="s">
        <v>16</v>
      </c>
      <c r="I25" s="2" t="s">
        <v>20</v>
      </c>
      <c r="J25" s="20" t="s">
        <v>23</v>
      </c>
    </row>
    <row r="26" spans="1:10" ht="15.75" customHeight="1" thickTop="1" thickBot="1" x14ac:dyDescent="0.35">
      <c r="A26" s="57" t="s">
        <v>6</v>
      </c>
      <c r="B26" s="58"/>
      <c r="C26" s="59"/>
      <c r="D26" s="60"/>
      <c r="E26" s="59"/>
      <c r="F26" s="60"/>
      <c r="G26" s="59"/>
      <c r="H26" s="60"/>
      <c r="I26" s="59"/>
      <c r="J26" s="61"/>
    </row>
    <row r="27" spans="1:10" ht="15.75" customHeight="1" thickTop="1" thickBot="1" x14ac:dyDescent="0.35">
      <c r="A27" s="126">
        <v>70</v>
      </c>
      <c r="B27" s="62" t="s">
        <v>102</v>
      </c>
      <c r="C27" s="4">
        <v>2.54</v>
      </c>
      <c r="D27" s="16">
        <v>2.2799999999999998</v>
      </c>
      <c r="E27" s="4">
        <v>3.15</v>
      </c>
      <c r="F27" s="16">
        <v>3.28</v>
      </c>
      <c r="G27" s="4">
        <v>2.2799999999999998</v>
      </c>
      <c r="H27" s="16">
        <v>3.09</v>
      </c>
      <c r="I27" s="4">
        <v>2.93</v>
      </c>
      <c r="J27" s="17">
        <v>2.8</v>
      </c>
    </row>
    <row r="28" spans="1:10" ht="15.75" customHeight="1" thickTop="1" thickBot="1" x14ac:dyDescent="0.35">
      <c r="A28" s="126"/>
      <c r="B28" s="63" t="s">
        <v>103</v>
      </c>
      <c r="C28" s="2">
        <v>2.5499999999999998</v>
      </c>
      <c r="D28" s="19">
        <v>2.2799999999999998</v>
      </c>
      <c r="E28" s="2">
        <v>3.15</v>
      </c>
      <c r="F28" s="19">
        <v>3.28</v>
      </c>
      <c r="G28" s="2">
        <v>2.2799999999999998</v>
      </c>
      <c r="H28" s="19">
        <v>3.09</v>
      </c>
      <c r="I28" s="2">
        <v>2.93</v>
      </c>
      <c r="J28" s="20">
        <v>2.8</v>
      </c>
    </row>
    <row r="29" spans="1:10" ht="15.75" customHeight="1" thickTop="1" thickBot="1" x14ac:dyDescent="0.35">
      <c r="A29" s="126"/>
      <c r="B29" s="64" t="s">
        <v>104</v>
      </c>
      <c r="C29" s="26">
        <f t="shared" ref="C29:J29" si="5">IF(OR(C27="",C28=""),"",C28/C27)</f>
        <v>1.0039370078740157</v>
      </c>
      <c r="D29" s="27">
        <f t="shared" si="5"/>
        <v>1</v>
      </c>
      <c r="E29" s="26">
        <f t="shared" si="5"/>
        <v>1</v>
      </c>
      <c r="F29" s="27">
        <f t="shared" si="5"/>
        <v>1</v>
      </c>
      <c r="G29" s="26">
        <f t="shared" si="5"/>
        <v>1</v>
      </c>
      <c r="H29" s="27">
        <f t="shared" si="5"/>
        <v>1</v>
      </c>
      <c r="I29" s="26">
        <f t="shared" si="5"/>
        <v>1</v>
      </c>
      <c r="J29" s="28">
        <f t="shared" si="5"/>
        <v>1</v>
      </c>
    </row>
    <row r="30" spans="1:10" ht="15.75" customHeight="1" thickTop="1" x14ac:dyDescent="0.3">
      <c r="A30" s="130">
        <v>80</v>
      </c>
      <c r="B30" s="5" t="s">
        <v>102</v>
      </c>
      <c r="C30" s="6">
        <v>4.1100000000000003</v>
      </c>
      <c r="D30" s="29">
        <v>3.69</v>
      </c>
      <c r="E30" s="6">
        <v>5.09</v>
      </c>
      <c r="F30" s="29">
        <v>5.3</v>
      </c>
      <c r="G30" s="6">
        <v>3.69</v>
      </c>
      <c r="H30" s="29">
        <v>4.99</v>
      </c>
      <c r="I30" s="6">
        <v>4.7300000000000004</v>
      </c>
      <c r="J30" s="30">
        <v>4.53</v>
      </c>
    </row>
    <row r="31" spans="1:10" ht="15.75" customHeight="1" x14ac:dyDescent="0.3">
      <c r="A31" s="130"/>
      <c r="B31" s="63" t="s">
        <v>103</v>
      </c>
      <c r="C31" s="2">
        <v>4.05</v>
      </c>
      <c r="D31" s="19">
        <v>3.64</v>
      </c>
      <c r="E31" s="2">
        <v>5.0199999999999996</v>
      </c>
      <c r="F31" s="19">
        <v>5.23</v>
      </c>
      <c r="G31" s="2">
        <v>3.64</v>
      </c>
      <c r="H31" s="19">
        <v>4.92</v>
      </c>
      <c r="I31" s="2">
        <v>4.66</v>
      </c>
      <c r="J31" s="20">
        <v>5.26</v>
      </c>
    </row>
    <row r="32" spans="1:10" ht="15.75" customHeight="1" thickBot="1" x14ac:dyDescent="0.35">
      <c r="A32" s="130"/>
      <c r="B32" s="65" t="s">
        <v>104</v>
      </c>
      <c r="C32" s="66">
        <f t="shared" ref="C32:J32" si="6">IF(OR(C30="",C31=""),"",C31/C30)</f>
        <v>0.98540145985401451</v>
      </c>
      <c r="D32" s="67">
        <f t="shared" si="6"/>
        <v>0.98644986449864502</v>
      </c>
      <c r="E32" s="66">
        <f t="shared" si="6"/>
        <v>0.98624754420432215</v>
      </c>
      <c r="F32" s="67">
        <f t="shared" si="6"/>
        <v>0.98679245283018879</v>
      </c>
      <c r="G32" s="66">
        <f t="shared" si="6"/>
        <v>0.98644986449864502</v>
      </c>
      <c r="H32" s="67">
        <f t="shared" si="6"/>
        <v>0.98597194388777554</v>
      </c>
      <c r="I32" s="66">
        <f t="shared" si="6"/>
        <v>0.98520084566596189</v>
      </c>
      <c r="J32" s="68">
        <f t="shared" si="6"/>
        <v>1.1611479028697571</v>
      </c>
    </row>
    <row r="33" spans="1:10" ht="15.75" customHeight="1" thickTop="1" thickBot="1" x14ac:dyDescent="0.35">
      <c r="A33" s="126">
        <v>100</v>
      </c>
      <c r="B33" s="62" t="s">
        <v>102</v>
      </c>
      <c r="C33" s="4">
        <v>8.0399999999999991</v>
      </c>
      <c r="D33" s="16">
        <v>7.21</v>
      </c>
      <c r="E33" s="4">
        <v>9.9499999999999993</v>
      </c>
      <c r="F33" s="16">
        <v>10.37</v>
      </c>
      <c r="G33" s="4">
        <v>7.21</v>
      </c>
      <c r="H33" s="16">
        <v>9.76</v>
      </c>
      <c r="I33" s="4">
        <v>9.25</v>
      </c>
      <c r="J33" s="17">
        <v>8.85</v>
      </c>
    </row>
    <row r="34" spans="1:10" ht="15.75" customHeight="1" thickTop="1" thickBot="1" x14ac:dyDescent="0.35">
      <c r="A34" s="126"/>
      <c r="B34" s="63" t="s">
        <v>103</v>
      </c>
      <c r="C34" s="2">
        <v>7.82</v>
      </c>
      <c r="D34" s="19">
        <v>7.02</v>
      </c>
      <c r="E34" s="2">
        <v>9.68</v>
      </c>
      <c r="F34" s="19">
        <v>10.09</v>
      </c>
      <c r="G34" s="2">
        <v>7.02</v>
      </c>
      <c r="H34" s="19">
        <v>9.5</v>
      </c>
      <c r="I34" s="2">
        <v>9</v>
      </c>
      <c r="J34" s="20">
        <v>8.61</v>
      </c>
    </row>
    <row r="35" spans="1:10" ht="15.75" customHeight="1" thickTop="1" thickBot="1" x14ac:dyDescent="0.35">
      <c r="A35" s="126"/>
      <c r="B35" s="64" t="s">
        <v>104</v>
      </c>
      <c r="C35" s="26">
        <f t="shared" ref="C35:J35" si="7">IF(OR(C33="",C34=""),"",C34/C33)</f>
        <v>0.97263681592039819</v>
      </c>
      <c r="D35" s="27">
        <f t="shared" si="7"/>
        <v>0.97364771151178908</v>
      </c>
      <c r="E35" s="26">
        <f t="shared" si="7"/>
        <v>0.97286432160804026</v>
      </c>
      <c r="F35" s="27">
        <f t="shared" si="7"/>
        <v>0.9729990356798458</v>
      </c>
      <c r="G35" s="26">
        <f t="shared" si="7"/>
        <v>0.97364771151178908</v>
      </c>
      <c r="H35" s="27">
        <f t="shared" si="7"/>
        <v>0.97336065573770492</v>
      </c>
      <c r="I35" s="26">
        <f t="shared" si="7"/>
        <v>0.97297297297297303</v>
      </c>
      <c r="J35" s="28">
        <f t="shared" si="7"/>
        <v>0.97288135593220337</v>
      </c>
    </row>
    <row r="36" spans="1:10" ht="15.75" customHeight="1" thickTop="1" x14ac:dyDescent="0.3">
      <c r="A36" s="130">
        <v>120</v>
      </c>
      <c r="B36" s="5" t="s">
        <v>102</v>
      </c>
      <c r="C36" s="6">
        <v>11.68</v>
      </c>
      <c r="D36" s="29">
        <v>12.28</v>
      </c>
      <c r="E36" s="6">
        <v>16.940000000000001</v>
      </c>
      <c r="F36" s="29">
        <v>17.649999999999999</v>
      </c>
      <c r="G36" s="6">
        <v>12.28</v>
      </c>
      <c r="H36" s="29">
        <v>16.62</v>
      </c>
      <c r="I36" s="6">
        <v>15.75</v>
      </c>
      <c r="J36" s="30">
        <v>15.07</v>
      </c>
    </row>
    <row r="37" spans="1:10" ht="15.75" customHeight="1" x14ac:dyDescent="0.3">
      <c r="A37" s="130"/>
      <c r="B37" s="63" t="s">
        <v>103</v>
      </c>
      <c r="C37" s="2">
        <v>13.28</v>
      </c>
      <c r="D37" s="19">
        <v>11.92</v>
      </c>
      <c r="E37" s="2">
        <v>16.440000000000001</v>
      </c>
      <c r="F37" s="19">
        <v>17.13</v>
      </c>
      <c r="G37" s="2">
        <v>11.92</v>
      </c>
      <c r="H37" s="19">
        <v>16.13</v>
      </c>
      <c r="I37" s="2">
        <v>15.28</v>
      </c>
      <c r="J37" s="20">
        <v>14.63</v>
      </c>
    </row>
    <row r="38" spans="1:10" ht="15.75" customHeight="1" thickBot="1" x14ac:dyDescent="0.35">
      <c r="A38" s="130"/>
      <c r="B38" s="65" t="s">
        <v>104</v>
      </c>
      <c r="C38" s="66">
        <f t="shared" ref="C38:J38" si="8">IF(OR(C36="",C37=""),"",C37/C36)</f>
        <v>1.1369863013698629</v>
      </c>
      <c r="D38" s="67">
        <f t="shared" si="8"/>
        <v>0.97068403908794798</v>
      </c>
      <c r="E38" s="66">
        <f t="shared" si="8"/>
        <v>0.97048406139315235</v>
      </c>
      <c r="F38" s="67">
        <f t="shared" si="8"/>
        <v>0.97053824362606234</v>
      </c>
      <c r="G38" s="66">
        <f t="shared" si="8"/>
        <v>0.97068403908794798</v>
      </c>
      <c r="H38" s="67">
        <f t="shared" si="8"/>
        <v>0.97051744885679891</v>
      </c>
      <c r="I38" s="66">
        <f t="shared" si="8"/>
        <v>0.97015873015873011</v>
      </c>
      <c r="J38" s="68">
        <f t="shared" si="8"/>
        <v>0.97080291970802923</v>
      </c>
    </row>
    <row r="39" spans="1:10" ht="15.75" customHeight="1" thickTop="1" thickBot="1" x14ac:dyDescent="0.35">
      <c r="A39" s="126">
        <v>140</v>
      </c>
      <c r="B39" s="62" t="s">
        <v>102</v>
      </c>
      <c r="C39" s="4">
        <v>19.600000000000001</v>
      </c>
      <c r="D39" s="16">
        <v>17.579999999999998</v>
      </c>
      <c r="E39" s="4">
        <v>24.27</v>
      </c>
      <c r="F39" s="16">
        <v>25.28</v>
      </c>
      <c r="G39" s="4">
        <v>17.579999999999998</v>
      </c>
      <c r="H39" s="16">
        <v>23.8</v>
      </c>
      <c r="I39" s="4">
        <v>22.56</v>
      </c>
      <c r="J39" s="17">
        <v>21.58</v>
      </c>
    </row>
    <row r="40" spans="1:10" ht="15.75" customHeight="1" thickTop="1" thickBot="1" x14ac:dyDescent="0.35">
      <c r="A40" s="126"/>
      <c r="B40" s="63" t="s">
        <v>103</v>
      </c>
      <c r="C40" s="2">
        <v>19.010000000000002</v>
      </c>
      <c r="D40" s="19">
        <v>17.05</v>
      </c>
      <c r="E40" s="2">
        <v>23.53</v>
      </c>
      <c r="F40" s="19">
        <v>24.51</v>
      </c>
      <c r="G40" s="2">
        <v>17.05</v>
      </c>
      <c r="H40" s="19">
        <v>23.08</v>
      </c>
      <c r="I40" s="2">
        <v>21.87</v>
      </c>
      <c r="J40" s="20">
        <v>20.93</v>
      </c>
    </row>
    <row r="41" spans="1:10" ht="15.75" customHeight="1" thickTop="1" thickBot="1" x14ac:dyDescent="0.35">
      <c r="A41" s="126"/>
      <c r="B41" s="64" t="s">
        <v>104</v>
      </c>
      <c r="C41" s="26">
        <f t="shared" ref="C41:J41" si="9">IF(OR(C39="",C40=""),"",C40/C39)</f>
        <v>0.9698979591836735</v>
      </c>
      <c r="D41" s="27">
        <f t="shared" si="9"/>
        <v>0.96985210466439153</v>
      </c>
      <c r="E41" s="26">
        <f t="shared" si="9"/>
        <v>0.969509682735888</v>
      </c>
      <c r="F41" s="27">
        <f t="shared" si="9"/>
        <v>0.96954113924050633</v>
      </c>
      <c r="G41" s="26">
        <f t="shared" si="9"/>
        <v>0.96985210466439153</v>
      </c>
      <c r="H41" s="27">
        <f t="shared" si="9"/>
        <v>0.96974789915966375</v>
      </c>
      <c r="I41" s="26">
        <f t="shared" si="9"/>
        <v>0.96941489361702138</v>
      </c>
      <c r="J41" s="28">
        <f t="shared" si="9"/>
        <v>0.96987951807228923</v>
      </c>
    </row>
    <row r="42" spans="1:10" ht="15.75" customHeight="1" thickTop="1" x14ac:dyDescent="0.3"/>
    <row r="43" spans="1:10" ht="15.75" customHeight="1" thickBot="1" x14ac:dyDescent="0.35">
      <c r="A43" s="8" t="s">
        <v>136</v>
      </c>
    </row>
    <row r="44" spans="1:10" ht="15.75" customHeight="1" thickTop="1" x14ac:dyDescent="0.3">
      <c r="B44" s="55" t="s">
        <v>100</v>
      </c>
      <c r="C44" s="4" t="s">
        <v>13</v>
      </c>
      <c r="D44" s="16" t="s">
        <v>14</v>
      </c>
      <c r="E44" s="4" t="s">
        <v>15</v>
      </c>
      <c r="F44" s="16" t="s">
        <v>17</v>
      </c>
      <c r="G44" s="4" t="s">
        <v>18</v>
      </c>
      <c r="H44" s="16" t="s">
        <v>16</v>
      </c>
      <c r="I44" s="4" t="s">
        <v>20</v>
      </c>
      <c r="J44" s="17" t="s">
        <v>23</v>
      </c>
    </row>
    <row r="45" spans="1:10" ht="15.75" customHeight="1" x14ac:dyDescent="0.3">
      <c r="B45" s="56" t="s">
        <v>114</v>
      </c>
      <c r="C45" s="2">
        <v>2</v>
      </c>
      <c r="D45" s="19">
        <v>5</v>
      </c>
      <c r="E45" s="2">
        <v>6</v>
      </c>
      <c r="F45" s="19">
        <v>7.2</v>
      </c>
      <c r="G45" s="2">
        <v>10</v>
      </c>
      <c r="H45" s="19">
        <v>12</v>
      </c>
      <c r="I45" s="2">
        <v>14.4</v>
      </c>
      <c r="J45" s="20">
        <v>19.2</v>
      </c>
    </row>
    <row r="46" spans="1:10" ht="15.75" customHeight="1" thickBot="1" x14ac:dyDescent="0.35">
      <c r="B46" s="56" t="s">
        <v>101</v>
      </c>
      <c r="C46" s="2" t="s">
        <v>13</v>
      </c>
      <c r="D46" s="19" t="s">
        <v>14</v>
      </c>
      <c r="E46" s="2" t="s">
        <v>15</v>
      </c>
      <c r="F46" s="19" t="s">
        <v>17</v>
      </c>
      <c r="G46" s="2" t="s">
        <v>18</v>
      </c>
      <c r="H46" s="19" t="s">
        <v>16</v>
      </c>
      <c r="I46" s="2" t="s">
        <v>20</v>
      </c>
      <c r="J46" s="20" t="s">
        <v>23</v>
      </c>
    </row>
    <row r="47" spans="1:10" ht="15.75" customHeight="1" thickTop="1" thickBot="1" x14ac:dyDescent="0.35">
      <c r="A47" s="57" t="s">
        <v>6</v>
      </c>
      <c r="B47" s="58"/>
      <c r="C47" s="59"/>
      <c r="D47" s="60"/>
      <c r="E47" s="59"/>
      <c r="F47" s="60"/>
      <c r="G47" s="59"/>
      <c r="H47" s="60"/>
      <c r="I47" s="59"/>
      <c r="J47" s="61"/>
    </row>
    <row r="48" spans="1:10" ht="15.75" customHeight="1" thickTop="1" thickBot="1" x14ac:dyDescent="0.35">
      <c r="A48" s="126">
        <v>70</v>
      </c>
      <c r="B48" s="62" t="s">
        <v>102</v>
      </c>
      <c r="C48" s="4">
        <v>0.68</v>
      </c>
      <c r="D48" s="16">
        <v>0.61</v>
      </c>
      <c r="E48" s="4">
        <v>0.84</v>
      </c>
      <c r="F48" s="16">
        <v>0.88</v>
      </c>
      <c r="G48" s="4">
        <v>0.61</v>
      </c>
      <c r="H48" s="16">
        <v>0.83</v>
      </c>
      <c r="I48" s="4">
        <v>0.79</v>
      </c>
      <c r="J48" s="17">
        <v>0.75</v>
      </c>
    </row>
    <row r="49" spans="1:10" ht="15.75" customHeight="1" thickTop="1" thickBot="1" x14ac:dyDescent="0.35">
      <c r="A49" s="126"/>
      <c r="B49" s="63" t="s">
        <v>103</v>
      </c>
      <c r="C49" s="2">
        <v>1.37</v>
      </c>
      <c r="D49" s="19">
        <v>1.22</v>
      </c>
      <c r="E49" s="2">
        <v>1.69</v>
      </c>
      <c r="F49" s="19">
        <v>1.76</v>
      </c>
      <c r="G49" s="2">
        <v>1.22</v>
      </c>
      <c r="H49" s="19">
        <v>1.66</v>
      </c>
      <c r="I49" s="2">
        <v>1.57</v>
      </c>
      <c r="J49" s="20">
        <v>1.59</v>
      </c>
    </row>
    <row r="50" spans="1:10" ht="15.75" customHeight="1" thickTop="1" thickBot="1" x14ac:dyDescent="0.35">
      <c r="A50" s="126"/>
      <c r="B50" s="64" t="s">
        <v>104</v>
      </c>
      <c r="C50" s="26">
        <f t="shared" ref="C50:J50" si="10">IF(OR(C48="",C49=""),"",C49/C48)</f>
        <v>2.0147058823529411</v>
      </c>
      <c r="D50" s="27">
        <f t="shared" si="10"/>
        <v>2</v>
      </c>
      <c r="E50" s="26">
        <f t="shared" si="10"/>
        <v>2.0119047619047619</v>
      </c>
      <c r="F50" s="27">
        <f t="shared" si="10"/>
        <v>2</v>
      </c>
      <c r="G50" s="26">
        <f t="shared" si="10"/>
        <v>2</v>
      </c>
      <c r="H50" s="27">
        <f t="shared" si="10"/>
        <v>2</v>
      </c>
      <c r="I50" s="26">
        <f t="shared" si="10"/>
        <v>1.9873417721518987</v>
      </c>
      <c r="J50" s="28">
        <f t="shared" si="10"/>
        <v>2.12</v>
      </c>
    </row>
    <row r="51" spans="1:10" ht="15.75" customHeight="1" thickTop="1" x14ac:dyDescent="0.3">
      <c r="A51" s="130">
        <v>80</v>
      </c>
      <c r="B51" s="5" t="s">
        <v>102</v>
      </c>
      <c r="C51" s="6">
        <v>1.18</v>
      </c>
      <c r="D51" s="29">
        <v>1.06</v>
      </c>
      <c r="E51" s="6">
        <v>1.46</v>
      </c>
      <c r="F51" s="29">
        <v>1.52</v>
      </c>
      <c r="G51" s="6">
        <v>1.06</v>
      </c>
      <c r="H51" s="29">
        <v>1.43</v>
      </c>
      <c r="I51" s="6">
        <v>1.36</v>
      </c>
      <c r="J51" s="30">
        <v>1.3</v>
      </c>
    </row>
    <row r="52" spans="1:10" ht="15.75" customHeight="1" x14ac:dyDescent="0.3">
      <c r="A52" s="130"/>
      <c r="B52" s="63" t="s">
        <v>103</v>
      </c>
      <c r="C52" s="2">
        <v>2.1800000000000002</v>
      </c>
      <c r="D52" s="19">
        <v>1.96</v>
      </c>
      <c r="E52" s="3">
        <v>2.7</v>
      </c>
      <c r="F52" s="19">
        <v>2.81</v>
      </c>
      <c r="G52" s="2">
        <v>1.96</v>
      </c>
      <c r="H52" s="19">
        <v>2.65</v>
      </c>
      <c r="I52" s="2">
        <v>2.5099999999999998</v>
      </c>
      <c r="J52" s="20">
        <v>2.4</v>
      </c>
    </row>
    <row r="53" spans="1:10" ht="15.75" customHeight="1" thickBot="1" x14ac:dyDescent="0.35">
      <c r="A53" s="130"/>
      <c r="B53" s="65" t="s">
        <v>104</v>
      </c>
      <c r="C53" s="66">
        <f t="shared" ref="C53:J53" si="11">IF(OR(C51="",C52=""),"",C52/C51)</f>
        <v>1.8474576271186443</v>
      </c>
      <c r="D53" s="67">
        <f t="shared" si="11"/>
        <v>1.8490566037735847</v>
      </c>
      <c r="E53" s="66">
        <f t="shared" si="11"/>
        <v>1.8493150684931507</v>
      </c>
      <c r="F53" s="67">
        <f t="shared" si="11"/>
        <v>1.8486842105263157</v>
      </c>
      <c r="G53" s="66">
        <f t="shared" si="11"/>
        <v>1.8490566037735847</v>
      </c>
      <c r="H53" s="67">
        <f t="shared" si="11"/>
        <v>1.8531468531468531</v>
      </c>
      <c r="I53" s="66">
        <f t="shared" si="11"/>
        <v>1.8455882352941173</v>
      </c>
      <c r="J53" s="68">
        <f t="shared" si="11"/>
        <v>1.846153846153846</v>
      </c>
    </row>
    <row r="54" spans="1:10" ht="15.75" customHeight="1" thickTop="1" thickBot="1" x14ac:dyDescent="0.35">
      <c r="A54" s="126">
        <v>100</v>
      </c>
      <c r="B54" s="62" t="s">
        <v>102</v>
      </c>
      <c r="C54" s="4">
        <v>2.56</v>
      </c>
      <c r="D54" s="16">
        <v>2.29</v>
      </c>
      <c r="E54" s="4">
        <v>3.17</v>
      </c>
      <c r="F54" s="16">
        <v>3.3</v>
      </c>
      <c r="G54" s="4">
        <v>2.29</v>
      </c>
      <c r="H54" s="16">
        <v>3.1</v>
      </c>
      <c r="I54" s="4">
        <v>2.94</v>
      </c>
      <c r="J54" s="17">
        <v>2.82</v>
      </c>
    </row>
    <row r="55" spans="1:10" ht="15.75" customHeight="1" thickTop="1" thickBot="1" x14ac:dyDescent="0.35">
      <c r="A55" s="126"/>
      <c r="B55" s="63" t="s">
        <v>103</v>
      </c>
      <c r="C55" s="2">
        <v>4.28</v>
      </c>
      <c r="D55" s="19">
        <v>3.84</v>
      </c>
      <c r="E55" s="2">
        <v>5.3</v>
      </c>
      <c r="F55" s="19">
        <v>5.52</v>
      </c>
      <c r="G55" s="2">
        <v>3.84</v>
      </c>
      <c r="H55" s="19">
        <v>5.19</v>
      </c>
      <c r="I55" s="2">
        <v>4.92</v>
      </c>
      <c r="J55" s="20">
        <v>4.71</v>
      </c>
    </row>
    <row r="56" spans="1:10" ht="15.75" customHeight="1" thickTop="1" thickBot="1" x14ac:dyDescent="0.35">
      <c r="A56" s="126"/>
      <c r="B56" s="64" t="s">
        <v>104</v>
      </c>
      <c r="C56" s="26">
        <f t="shared" ref="C56:J56" si="12">IF(OR(C54="",C55=""),"",C55/C54)</f>
        <v>1.671875</v>
      </c>
      <c r="D56" s="27">
        <f t="shared" si="12"/>
        <v>1.6768558951965065</v>
      </c>
      <c r="E56" s="26">
        <f t="shared" si="12"/>
        <v>1.6719242902208202</v>
      </c>
      <c r="F56" s="27">
        <f t="shared" si="12"/>
        <v>1.6727272727272726</v>
      </c>
      <c r="G56" s="26">
        <f t="shared" si="12"/>
        <v>1.6768558951965065</v>
      </c>
      <c r="H56" s="27">
        <f t="shared" si="12"/>
        <v>1.6741935483870969</v>
      </c>
      <c r="I56" s="26">
        <f t="shared" si="12"/>
        <v>1.6734693877551021</v>
      </c>
      <c r="J56" s="28">
        <f t="shared" si="12"/>
        <v>1.6702127659574468</v>
      </c>
    </row>
    <row r="57" spans="1:10" ht="15.75" customHeight="1" thickTop="1" x14ac:dyDescent="0.3">
      <c r="A57" s="130">
        <v>120</v>
      </c>
      <c r="B57" s="5" t="s">
        <v>102</v>
      </c>
      <c r="C57" s="6">
        <v>4.6100000000000003</v>
      </c>
      <c r="D57" s="29">
        <v>4.1399999999999997</v>
      </c>
      <c r="E57" s="6">
        <v>5.71</v>
      </c>
      <c r="F57" s="29">
        <v>5.95</v>
      </c>
      <c r="G57" s="6">
        <v>4.1399999999999997</v>
      </c>
      <c r="H57" s="29">
        <v>5.6</v>
      </c>
      <c r="I57" s="6">
        <v>5.31</v>
      </c>
      <c r="J57" s="30">
        <v>5.08</v>
      </c>
    </row>
    <row r="58" spans="1:10" ht="15.75" customHeight="1" x14ac:dyDescent="0.3">
      <c r="A58" s="130"/>
      <c r="B58" s="63" t="s">
        <v>103</v>
      </c>
      <c r="C58" s="2">
        <v>7.33</v>
      </c>
      <c r="D58" s="19">
        <v>6.58</v>
      </c>
      <c r="E58" s="2">
        <v>9.08</v>
      </c>
      <c r="F58" s="19">
        <v>9.4600000000000009</v>
      </c>
      <c r="G58" s="2">
        <v>6.58</v>
      </c>
      <c r="H58" s="19">
        <v>8.91</v>
      </c>
      <c r="I58" s="2">
        <v>8.44</v>
      </c>
      <c r="J58" s="20">
        <v>8.08</v>
      </c>
    </row>
    <row r="59" spans="1:10" ht="15.75" customHeight="1" thickBot="1" x14ac:dyDescent="0.35">
      <c r="A59" s="130"/>
      <c r="B59" s="65" t="s">
        <v>104</v>
      </c>
      <c r="C59" s="66">
        <f t="shared" ref="C59:J59" si="13">IF(OR(C57="",C58=""),"",C58/C57)</f>
        <v>1.5900216919739696</v>
      </c>
      <c r="D59" s="67">
        <f t="shared" si="13"/>
        <v>1.5893719806763287</v>
      </c>
      <c r="E59" s="66">
        <f t="shared" si="13"/>
        <v>1.5901926444833625</v>
      </c>
      <c r="F59" s="67">
        <f t="shared" si="13"/>
        <v>1.5899159663865547</v>
      </c>
      <c r="G59" s="66">
        <f t="shared" si="13"/>
        <v>1.5893719806763287</v>
      </c>
      <c r="H59" s="67">
        <f t="shared" si="13"/>
        <v>1.5910714285714287</v>
      </c>
      <c r="I59" s="66">
        <f t="shared" si="13"/>
        <v>1.5894538606403013</v>
      </c>
      <c r="J59" s="68">
        <f t="shared" si="13"/>
        <v>1.5905511811023623</v>
      </c>
    </row>
    <row r="60" spans="1:10" ht="15.75" customHeight="1" thickTop="1" thickBot="1" x14ac:dyDescent="0.35">
      <c r="A60" s="126">
        <v>140</v>
      </c>
      <c r="B60" s="62" t="s">
        <v>102</v>
      </c>
      <c r="C60" s="4">
        <v>6.88</v>
      </c>
      <c r="D60" s="16">
        <v>6.17</v>
      </c>
      <c r="E60" s="4">
        <v>8.52</v>
      </c>
      <c r="F60" s="16">
        <v>8.8699999999999992</v>
      </c>
      <c r="G60" s="4">
        <v>6.17</v>
      </c>
      <c r="H60" s="16">
        <v>8.36</v>
      </c>
      <c r="I60" s="4">
        <v>7.92</v>
      </c>
      <c r="J60" s="17">
        <v>7.58</v>
      </c>
    </row>
    <row r="61" spans="1:10" ht="15.75" customHeight="1" thickTop="1" thickBot="1" x14ac:dyDescent="0.35">
      <c r="A61" s="126"/>
      <c r="B61" s="63" t="s">
        <v>103</v>
      </c>
      <c r="C61" s="2">
        <v>10.59</v>
      </c>
      <c r="D61" s="19">
        <v>9.5</v>
      </c>
      <c r="E61" s="2">
        <v>13.11</v>
      </c>
      <c r="F61" s="19">
        <v>13.66</v>
      </c>
      <c r="G61" s="2">
        <v>9.5</v>
      </c>
      <c r="H61" s="19">
        <v>12.86</v>
      </c>
      <c r="I61" s="2">
        <v>12.19</v>
      </c>
      <c r="J61" s="20">
        <v>11.66</v>
      </c>
    </row>
    <row r="62" spans="1:10" ht="15.75" customHeight="1" thickTop="1" thickBot="1" x14ac:dyDescent="0.35">
      <c r="A62" s="126"/>
      <c r="B62" s="64" t="s">
        <v>104</v>
      </c>
      <c r="C62" s="26">
        <f t="shared" ref="C62:J62" si="14">IF(OR(C60="",C61=""),"",C61/C60)</f>
        <v>1.5392441860465116</v>
      </c>
      <c r="D62" s="27">
        <f t="shared" si="14"/>
        <v>1.5397082658022692</v>
      </c>
      <c r="E62" s="26">
        <f t="shared" si="14"/>
        <v>1.5387323943661972</v>
      </c>
      <c r="F62" s="27">
        <f t="shared" si="14"/>
        <v>1.5400225479143181</v>
      </c>
      <c r="G62" s="26">
        <f t="shared" si="14"/>
        <v>1.5397082658022692</v>
      </c>
      <c r="H62" s="27">
        <f t="shared" si="14"/>
        <v>1.5382775119617225</v>
      </c>
      <c r="I62" s="26">
        <f t="shared" si="14"/>
        <v>1.5391414141414141</v>
      </c>
      <c r="J62" s="28">
        <f t="shared" si="14"/>
        <v>1.5382585751978892</v>
      </c>
    </row>
    <row r="63" spans="1:10" ht="15.75" customHeight="1" thickTop="1" x14ac:dyDescent="0.3"/>
    <row r="64" spans="1:10" ht="15.75" customHeight="1" thickBot="1" x14ac:dyDescent="0.35">
      <c r="A64" s="8" t="s">
        <v>137</v>
      </c>
    </row>
    <row r="65" spans="1:10" ht="15.75" customHeight="1" thickTop="1" x14ac:dyDescent="0.3">
      <c r="B65" s="55" t="s">
        <v>100</v>
      </c>
      <c r="C65" s="4" t="s">
        <v>13</v>
      </c>
      <c r="D65" s="16" t="s">
        <v>14</v>
      </c>
      <c r="E65" s="4" t="s">
        <v>15</v>
      </c>
      <c r="F65" s="16" t="s">
        <v>17</v>
      </c>
      <c r="G65" s="4" t="s">
        <v>18</v>
      </c>
      <c r="H65" s="16" t="s">
        <v>16</v>
      </c>
      <c r="I65" s="4" t="s">
        <v>20</v>
      </c>
      <c r="J65" s="17" t="s">
        <v>23</v>
      </c>
    </row>
    <row r="66" spans="1:10" ht="15.75" customHeight="1" x14ac:dyDescent="0.3">
      <c r="B66" s="56" t="s">
        <v>114</v>
      </c>
      <c r="C66" s="2">
        <v>2</v>
      </c>
      <c r="D66" s="19">
        <v>5</v>
      </c>
      <c r="E66" s="2">
        <v>6</v>
      </c>
      <c r="F66" s="19">
        <v>7.2</v>
      </c>
      <c r="G66" s="2">
        <v>10</v>
      </c>
      <c r="H66" s="19">
        <v>12</v>
      </c>
      <c r="I66" s="2">
        <v>14.4</v>
      </c>
      <c r="J66" s="20">
        <v>19.2</v>
      </c>
    </row>
    <row r="67" spans="1:10" ht="15.75" customHeight="1" thickBot="1" x14ac:dyDescent="0.35">
      <c r="B67" s="56" t="s">
        <v>101</v>
      </c>
      <c r="C67" s="2" t="s">
        <v>13</v>
      </c>
      <c r="D67" s="19" t="s">
        <v>14</v>
      </c>
      <c r="E67" s="2" t="s">
        <v>15</v>
      </c>
      <c r="F67" s="19" t="s">
        <v>17</v>
      </c>
      <c r="G67" s="2" t="s">
        <v>18</v>
      </c>
      <c r="H67" s="19" t="s">
        <v>16</v>
      </c>
      <c r="I67" s="2" t="s">
        <v>20</v>
      </c>
      <c r="J67" s="20" t="s">
        <v>23</v>
      </c>
    </row>
    <row r="68" spans="1:10" ht="15.75" customHeight="1" thickTop="1" thickBot="1" x14ac:dyDescent="0.35">
      <c r="A68" s="57" t="s">
        <v>6</v>
      </c>
      <c r="B68" s="58"/>
      <c r="C68" s="59"/>
      <c r="D68" s="60"/>
      <c r="E68" s="59"/>
      <c r="F68" s="60"/>
      <c r="G68" s="59"/>
      <c r="H68" s="60"/>
      <c r="I68" s="59"/>
      <c r="J68" s="61"/>
    </row>
    <row r="69" spans="1:10" ht="15.75" customHeight="1" thickTop="1" thickBot="1" x14ac:dyDescent="0.35">
      <c r="A69" s="126">
        <v>70</v>
      </c>
      <c r="B69" s="62" t="s">
        <v>102</v>
      </c>
      <c r="C69" s="4">
        <v>0.57999999999999996</v>
      </c>
      <c r="D69" s="16">
        <v>0.52</v>
      </c>
      <c r="E69" s="4">
        <v>0.72</v>
      </c>
      <c r="F69" s="16">
        <v>0.75</v>
      </c>
      <c r="G69" s="4">
        <v>0.52</v>
      </c>
      <c r="H69" s="16">
        <v>0.7</v>
      </c>
      <c r="I69" s="4">
        <v>0.67</v>
      </c>
      <c r="J69" s="17">
        <v>0.64</v>
      </c>
    </row>
    <row r="70" spans="1:10" ht="15.75" customHeight="1" thickTop="1" thickBot="1" x14ac:dyDescent="0.35">
      <c r="A70" s="126"/>
      <c r="B70" s="63" t="s">
        <v>103</v>
      </c>
      <c r="C70" s="2">
        <v>1.01</v>
      </c>
      <c r="D70" s="19">
        <v>0.91</v>
      </c>
      <c r="E70" s="2">
        <v>1.25</v>
      </c>
      <c r="F70" s="19">
        <v>1.3</v>
      </c>
      <c r="G70" s="2">
        <v>0.91</v>
      </c>
      <c r="H70" s="19">
        <v>1.23</v>
      </c>
      <c r="I70" s="2">
        <v>1.1599999999999999</v>
      </c>
      <c r="J70" s="20">
        <v>1.1100000000000001</v>
      </c>
    </row>
    <row r="71" spans="1:10" ht="15.75" customHeight="1" thickTop="1" thickBot="1" x14ac:dyDescent="0.35">
      <c r="A71" s="126"/>
      <c r="B71" s="64" t="s">
        <v>104</v>
      </c>
      <c r="C71" s="26">
        <f t="shared" ref="C71:J71" si="15">IF(OR(C69="",C70=""),"",C70/C69)</f>
        <v>1.7413793103448276</v>
      </c>
      <c r="D71" s="27">
        <f t="shared" si="15"/>
        <v>1.75</v>
      </c>
      <c r="E71" s="26">
        <f t="shared" si="15"/>
        <v>1.7361111111111112</v>
      </c>
      <c r="F71" s="27">
        <f t="shared" si="15"/>
        <v>1.7333333333333334</v>
      </c>
      <c r="G71" s="26">
        <f t="shared" si="15"/>
        <v>1.75</v>
      </c>
      <c r="H71" s="27">
        <f t="shared" si="15"/>
        <v>1.7571428571428573</v>
      </c>
      <c r="I71" s="26">
        <f t="shared" si="15"/>
        <v>1.7313432835820892</v>
      </c>
      <c r="J71" s="28">
        <f t="shared" si="15"/>
        <v>1.7343750000000002</v>
      </c>
    </row>
    <row r="72" spans="1:10" ht="15.75" customHeight="1" thickTop="1" x14ac:dyDescent="0.3">
      <c r="A72" s="130">
        <v>80</v>
      </c>
      <c r="B72" s="5" t="s">
        <v>102</v>
      </c>
      <c r="C72" s="6">
        <v>1.03</v>
      </c>
      <c r="D72" s="29">
        <v>0.92</v>
      </c>
      <c r="E72" s="6">
        <v>1.27</v>
      </c>
      <c r="F72" s="29">
        <v>1.33</v>
      </c>
      <c r="G72" s="6">
        <v>0.92</v>
      </c>
      <c r="H72" s="29">
        <v>1.25</v>
      </c>
      <c r="I72" s="6">
        <v>1.18</v>
      </c>
      <c r="J72" s="30">
        <v>1.1299999999999999</v>
      </c>
    </row>
    <row r="73" spans="1:10" ht="15.75" customHeight="1" x14ac:dyDescent="0.3">
      <c r="A73" s="130"/>
      <c r="B73" s="63" t="s">
        <v>103</v>
      </c>
      <c r="C73" s="2">
        <v>1.66</v>
      </c>
      <c r="D73" s="19">
        <v>1.49</v>
      </c>
      <c r="E73" s="2">
        <v>2.06</v>
      </c>
      <c r="F73" s="19">
        <v>2.14</v>
      </c>
      <c r="G73" s="2">
        <v>1.49</v>
      </c>
      <c r="H73" s="19">
        <v>2.02</v>
      </c>
      <c r="I73" s="2">
        <v>1.91</v>
      </c>
      <c r="J73" s="20">
        <v>1.83</v>
      </c>
    </row>
    <row r="74" spans="1:10" ht="15.75" customHeight="1" thickBot="1" x14ac:dyDescent="0.35">
      <c r="A74" s="130"/>
      <c r="B74" s="65" t="s">
        <v>104</v>
      </c>
      <c r="C74" s="66">
        <f t="shared" ref="C74:J74" si="16">IF(OR(C72="",C73=""),"",C73/C72)</f>
        <v>1.6116504854368932</v>
      </c>
      <c r="D74" s="67">
        <f t="shared" si="16"/>
        <v>1.6195652173913042</v>
      </c>
      <c r="E74" s="66">
        <f t="shared" si="16"/>
        <v>1.6220472440944882</v>
      </c>
      <c r="F74" s="67">
        <f t="shared" si="16"/>
        <v>1.6090225563909775</v>
      </c>
      <c r="G74" s="66">
        <f t="shared" si="16"/>
        <v>1.6195652173913042</v>
      </c>
      <c r="H74" s="67">
        <f t="shared" si="16"/>
        <v>1.6160000000000001</v>
      </c>
      <c r="I74" s="66">
        <f t="shared" si="16"/>
        <v>1.6186440677966103</v>
      </c>
      <c r="J74" s="68">
        <f t="shared" si="16"/>
        <v>1.6194690265486729</v>
      </c>
    </row>
    <row r="75" spans="1:10" ht="15.75" customHeight="1" thickTop="1" thickBot="1" x14ac:dyDescent="0.35">
      <c r="A75" s="126">
        <v>100</v>
      </c>
      <c r="B75" s="62" t="s">
        <v>102</v>
      </c>
      <c r="C75" s="4">
        <v>2.25</v>
      </c>
      <c r="D75" s="16">
        <v>2.02</v>
      </c>
      <c r="E75" s="4">
        <v>2.78</v>
      </c>
      <c r="F75" s="16">
        <v>2.9</v>
      </c>
      <c r="G75" s="4">
        <v>2.02</v>
      </c>
      <c r="H75" s="16">
        <v>2.73</v>
      </c>
      <c r="I75" s="4">
        <v>2.59</v>
      </c>
      <c r="J75" s="17">
        <v>2.4700000000000002</v>
      </c>
    </row>
    <row r="76" spans="1:10" ht="15.75" customHeight="1" thickTop="1" thickBot="1" x14ac:dyDescent="0.35">
      <c r="A76" s="126"/>
      <c r="B76" s="63" t="s">
        <v>103</v>
      </c>
      <c r="C76" s="2">
        <v>3.35</v>
      </c>
      <c r="D76" s="19">
        <v>3.01</v>
      </c>
      <c r="E76" s="2">
        <v>4.1500000000000004</v>
      </c>
      <c r="F76" s="19">
        <v>4.32</v>
      </c>
      <c r="G76" s="2">
        <v>3.01</v>
      </c>
      <c r="H76" s="19">
        <v>4.07</v>
      </c>
      <c r="I76" s="2">
        <v>3.86</v>
      </c>
      <c r="J76" s="20">
        <v>3.69</v>
      </c>
    </row>
    <row r="77" spans="1:10" ht="15.75" customHeight="1" thickTop="1" thickBot="1" x14ac:dyDescent="0.35">
      <c r="A77" s="126"/>
      <c r="B77" s="64" t="s">
        <v>104</v>
      </c>
      <c r="C77" s="26">
        <f t="shared" ref="C77:J77" si="17">IF(OR(C75="",C76=""),"",C76/C75)</f>
        <v>1.4888888888888889</v>
      </c>
      <c r="D77" s="27">
        <f t="shared" si="17"/>
        <v>1.4900990099009901</v>
      </c>
      <c r="E77" s="26">
        <f t="shared" si="17"/>
        <v>1.4928057553956837</v>
      </c>
      <c r="F77" s="27">
        <f t="shared" si="17"/>
        <v>1.4896551724137932</v>
      </c>
      <c r="G77" s="26">
        <f t="shared" si="17"/>
        <v>1.4900990099009901</v>
      </c>
      <c r="H77" s="27">
        <f t="shared" si="17"/>
        <v>1.4908424908424909</v>
      </c>
      <c r="I77" s="26">
        <f t="shared" si="17"/>
        <v>1.4903474903474905</v>
      </c>
      <c r="J77" s="28">
        <f t="shared" si="17"/>
        <v>1.4939271255060727</v>
      </c>
    </row>
    <row r="78" spans="1:10" ht="15.75" customHeight="1" thickTop="1" x14ac:dyDescent="0.3">
      <c r="A78" s="130">
        <v>120</v>
      </c>
      <c r="B78" s="5" t="s">
        <v>102</v>
      </c>
      <c r="C78" s="6">
        <v>4.09</v>
      </c>
      <c r="D78" s="29">
        <v>3.67</v>
      </c>
      <c r="E78" s="6">
        <v>5.07</v>
      </c>
      <c r="F78" s="29">
        <v>5.28</v>
      </c>
      <c r="G78" s="6">
        <v>3.67</v>
      </c>
      <c r="H78" s="29">
        <v>4.97</v>
      </c>
      <c r="I78" s="6">
        <v>4.71</v>
      </c>
      <c r="J78" s="30">
        <v>4.51</v>
      </c>
    </row>
    <row r="79" spans="1:10" ht="15.75" customHeight="1" x14ac:dyDescent="0.3">
      <c r="A79" s="130"/>
      <c r="B79" s="63" t="s">
        <v>103</v>
      </c>
      <c r="C79" s="2">
        <v>5.86</v>
      </c>
      <c r="D79" s="19">
        <v>5.26</v>
      </c>
      <c r="E79" s="2">
        <v>7.26</v>
      </c>
      <c r="F79" s="19">
        <v>7.56</v>
      </c>
      <c r="G79" s="2">
        <v>5.26</v>
      </c>
      <c r="H79" s="19">
        <v>7.12</v>
      </c>
      <c r="I79" s="2">
        <v>6.75</v>
      </c>
      <c r="J79" s="20">
        <v>6.46</v>
      </c>
    </row>
    <row r="80" spans="1:10" ht="15.75" customHeight="1" thickBot="1" x14ac:dyDescent="0.35">
      <c r="A80" s="130"/>
      <c r="B80" s="65" t="s">
        <v>104</v>
      </c>
      <c r="C80" s="66">
        <f t="shared" ref="C80:J80" si="18">IF(OR(C78="",C79=""),"",C79/C78)</f>
        <v>1.4327628361858191</v>
      </c>
      <c r="D80" s="67">
        <f t="shared" si="18"/>
        <v>1.4332425068119892</v>
      </c>
      <c r="E80" s="66">
        <f t="shared" si="18"/>
        <v>1.4319526627218935</v>
      </c>
      <c r="F80" s="67">
        <f t="shared" si="18"/>
        <v>1.4318181818181817</v>
      </c>
      <c r="G80" s="66">
        <f t="shared" si="18"/>
        <v>1.4332425068119892</v>
      </c>
      <c r="H80" s="67">
        <f t="shared" si="18"/>
        <v>1.4325955734406439</v>
      </c>
      <c r="I80" s="66">
        <f t="shared" si="18"/>
        <v>1.4331210191082802</v>
      </c>
      <c r="J80" s="68">
        <f t="shared" si="18"/>
        <v>1.4323725055432373</v>
      </c>
    </row>
    <row r="81" spans="1:10" ht="15.75" customHeight="1" thickTop="1" thickBot="1" x14ac:dyDescent="0.35">
      <c r="A81" s="126">
        <v>140</v>
      </c>
      <c r="B81" s="62" t="s">
        <v>102</v>
      </c>
      <c r="C81" s="4">
        <v>6.16</v>
      </c>
      <c r="D81" s="16">
        <v>5.52</v>
      </c>
      <c r="E81" s="4">
        <v>7.62</v>
      </c>
      <c r="F81" s="16">
        <v>7.94</v>
      </c>
      <c r="G81" s="4">
        <v>5.52</v>
      </c>
      <c r="H81" s="16">
        <v>7.48</v>
      </c>
      <c r="I81" s="4">
        <v>7.09</v>
      </c>
      <c r="J81" s="17">
        <v>6.78</v>
      </c>
    </row>
    <row r="82" spans="1:10" ht="15.75" customHeight="1" thickTop="1" thickBot="1" x14ac:dyDescent="0.35">
      <c r="A82" s="126"/>
      <c r="B82" s="63" t="s">
        <v>103</v>
      </c>
      <c r="C82" s="2">
        <v>8.6</v>
      </c>
      <c r="D82" s="19">
        <v>7.71</v>
      </c>
      <c r="E82" s="2">
        <v>10.64</v>
      </c>
      <c r="F82" s="19">
        <v>11.09</v>
      </c>
      <c r="G82" s="2">
        <v>7.71</v>
      </c>
      <c r="H82" s="19">
        <v>10.44</v>
      </c>
      <c r="I82" s="2">
        <v>9.89</v>
      </c>
      <c r="J82" s="20">
        <v>9.4700000000000006</v>
      </c>
    </row>
    <row r="83" spans="1:10" ht="15.75" customHeight="1" thickTop="1" thickBot="1" x14ac:dyDescent="0.35">
      <c r="A83" s="126"/>
      <c r="B83" s="64" t="s">
        <v>104</v>
      </c>
      <c r="C83" s="26">
        <f t="shared" ref="C83:J83" si="19">IF(OR(C81="",C82=""),"",C82/C81)</f>
        <v>1.3961038961038961</v>
      </c>
      <c r="D83" s="27">
        <f t="shared" si="19"/>
        <v>1.3967391304347827</v>
      </c>
      <c r="E83" s="26">
        <f t="shared" si="19"/>
        <v>1.3963254593175853</v>
      </c>
      <c r="F83" s="27">
        <f t="shared" si="19"/>
        <v>1.3967254408060452</v>
      </c>
      <c r="G83" s="26">
        <f t="shared" si="19"/>
        <v>1.3967391304347827</v>
      </c>
      <c r="H83" s="27">
        <f t="shared" si="19"/>
        <v>1.3957219251336896</v>
      </c>
      <c r="I83" s="26">
        <f t="shared" si="19"/>
        <v>1.3949224259520452</v>
      </c>
      <c r="J83" s="28">
        <f t="shared" si="19"/>
        <v>1.3967551622418879</v>
      </c>
    </row>
    <row r="84" spans="1:10" ht="15" customHeight="1" thickTop="1" x14ac:dyDescent="0.3"/>
  </sheetData>
  <mergeCells count="20">
    <mergeCell ref="A69:A71"/>
    <mergeCell ref="A72:A74"/>
    <mergeCell ref="A75:A77"/>
    <mergeCell ref="A78:A80"/>
    <mergeCell ref="A81:A83"/>
    <mergeCell ref="A48:A50"/>
    <mergeCell ref="A51:A53"/>
    <mergeCell ref="A54:A56"/>
    <mergeCell ref="A57:A59"/>
    <mergeCell ref="A60:A62"/>
    <mergeCell ref="A27:A29"/>
    <mergeCell ref="A30:A32"/>
    <mergeCell ref="A33:A35"/>
    <mergeCell ref="A36:A38"/>
    <mergeCell ref="A39:A41"/>
    <mergeCell ref="A6:A8"/>
    <mergeCell ref="A9:A11"/>
    <mergeCell ref="A12:A14"/>
    <mergeCell ref="A15:A17"/>
    <mergeCell ref="A18:A20"/>
  </mergeCells>
  <pageMargins left="0.7" right="0.7" top="0.75" bottom="0.75" header="0.511811023622047" footer="0.511811023622047"/>
  <pageSetup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3"/>
  <sheetViews>
    <sheetView zoomScaleNormal="100" workbookViewId="0">
      <selection activeCell="C39" activeCellId="1" sqref="D93:D181 C39"/>
    </sheetView>
  </sheetViews>
  <sheetFormatPr defaultColWidth="11.19921875" defaultRowHeight="15" customHeight="1" x14ac:dyDescent="0.3"/>
  <cols>
    <col min="1" max="11" width="8.59765625" customWidth="1"/>
  </cols>
  <sheetData>
    <row r="1" spans="1:11" ht="15.75" customHeight="1" x14ac:dyDescent="0.3">
      <c r="A1" s="8" t="s">
        <v>97</v>
      </c>
    </row>
    <row r="2" spans="1:11" ht="15.75" customHeight="1" x14ac:dyDescent="0.3">
      <c r="B2" s="15" t="s">
        <v>100</v>
      </c>
      <c r="C2" s="4" t="s">
        <v>13</v>
      </c>
      <c r="D2" s="16" t="s">
        <v>14</v>
      </c>
      <c r="E2" s="4" t="s">
        <v>15</v>
      </c>
      <c r="F2" s="16" t="s">
        <v>17</v>
      </c>
      <c r="G2" s="4" t="s">
        <v>18</v>
      </c>
      <c r="H2" s="16" t="s">
        <v>16</v>
      </c>
      <c r="I2" s="4" t="s">
        <v>20</v>
      </c>
      <c r="J2" s="16" t="s">
        <v>21</v>
      </c>
      <c r="K2" s="4" t="s">
        <v>23</v>
      </c>
    </row>
    <row r="3" spans="1:11" ht="15.75" customHeight="1" x14ac:dyDescent="0.3">
      <c r="B3" s="18" t="s">
        <v>114</v>
      </c>
      <c r="C3" s="2">
        <v>2</v>
      </c>
      <c r="D3" s="19">
        <v>5</v>
      </c>
      <c r="E3" s="2">
        <v>6</v>
      </c>
      <c r="F3" s="19">
        <v>7.2</v>
      </c>
      <c r="G3" s="2">
        <v>10</v>
      </c>
      <c r="H3" s="19">
        <v>12</v>
      </c>
      <c r="I3" s="2">
        <v>14.4</v>
      </c>
      <c r="J3" s="19">
        <v>19.2</v>
      </c>
      <c r="K3" s="2">
        <v>19.2</v>
      </c>
    </row>
    <row r="4" spans="1:11" ht="15.75" customHeight="1" x14ac:dyDescent="0.3">
      <c r="B4" s="41" t="s">
        <v>101</v>
      </c>
      <c r="C4" s="42" t="s">
        <v>13</v>
      </c>
      <c r="D4" s="43" t="s">
        <v>14</v>
      </c>
      <c r="E4" s="42" t="s">
        <v>16</v>
      </c>
      <c r="F4" s="43" t="s">
        <v>17</v>
      </c>
      <c r="G4" s="42" t="s">
        <v>18</v>
      </c>
      <c r="H4" s="43" t="s">
        <v>19</v>
      </c>
      <c r="I4" s="42" t="s">
        <v>20</v>
      </c>
      <c r="J4" s="43" t="s">
        <v>22</v>
      </c>
      <c r="K4" s="42" t="s">
        <v>23</v>
      </c>
    </row>
    <row r="5" spans="1:11" ht="15.75" customHeight="1" x14ac:dyDescent="0.3">
      <c r="A5" s="7" t="s">
        <v>6</v>
      </c>
      <c r="B5" s="21"/>
      <c r="C5" s="22"/>
      <c r="D5" s="23"/>
      <c r="E5" s="22"/>
      <c r="F5" s="23"/>
      <c r="G5" s="22"/>
      <c r="H5" s="23"/>
      <c r="I5" s="22"/>
      <c r="J5" s="23"/>
      <c r="K5" s="22"/>
    </row>
    <row r="6" spans="1:11" ht="15.75" customHeight="1" x14ac:dyDescent="0.3">
      <c r="A6" s="127">
        <v>70</v>
      </c>
      <c r="B6" s="2" t="s">
        <v>102</v>
      </c>
      <c r="C6" s="2">
        <v>2.86</v>
      </c>
      <c r="D6" s="19">
        <v>2.57</v>
      </c>
      <c r="E6" s="2">
        <v>3.41</v>
      </c>
      <c r="F6" s="19">
        <v>3.69</v>
      </c>
      <c r="G6" s="2">
        <v>2.57</v>
      </c>
      <c r="H6" s="19">
        <v>3.48</v>
      </c>
      <c r="I6" s="2">
        <v>3.29</v>
      </c>
      <c r="J6" s="19">
        <v>3.24</v>
      </c>
      <c r="K6" s="2">
        <v>3.15</v>
      </c>
    </row>
    <row r="7" spans="1:11" ht="15.75" customHeight="1" x14ac:dyDescent="0.3">
      <c r="A7" s="127"/>
      <c r="B7" s="2" t="s">
        <v>103</v>
      </c>
      <c r="C7" s="2">
        <v>3.06</v>
      </c>
      <c r="D7" s="19">
        <v>2.74</v>
      </c>
      <c r="E7" s="2">
        <v>3.63</v>
      </c>
      <c r="F7" s="19">
        <v>3.94</v>
      </c>
      <c r="G7" s="2">
        <v>2.74</v>
      </c>
      <c r="H7" s="19">
        <v>3.7</v>
      </c>
      <c r="I7" s="2">
        <v>3.52</v>
      </c>
      <c r="J7" s="19">
        <v>3.44</v>
      </c>
      <c r="K7" s="2">
        <v>3.37</v>
      </c>
    </row>
    <row r="8" spans="1:11" ht="15.75" customHeight="1" x14ac:dyDescent="0.3">
      <c r="A8" s="127"/>
      <c r="B8" s="25" t="s">
        <v>104</v>
      </c>
      <c r="C8" s="26">
        <f t="shared" ref="C8:K8" si="0">IF(OR(C6="",C7=""),"",C7/C6)</f>
        <v>1.06993006993007</v>
      </c>
      <c r="D8" s="27">
        <f t="shared" si="0"/>
        <v>1.0661478599221792</v>
      </c>
      <c r="E8" s="26">
        <f t="shared" si="0"/>
        <v>1.064516129032258</v>
      </c>
      <c r="F8" s="27">
        <f t="shared" si="0"/>
        <v>1.0677506775067751</v>
      </c>
      <c r="G8" s="26">
        <f t="shared" si="0"/>
        <v>1.0661478599221792</v>
      </c>
      <c r="H8" s="27">
        <f t="shared" si="0"/>
        <v>1.0632183908045978</v>
      </c>
      <c r="I8" s="26">
        <f t="shared" si="0"/>
        <v>1.0699088145896656</v>
      </c>
      <c r="J8" s="27">
        <f t="shared" si="0"/>
        <v>1.0617283950617282</v>
      </c>
      <c r="K8" s="26">
        <f t="shared" si="0"/>
        <v>1.0698412698412698</v>
      </c>
    </row>
    <row r="9" spans="1:11" ht="15.75" customHeight="1" x14ac:dyDescent="0.3">
      <c r="A9" s="127">
        <v>80</v>
      </c>
      <c r="B9" s="6" t="s">
        <v>102</v>
      </c>
      <c r="C9" s="6">
        <v>4.57</v>
      </c>
      <c r="D9" s="29">
        <v>4.0999999999999996</v>
      </c>
      <c r="E9" s="6">
        <v>5.44</v>
      </c>
      <c r="F9" s="29">
        <v>5.89</v>
      </c>
      <c r="G9" s="6">
        <v>4.0999999999999996</v>
      </c>
      <c r="H9" s="29">
        <v>5.55</v>
      </c>
      <c r="I9" s="6">
        <v>5.25</v>
      </c>
      <c r="J9" s="29">
        <v>5.17</v>
      </c>
      <c r="K9" s="6">
        <v>5.03</v>
      </c>
    </row>
    <row r="10" spans="1:11" ht="15.75" customHeight="1" x14ac:dyDescent="0.3">
      <c r="A10" s="127"/>
      <c r="B10" s="2" t="s">
        <v>103</v>
      </c>
      <c r="C10" s="2">
        <v>4.7699999999999996</v>
      </c>
      <c r="D10" s="19">
        <v>4.28</v>
      </c>
      <c r="E10" s="2">
        <v>5.67</v>
      </c>
      <c r="F10" s="19">
        <v>6.16</v>
      </c>
      <c r="G10" s="2">
        <v>4.28</v>
      </c>
      <c r="H10" s="19">
        <v>5.78</v>
      </c>
      <c r="I10" s="2">
        <v>5.49</v>
      </c>
      <c r="J10" s="19">
        <v>5.38</v>
      </c>
      <c r="K10" s="2">
        <v>5.26</v>
      </c>
    </row>
    <row r="11" spans="1:11" ht="15.75" customHeight="1" x14ac:dyDescent="0.3">
      <c r="A11" s="127"/>
      <c r="B11" s="25" t="s">
        <v>104</v>
      </c>
      <c r="C11" s="26">
        <f t="shared" ref="C11:K11" si="1">IF(OR(C9="",C10=""),"",C10/C9)</f>
        <v>1.0437636761487963</v>
      </c>
      <c r="D11" s="27">
        <f t="shared" si="1"/>
        <v>1.0439024390243905</v>
      </c>
      <c r="E11" s="26">
        <f t="shared" si="1"/>
        <v>1.0422794117647058</v>
      </c>
      <c r="F11" s="27">
        <f t="shared" si="1"/>
        <v>1.0458404074702887</v>
      </c>
      <c r="G11" s="26">
        <f t="shared" si="1"/>
        <v>1.0439024390243905</v>
      </c>
      <c r="H11" s="27">
        <f t="shared" si="1"/>
        <v>1.0414414414414415</v>
      </c>
      <c r="I11" s="26">
        <f t="shared" si="1"/>
        <v>1.0457142857142858</v>
      </c>
      <c r="J11" s="27">
        <f t="shared" si="1"/>
        <v>1.0406189555125724</v>
      </c>
      <c r="K11" s="26">
        <f t="shared" si="1"/>
        <v>1.0457256461232602</v>
      </c>
    </row>
    <row r="12" spans="1:11" ht="15.75" customHeight="1" x14ac:dyDescent="0.3">
      <c r="A12" s="127">
        <v>100</v>
      </c>
      <c r="B12" s="6" t="s">
        <v>102</v>
      </c>
      <c r="C12" s="6">
        <v>8.84</v>
      </c>
      <c r="D12" s="29">
        <v>7.93</v>
      </c>
      <c r="E12" s="6">
        <v>10.53</v>
      </c>
      <c r="F12" s="29">
        <v>11.4</v>
      </c>
      <c r="G12" s="6">
        <v>7.93</v>
      </c>
      <c r="H12" s="29">
        <v>10.73</v>
      </c>
      <c r="I12" s="6">
        <v>10.17</v>
      </c>
      <c r="J12" s="29">
        <v>10</v>
      </c>
      <c r="K12" s="6">
        <v>9.73</v>
      </c>
    </row>
    <row r="13" spans="1:11" ht="15.75" customHeight="1" x14ac:dyDescent="0.3">
      <c r="A13" s="127"/>
      <c r="B13" s="2" t="s">
        <v>103</v>
      </c>
      <c r="C13" s="2">
        <v>9.02</v>
      </c>
      <c r="D13" s="19">
        <v>8.1</v>
      </c>
      <c r="E13" s="2">
        <v>10.7</v>
      </c>
      <c r="F13" s="19">
        <v>11.64</v>
      </c>
      <c r="G13" s="2">
        <v>8.1</v>
      </c>
      <c r="H13" s="19">
        <v>10.91</v>
      </c>
      <c r="I13" s="2">
        <v>10.39</v>
      </c>
      <c r="J13" s="19">
        <v>10.16</v>
      </c>
      <c r="K13" s="2">
        <v>9.94</v>
      </c>
    </row>
    <row r="14" spans="1:11" ht="15.75" customHeight="1" x14ac:dyDescent="0.3">
      <c r="A14" s="127"/>
      <c r="B14" s="25" t="s">
        <v>104</v>
      </c>
      <c r="C14" s="26">
        <f t="shared" ref="C14:K14" si="2">IF(OR(C12="",C13=""),"",C13/C12)</f>
        <v>1.0203619909502262</v>
      </c>
      <c r="D14" s="27">
        <f t="shared" si="2"/>
        <v>1.0214375788146279</v>
      </c>
      <c r="E14" s="26">
        <f t="shared" si="2"/>
        <v>1.0161443494776827</v>
      </c>
      <c r="F14" s="27">
        <f t="shared" si="2"/>
        <v>1.0210526315789474</v>
      </c>
      <c r="G14" s="26">
        <f t="shared" si="2"/>
        <v>1.0214375788146279</v>
      </c>
      <c r="H14" s="27">
        <f t="shared" si="2"/>
        <v>1.0167753960857409</v>
      </c>
      <c r="I14" s="26">
        <f t="shared" si="2"/>
        <v>1.0216322517207475</v>
      </c>
      <c r="J14" s="27">
        <f t="shared" si="2"/>
        <v>1.016</v>
      </c>
      <c r="K14" s="26">
        <f t="shared" si="2"/>
        <v>1.0215827338129495</v>
      </c>
    </row>
    <row r="15" spans="1:11" ht="15.75" customHeight="1" x14ac:dyDescent="0.3">
      <c r="A15" s="127">
        <v>120</v>
      </c>
      <c r="B15" s="6" t="s">
        <v>102</v>
      </c>
      <c r="C15" s="6">
        <v>14.89</v>
      </c>
      <c r="D15" s="29">
        <v>13.36</v>
      </c>
      <c r="E15" s="6">
        <v>17.690000000000001</v>
      </c>
      <c r="F15" s="29">
        <v>19.21</v>
      </c>
      <c r="G15" s="6">
        <v>13.36</v>
      </c>
      <c r="H15" s="29">
        <v>18.03</v>
      </c>
      <c r="I15" s="6">
        <v>17.14</v>
      </c>
      <c r="J15" s="29">
        <v>16.8</v>
      </c>
      <c r="K15" s="6">
        <v>16.399999999999999</v>
      </c>
    </row>
    <row r="16" spans="1:11" ht="15.75" customHeight="1" x14ac:dyDescent="0.3">
      <c r="A16" s="127"/>
      <c r="B16" s="2" t="s">
        <v>103</v>
      </c>
      <c r="C16" s="2">
        <v>15.07</v>
      </c>
      <c r="D16" s="19">
        <v>13.52</v>
      </c>
      <c r="E16" s="2">
        <v>17.84</v>
      </c>
      <c r="F16" s="19">
        <v>19.43</v>
      </c>
      <c r="G16" s="2">
        <v>13.52</v>
      </c>
      <c r="H16" s="19">
        <v>18.18</v>
      </c>
      <c r="I16" s="2">
        <v>17.34</v>
      </c>
      <c r="J16" s="19">
        <v>16.940000000000001</v>
      </c>
      <c r="K16" s="2">
        <v>16.59</v>
      </c>
    </row>
    <row r="17" spans="1:11" ht="15.75" customHeight="1" x14ac:dyDescent="0.3">
      <c r="A17" s="127"/>
      <c r="B17" s="25" t="s">
        <v>104</v>
      </c>
      <c r="C17" s="26">
        <f t="shared" ref="C17:K17" si="3">IF(OR(C15="",C16=""),"",C16/C15)</f>
        <v>1.0120886501007387</v>
      </c>
      <c r="D17" s="27">
        <f t="shared" si="3"/>
        <v>1.0119760479041917</v>
      </c>
      <c r="E17" s="26">
        <f t="shared" si="3"/>
        <v>1.00847936687394</v>
      </c>
      <c r="F17" s="27">
        <f t="shared" si="3"/>
        <v>1.0114523685580425</v>
      </c>
      <c r="G17" s="26">
        <f t="shared" si="3"/>
        <v>1.0119760479041917</v>
      </c>
      <c r="H17" s="27">
        <f t="shared" si="3"/>
        <v>1.0083194675540765</v>
      </c>
      <c r="I17" s="26">
        <f t="shared" si="3"/>
        <v>1.0116686114352391</v>
      </c>
      <c r="J17" s="27">
        <f t="shared" si="3"/>
        <v>1.0083333333333333</v>
      </c>
      <c r="K17" s="26">
        <f t="shared" si="3"/>
        <v>1.0115853658536587</v>
      </c>
    </row>
    <row r="18" spans="1:11" ht="15.75" customHeight="1" x14ac:dyDescent="0.3">
      <c r="A18" s="127">
        <v>140</v>
      </c>
      <c r="B18" s="6" t="s">
        <v>102</v>
      </c>
      <c r="C18" s="6">
        <v>21.22</v>
      </c>
      <c r="D18" s="29">
        <v>19.04</v>
      </c>
      <c r="E18" s="6">
        <v>25.23</v>
      </c>
      <c r="F18" s="29">
        <v>27.37</v>
      </c>
      <c r="G18" s="6">
        <v>19.04</v>
      </c>
      <c r="H18" s="29">
        <v>25.72</v>
      </c>
      <c r="I18" s="6">
        <v>24.42</v>
      </c>
      <c r="J18" s="29">
        <v>23.96</v>
      </c>
      <c r="K18" s="6">
        <v>23.37</v>
      </c>
    </row>
    <row r="19" spans="1:11" ht="15.75" customHeight="1" x14ac:dyDescent="0.3">
      <c r="A19" s="127"/>
      <c r="B19" s="2" t="s">
        <v>103</v>
      </c>
      <c r="C19" s="2">
        <v>21.38</v>
      </c>
      <c r="D19" s="19">
        <v>19.18</v>
      </c>
      <c r="E19" s="2">
        <v>25.35</v>
      </c>
      <c r="F19" s="19">
        <v>27.57</v>
      </c>
      <c r="G19" s="2">
        <v>19.18</v>
      </c>
      <c r="H19" s="19">
        <v>25.83</v>
      </c>
      <c r="I19" s="2">
        <v>24.6</v>
      </c>
      <c r="J19" s="19">
        <v>24.07</v>
      </c>
      <c r="K19" s="2">
        <v>23.54</v>
      </c>
    </row>
    <row r="20" spans="1:11" ht="15.75" customHeight="1" x14ac:dyDescent="0.3">
      <c r="A20" s="127"/>
      <c r="B20" s="25" t="s">
        <v>104</v>
      </c>
      <c r="C20" s="26">
        <f t="shared" ref="C20:K20" si="4">IF(OR(C18="",C19=""),"",C19/C18)</f>
        <v>1.0075400565504242</v>
      </c>
      <c r="D20" s="27">
        <f t="shared" si="4"/>
        <v>1.0073529411764706</v>
      </c>
      <c r="E20" s="26">
        <f t="shared" si="4"/>
        <v>1.0047562425683709</v>
      </c>
      <c r="F20" s="27">
        <f t="shared" si="4"/>
        <v>1.0073072707343806</v>
      </c>
      <c r="G20" s="26">
        <f t="shared" si="4"/>
        <v>1.0073529411764706</v>
      </c>
      <c r="H20" s="27">
        <f t="shared" si="4"/>
        <v>1.0042768273716951</v>
      </c>
      <c r="I20" s="26">
        <f t="shared" si="4"/>
        <v>1.0073710073710074</v>
      </c>
      <c r="J20" s="27">
        <f t="shared" si="4"/>
        <v>1.0045909849749581</v>
      </c>
      <c r="K20" s="26">
        <f t="shared" si="4"/>
        <v>1.0072742832691484</v>
      </c>
    </row>
    <row r="21" spans="1:11" ht="15.75" customHeight="1" x14ac:dyDescent="0.3"/>
    <row r="22" spans="1:11" ht="15.75" customHeight="1" x14ac:dyDescent="0.3">
      <c r="A22" s="8" t="s">
        <v>122</v>
      </c>
    </row>
    <row r="23" spans="1:11" ht="15.75" customHeight="1" x14ac:dyDescent="0.3">
      <c r="B23" s="15" t="s">
        <v>100</v>
      </c>
      <c r="C23" s="17" t="s">
        <v>13</v>
      </c>
      <c r="D23" s="16" t="s">
        <v>14</v>
      </c>
      <c r="E23" s="4" t="s">
        <v>15</v>
      </c>
      <c r="F23" s="16" t="s">
        <v>17</v>
      </c>
      <c r="G23" s="4" t="s">
        <v>18</v>
      </c>
      <c r="H23" s="16" t="s">
        <v>16</v>
      </c>
      <c r="I23" s="4" t="s">
        <v>20</v>
      </c>
      <c r="J23" s="16" t="s">
        <v>21</v>
      </c>
      <c r="K23" s="4" t="s">
        <v>23</v>
      </c>
    </row>
    <row r="24" spans="1:11" ht="15.75" customHeight="1" x14ac:dyDescent="0.3">
      <c r="B24" s="18" t="s">
        <v>114</v>
      </c>
      <c r="C24" s="20">
        <v>2</v>
      </c>
      <c r="D24" s="19">
        <v>5</v>
      </c>
      <c r="E24" s="2">
        <v>6</v>
      </c>
      <c r="F24" s="19">
        <v>7.2</v>
      </c>
      <c r="G24" s="2">
        <v>10</v>
      </c>
      <c r="H24" s="19">
        <v>12</v>
      </c>
      <c r="I24" s="2">
        <v>14.4</v>
      </c>
      <c r="J24" s="19">
        <v>19.2</v>
      </c>
      <c r="K24" s="2">
        <v>19.2</v>
      </c>
    </row>
    <row r="25" spans="1:11" ht="15.75" customHeight="1" x14ac:dyDescent="0.3">
      <c r="B25" s="18" t="s">
        <v>101</v>
      </c>
      <c r="C25" s="20" t="s">
        <v>13</v>
      </c>
      <c r="D25" s="19" t="s">
        <v>14</v>
      </c>
      <c r="E25" s="2" t="s">
        <v>16</v>
      </c>
      <c r="F25" s="19" t="s">
        <v>17</v>
      </c>
      <c r="G25" s="2" t="s">
        <v>18</v>
      </c>
      <c r="H25" s="19" t="s">
        <v>19</v>
      </c>
      <c r="I25" s="2" t="s">
        <v>20</v>
      </c>
      <c r="J25" s="19" t="s">
        <v>22</v>
      </c>
      <c r="K25" s="2" t="s">
        <v>23</v>
      </c>
    </row>
    <row r="26" spans="1:11" ht="15.75" customHeight="1" x14ac:dyDescent="0.3">
      <c r="A26" s="7" t="s">
        <v>6</v>
      </c>
      <c r="B26" s="69"/>
      <c r="C26" s="70"/>
      <c r="D26" s="71"/>
      <c r="E26" s="72"/>
      <c r="F26" s="71"/>
      <c r="G26" s="72"/>
      <c r="H26" s="71"/>
      <c r="I26" s="72"/>
      <c r="J26" s="71"/>
      <c r="K26" s="72"/>
    </row>
    <row r="27" spans="1:11" ht="15.75" customHeight="1" x14ac:dyDescent="0.3">
      <c r="A27" s="131">
        <v>70</v>
      </c>
      <c r="B27" s="4" t="s">
        <v>102</v>
      </c>
      <c r="C27" s="17">
        <v>2.54</v>
      </c>
      <c r="D27" s="16">
        <v>2.2799999999999998</v>
      </c>
      <c r="E27" s="4">
        <v>3.02</v>
      </c>
      <c r="F27" s="16">
        <v>3.28</v>
      </c>
      <c r="G27" s="4">
        <v>2.2799999999999998</v>
      </c>
      <c r="H27" s="16">
        <v>3.08</v>
      </c>
      <c r="I27" s="4">
        <v>2.93</v>
      </c>
      <c r="J27" s="16">
        <v>2.87</v>
      </c>
      <c r="K27" s="4">
        <v>2.8</v>
      </c>
    </row>
    <row r="28" spans="1:11" ht="15.75" customHeight="1" x14ac:dyDescent="0.3">
      <c r="A28" s="131"/>
      <c r="B28" s="2" t="s">
        <v>103</v>
      </c>
      <c r="C28" s="20">
        <v>2.5499999999999998</v>
      </c>
      <c r="D28" s="19">
        <v>2.2799999999999998</v>
      </c>
      <c r="E28" s="2">
        <v>3.01</v>
      </c>
      <c r="F28" s="19">
        <v>3.28</v>
      </c>
      <c r="G28" s="2">
        <v>2.2799999999999998</v>
      </c>
      <c r="H28" s="19">
        <v>3.07</v>
      </c>
      <c r="I28" s="2">
        <v>2.93</v>
      </c>
      <c r="J28" s="19">
        <v>2.86</v>
      </c>
      <c r="K28" s="2">
        <v>2.8</v>
      </c>
    </row>
    <row r="29" spans="1:11" ht="15.75" customHeight="1" x14ac:dyDescent="0.3">
      <c r="A29" s="131"/>
      <c r="B29" s="25" t="s">
        <v>104</v>
      </c>
      <c r="C29" s="28">
        <f t="shared" ref="C29:K29" si="5">IF(OR(C27="",C28=""),"",C28/C27)</f>
        <v>1.0039370078740157</v>
      </c>
      <c r="D29" s="27">
        <f t="shared" si="5"/>
        <v>1</v>
      </c>
      <c r="E29" s="26">
        <f t="shared" si="5"/>
        <v>0.99668874172185418</v>
      </c>
      <c r="F29" s="27">
        <f t="shared" si="5"/>
        <v>1</v>
      </c>
      <c r="G29" s="26">
        <f t="shared" si="5"/>
        <v>1</v>
      </c>
      <c r="H29" s="27">
        <f t="shared" si="5"/>
        <v>0.99675324675324672</v>
      </c>
      <c r="I29" s="26">
        <f t="shared" si="5"/>
        <v>1</v>
      </c>
      <c r="J29" s="27">
        <f t="shared" si="5"/>
        <v>0.99651567944250863</v>
      </c>
      <c r="K29" s="26">
        <f t="shared" si="5"/>
        <v>1</v>
      </c>
    </row>
    <row r="30" spans="1:11" ht="15.75" customHeight="1" x14ac:dyDescent="0.3">
      <c r="A30" s="132">
        <v>80</v>
      </c>
      <c r="B30" s="6" t="s">
        <v>102</v>
      </c>
      <c r="C30" s="30">
        <v>4.1100000000000003</v>
      </c>
      <c r="D30" s="29">
        <v>3.69</v>
      </c>
      <c r="E30" s="6">
        <v>4.91</v>
      </c>
      <c r="F30" s="29">
        <v>5.3</v>
      </c>
      <c r="G30" s="6">
        <v>3.69</v>
      </c>
      <c r="H30" s="29">
        <v>5</v>
      </c>
      <c r="I30" s="6">
        <v>4.7300000000000004</v>
      </c>
      <c r="J30" s="29">
        <v>4.66</v>
      </c>
      <c r="K30" s="6">
        <v>4.53</v>
      </c>
    </row>
    <row r="31" spans="1:11" ht="15.75" customHeight="1" x14ac:dyDescent="0.3">
      <c r="A31" s="132"/>
      <c r="B31" s="2" t="s">
        <v>103</v>
      </c>
      <c r="C31" s="20">
        <v>4.05</v>
      </c>
      <c r="D31" s="19">
        <v>3.64</v>
      </c>
      <c r="E31" s="2">
        <v>4.8</v>
      </c>
      <c r="F31" s="19">
        <v>5.23</v>
      </c>
      <c r="G31" s="2">
        <v>3.64</v>
      </c>
      <c r="H31" s="19">
        <v>4.8899999999999997</v>
      </c>
      <c r="I31" s="2">
        <v>4.66</v>
      </c>
      <c r="J31" s="19">
        <v>4.5599999999999996</v>
      </c>
      <c r="K31" s="2">
        <v>5.26</v>
      </c>
    </row>
    <row r="32" spans="1:11" ht="15.75" customHeight="1" x14ac:dyDescent="0.3">
      <c r="A32" s="132"/>
      <c r="B32" s="73" t="s">
        <v>104</v>
      </c>
      <c r="C32" s="68">
        <f t="shared" ref="C32:K32" si="6">IF(OR(C30="",C31=""),"",C31/C30)</f>
        <v>0.98540145985401451</v>
      </c>
      <c r="D32" s="67">
        <f t="shared" si="6"/>
        <v>0.98644986449864502</v>
      </c>
      <c r="E32" s="66">
        <f t="shared" si="6"/>
        <v>0.9775967413441955</v>
      </c>
      <c r="F32" s="67">
        <f t="shared" si="6"/>
        <v>0.98679245283018879</v>
      </c>
      <c r="G32" s="66">
        <f t="shared" si="6"/>
        <v>0.98644986449864502</v>
      </c>
      <c r="H32" s="67">
        <f t="shared" si="6"/>
        <v>0.97799999999999998</v>
      </c>
      <c r="I32" s="66">
        <f t="shared" si="6"/>
        <v>0.98520084566596189</v>
      </c>
      <c r="J32" s="67">
        <f t="shared" si="6"/>
        <v>0.97854077253218874</v>
      </c>
      <c r="K32" s="66">
        <f t="shared" si="6"/>
        <v>1.1611479028697571</v>
      </c>
    </row>
    <row r="33" spans="1:11" ht="15.75" customHeight="1" x14ac:dyDescent="0.3">
      <c r="A33" s="131">
        <v>100</v>
      </c>
      <c r="B33" s="4" t="s">
        <v>102</v>
      </c>
      <c r="C33" s="17">
        <v>8.0399999999999991</v>
      </c>
      <c r="D33" s="16">
        <v>7.21</v>
      </c>
      <c r="E33" s="4">
        <v>9.58</v>
      </c>
      <c r="F33" s="16">
        <v>10.37</v>
      </c>
      <c r="G33" s="4">
        <v>7.21</v>
      </c>
      <c r="H33" s="16">
        <v>9.76</v>
      </c>
      <c r="I33" s="4">
        <v>9.25</v>
      </c>
      <c r="J33" s="16">
        <v>9.09</v>
      </c>
      <c r="K33" s="4">
        <v>8.85</v>
      </c>
    </row>
    <row r="34" spans="1:11" ht="15.75" customHeight="1" x14ac:dyDescent="0.3">
      <c r="A34" s="131"/>
      <c r="B34" s="2" t="s">
        <v>103</v>
      </c>
      <c r="C34" s="20">
        <v>7.82</v>
      </c>
      <c r="D34" s="19">
        <v>7.02</v>
      </c>
      <c r="E34" s="2">
        <v>9.26</v>
      </c>
      <c r="F34" s="19">
        <v>10.09</v>
      </c>
      <c r="G34" s="2">
        <v>7.02</v>
      </c>
      <c r="H34" s="19">
        <v>9.43</v>
      </c>
      <c r="I34" s="2">
        <v>9</v>
      </c>
      <c r="J34" s="19">
        <v>8.7899999999999991</v>
      </c>
      <c r="K34" s="2">
        <v>8.61</v>
      </c>
    </row>
    <row r="35" spans="1:11" ht="15.75" customHeight="1" x14ac:dyDescent="0.3">
      <c r="A35" s="131"/>
      <c r="B35" s="25" t="s">
        <v>104</v>
      </c>
      <c r="C35" s="28">
        <f t="shared" ref="C35:K35" si="7">IF(OR(C33="",C34=""),"",C34/C33)</f>
        <v>0.97263681592039819</v>
      </c>
      <c r="D35" s="27">
        <f t="shared" si="7"/>
        <v>0.97364771151178908</v>
      </c>
      <c r="E35" s="26">
        <f t="shared" si="7"/>
        <v>0.96659707724425881</v>
      </c>
      <c r="F35" s="27">
        <f t="shared" si="7"/>
        <v>0.9729990356798458</v>
      </c>
      <c r="G35" s="26">
        <f t="shared" si="7"/>
        <v>0.97364771151178908</v>
      </c>
      <c r="H35" s="27">
        <f t="shared" si="7"/>
        <v>0.96618852459016391</v>
      </c>
      <c r="I35" s="26">
        <f t="shared" si="7"/>
        <v>0.97297297297297303</v>
      </c>
      <c r="J35" s="27">
        <f t="shared" si="7"/>
        <v>0.96699669966996693</v>
      </c>
      <c r="K35" s="26">
        <f t="shared" si="7"/>
        <v>0.97288135593220337</v>
      </c>
    </row>
    <row r="36" spans="1:11" ht="15.75" customHeight="1" x14ac:dyDescent="0.3">
      <c r="A36" s="132">
        <v>120</v>
      </c>
      <c r="B36" s="6" t="s">
        <v>102</v>
      </c>
      <c r="C36" s="30">
        <v>11.68</v>
      </c>
      <c r="D36" s="29">
        <v>12.28</v>
      </c>
      <c r="E36" s="6">
        <v>16.3</v>
      </c>
      <c r="F36" s="29">
        <v>17.649999999999999</v>
      </c>
      <c r="G36" s="6">
        <v>12.28</v>
      </c>
      <c r="H36" s="29">
        <v>16.61</v>
      </c>
      <c r="I36" s="6">
        <v>15.75</v>
      </c>
      <c r="J36" s="29">
        <v>15.48</v>
      </c>
      <c r="K36" s="6">
        <v>15.07</v>
      </c>
    </row>
    <row r="37" spans="1:11" ht="15.75" customHeight="1" x14ac:dyDescent="0.3">
      <c r="A37" s="132"/>
      <c r="B37" s="2" t="s">
        <v>103</v>
      </c>
      <c r="C37" s="20">
        <v>13.28</v>
      </c>
      <c r="D37" s="19">
        <v>11.92</v>
      </c>
      <c r="E37" s="2">
        <v>15.71</v>
      </c>
      <c r="F37" s="19">
        <v>17.13</v>
      </c>
      <c r="G37" s="2">
        <v>11.92</v>
      </c>
      <c r="H37" s="19">
        <v>16.010000000000002</v>
      </c>
      <c r="I37" s="2">
        <v>15.28</v>
      </c>
      <c r="J37" s="19">
        <v>14.92</v>
      </c>
      <c r="K37" s="2">
        <v>14.63</v>
      </c>
    </row>
    <row r="38" spans="1:11" ht="15.75" customHeight="1" x14ac:dyDescent="0.3">
      <c r="A38" s="132"/>
      <c r="B38" s="73" t="s">
        <v>104</v>
      </c>
      <c r="C38" s="68">
        <f t="shared" ref="C38:K38" si="8">IF(OR(C36="",C37=""),"",C37/C36)</f>
        <v>1.1369863013698629</v>
      </c>
      <c r="D38" s="67">
        <f t="shared" si="8"/>
        <v>0.97068403908794798</v>
      </c>
      <c r="E38" s="66">
        <f t="shared" si="8"/>
        <v>0.96380368098159508</v>
      </c>
      <c r="F38" s="67">
        <f t="shared" si="8"/>
        <v>0.97053824362606234</v>
      </c>
      <c r="G38" s="66">
        <f t="shared" si="8"/>
        <v>0.97068403908794798</v>
      </c>
      <c r="H38" s="67">
        <f t="shared" si="8"/>
        <v>0.96387718242022891</v>
      </c>
      <c r="I38" s="66">
        <f t="shared" si="8"/>
        <v>0.97015873015873011</v>
      </c>
      <c r="J38" s="67">
        <f t="shared" si="8"/>
        <v>0.96382428940568476</v>
      </c>
      <c r="K38" s="66">
        <f t="shared" si="8"/>
        <v>0.97080291970802923</v>
      </c>
    </row>
    <row r="39" spans="1:11" ht="15.75" customHeight="1" x14ac:dyDescent="0.3">
      <c r="A39" s="131">
        <v>140</v>
      </c>
      <c r="B39" s="4" t="s">
        <v>102</v>
      </c>
      <c r="C39" s="17">
        <v>19.600000000000001</v>
      </c>
      <c r="D39" s="16">
        <v>17.579999999999998</v>
      </c>
      <c r="E39" s="4">
        <v>23.34</v>
      </c>
      <c r="F39" s="16">
        <v>25.28</v>
      </c>
      <c r="G39" s="4">
        <v>17.579999999999998</v>
      </c>
      <c r="H39" s="16">
        <v>23.79</v>
      </c>
      <c r="I39" s="4">
        <v>22.56</v>
      </c>
      <c r="J39" s="16">
        <v>22.16</v>
      </c>
      <c r="K39" s="4">
        <v>21.58</v>
      </c>
    </row>
    <row r="40" spans="1:11" ht="15.75" customHeight="1" x14ac:dyDescent="0.3">
      <c r="A40" s="131"/>
      <c r="B40" s="2" t="s">
        <v>103</v>
      </c>
      <c r="C40" s="20">
        <v>19.010000000000002</v>
      </c>
      <c r="D40" s="19">
        <v>17.05</v>
      </c>
      <c r="E40" s="2">
        <v>22.49</v>
      </c>
      <c r="F40" s="19">
        <v>24.51</v>
      </c>
      <c r="G40" s="2">
        <v>17.05</v>
      </c>
      <c r="H40" s="19">
        <v>22.92</v>
      </c>
      <c r="I40" s="2">
        <v>21.87</v>
      </c>
      <c r="J40" s="19">
        <v>21.35</v>
      </c>
      <c r="K40" s="2">
        <v>20.93</v>
      </c>
    </row>
    <row r="41" spans="1:11" ht="15.75" customHeight="1" x14ac:dyDescent="0.3">
      <c r="A41" s="131"/>
      <c r="B41" s="25" t="s">
        <v>104</v>
      </c>
      <c r="C41" s="28">
        <f t="shared" ref="C41:K41" si="9">IF(OR(C39="",C40=""),"",C40/C39)</f>
        <v>0.9698979591836735</v>
      </c>
      <c r="D41" s="27">
        <f t="shared" si="9"/>
        <v>0.96985210466439153</v>
      </c>
      <c r="E41" s="26">
        <f t="shared" si="9"/>
        <v>0.9635818337617823</v>
      </c>
      <c r="F41" s="27">
        <f t="shared" si="9"/>
        <v>0.96954113924050633</v>
      </c>
      <c r="G41" s="26">
        <f t="shared" si="9"/>
        <v>0.96985210466439153</v>
      </c>
      <c r="H41" s="27">
        <f t="shared" si="9"/>
        <v>0.96343001261034056</v>
      </c>
      <c r="I41" s="26">
        <f t="shared" si="9"/>
        <v>0.96941489361702138</v>
      </c>
      <c r="J41" s="27">
        <f t="shared" si="9"/>
        <v>0.96344765342960292</v>
      </c>
      <c r="K41" s="26">
        <f t="shared" si="9"/>
        <v>0.96987951807228923</v>
      </c>
    </row>
    <row r="42" spans="1:11" ht="15.75" customHeight="1" x14ac:dyDescent="0.3"/>
    <row r="43" spans="1:11" ht="15.75" customHeight="1" x14ac:dyDescent="0.3">
      <c r="A43" s="8" t="s">
        <v>136</v>
      </c>
    </row>
    <row r="44" spans="1:11" ht="15.75" customHeight="1" x14ac:dyDescent="0.3">
      <c r="B44" s="55" t="s">
        <v>100</v>
      </c>
      <c r="C44" s="4" t="s">
        <v>13</v>
      </c>
      <c r="D44" s="16" t="s">
        <v>14</v>
      </c>
      <c r="E44" s="4" t="s">
        <v>15</v>
      </c>
      <c r="F44" s="16" t="s">
        <v>17</v>
      </c>
      <c r="G44" s="4" t="s">
        <v>18</v>
      </c>
      <c r="H44" s="16" t="s">
        <v>16</v>
      </c>
      <c r="I44" s="4" t="s">
        <v>20</v>
      </c>
      <c r="J44" s="16" t="s">
        <v>21</v>
      </c>
      <c r="K44" s="4" t="s">
        <v>23</v>
      </c>
    </row>
    <row r="45" spans="1:11" ht="15.75" customHeight="1" x14ac:dyDescent="0.3">
      <c r="B45" s="56" t="s">
        <v>114</v>
      </c>
      <c r="C45" s="2">
        <v>2</v>
      </c>
      <c r="D45" s="19">
        <v>5</v>
      </c>
      <c r="E45" s="2">
        <v>6</v>
      </c>
      <c r="F45" s="19">
        <v>7.2</v>
      </c>
      <c r="G45" s="2">
        <v>10</v>
      </c>
      <c r="H45" s="19">
        <v>12</v>
      </c>
      <c r="I45" s="2">
        <v>14.4</v>
      </c>
      <c r="J45" s="19">
        <v>19.2</v>
      </c>
      <c r="K45" s="2">
        <v>19.2</v>
      </c>
    </row>
    <row r="46" spans="1:11" ht="15.75" customHeight="1" x14ac:dyDescent="0.3">
      <c r="B46" s="56" t="s">
        <v>101</v>
      </c>
      <c r="C46" s="2" t="s">
        <v>13</v>
      </c>
      <c r="D46" s="19" t="s">
        <v>14</v>
      </c>
      <c r="E46" s="2" t="s">
        <v>16</v>
      </c>
      <c r="F46" s="19" t="s">
        <v>17</v>
      </c>
      <c r="G46" s="2" t="s">
        <v>18</v>
      </c>
      <c r="H46" s="19" t="s">
        <v>19</v>
      </c>
      <c r="I46" s="2" t="s">
        <v>20</v>
      </c>
      <c r="J46" s="19" t="s">
        <v>22</v>
      </c>
      <c r="K46" s="2" t="s">
        <v>23</v>
      </c>
    </row>
    <row r="47" spans="1:11" ht="15.75" customHeight="1" x14ac:dyDescent="0.3">
      <c r="A47" s="57" t="s">
        <v>6</v>
      </c>
      <c r="B47" s="74"/>
      <c r="C47" s="59"/>
      <c r="D47" s="60"/>
      <c r="E47" s="59"/>
      <c r="F47" s="60"/>
      <c r="G47" s="59"/>
      <c r="H47" s="60"/>
      <c r="I47" s="59"/>
      <c r="J47" s="60"/>
      <c r="K47" s="59"/>
    </row>
    <row r="48" spans="1:11" ht="15.75" customHeight="1" x14ac:dyDescent="0.3">
      <c r="A48" s="126">
        <v>70</v>
      </c>
      <c r="B48" s="16" t="s">
        <v>102</v>
      </c>
      <c r="C48" s="4">
        <v>0.68</v>
      </c>
      <c r="D48" s="16">
        <v>0.61</v>
      </c>
      <c r="E48" s="4">
        <v>0.82</v>
      </c>
      <c r="F48" s="16">
        <v>0.88</v>
      </c>
      <c r="G48" s="4">
        <v>0.61</v>
      </c>
      <c r="H48" s="16">
        <v>0.83</v>
      </c>
      <c r="I48" s="4">
        <v>0.79</v>
      </c>
      <c r="J48" s="16">
        <v>0.78</v>
      </c>
      <c r="K48" s="4">
        <v>0.75</v>
      </c>
    </row>
    <row r="49" spans="1:11" ht="15.75" customHeight="1" x14ac:dyDescent="0.3">
      <c r="A49" s="126"/>
      <c r="B49" s="19" t="s">
        <v>103</v>
      </c>
      <c r="C49" s="2">
        <v>1.37</v>
      </c>
      <c r="D49" s="19">
        <v>1.22</v>
      </c>
      <c r="E49" s="2">
        <v>1.61</v>
      </c>
      <c r="F49" s="19">
        <v>1.76</v>
      </c>
      <c r="G49" s="2">
        <v>1.22</v>
      </c>
      <c r="H49" s="19">
        <v>1.64</v>
      </c>
      <c r="I49" s="2">
        <v>1.57</v>
      </c>
      <c r="J49" s="19">
        <v>1.52</v>
      </c>
      <c r="K49" s="2">
        <v>1.59</v>
      </c>
    </row>
    <row r="50" spans="1:11" ht="15.75" customHeight="1" x14ac:dyDescent="0.3">
      <c r="A50" s="126"/>
      <c r="B50" s="75" t="s">
        <v>104</v>
      </c>
      <c r="C50" s="26">
        <f t="shared" ref="C50:K50" si="10">IF(OR(C48="",C49=""),"",C49/C48)</f>
        <v>2.0147058823529411</v>
      </c>
      <c r="D50" s="27">
        <f t="shared" si="10"/>
        <v>2</v>
      </c>
      <c r="E50" s="26">
        <f t="shared" si="10"/>
        <v>1.9634146341463417</v>
      </c>
      <c r="F50" s="27">
        <f t="shared" si="10"/>
        <v>2</v>
      </c>
      <c r="G50" s="26">
        <f t="shared" si="10"/>
        <v>2</v>
      </c>
      <c r="H50" s="27">
        <f t="shared" si="10"/>
        <v>1.9759036144578312</v>
      </c>
      <c r="I50" s="26">
        <f t="shared" si="10"/>
        <v>1.9873417721518987</v>
      </c>
      <c r="J50" s="27">
        <f t="shared" si="10"/>
        <v>1.9487179487179487</v>
      </c>
      <c r="K50" s="26">
        <f t="shared" si="10"/>
        <v>2.12</v>
      </c>
    </row>
    <row r="51" spans="1:11" ht="15.75" customHeight="1" x14ac:dyDescent="0.3">
      <c r="A51" s="130">
        <v>80</v>
      </c>
      <c r="B51" s="29" t="s">
        <v>102</v>
      </c>
      <c r="C51" s="6">
        <v>1.18</v>
      </c>
      <c r="D51" s="29">
        <v>1.06</v>
      </c>
      <c r="E51" s="6">
        <v>1.4</v>
      </c>
      <c r="F51" s="29">
        <v>1.52</v>
      </c>
      <c r="G51" s="6">
        <v>1.06</v>
      </c>
      <c r="H51" s="29">
        <v>1.43</v>
      </c>
      <c r="I51" s="6">
        <v>1.36</v>
      </c>
      <c r="J51" s="29">
        <v>1.33</v>
      </c>
      <c r="K51" s="6">
        <v>1.3</v>
      </c>
    </row>
    <row r="52" spans="1:11" ht="15.75" customHeight="1" x14ac:dyDescent="0.3">
      <c r="A52" s="130"/>
      <c r="B52" s="19" t="s">
        <v>103</v>
      </c>
      <c r="C52" s="2">
        <v>2.1800000000000002</v>
      </c>
      <c r="D52" s="19">
        <v>1.96</v>
      </c>
      <c r="E52" s="2">
        <v>2.58</v>
      </c>
      <c r="F52" s="19">
        <v>2.81</v>
      </c>
      <c r="G52" s="2">
        <v>1.96</v>
      </c>
      <c r="H52" s="19">
        <v>2.62</v>
      </c>
      <c r="I52" s="2">
        <v>2.5099999999999998</v>
      </c>
      <c r="J52" s="19">
        <v>2.4500000000000002</v>
      </c>
      <c r="K52" s="2">
        <v>2.4</v>
      </c>
    </row>
    <row r="53" spans="1:11" ht="15.75" customHeight="1" x14ac:dyDescent="0.3">
      <c r="A53" s="130"/>
      <c r="B53" s="76" t="s">
        <v>104</v>
      </c>
      <c r="C53" s="66">
        <f t="shared" ref="C53:K53" si="11">IF(OR(C51="",C52=""),"",C52/C51)</f>
        <v>1.8474576271186443</v>
      </c>
      <c r="D53" s="67">
        <f t="shared" si="11"/>
        <v>1.8490566037735847</v>
      </c>
      <c r="E53" s="66">
        <f t="shared" si="11"/>
        <v>1.842857142857143</v>
      </c>
      <c r="F53" s="67">
        <f t="shared" si="11"/>
        <v>1.8486842105263157</v>
      </c>
      <c r="G53" s="66">
        <f t="shared" si="11"/>
        <v>1.8490566037735847</v>
      </c>
      <c r="H53" s="67">
        <f t="shared" si="11"/>
        <v>1.8321678321678323</v>
      </c>
      <c r="I53" s="66">
        <f t="shared" si="11"/>
        <v>1.8455882352941173</v>
      </c>
      <c r="J53" s="67">
        <f t="shared" si="11"/>
        <v>1.8421052631578947</v>
      </c>
      <c r="K53" s="66">
        <f t="shared" si="11"/>
        <v>1.846153846153846</v>
      </c>
    </row>
    <row r="54" spans="1:11" ht="15.75" customHeight="1" x14ac:dyDescent="0.3">
      <c r="A54" s="126">
        <v>100</v>
      </c>
      <c r="B54" s="16" t="s">
        <v>102</v>
      </c>
      <c r="C54" s="4">
        <v>2.56</v>
      </c>
      <c r="D54" s="16">
        <v>2.29</v>
      </c>
      <c r="E54" s="4">
        <v>3.04</v>
      </c>
      <c r="F54" s="16">
        <v>3.3</v>
      </c>
      <c r="G54" s="4">
        <v>2.29</v>
      </c>
      <c r="H54" s="16">
        <v>3.1</v>
      </c>
      <c r="I54" s="4">
        <v>2.94</v>
      </c>
      <c r="J54" s="16">
        <v>2.89</v>
      </c>
      <c r="K54" s="4">
        <v>2.82</v>
      </c>
    </row>
    <row r="55" spans="1:11" ht="15.75" customHeight="1" x14ac:dyDescent="0.3">
      <c r="A55" s="126"/>
      <c r="B55" s="19" t="s">
        <v>103</v>
      </c>
      <c r="C55" s="2">
        <v>4.28</v>
      </c>
      <c r="D55" s="19">
        <v>3.84</v>
      </c>
      <c r="E55" s="2">
        <v>5.05</v>
      </c>
      <c r="F55" s="19">
        <v>5.52</v>
      </c>
      <c r="G55" s="2">
        <v>3.84</v>
      </c>
      <c r="H55" s="19">
        <v>5.15</v>
      </c>
      <c r="I55" s="2">
        <v>4.92</v>
      </c>
      <c r="J55" s="19">
        <v>4.8</v>
      </c>
      <c r="K55" s="2">
        <v>4.71</v>
      </c>
    </row>
    <row r="56" spans="1:11" ht="15.75" customHeight="1" x14ac:dyDescent="0.3">
      <c r="A56" s="126"/>
      <c r="B56" s="75" t="s">
        <v>104</v>
      </c>
      <c r="C56" s="26">
        <f t="shared" ref="C56:K56" si="12">IF(OR(C54="",C55=""),"",C55/C54)</f>
        <v>1.671875</v>
      </c>
      <c r="D56" s="27">
        <f t="shared" si="12"/>
        <v>1.6768558951965065</v>
      </c>
      <c r="E56" s="26">
        <f t="shared" si="12"/>
        <v>1.6611842105263157</v>
      </c>
      <c r="F56" s="27">
        <f t="shared" si="12"/>
        <v>1.6727272727272726</v>
      </c>
      <c r="G56" s="26">
        <f t="shared" si="12"/>
        <v>1.6768558951965065</v>
      </c>
      <c r="H56" s="27">
        <f t="shared" si="12"/>
        <v>1.6612903225806452</v>
      </c>
      <c r="I56" s="26">
        <f t="shared" si="12"/>
        <v>1.6734693877551021</v>
      </c>
      <c r="J56" s="27">
        <f t="shared" si="12"/>
        <v>1.6608996539792387</v>
      </c>
      <c r="K56" s="26">
        <f t="shared" si="12"/>
        <v>1.6702127659574468</v>
      </c>
    </row>
    <row r="57" spans="1:11" ht="15.75" customHeight="1" x14ac:dyDescent="0.3">
      <c r="A57" s="130">
        <v>120</v>
      </c>
      <c r="B57" s="29" t="s">
        <v>102</v>
      </c>
      <c r="C57" s="6">
        <v>4.6100000000000003</v>
      </c>
      <c r="D57" s="29">
        <v>4.1399999999999997</v>
      </c>
      <c r="E57" s="6">
        <v>5.48</v>
      </c>
      <c r="F57" s="29">
        <v>5.95</v>
      </c>
      <c r="G57" s="6">
        <v>4.1399999999999997</v>
      </c>
      <c r="H57" s="29">
        <v>5.59</v>
      </c>
      <c r="I57" s="6">
        <v>5.31</v>
      </c>
      <c r="J57" s="29">
        <v>5.21</v>
      </c>
      <c r="K57" s="6">
        <v>5.08</v>
      </c>
    </row>
    <row r="58" spans="1:11" ht="15.75" customHeight="1" x14ac:dyDescent="0.3">
      <c r="A58" s="130"/>
      <c r="B58" s="19" t="s">
        <v>103</v>
      </c>
      <c r="C58" s="2">
        <v>7.33</v>
      </c>
      <c r="D58" s="19">
        <v>6.58</v>
      </c>
      <c r="E58" s="2">
        <v>8.68</v>
      </c>
      <c r="F58" s="19">
        <v>9.4600000000000009</v>
      </c>
      <c r="G58" s="2">
        <v>6.58</v>
      </c>
      <c r="H58" s="19">
        <v>8.85</v>
      </c>
      <c r="I58" s="2">
        <v>8.44</v>
      </c>
      <c r="J58" s="19">
        <v>8.25</v>
      </c>
      <c r="K58" s="2">
        <v>8.08</v>
      </c>
    </row>
    <row r="59" spans="1:11" ht="15.75" customHeight="1" x14ac:dyDescent="0.3">
      <c r="A59" s="130"/>
      <c r="B59" s="76" t="s">
        <v>104</v>
      </c>
      <c r="C59" s="66">
        <f t="shared" ref="C59:K59" si="13">IF(OR(C57="",C58=""),"",C58/C57)</f>
        <v>1.5900216919739696</v>
      </c>
      <c r="D59" s="67">
        <f t="shared" si="13"/>
        <v>1.5893719806763287</v>
      </c>
      <c r="E59" s="66">
        <f t="shared" si="13"/>
        <v>1.5839416058394158</v>
      </c>
      <c r="F59" s="67">
        <f t="shared" si="13"/>
        <v>1.5899159663865547</v>
      </c>
      <c r="G59" s="66">
        <f t="shared" si="13"/>
        <v>1.5893719806763287</v>
      </c>
      <c r="H59" s="67">
        <f t="shared" si="13"/>
        <v>1.5831842576028623</v>
      </c>
      <c r="I59" s="66">
        <f t="shared" si="13"/>
        <v>1.5894538606403013</v>
      </c>
      <c r="J59" s="67">
        <f t="shared" si="13"/>
        <v>1.5834932821497121</v>
      </c>
      <c r="K59" s="66">
        <f t="shared" si="13"/>
        <v>1.5905511811023623</v>
      </c>
    </row>
    <row r="60" spans="1:11" ht="15.75" customHeight="1" x14ac:dyDescent="0.3">
      <c r="A60" s="126">
        <v>140</v>
      </c>
      <c r="B60" s="16" t="s">
        <v>102</v>
      </c>
      <c r="C60" s="4">
        <v>6.88</v>
      </c>
      <c r="D60" s="16">
        <v>6.17</v>
      </c>
      <c r="E60" s="4">
        <v>8.1999999999999993</v>
      </c>
      <c r="F60" s="16">
        <v>8.8699999999999992</v>
      </c>
      <c r="G60" s="4">
        <v>6.17</v>
      </c>
      <c r="H60" s="16">
        <v>8.36</v>
      </c>
      <c r="I60" s="4">
        <v>7.92</v>
      </c>
      <c r="J60" s="16">
        <v>7.79</v>
      </c>
      <c r="K60" s="4">
        <v>7.58</v>
      </c>
    </row>
    <row r="61" spans="1:11" ht="15.75" customHeight="1" x14ac:dyDescent="0.3">
      <c r="A61" s="126"/>
      <c r="B61" s="19" t="s">
        <v>103</v>
      </c>
      <c r="C61" s="2">
        <v>10.59</v>
      </c>
      <c r="D61" s="19">
        <v>9.5</v>
      </c>
      <c r="E61" s="2">
        <v>12.51</v>
      </c>
      <c r="F61" s="19">
        <v>13.66</v>
      </c>
      <c r="G61" s="2">
        <v>9.5</v>
      </c>
      <c r="H61" s="19">
        <v>12.75</v>
      </c>
      <c r="I61" s="2">
        <v>12.19</v>
      </c>
      <c r="J61" s="19">
        <v>11.88</v>
      </c>
      <c r="K61" s="2">
        <v>11.66</v>
      </c>
    </row>
    <row r="62" spans="1:11" ht="15.75" customHeight="1" x14ac:dyDescent="0.3">
      <c r="A62" s="126"/>
      <c r="B62" s="75" t="s">
        <v>104</v>
      </c>
      <c r="C62" s="26">
        <f t="shared" ref="C62:K62" si="14">IF(OR(C60="",C61=""),"",C61/C60)</f>
        <v>1.5392441860465116</v>
      </c>
      <c r="D62" s="27">
        <f t="shared" si="14"/>
        <v>1.5397082658022692</v>
      </c>
      <c r="E62" s="26">
        <f t="shared" si="14"/>
        <v>1.525609756097561</v>
      </c>
      <c r="F62" s="27">
        <f t="shared" si="14"/>
        <v>1.5400225479143181</v>
      </c>
      <c r="G62" s="26">
        <f t="shared" si="14"/>
        <v>1.5397082658022692</v>
      </c>
      <c r="H62" s="27">
        <f t="shared" si="14"/>
        <v>1.5251196172248804</v>
      </c>
      <c r="I62" s="26">
        <f t="shared" si="14"/>
        <v>1.5391414141414141</v>
      </c>
      <c r="J62" s="27">
        <f t="shared" si="14"/>
        <v>1.5250320924261875</v>
      </c>
      <c r="K62" s="26">
        <f t="shared" si="14"/>
        <v>1.5382585751978892</v>
      </c>
    </row>
    <row r="63" spans="1:11" ht="15.75" customHeight="1" x14ac:dyDescent="0.3"/>
    <row r="64" spans="1:11" ht="15.75" customHeight="1" x14ac:dyDescent="0.3">
      <c r="A64" s="8" t="s">
        <v>137</v>
      </c>
    </row>
    <row r="65" spans="1:11" ht="15.75" customHeight="1" x14ac:dyDescent="0.3">
      <c r="B65" s="55" t="s">
        <v>100</v>
      </c>
      <c r="C65" s="4" t="s">
        <v>13</v>
      </c>
      <c r="D65" s="16" t="s">
        <v>14</v>
      </c>
      <c r="E65" s="4" t="s">
        <v>15</v>
      </c>
      <c r="F65" s="16" t="s">
        <v>17</v>
      </c>
      <c r="G65" s="4" t="s">
        <v>18</v>
      </c>
      <c r="H65" s="16" t="s">
        <v>16</v>
      </c>
      <c r="I65" s="4" t="s">
        <v>20</v>
      </c>
      <c r="J65" s="16" t="s">
        <v>21</v>
      </c>
      <c r="K65" s="4" t="s">
        <v>23</v>
      </c>
    </row>
    <row r="66" spans="1:11" ht="15.75" customHeight="1" x14ac:dyDescent="0.3">
      <c r="B66" s="56" t="s">
        <v>114</v>
      </c>
      <c r="C66" s="2">
        <v>2</v>
      </c>
      <c r="D66" s="19">
        <v>5</v>
      </c>
      <c r="E66" s="2">
        <v>6</v>
      </c>
      <c r="F66" s="19">
        <v>7.2</v>
      </c>
      <c r="G66" s="2">
        <v>10</v>
      </c>
      <c r="H66" s="19">
        <v>12</v>
      </c>
      <c r="I66" s="2">
        <v>14.4</v>
      </c>
      <c r="J66" s="19">
        <v>19.2</v>
      </c>
      <c r="K66" s="2">
        <v>19.2</v>
      </c>
    </row>
    <row r="67" spans="1:11" ht="15.75" customHeight="1" x14ac:dyDescent="0.3">
      <c r="B67" s="56" t="s">
        <v>101</v>
      </c>
      <c r="C67" s="2" t="s">
        <v>13</v>
      </c>
      <c r="D67" s="19" t="s">
        <v>14</v>
      </c>
      <c r="E67" s="2" t="s">
        <v>16</v>
      </c>
      <c r="F67" s="19" t="s">
        <v>17</v>
      </c>
      <c r="G67" s="2" t="s">
        <v>18</v>
      </c>
      <c r="H67" s="19" t="s">
        <v>19</v>
      </c>
      <c r="I67" s="2" t="s">
        <v>20</v>
      </c>
      <c r="J67" s="19" t="s">
        <v>22</v>
      </c>
      <c r="K67" s="2" t="s">
        <v>23</v>
      </c>
    </row>
    <row r="68" spans="1:11" ht="15.75" customHeight="1" x14ac:dyDescent="0.3">
      <c r="A68" s="7" t="s">
        <v>6</v>
      </c>
      <c r="B68" s="58"/>
      <c r="C68" s="59"/>
      <c r="D68" s="60"/>
      <c r="E68" s="59"/>
      <c r="F68" s="60"/>
      <c r="G68" s="59"/>
      <c r="H68" s="60"/>
      <c r="I68" s="59"/>
      <c r="J68" s="60"/>
      <c r="K68" s="59"/>
    </row>
    <row r="69" spans="1:11" ht="15.75" customHeight="1" x14ac:dyDescent="0.3">
      <c r="A69" s="126">
        <v>70</v>
      </c>
      <c r="B69" s="62" t="s">
        <v>102</v>
      </c>
      <c r="C69" s="4">
        <v>0.57999999999999996</v>
      </c>
      <c r="D69" s="16">
        <v>0.52</v>
      </c>
      <c r="E69" s="4">
        <v>0.69</v>
      </c>
      <c r="F69" s="16">
        <v>0.75</v>
      </c>
      <c r="G69" s="4">
        <v>0.52</v>
      </c>
      <c r="H69" s="16">
        <v>0.7</v>
      </c>
      <c r="I69" s="4">
        <v>0.67</v>
      </c>
      <c r="J69" s="16">
        <v>0.66</v>
      </c>
      <c r="K69" s="4">
        <v>0.64</v>
      </c>
    </row>
    <row r="70" spans="1:11" ht="15.75" customHeight="1" x14ac:dyDescent="0.3">
      <c r="A70" s="126"/>
      <c r="B70" s="63" t="s">
        <v>103</v>
      </c>
      <c r="C70" s="2">
        <v>1.01</v>
      </c>
      <c r="D70" s="19">
        <v>0.91</v>
      </c>
      <c r="E70" s="2">
        <v>1.19</v>
      </c>
      <c r="F70" s="19">
        <v>1.3</v>
      </c>
      <c r="G70" s="2">
        <v>0.91</v>
      </c>
      <c r="H70" s="19">
        <v>1.22</v>
      </c>
      <c r="I70" s="2">
        <v>1.1599999999999999</v>
      </c>
      <c r="J70" s="19">
        <v>1.1299999999999999</v>
      </c>
      <c r="K70" s="2">
        <v>1.1100000000000001</v>
      </c>
    </row>
    <row r="71" spans="1:11" ht="15.75" customHeight="1" x14ac:dyDescent="0.3">
      <c r="A71" s="126"/>
      <c r="B71" s="64" t="s">
        <v>104</v>
      </c>
      <c r="C71" s="26">
        <f t="shared" ref="C71:K71" si="15">IF(OR(C69="",C70=""),"",C70/C69)</f>
        <v>1.7413793103448276</v>
      </c>
      <c r="D71" s="27">
        <f t="shared" si="15"/>
        <v>1.75</v>
      </c>
      <c r="E71" s="26">
        <f t="shared" si="15"/>
        <v>1.7246376811594204</v>
      </c>
      <c r="F71" s="27">
        <f t="shared" si="15"/>
        <v>1.7333333333333334</v>
      </c>
      <c r="G71" s="26">
        <f t="shared" si="15"/>
        <v>1.75</v>
      </c>
      <c r="H71" s="27">
        <f t="shared" si="15"/>
        <v>1.7428571428571429</v>
      </c>
      <c r="I71" s="26">
        <f t="shared" si="15"/>
        <v>1.7313432835820892</v>
      </c>
      <c r="J71" s="27">
        <f t="shared" si="15"/>
        <v>1.7121212121212119</v>
      </c>
      <c r="K71" s="26">
        <f t="shared" si="15"/>
        <v>1.7343750000000002</v>
      </c>
    </row>
    <row r="72" spans="1:11" ht="15.75" customHeight="1" x14ac:dyDescent="0.3">
      <c r="A72" s="130">
        <v>80</v>
      </c>
      <c r="B72" s="5" t="s">
        <v>102</v>
      </c>
      <c r="C72" s="6">
        <v>1.03</v>
      </c>
      <c r="D72" s="29">
        <v>0.92</v>
      </c>
      <c r="E72" s="6">
        <v>1.22</v>
      </c>
      <c r="F72" s="29">
        <v>1.33</v>
      </c>
      <c r="G72" s="6">
        <v>0.92</v>
      </c>
      <c r="H72" s="29">
        <v>1.24</v>
      </c>
      <c r="I72" s="6">
        <v>1.18</v>
      </c>
      <c r="J72" s="29">
        <v>1.1599999999999999</v>
      </c>
      <c r="K72" s="6">
        <v>1.1299999999999999</v>
      </c>
    </row>
    <row r="73" spans="1:11" ht="15.75" customHeight="1" x14ac:dyDescent="0.3">
      <c r="A73" s="130"/>
      <c r="B73" s="63" t="s">
        <v>103</v>
      </c>
      <c r="C73" s="2">
        <v>1.66</v>
      </c>
      <c r="D73" s="19">
        <v>1.49</v>
      </c>
      <c r="E73" s="2">
        <v>1.96</v>
      </c>
      <c r="F73" s="19">
        <v>2.14</v>
      </c>
      <c r="G73" s="2">
        <v>1.49</v>
      </c>
      <c r="H73" s="19">
        <v>2</v>
      </c>
      <c r="I73" s="2">
        <v>1.91</v>
      </c>
      <c r="J73" s="19">
        <v>1.86</v>
      </c>
      <c r="K73" s="2">
        <v>1.83</v>
      </c>
    </row>
    <row r="74" spans="1:11" ht="15.75" customHeight="1" x14ac:dyDescent="0.3">
      <c r="A74" s="130"/>
      <c r="B74" s="65" t="s">
        <v>104</v>
      </c>
      <c r="C74" s="66">
        <f t="shared" ref="C74:K74" si="16">IF(OR(C72="",C73=""),"",C73/C72)</f>
        <v>1.6116504854368932</v>
      </c>
      <c r="D74" s="67">
        <f t="shared" si="16"/>
        <v>1.6195652173913042</v>
      </c>
      <c r="E74" s="66">
        <f t="shared" si="16"/>
        <v>1.6065573770491803</v>
      </c>
      <c r="F74" s="67">
        <f t="shared" si="16"/>
        <v>1.6090225563909775</v>
      </c>
      <c r="G74" s="66">
        <f t="shared" si="16"/>
        <v>1.6195652173913042</v>
      </c>
      <c r="H74" s="67">
        <f t="shared" si="16"/>
        <v>1.6129032258064517</v>
      </c>
      <c r="I74" s="66">
        <f t="shared" si="16"/>
        <v>1.6186440677966103</v>
      </c>
      <c r="J74" s="67">
        <f t="shared" si="16"/>
        <v>1.6034482758620692</v>
      </c>
      <c r="K74" s="66">
        <f t="shared" si="16"/>
        <v>1.6194690265486729</v>
      </c>
    </row>
    <row r="75" spans="1:11" ht="15.75" customHeight="1" x14ac:dyDescent="0.3">
      <c r="A75" s="126">
        <v>100</v>
      </c>
      <c r="B75" s="62" t="s">
        <v>102</v>
      </c>
      <c r="C75" s="4">
        <v>2.25</v>
      </c>
      <c r="D75" s="16">
        <v>2.02</v>
      </c>
      <c r="E75" s="4">
        <v>2.67</v>
      </c>
      <c r="F75" s="16">
        <v>2.9</v>
      </c>
      <c r="G75" s="4">
        <v>2.02</v>
      </c>
      <c r="H75" s="16">
        <v>2.72</v>
      </c>
      <c r="I75" s="4">
        <v>2.59</v>
      </c>
      <c r="J75" s="16">
        <v>2.54</v>
      </c>
      <c r="K75" s="4">
        <v>2.4700000000000002</v>
      </c>
    </row>
    <row r="76" spans="1:11" ht="15.75" customHeight="1" x14ac:dyDescent="0.3">
      <c r="A76" s="126"/>
      <c r="B76" s="63" t="s">
        <v>103</v>
      </c>
      <c r="C76" s="2">
        <v>3.35</v>
      </c>
      <c r="D76" s="19">
        <v>3.01</v>
      </c>
      <c r="E76" s="2">
        <v>3.95</v>
      </c>
      <c r="F76" s="19">
        <v>4.32</v>
      </c>
      <c r="G76" s="2">
        <v>3.01</v>
      </c>
      <c r="H76" s="19">
        <v>4.03</v>
      </c>
      <c r="I76" s="2">
        <v>3.86</v>
      </c>
      <c r="J76" s="19">
        <v>3.75</v>
      </c>
      <c r="K76" s="2">
        <v>3.69</v>
      </c>
    </row>
    <row r="77" spans="1:11" ht="15.75" customHeight="1" x14ac:dyDescent="0.3">
      <c r="A77" s="126"/>
      <c r="B77" s="64" t="s">
        <v>104</v>
      </c>
      <c r="C77" s="26">
        <f t="shared" ref="C77:K77" si="17">IF(OR(C75="",C76=""),"",C76/C75)</f>
        <v>1.4888888888888889</v>
      </c>
      <c r="D77" s="27">
        <f t="shared" si="17"/>
        <v>1.4900990099009901</v>
      </c>
      <c r="E77" s="26">
        <f t="shared" si="17"/>
        <v>1.4794007490636705</v>
      </c>
      <c r="F77" s="27">
        <f t="shared" si="17"/>
        <v>1.4896551724137932</v>
      </c>
      <c r="G77" s="26">
        <f t="shared" si="17"/>
        <v>1.4900990099009901</v>
      </c>
      <c r="H77" s="27">
        <f t="shared" si="17"/>
        <v>1.4816176470588236</v>
      </c>
      <c r="I77" s="26">
        <f t="shared" si="17"/>
        <v>1.4903474903474905</v>
      </c>
      <c r="J77" s="27">
        <f t="shared" si="17"/>
        <v>1.4763779527559056</v>
      </c>
      <c r="K77" s="26">
        <f t="shared" si="17"/>
        <v>1.4939271255060727</v>
      </c>
    </row>
    <row r="78" spans="1:11" ht="15.75" customHeight="1" x14ac:dyDescent="0.3">
      <c r="A78" s="130">
        <v>120</v>
      </c>
      <c r="B78" s="5" t="s">
        <v>102</v>
      </c>
      <c r="C78" s="6">
        <v>4.09</v>
      </c>
      <c r="D78" s="29">
        <v>3.67</v>
      </c>
      <c r="E78" s="6">
        <v>4.87</v>
      </c>
      <c r="F78" s="29">
        <v>5.28</v>
      </c>
      <c r="G78" s="6">
        <v>3.67</v>
      </c>
      <c r="H78" s="29">
        <v>4.96</v>
      </c>
      <c r="I78" s="6">
        <v>4.71</v>
      </c>
      <c r="J78" s="29">
        <v>4.62</v>
      </c>
      <c r="K78" s="6">
        <v>4.51</v>
      </c>
    </row>
    <row r="79" spans="1:11" ht="15.75" customHeight="1" x14ac:dyDescent="0.3">
      <c r="A79" s="130"/>
      <c r="B79" s="63" t="s">
        <v>103</v>
      </c>
      <c r="C79" s="2">
        <v>5.86</v>
      </c>
      <c r="D79" s="19">
        <v>5.26</v>
      </c>
      <c r="E79" s="2">
        <v>6.89</v>
      </c>
      <c r="F79" s="19">
        <v>7.56</v>
      </c>
      <c r="G79" s="2">
        <v>5.26</v>
      </c>
      <c r="H79" s="19">
        <v>7.02</v>
      </c>
      <c r="I79" s="2">
        <v>6.75</v>
      </c>
      <c r="J79" s="19">
        <v>6.54</v>
      </c>
      <c r="K79" s="2">
        <v>6.46</v>
      </c>
    </row>
    <row r="80" spans="1:11" ht="15.75" customHeight="1" x14ac:dyDescent="0.3">
      <c r="A80" s="130"/>
      <c r="B80" s="65" t="s">
        <v>104</v>
      </c>
      <c r="C80" s="66">
        <f t="shared" ref="C80:K80" si="18">IF(OR(C78="",C79=""),"",C79/C78)</f>
        <v>1.4327628361858191</v>
      </c>
      <c r="D80" s="67">
        <f t="shared" si="18"/>
        <v>1.4332425068119892</v>
      </c>
      <c r="E80" s="66">
        <f t="shared" si="18"/>
        <v>1.4147843942505132</v>
      </c>
      <c r="F80" s="67">
        <f t="shared" si="18"/>
        <v>1.4318181818181817</v>
      </c>
      <c r="G80" s="66">
        <f t="shared" si="18"/>
        <v>1.4332425068119892</v>
      </c>
      <c r="H80" s="67">
        <f t="shared" si="18"/>
        <v>1.4153225806451613</v>
      </c>
      <c r="I80" s="66">
        <f t="shared" si="18"/>
        <v>1.4331210191082802</v>
      </c>
      <c r="J80" s="67">
        <f t="shared" si="18"/>
        <v>1.4155844155844155</v>
      </c>
      <c r="K80" s="66">
        <f t="shared" si="18"/>
        <v>1.4323725055432373</v>
      </c>
    </row>
    <row r="81" spans="1:11" ht="15.75" customHeight="1" x14ac:dyDescent="0.3">
      <c r="A81" s="126">
        <v>140</v>
      </c>
      <c r="B81" s="62" t="s">
        <v>102</v>
      </c>
      <c r="C81" s="4">
        <v>6.16</v>
      </c>
      <c r="D81" s="16">
        <v>5.52</v>
      </c>
      <c r="E81" s="4">
        <v>7.29</v>
      </c>
      <c r="F81" s="16">
        <v>7.94</v>
      </c>
      <c r="G81" s="4">
        <v>5.52</v>
      </c>
      <c r="H81" s="16">
        <v>7.43</v>
      </c>
      <c r="I81" s="4">
        <v>7.09</v>
      </c>
      <c r="J81" s="16">
        <v>6.92</v>
      </c>
      <c r="K81" s="4">
        <v>6.78</v>
      </c>
    </row>
    <row r="82" spans="1:11" ht="15.75" customHeight="1" x14ac:dyDescent="0.3">
      <c r="A82" s="126"/>
      <c r="B82" s="63" t="s">
        <v>103</v>
      </c>
      <c r="C82" s="2">
        <v>8.6</v>
      </c>
      <c r="D82" s="19">
        <v>7.71</v>
      </c>
      <c r="E82" s="2">
        <v>10.119999999999999</v>
      </c>
      <c r="F82" s="19">
        <v>11.09</v>
      </c>
      <c r="G82" s="2">
        <v>7.71</v>
      </c>
      <c r="H82" s="19">
        <v>10.32</v>
      </c>
      <c r="I82" s="2">
        <v>9.89</v>
      </c>
      <c r="J82" s="19">
        <v>9.61</v>
      </c>
      <c r="K82" s="2">
        <v>9.4700000000000006</v>
      </c>
    </row>
    <row r="83" spans="1:11" ht="15.75" customHeight="1" x14ac:dyDescent="0.3">
      <c r="A83" s="126"/>
      <c r="B83" s="64" t="s">
        <v>104</v>
      </c>
      <c r="C83" s="26">
        <f t="shared" ref="C83:K83" si="19">IF(OR(C81="",C82=""),"",C82/C81)</f>
        <v>1.3961038961038961</v>
      </c>
      <c r="D83" s="27">
        <f t="shared" si="19"/>
        <v>1.3967391304347827</v>
      </c>
      <c r="E83" s="26">
        <f t="shared" si="19"/>
        <v>1.3882030178326474</v>
      </c>
      <c r="F83" s="27">
        <f t="shared" si="19"/>
        <v>1.3967254408060452</v>
      </c>
      <c r="G83" s="26">
        <f t="shared" si="19"/>
        <v>1.3967391304347827</v>
      </c>
      <c r="H83" s="27">
        <f t="shared" si="19"/>
        <v>1.3889636608344551</v>
      </c>
      <c r="I83" s="26">
        <f t="shared" si="19"/>
        <v>1.3949224259520452</v>
      </c>
      <c r="J83" s="27">
        <f t="shared" si="19"/>
        <v>1.3887283236994219</v>
      </c>
      <c r="K83" s="26">
        <f t="shared" si="19"/>
        <v>1.3967551622418879</v>
      </c>
    </row>
  </sheetData>
  <mergeCells count="20">
    <mergeCell ref="A69:A71"/>
    <mergeCell ref="A72:A74"/>
    <mergeCell ref="A75:A77"/>
    <mergeCell ref="A78:A80"/>
    <mergeCell ref="A81:A83"/>
    <mergeCell ref="A48:A50"/>
    <mergeCell ref="A51:A53"/>
    <mergeCell ref="A54:A56"/>
    <mergeCell ref="A57:A59"/>
    <mergeCell ref="A60:A62"/>
    <mergeCell ref="A27:A29"/>
    <mergeCell ref="A30:A32"/>
    <mergeCell ref="A33:A35"/>
    <mergeCell ref="A36:A38"/>
    <mergeCell ref="A39:A41"/>
    <mergeCell ref="A6:A8"/>
    <mergeCell ref="A9:A11"/>
    <mergeCell ref="A12:A14"/>
    <mergeCell ref="A15:A17"/>
    <mergeCell ref="A18:A20"/>
  </mergeCells>
  <pageMargins left="0.7" right="0.7" top="0.75" bottom="0.75" header="0.511811023622047" footer="0.511811023622047"/>
  <pageSetup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62"/>
  <sheetViews>
    <sheetView zoomScaleNormal="100" workbookViewId="0">
      <selection activeCellId="1" sqref="D93:D181 A1"/>
    </sheetView>
  </sheetViews>
  <sheetFormatPr defaultColWidth="11.19921875" defaultRowHeight="15" customHeight="1" x14ac:dyDescent="0.3"/>
  <cols>
    <col min="1" max="17" width="8.59765625" customWidth="1"/>
  </cols>
  <sheetData>
    <row r="1" spans="1:17" ht="15.75" customHeight="1" thickBot="1" x14ac:dyDescent="0.35">
      <c r="A1" s="8" t="s">
        <v>117</v>
      </c>
    </row>
    <row r="2" spans="1:17" ht="15.75" customHeight="1" thickTop="1" x14ac:dyDescent="0.3">
      <c r="B2" s="15" t="s">
        <v>100</v>
      </c>
      <c r="C2" s="133" t="s">
        <v>26</v>
      </c>
      <c r="D2" s="133"/>
      <c r="E2" s="134" t="s">
        <v>14</v>
      </c>
      <c r="F2" s="134"/>
      <c r="G2" s="133" t="s">
        <v>138</v>
      </c>
      <c r="H2" s="133"/>
      <c r="I2" s="133" t="s">
        <v>27</v>
      </c>
      <c r="J2" s="133"/>
      <c r="K2" s="133"/>
      <c r="L2" s="133"/>
      <c r="M2" s="133" t="s">
        <v>22</v>
      </c>
      <c r="N2" s="133"/>
      <c r="O2" s="133"/>
      <c r="P2" s="133"/>
      <c r="Q2" s="133"/>
    </row>
    <row r="3" spans="1:17" ht="15.75" customHeight="1" x14ac:dyDescent="0.3">
      <c r="B3" s="18" t="s">
        <v>114</v>
      </c>
      <c r="C3" s="135">
        <v>3.6</v>
      </c>
      <c r="D3" s="135"/>
      <c r="E3" s="136">
        <v>5</v>
      </c>
      <c r="F3" s="136"/>
      <c r="G3" s="135">
        <v>10</v>
      </c>
      <c r="H3" s="135"/>
      <c r="I3" s="135">
        <v>15</v>
      </c>
      <c r="J3" s="135"/>
      <c r="K3" s="135"/>
      <c r="L3" s="135"/>
      <c r="M3" s="136">
        <f>64*0.6</f>
        <v>38.4</v>
      </c>
      <c r="N3" s="136"/>
      <c r="O3" s="136"/>
      <c r="P3" s="136"/>
      <c r="Q3" s="136"/>
    </row>
    <row r="4" spans="1:17" ht="15.75" customHeight="1" x14ac:dyDescent="0.3">
      <c r="B4" s="18" t="s">
        <v>101</v>
      </c>
      <c r="C4" s="135" t="s">
        <v>26</v>
      </c>
      <c r="D4" s="135"/>
      <c r="E4" s="136" t="s">
        <v>14</v>
      </c>
      <c r="F4" s="136"/>
      <c r="G4" s="135" t="s">
        <v>138</v>
      </c>
      <c r="H4" s="135"/>
      <c r="I4" s="135" t="s">
        <v>27</v>
      </c>
      <c r="J4" s="135"/>
      <c r="K4" s="135"/>
      <c r="L4" s="135"/>
      <c r="M4" s="135" t="s">
        <v>22</v>
      </c>
      <c r="N4" s="135"/>
      <c r="O4" s="135"/>
      <c r="P4" s="135"/>
      <c r="Q4" s="135"/>
    </row>
    <row r="5" spans="1:17" ht="15.75" customHeight="1" thickBot="1" x14ac:dyDescent="0.35">
      <c r="A5" s="13"/>
      <c r="B5" s="33" t="s">
        <v>115</v>
      </c>
      <c r="C5" s="77" t="s">
        <v>139</v>
      </c>
      <c r="D5" s="78" t="s">
        <v>140</v>
      </c>
      <c r="E5" s="77" t="s">
        <v>95</v>
      </c>
      <c r="F5" s="78" t="s">
        <v>96</v>
      </c>
      <c r="G5" s="77" t="s">
        <v>95</v>
      </c>
      <c r="H5" s="78" t="s">
        <v>96</v>
      </c>
      <c r="I5" s="77" t="s">
        <v>95</v>
      </c>
      <c r="J5" s="79" t="s">
        <v>139</v>
      </c>
      <c r="K5" s="79" t="s">
        <v>96</v>
      </c>
      <c r="L5" s="78" t="s">
        <v>140</v>
      </c>
      <c r="M5" s="77" t="s">
        <v>95</v>
      </c>
      <c r="N5" s="79" t="s">
        <v>139</v>
      </c>
      <c r="O5" s="79" t="s">
        <v>96</v>
      </c>
      <c r="P5" s="79" t="s">
        <v>140</v>
      </c>
      <c r="Q5" s="78" t="s">
        <v>141</v>
      </c>
    </row>
    <row r="6" spans="1:17" ht="15.75" customHeight="1" thickTop="1" thickBot="1" x14ac:dyDescent="0.35">
      <c r="A6" s="80" t="s">
        <v>6</v>
      </c>
      <c r="B6" s="81"/>
      <c r="C6" s="82"/>
      <c r="D6" s="83"/>
      <c r="E6" s="82"/>
      <c r="F6" s="83"/>
      <c r="G6" s="82"/>
      <c r="H6" s="83"/>
      <c r="I6" s="82"/>
      <c r="J6" s="84"/>
      <c r="K6" s="84"/>
      <c r="L6" s="83"/>
      <c r="M6" s="82"/>
      <c r="N6" s="84"/>
      <c r="O6" s="84"/>
      <c r="P6" s="84"/>
      <c r="Q6" s="83"/>
    </row>
    <row r="7" spans="1:17" ht="15.75" customHeight="1" thickTop="1" thickBot="1" x14ac:dyDescent="0.35">
      <c r="A7" s="137">
        <v>70</v>
      </c>
      <c r="B7" s="85" t="s">
        <v>102</v>
      </c>
      <c r="C7" s="86"/>
      <c r="D7" s="85"/>
      <c r="E7" s="87">
        <v>3.7</v>
      </c>
      <c r="F7" s="88">
        <v>3.3</v>
      </c>
      <c r="G7" s="87">
        <v>3.7</v>
      </c>
      <c r="H7" s="88">
        <v>3.3</v>
      </c>
      <c r="I7" s="87">
        <v>3.7</v>
      </c>
      <c r="J7" s="89"/>
      <c r="K7" s="90">
        <v>3.3</v>
      </c>
      <c r="L7" s="85"/>
      <c r="M7" s="87">
        <v>3.8</v>
      </c>
      <c r="N7" s="89"/>
      <c r="O7" s="90">
        <v>3.4</v>
      </c>
      <c r="P7" s="89"/>
      <c r="Q7" s="85"/>
    </row>
    <row r="8" spans="1:17" ht="15.75" customHeight="1" thickTop="1" thickBot="1" x14ac:dyDescent="0.35">
      <c r="A8" s="137"/>
      <c r="B8" s="91" t="s">
        <v>103</v>
      </c>
      <c r="C8" s="92"/>
      <c r="D8" s="91"/>
      <c r="E8" s="93">
        <v>4</v>
      </c>
      <c r="F8" s="94">
        <v>3.3</v>
      </c>
      <c r="G8" s="93">
        <v>3.9</v>
      </c>
      <c r="H8" s="94">
        <v>3.3</v>
      </c>
      <c r="I8" s="93">
        <v>4</v>
      </c>
      <c r="J8" s="95"/>
      <c r="K8" s="96">
        <v>3.3</v>
      </c>
      <c r="L8" s="91"/>
      <c r="M8" s="93">
        <v>4.0999999999999996</v>
      </c>
      <c r="N8" s="95"/>
      <c r="O8" s="96">
        <v>3.4</v>
      </c>
      <c r="P8" s="95"/>
      <c r="Q8" s="91"/>
    </row>
    <row r="9" spans="1:17" ht="15.75" customHeight="1" thickTop="1" thickBot="1" x14ac:dyDescent="0.35">
      <c r="A9" s="137"/>
      <c r="B9" s="97" t="s">
        <v>104</v>
      </c>
      <c r="C9" s="98" t="str">
        <f t="shared" ref="C9:Q9" si="0">IF(OR(C7="",C8=""),"",C8/C7)</f>
        <v/>
      </c>
      <c r="D9" s="99" t="str">
        <f t="shared" si="0"/>
        <v/>
      </c>
      <c r="E9" s="98">
        <f t="shared" si="0"/>
        <v>1.0810810810810809</v>
      </c>
      <c r="F9" s="99">
        <f t="shared" si="0"/>
        <v>1</v>
      </c>
      <c r="G9" s="98">
        <f t="shared" si="0"/>
        <v>1.0540540540540539</v>
      </c>
      <c r="H9" s="99">
        <f t="shared" si="0"/>
        <v>1</v>
      </c>
      <c r="I9" s="98">
        <f t="shared" si="0"/>
        <v>1.0810810810810809</v>
      </c>
      <c r="J9" s="100" t="str">
        <f t="shared" si="0"/>
        <v/>
      </c>
      <c r="K9" s="100">
        <f t="shared" si="0"/>
        <v>1</v>
      </c>
      <c r="L9" s="99" t="str">
        <f t="shared" si="0"/>
        <v/>
      </c>
      <c r="M9" s="98">
        <f t="shared" si="0"/>
        <v>1.0789473684210527</v>
      </c>
      <c r="N9" s="100" t="str">
        <f t="shared" si="0"/>
        <v/>
      </c>
      <c r="O9" s="100">
        <f t="shared" si="0"/>
        <v>1</v>
      </c>
      <c r="P9" s="100" t="str">
        <f t="shared" si="0"/>
        <v/>
      </c>
      <c r="Q9" s="99" t="str">
        <f t="shared" si="0"/>
        <v/>
      </c>
    </row>
    <row r="10" spans="1:17" ht="15.75" customHeight="1" thickTop="1" thickBot="1" x14ac:dyDescent="0.35">
      <c r="A10" s="138">
        <v>80</v>
      </c>
      <c r="B10" s="101" t="s">
        <v>102</v>
      </c>
      <c r="C10" s="102"/>
      <c r="D10" s="101"/>
      <c r="E10" s="103">
        <v>5.7</v>
      </c>
      <c r="F10" s="104">
        <v>5.0999999999999996</v>
      </c>
      <c r="G10" s="103">
        <v>5.7</v>
      </c>
      <c r="H10" s="104">
        <v>5.0999999999999996</v>
      </c>
      <c r="I10" s="103">
        <v>5.7</v>
      </c>
      <c r="J10" s="105"/>
      <c r="K10" s="106">
        <v>5.0999999999999996</v>
      </c>
      <c r="L10" s="101"/>
      <c r="M10" s="103">
        <v>5.9</v>
      </c>
      <c r="N10" s="105"/>
      <c r="O10" s="106">
        <v>5.3</v>
      </c>
      <c r="P10" s="105"/>
      <c r="Q10" s="101"/>
    </row>
    <row r="11" spans="1:17" ht="15.75" customHeight="1" thickTop="1" thickBot="1" x14ac:dyDescent="0.35">
      <c r="A11" s="138"/>
      <c r="B11" s="91" t="s">
        <v>103</v>
      </c>
      <c r="C11" s="92"/>
      <c r="D11" s="91"/>
      <c r="E11" s="93">
        <v>6</v>
      </c>
      <c r="F11" s="94">
        <v>5.0999999999999996</v>
      </c>
      <c r="G11" s="93">
        <v>6</v>
      </c>
      <c r="H11" s="94">
        <v>5.0999999999999996</v>
      </c>
      <c r="I11" s="93">
        <v>6</v>
      </c>
      <c r="J11" s="95"/>
      <c r="K11" s="96">
        <v>5.0999999999999996</v>
      </c>
      <c r="L11" s="91"/>
      <c r="M11" s="93">
        <v>6.2</v>
      </c>
      <c r="N11" s="95"/>
      <c r="O11" s="96">
        <v>5.3</v>
      </c>
      <c r="P11" s="95"/>
      <c r="Q11" s="91"/>
    </row>
    <row r="12" spans="1:17" ht="15.75" customHeight="1" thickTop="1" thickBot="1" x14ac:dyDescent="0.35">
      <c r="A12" s="138"/>
      <c r="B12" s="97" t="s">
        <v>104</v>
      </c>
      <c r="C12" s="98" t="str">
        <f t="shared" ref="C12:Q12" si="1">IF(OR(C10="",C11=""),"",C11/C10)</f>
        <v/>
      </c>
      <c r="D12" s="99" t="str">
        <f t="shared" si="1"/>
        <v/>
      </c>
      <c r="E12" s="98">
        <f t="shared" si="1"/>
        <v>1.0526315789473684</v>
      </c>
      <c r="F12" s="99">
        <f t="shared" si="1"/>
        <v>1</v>
      </c>
      <c r="G12" s="98">
        <f t="shared" si="1"/>
        <v>1.0526315789473684</v>
      </c>
      <c r="H12" s="99">
        <f t="shared" si="1"/>
        <v>1</v>
      </c>
      <c r="I12" s="98">
        <f t="shared" si="1"/>
        <v>1.0526315789473684</v>
      </c>
      <c r="J12" s="100" t="str">
        <f t="shared" si="1"/>
        <v/>
      </c>
      <c r="K12" s="100">
        <f t="shared" si="1"/>
        <v>1</v>
      </c>
      <c r="L12" s="99" t="str">
        <f t="shared" si="1"/>
        <v/>
      </c>
      <c r="M12" s="98">
        <f t="shared" si="1"/>
        <v>1.0508474576271185</v>
      </c>
      <c r="N12" s="100" t="str">
        <f t="shared" si="1"/>
        <v/>
      </c>
      <c r="O12" s="100">
        <f t="shared" si="1"/>
        <v>1</v>
      </c>
      <c r="P12" s="100" t="str">
        <f t="shared" si="1"/>
        <v/>
      </c>
      <c r="Q12" s="99" t="str">
        <f t="shared" si="1"/>
        <v/>
      </c>
    </row>
    <row r="13" spans="1:17" ht="15.75" customHeight="1" thickTop="1" thickBot="1" x14ac:dyDescent="0.35">
      <c r="A13" s="139">
        <v>90</v>
      </c>
      <c r="B13" s="101" t="s">
        <v>102</v>
      </c>
      <c r="C13" s="102"/>
      <c r="D13" s="101"/>
      <c r="E13" s="103">
        <v>8.1999999999999993</v>
      </c>
      <c r="F13" s="104">
        <v>7.4</v>
      </c>
      <c r="G13" s="103">
        <v>8.1</v>
      </c>
      <c r="H13" s="104">
        <v>7.4</v>
      </c>
      <c r="I13" s="103">
        <v>8.1999999999999993</v>
      </c>
      <c r="J13" s="105"/>
      <c r="K13" s="106">
        <v>7.4</v>
      </c>
      <c r="L13" s="101"/>
      <c r="M13" s="103">
        <v>8.4</v>
      </c>
      <c r="N13" s="105"/>
      <c r="O13" s="106">
        <v>7.7</v>
      </c>
      <c r="P13" s="105"/>
      <c r="Q13" s="101"/>
    </row>
    <row r="14" spans="1:17" ht="15.75" customHeight="1" thickTop="1" thickBot="1" x14ac:dyDescent="0.35">
      <c r="A14" s="139"/>
      <c r="B14" s="91" t="s">
        <v>103</v>
      </c>
      <c r="C14" s="92"/>
      <c r="D14" s="91"/>
      <c r="E14" s="93">
        <v>8.5</v>
      </c>
      <c r="F14" s="94">
        <v>7.3</v>
      </c>
      <c r="G14" s="93">
        <v>8.4</v>
      </c>
      <c r="H14" s="94">
        <v>7.2</v>
      </c>
      <c r="I14" s="93">
        <v>8.5</v>
      </c>
      <c r="J14" s="95"/>
      <c r="K14" s="96">
        <v>7.3</v>
      </c>
      <c r="L14" s="91"/>
      <c r="M14" s="93">
        <v>8.8000000000000007</v>
      </c>
      <c r="N14" s="95"/>
      <c r="O14" s="96">
        <v>7.6</v>
      </c>
      <c r="P14" s="95"/>
      <c r="Q14" s="91"/>
    </row>
    <row r="15" spans="1:17" ht="15.75" customHeight="1" thickTop="1" thickBot="1" x14ac:dyDescent="0.35">
      <c r="A15" s="139"/>
      <c r="B15" s="97" t="s">
        <v>104</v>
      </c>
      <c r="C15" s="98" t="str">
        <f t="shared" ref="C15:Q15" si="2">IF(OR(C13="",C14=""),"",C14/C13)</f>
        <v/>
      </c>
      <c r="D15" s="99" t="str">
        <f t="shared" si="2"/>
        <v/>
      </c>
      <c r="E15" s="98">
        <f t="shared" si="2"/>
        <v>1.0365853658536586</v>
      </c>
      <c r="F15" s="99">
        <f t="shared" si="2"/>
        <v>0.9864864864864864</v>
      </c>
      <c r="G15" s="98">
        <f t="shared" si="2"/>
        <v>1.0370370370370372</v>
      </c>
      <c r="H15" s="99">
        <f t="shared" si="2"/>
        <v>0.97297297297297292</v>
      </c>
      <c r="I15" s="98">
        <f t="shared" si="2"/>
        <v>1.0365853658536586</v>
      </c>
      <c r="J15" s="100" t="str">
        <f t="shared" si="2"/>
        <v/>
      </c>
      <c r="K15" s="100">
        <f t="shared" si="2"/>
        <v>0.9864864864864864</v>
      </c>
      <c r="L15" s="99" t="str">
        <f t="shared" si="2"/>
        <v/>
      </c>
      <c r="M15" s="98">
        <f t="shared" si="2"/>
        <v>1.0476190476190477</v>
      </c>
      <c r="N15" s="100" t="str">
        <f t="shared" si="2"/>
        <v/>
      </c>
      <c r="O15" s="100">
        <f t="shared" si="2"/>
        <v>0.9870129870129869</v>
      </c>
      <c r="P15" s="100" t="str">
        <f t="shared" si="2"/>
        <v/>
      </c>
      <c r="Q15" s="99" t="str">
        <f t="shared" si="2"/>
        <v/>
      </c>
    </row>
    <row r="16" spans="1:17" ht="15.75" customHeight="1" thickTop="1" thickBot="1" x14ac:dyDescent="0.35">
      <c r="A16" s="139">
        <v>100</v>
      </c>
      <c r="B16" s="101" t="s">
        <v>102</v>
      </c>
      <c r="C16" s="103">
        <v>1.3</v>
      </c>
      <c r="D16" s="104">
        <v>1.2</v>
      </c>
      <c r="E16" s="103">
        <v>11.1</v>
      </c>
      <c r="F16" s="104">
        <v>10.1</v>
      </c>
      <c r="G16" s="103">
        <v>11</v>
      </c>
      <c r="H16" s="104">
        <v>10.1</v>
      </c>
      <c r="I16" s="103">
        <v>11</v>
      </c>
      <c r="J16" s="106">
        <v>0.9</v>
      </c>
      <c r="K16" s="106">
        <v>10.1</v>
      </c>
      <c r="L16" s="104">
        <v>0.9</v>
      </c>
      <c r="M16" s="103">
        <v>11.4</v>
      </c>
      <c r="N16" s="106">
        <v>0.9</v>
      </c>
      <c r="O16" s="106">
        <v>10.4</v>
      </c>
      <c r="P16" s="106">
        <v>0.9</v>
      </c>
      <c r="Q16" s="101"/>
    </row>
    <row r="17" spans="1:17" ht="15.75" customHeight="1" thickTop="1" thickBot="1" x14ac:dyDescent="0.35">
      <c r="A17" s="139"/>
      <c r="B17" s="91" t="s">
        <v>103</v>
      </c>
      <c r="C17" s="93">
        <v>1.3</v>
      </c>
      <c r="D17" s="94">
        <v>1.2</v>
      </c>
      <c r="E17" s="93">
        <v>11.5</v>
      </c>
      <c r="F17" s="94">
        <v>9.9</v>
      </c>
      <c r="G17" s="93">
        <v>11.3</v>
      </c>
      <c r="H17" s="94">
        <v>9.8000000000000007</v>
      </c>
      <c r="I17" s="93">
        <v>11.4</v>
      </c>
      <c r="J17" s="96">
        <v>0.9</v>
      </c>
      <c r="K17" s="96">
        <v>9.9</v>
      </c>
      <c r="L17" s="94">
        <v>0.8</v>
      </c>
      <c r="M17" s="93">
        <v>11.8</v>
      </c>
      <c r="N17" s="96">
        <v>0.9</v>
      </c>
      <c r="O17" s="96">
        <v>10.3</v>
      </c>
      <c r="P17" s="96">
        <v>0.9</v>
      </c>
      <c r="Q17" s="91"/>
    </row>
    <row r="18" spans="1:17" ht="15.75" customHeight="1" thickTop="1" thickBot="1" x14ac:dyDescent="0.35">
      <c r="A18" s="139"/>
      <c r="B18" s="97" t="s">
        <v>104</v>
      </c>
      <c r="C18" s="98">
        <f t="shared" ref="C18:Q18" si="3">IF(OR(C16="",C17=""),"",C17/C16)</f>
        <v>1</v>
      </c>
      <c r="D18" s="99">
        <f t="shared" si="3"/>
        <v>1</v>
      </c>
      <c r="E18" s="98">
        <f t="shared" si="3"/>
        <v>1.0360360360360361</v>
      </c>
      <c r="F18" s="99">
        <f t="shared" si="3"/>
        <v>0.98019801980198029</v>
      </c>
      <c r="G18" s="98">
        <f t="shared" si="3"/>
        <v>1.0272727272727273</v>
      </c>
      <c r="H18" s="99">
        <f t="shared" si="3"/>
        <v>0.97029702970297038</v>
      </c>
      <c r="I18" s="98">
        <f t="shared" si="3"/>
        <v>1.0363636363636364</v>
      </c>
      <c r="J18" s="100">
        <f t="shared" si="3"/>
        <v>1</v>
      </c>
      <c r="K18" s="100">
        <f t="shared" si="3"/>
        <v>0.98019801980198029</v>
      </c>
      <c r="L18" s="99">
        <f t="shared" si="3"/>
        <v>0.88888888888888895</v>
      </c>
      <c r="M18" s="98">
        <f t="shared" si="3"/>
        <v>1.0350877192982457</v>
      </c>
      <c r="N18" s="100">
        <f t="shared" si="3"/>
        <v>1</v>
      </c>
      <c r="O18" s="100">
        <f t="shared" si="3"/>
        <v>0.99038461538461542</v>
      </c>
      <c r="P18" s="100">
        <f t="shared" si="3"/>
        <v>1</v>
      </c>
      <c r="Q18" s="99" t="str">
        <f t="shared" si="3"/>
        <v/>
      </c>
    </row>
    <row r="19" spans="1:17" ht="15.75" customHeight="1" thickTop="1" thickBot="1" x14ac:dyDescent="0.35">
      <c r="A19" s="139">
        <v>110</v>
      </c>
      <c r="B19" s="101" t="s">
        <v>102</v>
      </c>
      <c r="C19" s="102"/>
      <c r="D19" s="101"/>
      <c r="E19" s="103">
        <v>14.2</v>
      </c>
      <c r="F19" s="104">
        <v>13.1</v>
      </c>
      <c r="G19" s="103">
        <v>14.1</v>
      </c>
      <c r="H19" s="104">
        <v>13</v>
      </c>
      <c r="I19" s="103">
        <v>14.2</v>
      </c>
      <c r="J19" s="106">
        <v>1.5</v>
      </c>
      <c r="K19" s="106">
        <v>13</v>
      </c>
      <c r="L19" s="104">
        <v>1.4</v>
      </c>
      <c r="M19" s="103">
        <v>14.6</v>
      </c>
      <c r="N19" s="106">
        <v>1.6</v>
      </c>
      <c r="O19" s="106">
        <v>13.5</v>
      </c>
      <c r="P19" s="106">
        <v>1.5</v>
      </c>
      <c r="Q19" s="101"/>
    </row>
    <row r="20" spans="1:17" ht="15.75" customHeight="1" thickTop="1" thickBot="1" x14ac:dyDescent="0.35">
      <c r="A20" s="139"/>
      <c r="B20" s="91" t="s">
        <v>103</v>
      </c>
      <c r="C20" s="92"/>
      <c r="D20" s="91"/>
      <c r="E20" s="93">
        <v>14.7</v>
      </c>
      <c r="F20" s="94">
        <v>12.8</v>
      </c>
      <c r="G20" s="93">
        <v>14.5</v>
      </c>
      <c r="H20" s="94">
        <v>12.7</v>
      </c>
      <c r="I20" s="93">
        <v>14.6</v>
      </c>
      <c r="J20" s="96">
        <v>1.5</v>
      </c>
      <c r="K20" s="96">
        <v>12.8</v>
      </c>
      <c r="L20" s="94">
        <v>1.4</v>
      </c>
      <c r="M20" s="93">
        <v>15.1</v>
      </c>
      <c r="N20" s="96">
        <v>1.6</v>
      </c>
      <c r="O20" s="96">
        <v>13.2</v>
      </c>
      <c r="P20" s="96">
        <v>1.5</v>
      </c>
      <c r="Q20" s="91"/>
    </row>
    <row r="21" spans="1:17" ht="15.75" customHeight="1" thickTop="1" thickBot="1" x14ac:dyDescent="0.35">
      <c r="A21" s="139"/>
      <c r="B21" s="97" t="s">
        <v>104</v>
      </c>
      <c r="C21" s="98" t="str">
        <f t="shared" ref="C21:Q21" si="4">IF(OR(C19="",C20=""),"",C20/C19)</f>
        <v/>
      </c>
      <c r="D21" s="99" t="str">
        <f t="shared" si="4"/>
        <v/>
      </c>
      <c r="E21" s="98">
        <f t="shared" si="4"/>
        <v>1.0352112676056338</v>
      </c>
      <c r="F21" s="99">
        <f t="shared" si="4"/>
        <v>0.97709923664122145</v>
      </c>
      <c r="G21" s="98">
        <f t="shared" si="4"/>
        <v>1.0283687943262412</v>
      </c>
      <c r="H21" s="99">
        <f t="shared" si="4"/>
        <v>0.97692307692307689</v>
      </c>
      <c r="I21" s="98">
        <f t="shared" si="4"/>
        <v>1.028169014084507</v>
      </c>
      <c r="J21" s="100">
        <f t="shared" si="4"/>
        <v>1</v>
      </c>
      <c r="K21" s="100">
        <f t="shared" si="4"/>
        <v>0.98461538461538467</v>
      </c>
      <c r="L21" s="99">
        <f t="shared" si="4"/>
        <v>1</v>
      </c>
      <c r="M21" s="98">
        <f t="shared" si="4"/>
        <v>1.0342465753424657</v>
      </c>
      <c r="N21" s="100">
        <f t="shared" si="4"/>
        <v>1</v>
      </c>
      <c r="O21" s="100">
        <f t="shared" si="4"/>
        <v>0.97777777777777775</v>
      </c>
      <c r="P21" s="100">
        <f t="shared" si="4"/>
        <v>1</v>
      </c>
      <c r="Q21" s="99" t="str">
        <f t="shared" si="4"/>
        <v/>
      </c>
    </row>
    <row r="22" spans="1:17" ht="15.75" customHeight="1" thickTop="1" thickBot="1" x14ac:dyDescent="0.35">
      <c r="A22" s="140">
        <v>120</v>
      </c>
      <c r="B22" s="101" t="s">
        <v>102</v>
      </c>
      <c r="C22" s="107"/>
      <c r="D22" s="108"/>
      <c r="E22" s="107">
        <v>17.8</v>
      </c>
      <c r="F22" s="108">
        <v>16.3</v>
      </c>
      <c r="G22" s="107">
        <v>17.600000000000001</v>
      </c>
      <c r="H22" s="108">
        <v>16.2</v>
      </c>
      <c r="I22" s="107">
        <v>17.7</v>
      </c>
      <c r="J22" s="109">
        <v>2.2999999999999998</v>
      </c>
      <c r="K22" s="109">
        <v>16.3</v>
      </c>
      <c r="L22" s="108">
        <v>2.2000000000000002</v>
      </c>
      <c r="M22" s="107">
        <v>18.3</v>
      </c>
      <c r="N22" s="109">
        <v>2.4</v>
      </c>
      <c r="O22" s="109">
        <v>16.899999999999999</v>
      </c>
      <c r="P22" s="109">
        <v>2.2999999999999998</v>
      </c>
      <c r="Q22" s="108">
        <v>5.4</v>
      </c>
    </row>
    <row r="23" spans="1:17" ht="15.75" customHeight="1" thickTop="1" thickBot="1" x14ac:dyDescent="0.35">
      <c r="A23" s="140"/>
      <c r="B23" s="91" t="s">
        <v>103</v>
      </c>
      <c r="C23" s="77"/>
      <c r="D23" s="78"/>
      <c r="E23" s="77">
        <v>18.2</v>
      </c>
      <c r="F23" s="78">
        <v>16</v>
      </c>
      <c r="G23" s="77">
        <v>18</v>
      </c>
      <c r="H23" s="78">
        <v>15.6</v>
      </c>
      <c r="I23" s="77">
        <v>18.100000000000001</v>
      </c>
      <c r="J23" s="79">
        <v>2.2999999999999998</v>
      </c>
      <c r="K23" s="79">
        <v>16</v>
      </c>
      <c r="L23" s="78">
        <v>2.2000000000000002</v>
      </c>
      <c r="M23" s="77">
        <v>18.8</v>
      </c>
      <c r="N23" s="79">
        <v>2.4</v>
      </c>
      <c r="O23" s="79">
        <v>16.5</v>
      </c>
      <c r="P23" s="79">
        <v>2.2000000000000002</v>
      </c>
      <c r="Q23" s="78">
        <v>5.5</v>
      </c>
    </row>
    <row r="24" spans="1:17" ht="15.75" customHeight="1" thickTop="1" thickBot="1" x14ac:dyDescent="0.35">
      <c r="A24" s="140"/>
      <c r="B24" s="97" t="s">
        <v>104</v>
      </c>
      <c r="C24" s="98" t="str">
        <f t="shared" ref="C24:Q24" si="5">IF(OR(C22="",C23=""),"",C23/C22)</f>
        <v/>
      </c>
      <c r="D24" s="99" t="str">
        <f t="shared" si="5"/>
        <v/>
      </c>
      <c r="E24" s="98">
        <f t="shared" si="5"/>
        <v>1.0224719101123594</v>
      </c>
      <c r="F24" s="99">
        <f t="shared" si="5"/>
        <v>0.98159509202453987</v>
      </c>
      <c r="G24" s="98">
        <f t="shared" si="5"/>
        <v>1.0227272727272727</v>
      </c>
      <c r="H24" s="99">
        <f t="shared" si="5"/>
        <v>0.96296296296296302</v>
      </c>
      <c r="I24" s="98">
        <f t="shared" si="5"/>
        <v>1.0225988700564972</v>
      </c>
      <c r="J24" s="100">
        <f t="shared" si="5"/>
        <v>1</v>
      </c>
      <c r="K24" s="100">
        <f t="shared" si="5"/>
        <v>0.98159509202453987</v>
      </c>
      <c r="L24" s="99">
        <f t="shared" si="5"/>
        <v>1</v>
      </c>
      <c r="M24" s="98">
        <f t="shared" si="5"/>
        <v>1.0273224043715847</v>
      </c>
      <c r="N24" s="100">
        <f t="shared" si="5"/>
        <v>1</v>
      </c>
      <c r="O24" s="100">
        <f t="shared" si="5"/>
        <v>0.97633136094674566</v>
      </c>
      <c r="P24" s="100">
        <f t="shared" si="5"/>
        <v>0.95652173913043492</v>
      </c>
      <c r="Q24" s="99">
        <f t="shared" si="5"/>
        <v>1.0185185185185184</v>
      </c>
    </row>
    <row r="25" spans="1:17" ht="15.75" customHeight="1" thickTop="1" thickBot="1" x14ac:dyDescent="0.35">
      <c r="A25" s="140">
        <v>130</v>
      </c>
      <c r="B25" s="101" t="s">
        <v>102</v>
      </c>
      <c r="C25" s="107"/>
      <c r="D25" s="108"/>
      <c r="E25" s="107">
        <v>21.3</v>
      </c>
      <c r="F25" s="108">
        <v>19.600000000000001</v>
      </c>
      <c r="G25" s="107">
        <v>21</v>
      </c>
      <c r="H25" s="108">
        <v>19.5</v>
      </c>
      <c r="I25" s="107">
        <v>21.2</v>
      </c>
      <c r="J25" s="109">
        <v>3.3</v>
      </c>
      <c r="K25" s="109">
        <v>19.600000000000001</v>
      </c>
      <c r="L25" s="108">
        <v>3.2</v>
      </c>
      <c r="M25" s="107">
        <v>21.9</v>
      </c>
      <c r="N25" s="109">
        <v>3.5</v>
      </c>
      <c r="O25" s="109">
        <v>20.2</v>
      </c>
      <c r="P25" s="109">
        <v>3.3</v>
      </c>
      <c r="Q25" s="108"/>
    </row>
    <row r="26" spans="1:17" ht="15.75" customHeight="1" thickTop="1" thickBot="1" x14ac:dyDescent="0.35">
      <c r="A26" s="140"/>
      <c r="B26" s="91" t="s">
        <v>103</v>
      </c>
      <c r="C26" s="77"/>
      <c r="D26" s="78"/>
      <c r="E26" s="77">
        <v>21.9</v>
      </c>
      <c r="F26" s="78">
        <v>19.3</v>
      </c>
      <c r="G26" s="77">
        <v>21.5</v>
      </c>
      <c r="H26" s="78">
        <v>19.100000000000001</v>
      </c>
      <c r="I26" s="77">
        <v>21.7</v>
      </c>
      <c r="J26" s="79">
        <v>3.4</v>
      </c>
      <c r="K26" s="79">
        <v>19.2</v>
      </c>
      <c r="L26" s="78">
        <v>3.1</v>
      </c>
      <c r="M26" s="77">
        <v>22.4</v>
      </c>
      <c r="N26" s="79">
        <v>3.5</v>
      </c>
      <c r="O26" s="79">
        <v>19.899999999999999</v>
      </c>
      <c r="P26" s="79">
        <v>3.2</v>
      </c>
      <c r="Q26" s="78"/>
    </row>
    <row r="27" spans="1:17" ht="15.75" customHeight="1" thickTop="1" thickBot="1" x14ac:dyDescent="0.35">
      <c r="A27" s="140"/>
      <c r="B27" s="97" t="s">
        <v>104</v>
      </c>
      <c r="C27" s="98" t="str">
        <f t="shared" ref="C27:Q27" si="6">IF(OR(C25="",C26=""),"",C26/C25)</f>
        <v/>
      </c>
      <c r="D27" s="99" t="str">
        <f t="shared" si="6"/>
        <v/>
      </c>
      <c r="E27" s="98">
        <f t="shared" si="6"/>
        <v>1.028169014084507</v>
      </c>
      <c r="F27" s="99">
        <f t="shared" si="6"/>
        <v>0.98469387755102034</v>
      </c>
      <c r="G27" s="98">
        <f t="shared" si="6"/>
        <v>1.0238095238095237</v>
      </c>
      <c r="H27" s="99">
        <f t="shared" si="6"/>
        <v>0.97948717948717956</v>
      </c>
      <c r="I27" s="98">
        <f t="shared" si="6"/>
        <v>1.0235849056603774</v>
      </c>
      <c r="J27" s="100">
        <f t="shared" si="6"/>
        <v>1.0303030303030303</v>
      </c>
      <c r="K27" s="100">
        <f t="shared" si="6"/>
        <v>0.97959183673469374</v>
      </c>
      <c r="L27" s="99">
        <f t="shared" si="6"/>
        <v>0.96875</v>
      </c>
      <c r="M27" s="98">
        <f t="shared" si="6"/>
        <v>1.0228310502283104</v>
      </c>
      <c r="N27" s="100">
        <f t="shared" si="6"/>
        <v>1</v>
      </c>
      <c r="O27" s="100">
        <f t="shared" si="6"/>
        <v>0.98514851485148514</v>
      </c>
      <c r="P27" s="100">
        <f t="shared" si="6"/>
        <v>0.96969696969696983</v>
      </c>
      <c r="Q27" s="99" t="str">
        <f t="shared" si="6"/>
        <v/>
      </c>
    </row>
    <row r="28" spans="1:17" ht="15.75" customHeight="1" thickTop="1" thickBot="1" x14ac:dyDescent="0.35">
      <c r="A28" s="140">
        <v>140</v>
      </c>
      <c r="B28" s="101" t="s">
        <v>102</v>
      </c>
      <c r="C28" s="107">
        <v>6.4</v>
      </c>
      <c r="D28" s="108">
        <v>6.1</v>
      </c>
      <c r="E28" s="107">
        <v>25</v>
      </c>
      <c r="F28" s="108">
        <v>23.2</v>
      </c>
      <c r="G28" s="107">
        <v>24.7</v>
      </c>
      <c r="H28" s="108">
        <v>23</v>
      </c>
      <c r="I28" s="107">
        <v>24.9</v>
      </c>
      <c r="J28" s="109">
        <v>4.5999999999999996</v>
      </c>
      <c r="K28" s="109">
        <v>23.2</v>
      </c>
      <c r="L28" s="108">
        <v>4.4000000000000004</v>
      </c>
      <c r="M28" s="107">
        <v>25.8</v>
      </c>
      <c r="N28" s="109">
        <v>4.7</v>
      </c>
      <c r="O28" s="109">
        <v>23.9</v>
      </c>
      <c r="P28" s="109">
        <v>4.5</v>
      </c>
      <c r="Q28" s="108">
        <v>8.6999999999999993</v>
      </c>
    </row>
    <row r="29" spans="1:17" ht="15.75" customHeight="1" thickTop="1" thickBot="1" x14ac:dyDescent="0.35">
      <c r="A29" s="140"/>
      <c r="B29" s="91" t="s">
        <v>103</v>
      </c>
      <c r="C29" s="77">
        <v>6.5</v>
      </c>
      <c r="D29" s="78">
        <v>6</v>
      </c>
      <c r="E29" s="77">
        <v>25.6</v>
      </c>
      <c r="F29" s="78">
        <v>22.8</v>
      </c>
      <c r="G29" s="77">
        <v>25.3</v>
      </c>
      <c r="H29" s="78">
        <v>22.5</v>
      </c>
      <c r="I29" s="77">
        <v>25.4</v>
      </c>
      <c r="J29" s="79">
        <v>4.5999999999999996</v>
      </c>
      <c r="K29" s="79">
        <v>22.6</v>
      </c>
      <c r="L29" s="78">
        <v>4.3</v>
      </c>
      <c r="M29" s="77">
        <v>26.3</v>
      </c>
      <c r="N29" s="79">
        <v>4.8</v>
      </c>
      <c r="O29" s="79">
        <v>23.4</v>
      </c>
      <c r="P29" s="79">
        <v>4.4000000000000004</v>
      </c>
      <c r="Q29" s="78">
        <v>8.6999999999999993</v>
      </c>
    </row>
    <row r="30" spans="1:17" ht="15.75" customHeight="1" thickTop="1" thickBot="1" x14ac:dyDescent="0.35">
      <c r="A30" s="140"/>
      <c r="B30" s="97" t="s">
        <v>104</v>
      </c>
      <c r="C30" s="98">
        <f t="shared" ref="C30:Q30" si="7">IF(OR(C28="",C29=""),"",C29/C28)</f>
        <v>1.015625</v>
      </c>
      <c r="D30" s="99">
        <f t="shared" si="7"/>
        <v>0.98360655737704927</v>
      </c>
      <c r="E30" s="98">
        <f t="shared" si="7"/>
        <v>1.024</v>
      </c>
      <c r="F30" s="99">
        <f t="shared" si="7"/>
        <v>0.98275862068965525</v>
      </c>
      <c r="G30" s="98">
        <f t="shared" si="7"/>
        <v>1.0242914979757085</v>
      </c>
      <c r="H30" s="99">
        <f t="shared" si="7"/>
        <v>0.97826086956521741</v>
      </c>
      <c r="I30" s="98">
        <f t="shared" si="7"/>
        <v>1.0200803212851406</v>
      </c>
      <c r="J30" s="100">
        <f t="shared" si="7"/>
        <v>1</v>
      </c>
      <c r="K30" s="100">
        <f t="shared" si="7"/>
        <v>0.97413793103448287</v>
      </c>
      <c r="L30" s="99">
        <f t="shared" si="7"/>
        <v>0.97727272727272718</v>
      </c>
      <c r="M30" s="98">
        <f t="shared" si="7"/>
        <v>1.0193798449612403</v>
      </c>
      <c r="N30" s="100">
        <f t="shared" si="7"/>
        <v>1.0212765957446808</v>
      </c>
      <c r="O30" s="100">
        <f t="shared" si="7"/>
        <v>0.97907949790794979</v>
      </c>
      <c r="P30" s="100">
        <f t="shared" si="7"/>
        <v>0.97777777777777786</v>
      </c>
      <c r="Q30" s="99">
        <f t="shared" si="7"/>
        <v>1</v>
      </c>
    </row>
    <row r="31" spans="1:17" ht="15.75" customHeight="1" thickTop="1" x14ac:dyDescent="0.3"/>
    <row r="32" spans="1:17" ht="15.75" customHeight="1" thickBot="1" x14ac:dyDescent="0.35">
      <c r="A32" s="8" t="s">
        <v>116</v>
      </c>
    </row>
    <row r="33" spans="1:17" ht="15.75" customHeight="1" thickTop="1" x14ac:dyDescent="0.3">
      <c r="B33" s="15" t="s">
        <v>100</v>
      </c>
      <c r="C33" s="133" t="s">
        <v>26</v>
      </c>
      <c r="D33" s="133"/>
      <c r="E33" s="134" t="s">
        <v>14</v>
      </c>
      <c r="F33" s="134"/>
      <c r="G33" s="133" t="s">
        <v>138</v>
      </c>
      <c r="H33" s="133"/>
      <c r="I33" s="133" t="s">
        <v>27</v>
      </c>
      <c r="J33" s="133"/>
      <c r="K33" s="133"/>
      <c r="L33" s="133"/>
      <c r="M33" s="133" t="s">
        <v>22</v>
      </c>
      <c r="N33" s="133"/>
      <c r="O33" s="133"/>
      <c r="P33" s="133"/>
      <c r="Q33" s="133"/>
    </row>
    <row r="34" spans="1:17" ht="15.75" customHeight="1" x14ac:dyDescent="0.3">
      <c r="B34" s="18" t="s">
        <v>114</v>
      </c>
      <c r="C34" s="135">
        <v>3.6</v>
      </c>
      <c r="D34" s="135"/>
      <c r="E34" s="136">
        <v>5</v>
      </c>
      <c r="F34" s="136"/>
      <c r="G34" s="135">
        <v>10</v>
      </c>
      <c r="H34" s="135"/>
      <c r="I34" s="135">
        <v>15</v>
      </c>
      <c r="J34" s="135"/>
      <c r="K34" s="135"/>
      <c r="L34" s="135"/>
      <c r="M34" s="136">
        <f>64*0.6</f>
        <v>38.4</v>
      </c>
      <c r="N34" s="136"/>
      <c r="O34" s="136"/>
      <c r="P34" s="136"/>
      <c r="Q34" s="136"/>
    </row>
    <row r="35" spans="1:17" ht="15.75" customHeight="1" x14ac:dyDescent="0.3">
      <c r="B35" s="18" t="s">
        <v>101</v>
      </c>
      <c r="C35" s="135" t="s">
        <v>26</v>
      </c>
      <c r="D35" s="135"/>
      <c r="E35" s="136" t="s">
        <v>14</v>
      </c>
      <c r="F35" s="136"/>
      <c r="G35" s="135" t="s">
        <v>138</v>
      </c>
      <c r="H35" s="135"/>
      <c r="I35" s="135" t="s">
        <v>27</v>
      </c>
      <c r="J35" s="135"/>
      <c r="K35" s="135"/>
      <c r="L35" s="135"/>
      <c r="M35" s="135" t="s">
        <v>22</v>
      </c>
      <c r="N35" s="135"/>
      <c r="O35" s="135"/>
      <c r="P35" s="135"/>
      <c r="Q35" s="135"/>
    </row>
    <row r="36" spans="1:17" ht="15.75" customHeight="1" thickBot="1" x14ac:dyDescent="0.35">
      <c r="A36" s="13"/>
      <c r="B36" s="3" t="s">
        <v>115</v>
      </c>
      <c r="C36" s="77" t="s">
        <v>139</v>
      </c>
      <c r="D36" s="78" t="s">
        <v>140</v>
      </c>
      <c r="E36" s="77" t="s">
        <v>95</v>
      </c>
      <c r="F36" s="78" t="s">
        <v>96</v>
      </c>
      <c r="G36" s="77" t="s">
        <v>95</v>
      </c>
      <c r="H36" s="78" t="s">
        <v>96</v>
      </c>
      <c r="I36" s="77" t="s">
        <v>95</v>
      </c>
      <c r="J36" s="79" t="s">
        <v>139</v>
      </c>
      <c r="K36" s="79" t="s">
        <v>96</v>
      </c>
      <c r="L36" s="78" t="s">
        <v>140</v>
      </c>
      <c r="M36" s="77" t="s">
        <v>95</v>
      </c>
      <c r="N36" s="79" t="s">
        <v>139</v>
      </c>
      <c r="O36" s="79" t="s">
        <v>96</v>
      </c>
      <c r="P36" s="79" t="s">
        <v>140</v>
      </c>
      <c r="Q36" s="78" t="s">
        <v>141</v>
      </c>
    </row>
    <row r="37" spans="1:17" ht="15.75" customHeight="1" thickTop="1" x14ac:dyDescent="0.3">
      <c r="A37" s="4" t="s">
        <v>6</v>
      </c>
      <c r="B37" s="110"/>
      <c r="C37" s="82"/>
      <c r="D37" s="83"/>
      <c r="E37" s="82"/>
      <c r="F37" s="83"/>
      <c r="G37" s="82"/>
      <c r="H37" s="83"/>
      <c r="I37" s="82"/>
      <c r="J37" s="84"/>
      <c r="K37" s="84"/>
      <c r="L37" s="83"/>
      <c r="M37" s="82"/>
      <c r="N37" s="84"/>
      <c r="O37" s="84"/>
      <c r="P37" s="84"/>
      <c r="Q37" s="83"/>
    </row>
    <row r="38" spans="1:17" ht="15.75" customHeight="1" thickBot="1" x14ac:dyDescent="0.35">
      <c r="A38" s="142">
        <v>70</v>
      </c>
      <c r="B38" s="91" t="s">
        <v>102</v>
      </c>
      <c r="C38" s="92"/>
      <c r="D38" s="91"/>
      <c r="E38" s="93">
        <v>0.9</v>
      </c>
      <c r="F38" s="94">
        <v>0.7</v>
      </c>
      <c r="G38" s="93">
        <v>0.8</v>
      </c>
      <c r="H38" s="94">
        <v>3.3</v>
      </c>
      <c r="I38" s="93">
        <v>0.8</v>
      </c>
      <c r="J38" s="95"/>
      <c r="K38" s="96">
        <v>0.7</v>
      </c>
      <c r="L38" s="91"/>
      <c r="M38" s="93">
        <v>0.9</v>
      </c>
      <c r="N38" s="95"/>
      <c r="O38" s="96">
        <v>0.8</v>
      </c>
      <c r="P38" s="95"/>
      <c r="Q38" s="91"/>
    </row>
    <row r="39" spans="1:17" ht="15.75" customHeight="1" thickTop="1" thickBot="1" x14ac:dyDescent="0.35">
      <c r="A39" s="142"/>
      <c r="B39" s="91" t="s">
        <v>103</v>
      </c>
      <c r="C39" s="92"/>
      <c r="D39" s="91"/>
      <c r="E39" s="93">
        <v>1.7</v>
      </c>
      <c r="F39" s="94">
        <v>1.3</v>
      </c>
      <c r="G39" s="93">
        <v>1.7</v>
      </c>
      <c r="H39" s="94">
        <v>3.3</v>
      </c>
      <c r="I39" s="93">
        <v>1.7</v>
      </c>
      <c r="J39" s="95"/>
      <c r="K39" s="96">
        <v>1.3</v>
      </c>
      <c r="L39" s="91"/>
      <c r="M39" s="93">
        <v>1.7</v>
      </c>
      <c r="N39" s="95"/>
      <c r="O39" s="96">
        <v>1.3</v>
      </c>
      <c r="P39" s="95"/>
      <c r="Q39" s="91"/>
    </row>
    <row r="40" spans="1:17" ht="15.75" customHeight="1" thickTop="1" thickBot="1" x14ac:dyDescent="0.35">
      <c r="A40" s="142"/>
      <c r="B40" s="97" t="s">
        <v>104</v>
      </c>
      <c r="C40" s="98" t="str">
        <f t="shared" ref="C40:Q40" si="8">IF(OR(C38="",C39=""),"",C39/C38)</f>
        <v/>
      </c>
      <c r="D40" s="99" t="str">
        <f t="shared" si="8"/>
        <v/>
      </c>
      <c r="E40" s="98">
        <f t="shared" si="8"/>
        <v>1.8888888888888888</v>
      </c>
      <c r="F40" s="99">
        <f t="shared" si="8"/>
        <v>1.8571428571428574</v>
      </c>
      <c r="G40" s="98">
        <f t="shared" si="8"/>
        <v>2.125</v>
      </c>
      <c r="H40" s="99">
        <f t="shared" si="8"/>
        <v>1</v>
      </c>
      <c r="I40" s="98">
        <f t="shared" si="8"/>
        <v>2.125</v>
      </c>
      <c r="J40" s="100" t="str">
        <f t="shared" si="8"/>
        <v/>
      </c>
      <c r="K40" s="100">
        <f t="shared" si="8"/>
        <v>1.8571428571428574</v>
      </c>
      <c r="L40" s="99" t="str">
        <f t="shared" si="8"/>
        <v/>
      </c>
      <c r="M40" s="98">
        <f t="shared" si="8"/>
        <v>1.8888888888888888</v>
      </c>
      <c r="N40" s="100" t="str">
        <f t="shared" si="8"/>
        <v/>
      </c>
      <c r="O40" s="100">
        <f t="shared" si="8"/>
        <v>1.625</v>
      </c>
      <c r="P40" s="100" t="str">
        <f t="shared" si="8"/>
        <v/>
      </c>
      <c r="Q40" s="99" t="str">
        <f t="shared" si="8"/>
        <v/>
      </c>
    </row>
    <row r="41" spans="1:17" ht="15.75" customHeight="1" thickTop="1" thickBot="1" x14ac:dyDescent="0.35">
      <c r="A41" s="127">
        <v>80</v>
      </c>
      <c r="B41" s="101" t="s">
        <v>102</v>
      </c>
      <c r="C41" s="102"/>
      <c r="D41" s="101"/>
      <c r="E41" s="103">
        <v>1.4</v>
      </c>
      <c r="F41" s="104">
        <v>1.2</v>
      </c>
      <c r="G41" s="103">
        <v>1.4</v>
      </c>
      <c r="H41" s="104">
        <v>5.0999999999999996</v>
      </c>
      <c r="I41" s="103">
        <v>1.4</v>
      </c>
      <c r="J41" s="105"/>
      <c r="K41" s="106">
        <v>1.2</v>
      </c>
      <c r="L41" s="101"/>
      <c r="M41" s="103">
        <v>1.5</v>
      </c>
      <c r="N41" s="105"/>
      <c r="O41" s="106">
        <v>1.3</v>
      </c>
      <c r="P41" s="105"/>
      <c r="Q41" s="101"/>
    </row>
    <row r="42" spans="1:17" ht="15.75" customHeight="1" thickTop="1" thickBot="1" x14ac:dyDescent="0.35">
      <c r="A42" s="127"/>
      <c r="B42" s="91" t="s">
        <v>103</v>
      </c>
      <c r="C42" s="92"/>
      <c r="D42" s="91"/>
      <c r="E42" s="93">
        <v>2.7</v>
      </c>
      <c r="F42" s="94">
        <v>2</v>
      </c>
      <c r="G42" s="93">
        <v>2.6</v>
      </c>
      <c r="H42" s="94">
        <v>5.0999999999999996</v>
      </c>
      <c r="I42" s="93">
        <v>2.6</v>
      </c>
      <c r="J42" s="95"/>
      <c r="K42" s="96">
        <v>2</v>
      </c>
      <c r="L42" s="91"/>
      <c r="M42" s="93">
        <v>2.7</v>
      </c>
      <c r="N42" s="95"/>
      <c r="O42" s="96">
        <v>2.1</v>
      </c>
      <c r="P42" s="95"/>
      <c r="Q42" s="91"/>
    </row>
    <row r="43" spans="1:17" ht="15.75" customHeight="1" thickTop="1" thickBot="1" x14ac:dyDescent="0.35">
      <c r="A43" s="127"/>
      <c r="B43" s="97" t="s">
        <v>104</v>
      </c>
      <c r="C43" s="98" t="str">
        <f t="shared" ref="C43:Q43" si="9">IF(OR(C41="",C42=""),"",C42/C41)</f>
        <v/>
      </c>
      <c r="D43" s="99" t="str">
        <f t="shared" si="9"/>
        <v/>
      </c>
      <c r="E43" s="98">
        <f t="shared" si="9"/>
        <v>1.9285714285714288</v>
      </c>
      <c r="F43" s="99">
        <f t="shared" si="9"/>
        <v>1.6666666666666667</v>
      </c>
      <c r="G43" s="98">
        <f t="shared" si="9"/>
        <v>1.8571428571428574</v>
      </c>
      <c r="H43" s="99">
        <f t="shared" si="9"/>
        <v>1</v>
      </c>
      <c r="I43" s="98">
        <f t="shared" si="9"/>
        <v>1.8571428571428574</v>
      </c>
      <c r="J43" s="100" t="str">
        <f t="shared" si="9"/>
        <v/>
      </c>
      <c r="K43" s="100">
        <f t="shared" si="9"/>
        <v>1.6666666666666667</v>
      </c>
      <c r="L43" s="99" t="str">
        <f t="shared" si="9"/>
        <v/>
      </c>
      <c r="M43" s="98">
        <f t="shared" si="9"/>
        <v>1.8</v>
      </c>
      <c r="N43" s="100" t="str">
        <f t="shared" si="9"/>
        <v/>
      </c>
      <c r="O43" s="100">
        <f t="shared" si="9"/>
        <v>1.6153846153846154</v>
      </c>
      <c r="P43" s="100" t="str">
        <f t="shared" si="9"/>
        <v/>
      </c>
      <c r="Q43" s="99" t="str">
        <f t="shared" si="9"/>
        <v/>
      </c>
    </row>
    <row r="44" spans="1:17" ht="15.75" customHeight="1" thickTop="1" thickBot="1" x14ac:dyDescent="0.35">
      <c r="A44" s="143">
        <v>90</v>
      </c>
      <c r="B44" s="101" t="s">
        <v>102</v>
      </c>
      <c r="C44" s="102"/>
      <c r="D44" s="101"/>
      <c r="E44" s="103">
        <v>2.2000000000000002</v>
      </c>
      <c r="F44" s="104">
        <v>1.9</v>
      </c>
      <c r="G44" s="103">
        <v>2.2000000000000002</v>
      </c>
      <c r="H44" s="104">
        <v>7.4</v>
      </c>
      <c r="I44" s="103">
        <v>2.2000000000000002</v>
      </c>
      <c r="J44" s="105"/>
      <c r="K44" s="106">
        <v>1.9</v>
      </c>
      <c r="L44" s="101"/>
      <c r="M44" s="103">
        <v>2.2999999999999998</v>
      </c>
      <c r="N44" s="105"/>
      <c r="O44" s="106">
        <v>2</v>
      </c>
      <c r="P44" s="105"/>
      <c r="Q44" s="101"/>
    </row>
    <row r="45" spans="1:17" ht="15.75" customHeight="1" thickTop="1" thickBot="1" x14ac:dyDescent="0.35">
      <c r="A45" s="143"/>
      <c r="B45" s="91" t="s">
        <v>103</v>
      </c>
      <c r="C45" s="92"/>
      <c r="D45" s="91"/>
      <c r="E45" s="93">
        <v>3.9</v>
      </c>
      <c r="F45" s="94">
        <v>3</v>
      </c>
      <c r="G45" s="93">
        <v>3.8</v>
      </c>
      <c r="H45" s="94">
        <v>7.2</v>
      </c>
      <c r="I45" s="93">
        <v>3.8</v>
      </c>
      <c r="J45" s="95"/>
      <c r="K45" s="96">
        <v>3</v>
      </c>
      <c r="L45" s="91"/>
      <c r="M45" s="93">
        <v>4</v>
      </c>
      <c r="N45" s="95"/>
      <c r="O45" s="96">
        <v>3.1</v>
      </c>
      <c r="P45" s="95"/>
      <c r="Q45" s="91"/>
    </row>
    <row r="46" spans="1:17" ht="15.75" customHeight="1" thickTop="1" thickBot="1" x14ac:dyDescent="0.35">
      <c r="A46" s="143"/>
      <c r="B46" s="97" t="s">
        <v>104</v>
      </c>
      <c r="C46" s="98" t="str">
        <f t="shared" ref="C46:Q46" si="10">IF(OR(C44="",C45=""),"",C45/C44)</f>
        <v/>
      </c>
      <c r="D46" s="99" t="str">
        <f t="shared" si="10"/>
        <v/>
      </c>
      <c r="E46" s="98">
        <f t="shared" si="10"/>
        <v>1.7727272727272725</v>
      </c>
      <c r="F46" s="99">
        <f t="shared" si="10"/>
        <v>1.5789473684210527</v>
      </c>
      <c r="G46" s="98">
        <f t="shared" si="10"/>
        <v>1.7272727272727271</v>
      </c>
      <c r="H46" s="99">
        <f t="shared" si="10"/>
        <v>0.97297297297297292</v>
      </c>
      <c r="I46" s="98">
        <f t="shared" si="10"/>
        <v>1.7272727272727271</v>
      </c>
      <c r="J46" s="100" t="str">
        <f t="shared" si="10"/>
        <v/>
      </c>
      <c r="K46" s="100">
        <f t="shared" si="10"/>
        <v>1.5789473684210527</v>
      </c>
      <c r="L46" s="99" t="str">
        <f t="shared" si="10"/>
        <v/>
      </c>
      <c r="M46" s="98">
        <f t="shared" si="10"/>
        <v>1.7391304347826089</v>
      </c>
      <c r="N46" s="100" t="str">
        <f t="shared" si="10"/>
        <v/>
      </c>
      <c r="O46" s="100">
        <f t="shared" si="10"/>
        <v>1.55</v>
      </c>
      <c r="P46" s="100" t="str">
        <f t="shared" si="10"/>
        <v/>
      </c>
      <c r="Q46" s="99" t="str">
        <f t="shared" si="10"/>
        <v/>
      </c>
    </row>
    <row r="47" spans="1:17" ht="15.75" customHeight="1" thickTop="1" thickBot="1" x14ac:dyDescent="0.35">
      <c r="A47" s="143">
        <v>100</v>
      </c>
      <c r="B47" s="101" t="s">
        <v>102</v>
      </c>
      <c r="C47" s="103">
        <v>0.5</v>
      </c>
      <c r="D47" s="104">
        <v>0.4</v>
      </c>
      <c r="E47" s="103">
        <v>3.2</v>
      </c>
      <c r="F47" s="104">
        <v>2.8</v>
      </c>
      <c r="G47" s="103">
        <v>3.1</v>
      </c>
      <c r="H47" s="104">
        <v>10.1</v>
      </c>
      <c r="I47" s="103">
        <v>3.1</v>
      </c>
      <c r="J47" s="106">
        <v>0.3</v>
      </c>
      <c r="K47" s="106">
        <v>2.8</v>
      </c>
      <c r="L47" s="104">
        <v>0.3</v>
      </c>
      <c r="M47" s="103">
        <v>3.2</v>
      </c>
      <c r="N47" s="106">
        <v>0.3</v>
      </c>
      <c r="O47" s="106">
        <v>2.9</v>
      </c>
      <c r="P47" s="106">
        <v>0.3</v>
      </c>
      <c r="Q47" s="101"/>
    </row>
    <row r="48" spans="1:17" ht="15.75" customHeight="1" thickTop="1" thickBot="1" x14ac:dyDescent="0.35">
      <c r="A48" s="143"/>
      <c r="B48" s="91" t="s">
        <v>103</v>
      </c>
      <c r="C48" s="93">
        <v>0.7</v>
      </c>
      <c r="D48" s="94">
        <v>0.6</v>
      </c>
      <c r="E48" s="93">
        <v>5.4</v>
      </c>
      <c r="F48" s="94">
        <v>4.2</v>
      </c>
      <c r="G48" s="93">
        <v>5.2</v>
      </c>
      <c r="H48" s="94">
        <v>9.8000000000000007</v>
      </c>
      <c r="I48" s="93">
        <v>5.3</v>
      </c>
      <c r="J48" s="96">
        <v>0.5</v>
      </c>
      <c r="K48" s="96">
        <v>4.0999999999999996</v>
      </c>
      <c r="L48" s="94">
        <v>0.4</v>
      </c>
      <c r="M48" s="93">
        <v>5.4</v>
      </c>
      <c r="N48" s="96">
        <v>0.5</v>
      </c>
      <c r="O48" s="96">
        <v>4.3</v>
      </c>
      <c r="P48" s="96">
        <v>0.4</v>
      </c>
      <c r="Q48" s="91"/>
    </row>
    <row r="49" spans="1:17" ht="15.75" customHeight="1" thickTop="1" thickBot="1" x14ac:dyDescent="0.35">
      <c r="A49" s="143"/>
      <c r="B49" s="97" t="s">
        <v>104</v>
      </c>
      <c r="C49" s="98">
        <f t="shared" ref="C49:Q49" si="11">IF(OR(C47="",C48=""),"",C48/C47)</f>
        <v>1.4</v>
      </c>
      <c r="D49" s="99">
        <f t="shared" si="11"/>
        <v>1.4999999999999998</v>
      </c>
      <c r="E49" s="98">
        <f t="shared" si="11"/>
        <v>1.6875</v>
      </c>
      <c r="F49" s="99">
        <f t="shared" si="11"/>
        <v>1.5000000000000002</v>
      </c>
      <c r="G49" s="98">
        <f t="shared" si="11"/>
        <v>1.6774193548387097</v>
      </c>
      <c r="H49" s="99">
        <f t="shared" si="11"/>
        <v>0.97029702970297038</v>
      </c>
      <c r="I49" s="98">
        <f t="shared" si="11"/>
        <v>1.7096774193548385</v>
      </c>
      <c r="J49" s="100">
        <f t="shared" si="11"/>
        <v>1.6666666666666667</v>
      </c>
      <c r="K49" s="100">
        <f t="shared" si="11"/>
        <v>1.4642857142857142</v>
      </c>
      <c r="L49" s="99">
        <f t="shared" si="11"/>
        <v>1.3333333333333335</v>
      </c>
      <c r="M49" s="98">
        <f t="shared" si="11"/>
        <v>1.6875</v>
      </c>
      <c r="N49" s="100">
        <f t="shared" si="11"/>
        <v>1.6666666666666667</v>
      </c>
      <c r="O49" s="100">
        <f t="shared" si="11"/>
        <v>1.4827586206896552</v>
      </c>
      <c r="P49" s="100">
        <f t="shared" si="11"/>
        <v>1.3333333333333335</v>
      </c>
      <c r="Q49" s="99" t="str">
        <f t="shared" si="11"/>
        <v/>
      </c>
    </row>
    <row r="50" spans="1:17" ht="15.75" customHeight="1" thickTop="1" thickBot="1" x14ac:dyDescent="0.35">
      <c r="A50" s="143">
        <v>110</v>
      </c>
      <c r="B50" s="101" t="s">
        <v>102</v>
      </c>
      <c r="C50" s="102"/>
      <c r="D50" s="101"/>
      <c r="E50" s="103">
        <v>4.2</v>
      </c>
      <c r="F50" s="104">
        <v>3.7</v>
      </c>
      <c r="G50" s="103">
        <v>4.2</v>
      </c>
      <c r="H50" s="104">
        <v>13</v>
      </c>
      <c r="I50" s="103">
        <v>4.2</v>
      </c>
      <c r="J50" s="106">
        <v>0.6</v>
      </c>
      <c r="K50" s="106">
        <v>3.7</v>
      </c>
      <c r="L50" s="104">
        <v>0.5</v>
      </c>
      <c r="M50" s="103">
        <v>4.3</v>
      </c>
      <c r="N50" s="106">
        <v>0.6</v>
      </c>
      <c r="O50" s="106">
        <v>3.8</v>
      </c>
      <c r="P50" s="106">
        <v>0.5</v>
      </c>
      <c r="Q50" s="101"/>
    </row>
    <row r="51" spans="1:17" ht="15.75" customHeight="1" thickTop="1" thickBot="1" x14ac:dyDescent="0.35">
      <c r="A51" s="143"/>
      <c r="B51" s="91" t="s">
        <v>103</v>
      </c>
      <c r="C51" s="92"/>
      <c r="D51" s="91"/>
      <c r="E51" s="93">
        <v>7</v>
      </c>
      <c r="F51" s="94">
        <v>5.5</v>
      </c>
      <c r="G51" s="93">
        <v>6.9</v>
      </c>
      <c r="H51" s="94">
        <v>12.7</v>
      </c>
      <c r="I51" s="93">
        <v>6.9</v>
      </c>
      <c r="J51" s="96">
        <v>0.8</v>
      </c>
      <c r="K51" s="96">
        <v>5.4</v>
      </c>
      <c r="L51" s="94">
        <v>0.7</v>
      </c>
      <c r="M51" s="93">
        <v>7.1</v>
      </c>
      <c r="N51" s="96">
        <v>0.9</v>
      </c>
      <c r="O51" s="96">
        <v>5.6</v>
      </c>
      <c r="P51" s="96">
        <v>0.7</v>
      </c>
      <c r="Q51" s="91"/>
    </row>
    <row r="52" spans="1:17" ht="15.75" customHeight="1" thickTop="1" thickBot="1" x14ac:dyDescent="0.35">
      <c r="A52" s="143"/>
      <c r="B52" s="97" t="s">
        <v>104</v>
      </c>
      <c r="C52" s="98" t="str">
        <f t="shared" ref="C52:Q52" si="12">IF(OR(C50="",C51=""),"",C51/C50)</f>
        <v/>
      </c>
      <c r="D52" s="99" t="str">
        <f t="shared" si="12"/>
        <v/>
      </c>
      <c r="E52" s="98">
        <f t="shared" si="12"/>
        <v>1.6666666666666665</v>
      </c>
      <c r="F52" s="99">
        <f t="shared" si="12"/>
        <v>1.4864864864864864</v>
      </c>
      <c r="G52" s="98">
        <f t="shared" si="12"/>
        <v>1.6428571428571428</v>
      </c>
      <c r="H52" s="99">
        <f t="shared" si="12"/>
        <v>0.97692307692307689</v>
      </c>
      <c r="I52" s="98">
        <f t="shared" si="12"/>
        <v>1.6428571428571428</v>
      </c>
      <c r="J52" s="100">
        <f t="shared" si="12"/>
        <v>1.3333333333333335</v>
      </c>
      <c r="K52" s="100">
        <f t="shared" si="12"/>
        <v>1.4594594594594594</v>
      </c>
      <c r="L52" s="99">
        <f t="shared" si="12"/>
        <v>1.4</v>
      </c>
      <c r="M52" s="98">
        <f t="shared" si="12"/>
        <v>1.6511627906976745</v>
      </c>
      <c r="N52" s="100">
        <f t="shared" si="12"/>
        <v>1.5</v>
      </c>
      <c r="O52" s="100">
        <f t="shared" si="12"/>
        <v>1.4736842105263157</v>
      </c>
      <c r="P52" s="100">
        <f t="shared" si="12"/>
        <v>1.4</v>
      </c>
      <c r="Q52" s="99" t="str">
        <f t="shared" si="12"/>
        <v/>
      </c>
    </row>
    <row r="53" spans="1:17" ht="15.75" customHeight="1" thickTop="1" thickBot="1" x14ac:dyDescent="0.35">
      <c r="A53" s="141">
        <v>120</v>
      </c>
      <c r="B53" s="101" t="s">
        <v>102</v>
      </c>
      <c r="C53" s="107"/>
      <c r="D53" s="108"/>
      <c r="E53" s="107">
        <v>5.4</v>
      </c>
      <c r="F53" s="108">
        <v>4.8</v>
      </c>
      <c r="G53" s="107">
        <v>5.3</v>
      </c>
      <c r="H53" s="108">
        <v>16.2</v>
      </c>
      <c r="I53" s="107">
        <v>5.4</v>
      </c>
      <c r="J53" s="109">
        <v>0.9</v>
      </c>
      <c r="K53" s="109">
        <v>4.8</v>
      </c>
      <c r="L53" s="108">
        <v>0.8</v>
      </c>
      <c r="M53" s="107">
        <v>5.6</v>
      </c>
      <c r="N53" s="109">
        <v>0.9</v>
      </c>
      <c r="O53" s="109">
        <v>5</v>
      </c>
      <c r="P53" s="109">
        <v>0.8</v>
      </c>
      <c r="Q53" s="108">
        <v>1.8</v>
      </c>
    </row>
    <row r="54" spans="1:17" ht="15.75" customHeight="1" thickTop="1" thickBot="1" x14ac:dyDescent="0.35">
      <c r="A54" s="141"/>
      <c r="B54" s="91" t="s">
        <v>103</v>
      </c>
      <c r="C54" s="77"/>
      <c r="D54" s="78"/>
      <c r="E54" s="77">
        <v>8.9</v>
      </c>
      <c r="F54" s="78">
        <v>7</v>
      </c>
      <c r="G54" s="77">
        <v>8.6</v>
      </c>
      <c r="H54" s="78">
        <v>15.6</v>
      </c>
      <c r="I54" s="77">
        <v>8.6999999999999993</v>
      </c>
      <c r="J54" s="79">
        <v>1.3</v>
      </c>
      <c r="K54" s="79">
        <v>6.9</v>
      </c>
      <c r="L54" s="78">
        <v>1.1000000000000001</v>
      </c>
      <c r="M54" s="77">
        <v>9</v>
      </c>
      <c r="N54" s="79">
        <v>1.3</v>
      </c>
      <c r="O54" s="79">
        <v>7.1</v>
      </c>
      <c r="P54" s="79">
        <v>1.1000000000000001</v>
      </c>
      <c r="Q54" s="78">
        <v>2.8</v>
      </c>
    </row>
    <row r="55" spans="1:17" ht="15.75" customHeight="1" thickTop="1" thickBot="1" x14ac:dyDescent="0.35">
      <c r="A55" s="141"/>
      <c r="B55" s="97" t="s">
        <v>104</v>
      </c>
      <c r="C55" s="98" t="str">
        <f t="shared" ref="C55:Q55" si="13">IF(OR(C53="",C54=""),"",C54/C53)</f>
        <v/>
      </c>
      <c r="D55" s="99" t="str">
        <f t="shared" si="13"/>
        <v/>
      </c>
      <c r="E55" s="98">
        <f t="shared" si="13"/>
        <v>1.6481481481481481</v>
      </c>
      <c r="F55" s="99">
        <f t="shared" si="13"/>
        <v>1.4583333333333335</v>
      </c>
      <c r="G55" s="98">
        <f t="shared" si="13"/>
        <v>1.6226415094339623</v>
      </c>
      <c r="H55" s="99">
        <f t="shared" si="13"/>
        <v>0.96296296296296302</v>
      </c>
      <c r="I55" s="98">
        <f t="shared" si="13"/>
        <v>1.6111111111111109</v>
      </c>
      <c r="J55" s="100">
        <f t="shared" si="13"/>
        <v>1.4444444444444444</v>
      </c>
      <c r="K55" s="100">
        <f t="shared" si="13"/>
        <v>1.4375000000000002</v>
      </c>
      <c r="L55" s="99">
        <f t="shared" si="13"/>
        <v>1.375</v>
      </c>
      <c r="M55" s="98">
        <f t="shared" si="13"/>
        <v>1.6071428571428572</v>
      </c>
      <c r="N55" s="100">
        <f t="shared" si="13"/>
        <v>1.4444444444444444</v>
      </c>
      <c r="O55" s="100">
        <f t="shared" si="13"/>
        <v>1.42</v>
      </c>
      <c r="P55" s="100">
        <f t="shared" si="13"/>
        <v>1.375</v>
      </c>
      <c r="Q55" s="99">
        <f t="shared" si="13"/>
        <v>1.5555555555555554</v>
      </c>
    </row>
    <row r="56" spans="1:17" ht="15.75" customHeight="1" thickTop="1" thickBot="1" x14ac:dyDescent="0.35">
      <c r="A56" s="141">
        <v>130</v>
      </c>
      <c r="B56" s="101" t="s">
        <v>102</v>
      </c>
      <c r="C56" s="107"/>
      <c r="D56" s="108"/>
      <c r="E56" s="107">
        <v>6.7</v>
      </c>
      <c r="F56" s="108">
        <v>5.9</v>
      </c>
      <c r="G56" s="107">
        <v>6.6</v>
      </c>
      <c r="H56" s="108">
        <v>19.5</v>
      </c>
      <c r="I56" s="107">
        <v>6.6</v>
      </c>
      <c r="J56" s="109">
        <v>1.3</v>
      </c>
      <c r="K56" s="109">
        <v>5.9</v>
      </c>
      <c r="L56" s="108">
        <v>1.2</v>
      </c>
      <c r="M56" s="107">
        <v>6.8</v>
      </c>
      <c r="N56" s="109">
        <v>1.3</v>
      </c>
      <c r="O56" s="109">
        <v>6.1</v>
      </c>
      <c r="P56" s="109">
        <v>1.2</v>
      </c>
      <c r="Q56" s="108"/>
    </row>
    <row r="57" spans="1:17" ht="15.75" customHeight="1" thickTop="1" thickBot="1" x14ac:dyDescent="0.35">
      <c r="A57" s="141"/>
      <c r="B57" s="91" t="s">
        <v>103</v>
      </c>
      <c r="C57" s="77"/>
      <c r="D57" s="78"/>
      <c r="E57" s="77">
        <v>10.8</v>
      </c>
      <c r="F57" s="78">
        <v>8.5</v>
      </c>
      <c r="G57" s="77">
        <v>10.5</v>
      </c>
      <c r="H57" s="78">
        <v>19.100000000000001</v>
      </c>
      <c r="I57" s="77">
        <v>10.5</v>
      </c>
      <c r="J57" s="79">
        <v>1.9</v>
      </c>
      <c r="K57" s="79">
        <v>8.4</v>
      </c>
      <c r="L57" s="78">
        <v>1.5</v>
      </c>
      <c r="M57" s="77">
        <v>10.9</v>
      </c>
      <c r="N57" s="79">
        <v>1.9</v>
      </c>
      <c r="O57" s="79">
        <v>8.6999999999999993</v>
      </c>
      <c r="P57" s="79">
        <v>1.6</v>
      </c>
      <c r="Q57" s="78"/>
    </row>
    <row r="58" spans="1:17" ht="15.75" customHeight="1" thickTop="1" thickBot="1" x14ac:dyDescent="0.35">
      <c r="A58" s="141"/>
      <c r="B58" s="97" t="s">
        <v>104</v>
      </c>
      <c r="C58" s="98" t="str">
        <f t="shared" ref="C58:Q58" si="14">IF(OR(C56="",C57=""),"",C57/C56)</f>
        <v/>
      </c>
      <c r="D58" s="99" t="str">
        <f t="shared" si="14"/>
        <v/>
      </c>
      <c r="E58" s="98">
        <f t="shared" si="14"/>
        <v>1.6119402985074627</v>
      </c>
      <c r="F58" s="99">
        <f t="shared" si="14"/>
        <v>1.4406779661016949</v>
      </c>
      <c r="G58" s="98">
        <f t="shared" si="14"/>
        <v>1.5909090909090911</v>
      </c>
      <c r="H58" s="99">
        <f t="shared" si="14"/>
        <v>0.97948717948717956</v>
      </c>
      <c r="I58" s="98">
        <f t="shared" si="14"/>
        <v>1.5909090909090911</v>
      </c>
      <c r="J58" s="100">
        <f t="shared" si="14"/>
        <v>1.4615384615384615</v>
      </c>
      <c r="K58" s="100">
        <f t="shared" si="14"/>
        <v>1.423728813559322</v>
      </c>
      <c r="L58" s="99">
        <f t="shared" si="14"/>
        <v>1.25</v>
      </c>
      <c r="M58" s="98">
        <f t="shared" si="14"/>
        <v>1.6029411764705883</v>
      </c>
      <c r="N58" s="100">
        <f t="shared" si="14"/>
        <v>1.4615384615384615</v>
      </c>
      <c r="O58" s="100">
        <f t="shared" si="14"/>
        <v>1.4262295081967213</v>
      </c>
      <c r="P58" s="100">
        <f t="shared" si="14"/>
        <v>1.3333333333333335</v>
      </c>
      <c r="Q58" s="99" t="str">
        <f t="shared" si="14"/>
        <v/>
      </c>
    </row>
    <row r="59" spans="1:17" ht="15.75" customHeight="1" thickTop="1" thickBot="1" x14ac:dyDescent="0.35">
      <c r="A59" s="141">
        <v>140</v>
      </c>
      <c r="B59" s="101" t="s">
        <v>102</v>
      </c>
      <c r="C59" s="107">
        <v>2.5</v>
      </c>
      <c r="D59" s="108">
        <v>2.2999999999999998</v>
      </c>
      <c r="E59" s="107">
        <v>8.1</v>
      </c>
      <c r="F59" s="108">
        <v>7.2</v>
      </c>
      <c r="G59" s="107">
        <v>7.9</v>
      </c>
      <c r="H59" s="108">
        <v>23</v>
      </c>
      <c r="I59" s="107">
        <v>8</v>
      </c>
      <c r="J59" s="109">
        <v>1.8</v>
      </c>
      <c r="K59" s="109">
        <v>7.1</v>
      </c>
      <c r="L59" s="108">
        <v>1.6</v>
      </c>
      <c r="M59" s="107">
        <v>8.3000000000000007</v>
      </c>
      <c r="N59" s="109">
        <v>1.9</v>
      </c>
      <c r="O59" s="109">
        <v>7.4</v>
      </c>
      <c r="P59" s="109">
        <v>1.7</v>
      </c>
      <c r="Q59" s="108">
        <v>3.1</v>
      </c>
    </row>
    <row r="60" spans="1:17" ht="15.75" customHeight="1" thickTop="1" thickBot="1" x14ac:dyDescent="0.35">
      <c r="A60" s="141"/>
      <c r="B60" s="91" t="s">
        <v>103</v>
      </c>
      <c r="C60" s="77">
        <v>3.7</v>
      </c>
      <c r="D60" s="78">
        <v>3</v>
      </c>
      <c r="E60" s="77">
        <v>12.9</v>
      </c>
      <c r="F60" s="78">
        <v>10.199999999999999</v>
      </c>
      <c r="G60" s="77">
        <v>12.5</v>
      </c>
      <c r="H60" s="78">
        <v>22.5</v>
      </c>
      <c r="I60" s="77">
        <v>12.5</v>
      </c>
      <c r="J60" s="79">
        <v>2.6</v>
      </c>
      <c r="K60" s="79">
        <v>10</v>
      </c>
      <c r="L60" s="78">
        <v>2.1</v>
      </c>
      <c r="M60" s="77">
        <v>13</v>
      </c>
      <c r="N60" s="79">
        <v>2.7</v>
      </c>
      <c r="O60" s="79">
        <v>10.4</v>
      </c>
      <c r="P60" s="79">
        <v>2.2000000000000002</v>
      </c>
      <c r="Q60" s="78">
        <v>4.5999999999999996</v>
      </c>
    </row>
    <row r="61" spans="1:17" ht="15.75" customHeight="1" thickTop="1" thickBot="1" x14ac:dyDescent="0.35">
      <c r="A61" s="141"/>
      <c r="B61" s="97" t="s">
        <v>104</v>
      </c>
      <c r="C61" s="98">
        <f t="shared" ref="C61:Q61" si="15">IF(OR(C59="",C60=""),"",C60/C59)</f>
        <v>1.48</v>
      </c>
      <c r="D61" s="99">
        <f t="shared" si="15"/>
        <v>1.3043478260869565</v>
      </c>
      <c r="E61" s="98">
        <f t="shared" si="15"/>
        <v>1.5925925925925928</v>
      </c>
      <c r="F61" s="99">
        <f t="shared" si="15"/>
        <v>1.4166666666666665</v>
      </c>
      <c r="G61" s="98">
        <f t="shared" si="15"/>
        <v>1.5822784810126582</v>
      </c>
      <c r="H61" s="99">
        <f t="shared" si="15"/>
        <v>0.97826086956521741</v>
      </c>
      <c r="I61" s="98">
        <f t="shared" si="15"/>
        <v>1.5625</v>
      </c>
      <c r="J61" s="100">
        <f t="shared" si="15"/>
        <v>1.4444444444444444</v>
      </c>
      <c r="K61" s="100">
        <f t="shared" si="15"/>
        <v>1.4084507042253522</v>
      </c>
      <c r="L61" s="99">
        <f t="shared" si="15"/>
        <v>1.3125</v>
      </c>
      <c r="M61" s="98">
        <f t="shared" si="15"/>
        <v>1.5662650602409638</v>
      </c>
      <c r="N61" s="100">
        <f t="shared" si="15"/>
        <v>1.4210526315789476</v>
      </c>
      <c r="O61" s="100">
        <f t="shared" si="15"/>
        <v>1.4054054054054055</v>
      </c>
      <c r="P61" s="100">
        <f t="shared" si="15"/>
        <v>1.2941176470588236</v>
      </c>
      <c r="Q61" s="99">
        <f t="shared" si="15"/>
        <v>1.4838709677419353</v>
      </c>
    </row>
    <row r="62" spans="1:17" ht="15" customHeight="1" thickTop="1" x14ac:dyDescent="0.3"/>
  </sheetData>
  <mergeCells count="46">
    <mergeCell ref="A53:A55"/>
    <mergeCell ref="A56:A58"/>
    <mergeCell ref="A59:A61"/>
    <mergeCell ref="A38:A40"/>
    <mergeCell ref="A41:A43"/>
    <mergeCell ref="A44:A46"/>
    <mergeCell ref="A47:A49"/>
    <mergeCell ref="A50:A52"/>
    <mergeCell ref="C35:D35"/>
    <mergeCell ref="E35:F35"/>
    <mergeCell ref="G35:H35"/>
    <mergeCell ref="I35:L35"/>
    <mergeCell ref="M35:Q35"/>
    <mergeCell ref="G33:H33"/>
    <mergeCell ref="I33:L33"/>
    <mergeCell ref="M33:Q33"/>
    <mergeCell ref="C34:D34"/>
    <mergeCell ref="E34:F34"/>
    <mergeCell ref="G34:H34"/>
    <mergeCell ref="I34:L34"/>
    <mergeCell ref="M34:Q34"/>
    <mergeCell ref="A22:A24"/>
    <mergeCell ref="A25:A27"/>
    <mergeCell ref="A28:A30"/>
    <mergeCell ref="C33:D33"/>
    <mergeCell ref="E33:F33"/>
    <mergeCell ref="A7:A9"/>
    <mergeCell ref="A10:A12"/>
    <mergeCell ref="A13:A15"/>
    <mergeCell ref="A16:A18"/>
    <mergeCell ref="A19:A21"/>
    <mergeCell ref="C4:D4"/>
    <mergeCell ref="E4:F4"/>
    <mergeCell ref="G4:H4"/>
    <mergeCell ref="I4:L4"/>
    <mergeCell ref="M4:Q4"/>
    <mergeCell ref="C3:D3"/>
    <mergeCell ref="E3:F3"/>
    <mergeCell ref="G3:H3"/>
    <mergeCell ref="I3:L3"/>
    <mergeCell ref="M3:Q3"/>
    <mergeCell ref="C2:D2"/>
    <mergeCell ref="E2:F2"/>
    <mergeCell ref="G2:H2"/>
    <mergeCell ref="I2:L2"/>
    <mergeCell ref="M2:Q2"/>
  </mergeCells>
  <pageMargins left="0.7" right="0.7" top="0.75" bottom="0.75" header="0.511811023622047" footer="0.511811023622047"/>
  <pageSetup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N87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x14ac:dyDescent="0.3">
      <c r="A1" s="8" t="s">
        <v>97</v>
      </c>
    </row>
    <row r="2" spans="1:14" ht="15" customHeight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35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36</v>
      </c>
    </row>
    <row r="5" spans="1:14" ht="15" customHeight="1" x14ac:dyDescent="0.3">
      <c r="B5" s="33" t="s">
        <v>115</v>
      </c>
      <c r="C5" s="40" t="s">
        <v>95</v>
      </c>
      <c r="D5" s="40" t="s">
        <v>95</v>
      </c>
      <c r="E5" s="40" t="s">
        <v>95</v>
      </c>
      <c r="F5" s="40" t="s">
        <v>95</v>
      </c>
      <c r="G5" s="40" t="s">
        <v>95</v>
      </c>
      <c r="H5" s="40" t="s">
        <v>95</v>
      </c>
      <c r="I5" s="40" t="s">
        <v>95</v>
      </c>
      <c r="J5" s="40" t="s">
        <v>95</v>
      </c>
      <c r="K5" s="40" t="s">
        <v>95</v>
      </c>
      <c r="L5" s="40" t="s">
        <v>95</v>
      </c>
      <c r="M5" s="40" t="s">
        <v>95</v>
      </c>
      <c r="N5" s="40" t="s">
        <v>95</v>
      </c>
    </row>
    <row r="6" spans="1:14" ht="15" customHeight="1" x14ac:dyDescent="0.3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x14ac:dyDescent="0.3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3.36</v>
      </c>
      <c r="J7" s="37">
        <v>2.34</v>
      </c>
      <c r="K7" s="37">
        <v>3.23</v>
      </c>
      <c r="L7" s="37">
        <v>3</v>
      </c>
      <c r="M7" s="37">
        <v>2.62</v>
      </c>
      <c r="N7" s="37">
        <v>2.67</v>
      </c>
    </row>
    <row r="8" spans="1:14" ht="15" customHeight="1" x14ac:dyDescent="0.3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3.53</v>
      </c>
      <c r="J8" s="32">
        <v>2.46</v>
      </c>
      <c r="K8" s="32">
        <v>3.38</v>
      </c>
      <c r="L8" s="32">
        <v>3.15</v>
      </c>
      <c r="M8" s="32">
        <v>2.75</v>
      </c>
      <c r="N8" s="32">
        <v>2.79</v>
      </c>
    </row>
    <row r="9" spans="1:14" ht="15" customHeight="1" x14ac:dyDescent="0.3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1.0505952380952381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1.0496183206106871</v>
      </c>
      <c r="N9" s="26">
        <f t="shared" si="0"/>
        <v>1.0449438202247192</v>
      </c>
    </row>
    <row r="10" spans="1:14" ht="15" customHeight="1" x14ac:dyDescent="0.3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4.2</v>
      </c>
      <c r="N10" s="37">
        <v>4.2300000000000004</v>
      </c>
    </row>
    <row r="11" spans="1:14" ht="15" customHeight="1" x14ac:dyDescent="0.3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4.38</v>
      </c>
      <c r="N11" s="32">
        <v>4.3499999999999996</v>
      </c>
    </row>
    <row r="12" spans="1:14" ht="15" customHeight="1" x14ac:dyDescent="0.3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1.0428571428571427</v>
      </c>
      <c r="N12" s="26">
        <f t="shared" si="1"/>
        <v>1.028368794326241</v>
      </c>
    </row>
    <row r="13" spans="1:14" ht="15" customHeight="1" x14ac:dyDescent="0.3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x14ac:dyDescent="0.3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x14ac:dyDescent="0.3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x14ac:dyDescent="0.3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x14ac:dyDescent="0.3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x14ac:dyDescent="0.3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x14ac:dyDescent="0.3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x14ac:dyDescent="0.3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36.64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x14ac:dyDescent="0.3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1.013274336283186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3" spans="1:14" ht="15" customHeight="1" x14ac:dyDescent="0.3">
      <c r="A23" s="8" t="s">
        <v>142</v>
      </c>
    </row>
    <row r="24" spans="1:14" ht="15" customHeight="1" x14ac:dyDescent="0.3">
      <c r="B24" s="15" t="s">
        <v>100</v>
      </c>
      <c r="C24" s="31" t="s">
        <v>13</v>
      </c>
      <c r="D24" s="31" t="s">
        <v>26</v>
      </c>
      <c r="E24" s="31" t="s">
        <v>34</v>
      </c>
      <c r="F24" s="31" t="s">
        <v>34</v>
      </c>
      <c r="G24" s="31" t="s">
        <v>14</v>
      </c>
      <c r="H24" s="31" t="s">
        <v>15</v>
      </c>
      <c r="I24" s="31" t="s">
        <v>17</v>
      </c>
      <c r="J24" s="31" t="s">
        <v>18</v>
      </c>
      <c r="K24" s="31" t="s">
        <v>16</v>
      </c>
      <c r="L24" s="31" t="s">
        <v>20</v>
      </c>
      <c r="M24" s="31" t="s">
        <v>35</v>
      </c>
      <c r="N24" s="31" t="s">
        <v>22</v>
      </c>
    </row>
    <row r="25" spans="1:14" ht="15" customHeight="1" x14ac:dyDescent="0.3">
      <c r="B25" s="18" t="s">
        <v>114</v>
      </c>
      <c r="C25" s="32">
        <v>2</v>
      </c>
      <c r="D25" s="32">
        <v>3.6</v>
      </c>
      <c r="E25" s="32">
        <v>4.8</v>
      </c>
      <c r="F25" s="32">
        <v>4.8</v>
      </c>
      <c r="G25" s="32">
        <v>5</v>
      </c>
      <c r="H25" s="32">
        <v>6</v>
      </c>
      <c r="I25" s="32">
        <v>7.2</v>
      </c>
      <c r="J25" s="32">
        <v>10</v>
      </c>
      <c r="K25" s="32">
        <v>12</v>
      </c>
      <c r="L25" s="32">
        <v>14.4</v>
      </c>
      <c r="M25" s="32">
        <v>38.4</v>
      </c>
      <c r="N25" s="32">
        <v>38.4</v>
      </c>
    </row>
    <row r="26" spans="1:14" ht="15" customHeight="1" x14ac:dyDescent="0.3">
      <c r="B26" s="18" t="s">
        <v>101</v>
      </c>
      <c r="C26" s="32" t="s">
        <v>13</v>
      </c>
      <c r="D26" s="32" t="s">
        <v>26</v>
      </c>
      <c r="E26" s="32" t="s">
        <v>34</v>
      </c>
      <c r="F26" s="32" t="s">
        <v>31</v>
      </c>
      <c r="G26" s="32" t="s">
        <v>14</v>
      </c>
      <c r="H26" s="32" t="s">
        <v>16</v>
      </c>
      <c r="I26" s="32" t="s">
        <v>17</v>
      </c>
      <c r="J26" s="32" t="s">
        <v>18</v>
      </c>
      <c r="K26" s="32" t="s">
        <v>19</v>
      </c>
      <c r="L26" s="32" t="s">
        <v>20</v>
      </c>
      <c r="M26" s="32" t="s">
        <v>35</v>
      </c>
      <c r="N26" s="32" t="s">
        <v>36</v>
      </c>
    </row>
    <row r="27" spans="1:14" ht="15" customHeight="1" x14ac:dyDescent="0.3">
      <c r="B27" s="33" t="s">
        <v>115</v>
      </c>
      <c r="C27" s="40" t="s">
        <v>95</v>
      </c>
      <c r="D27" s="40" t="s">
        <v>95</v>
      </c>
      <c r="E27" s="40" t="s">
        <v>95</v>
      </c>
      <c r="F27" s="40" t="s">
        <v>95</v>
      </c>
      <c r="G27" s="40" t="s">
        <v>95</v>
      </c>
      <c r="H27" s="40" t="s">
        <v>95</v>
      </c>
      <c r="I27" s="40" t="s">
        <v>95</v>
      </c>
      <c r="J27" s="40" t="s">
        <v>95</v>
      </c>
      <c r="K27" s="40" t="s">
        <v>95</v>
      </c>
      <c r="L27" s="40" t="s">
        <v>95</v>
      </c>
      <c r="M27" s="40" t="s">
        <v>95</v>
      </c>
      <c r="N27" s="40" t="s">
        <v>95</v>
      </c>
    </row>
    <row r="28" spans="1:14" ht="15" customHeight="1" x14ac:dyDescent="0.3">
      <c r="A28" s="7" t="s">
        <v>6</v>
      </c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</row>
    <row r="29" spans="1:14" ht="15" customHeight="1" x14ac:dyDescent="0.3">
      <c r="A29" s="128">
        <v>70</v>
      </c>
      <c r="B29" s="30" t="s">
        <v>102</v>
      </c>
      <c r="C29" s="37">
        <v>0.61</v>
      </c>
      <c r="D29" s="37">
        <v>0.99</v>
      </c>
      <c r="E29" s="37">
        <v>0.91</v>
      </c>
      <c r="F29" s="37">
        <v>1.07</v>
      </c>
      <c r="G29" s="37">
        <v>0.55000000000000004</v>
      </c>
      <c r="H29" s="37">
        <v>0.74</v>
      </c>
      <c r="I29" s="37">
        <v>0.79</v>
      </c>
      <c r="J29" s="37">
        <v>0.55000000000000004</v>
      </c>
      <c r="K29" s="37">
        <v>0.75</v>
      </c>
      <c r="L29" s="37">
        <v>0.7</v>
      </c>
      <c r="M29" s="37">
        <v>0.61</v>
      </c>
      <c r="N29" s="37">
        <v>0.67</v>
      </c>
    </row>
    <row r="30" spans="1:14" ht="15.6" x14ac:dyDescent="0.3">
      <c r="A30" s="128"/>
      <c r="B30" s="20" t="s">
        <v>103</v>
      </c>
      <c r="C30" s="32">
        <v>1.1299999999999999</v>
      </c>
      <c r="D30" s="32">
        <v>1.83</v>
      </c>
      <c r="E30" s="32">
        <v>1.68</v>
      </c>
      <c r="F30" s="32">
        <v>1.97</v>
      </c>
      <c r="G30" s="32">
        <v>1.01</v>
      </c>
      <c r="H30" s="32">
        <v>1.37</v>
      </c>
      <c r="I30" s="32">
        <v>1.46</v>
      </c>
      <c r="J30" s="32">
        <v>1.01</v>
      </c>
      <c r="K30" s="32">
        <v>1.4</v>
      </c>
      <c r="L30" s="32">
        <v>1.3</v>
      </c>
      <c r="M30" s="32">
        <v>1.1399999999999999</v>
      </c>
      <c r="N30" s="32">
        <v>1.1499999999999999</v>
      </c>
    </row>
    <row r="31" spans="1:14" ht="15.6" x14ac:dyDescent="0.3">
      <c r="A31" s="128"/>
      <c r="B31" s="38" t="s">
        <v>104</v>
      </c>
      <c r="C31" s="26">
        <f t="shared" ref="C31:N31" si="5">IF(OR(C29="",C30=""),"",C30/C29)</f>
        <v>1.8524590163934425</v>
      </c>
      <c r="D31" s="26">
        <f t="shared" si="5"/>
        <v>1.8484848484848486</v>
      </c>
      <c r="E31" s="26">
        <f t="shared" si="5"/>
        <v>1.846153846153846</v>
      </c>
      <c r="F31" s="26">
        <f t="shared" si="5"/>
        <v>1.8411214953271027</v>
      </c>
      <c r="G31" s="26">
        <f t="shared" si="5"/>
        <v>1.8363636363636362</v>
      </c>
      <c r="H31" s="26">
        <f t="shared" si="5"/>
        <v>1.8513513513513515</v>
      </c>
      <c r="I31" s="26">
        <f t="shared" si="5"/>
        <v>1.8481012658227847</v>
      </c>
      <c r="J31" s="26">
        <f t="shared" si="5"/>
        <v>1.8363636363636362</v>
      </c>
      <c r="K31" s="26">
        <f t="shared" si="5"/>
        <v>1.8666666666666665</v>
      </c>
      <c r="L31" s="26">
        <f t="shared" si="5"/>
        <v>1.8571428571428574</v>
      </c>
      <c r="M31" s="26">
        <f t="shared" si="5"/>
        <v>1.8688524590163933</v>
      </c>
      <c r="N31" s="26">
        <f t="shared" si="5"/>
        <v>1.716417910447761</v>
      </c>
    </row>
    <row r="32" spans="1:14" ht="15.6" x14ac:dyDescent="0.3">
      <c r="A32" s="128">
        <v>80</v>
      </c>
      <c r="B32" s="30" t="s">
        <v>102</v>
      </c>
      <c r="C32" s="37">
        <v>1.07</v>
      </c>
      <c r="D32" s="37">
        <v>1.73</v>
      </c>
      <c r="E32" s="37">
        <v>1.59</v>
      </c>
      <c r="F32" s="37">
        <v>1.83</v>
      </c>
      <c r="G32" s="37">
        <v>0.96</v>
      </c>
      <c r="H32" s="37">
        <v>1.27</v>
      </c>
      <c r="I32" s="37">
        <v>1.38</v>
      </c>
      <c r="J32" s="37">
        <v>0.96</v>
      </c>
      <c r="K32" s="37">
        <v>1.29</v>
      </c>
      <c r="L32" s="37">
        <v>1.23</v>
      </c>
      <c r="M32" s="37">
        <v>1.08</v>
      </c>
      <c r="N32" s="37">
        <v>1.07</v>
      </c>
    </row>
    <row r="33" spans="1:14" ht="15.6" x14ac:dyDescent="0.3">
      <c r="A33" s="128"/>
      <c r="B33" s="20" t="s">
        <v>103</v>
      </c>
      <c r="C33" s="32">
        <v>1.86</v>
      </c>
      <c r="D33" s="32">
        <v>3.01</v>
      </c>
      <c r="E33" s="32">
        <v>2.77</v>
      </c>
      <c r="F33" s="32">
        <v>3.18</v>
      </c>
      <c r="G33" s="32">
        <v>1.67</v>
      </c>
      <c r="H33" s="32">
        <v>2.21</v>
      </c>
      <c r="I33" s="32">
        <v>2.4</v>
      </c>
      <c r="J33" s="32">
        <v>1.67</v>
      </c>
      <c r="K33" s="32">
        <v>2.25</v>
      </c>
      <c r="L33" s="32">
        <v>2.14</v>
      </c>
      <c r="M33" s="32">
        <v>1.87</v>
      </c>
      <c r="N33" s="32">
        <v>1.86</v>
      </c>
    </row>
    <row r="34" spans="1:14" ht="15.6" x14ac:dyDescent="0.3">
      <c r="A34" s="128"/>
      <c r="B34" s="38" t="s">
        <v>104</v>
      </c>
      <c r="C34" s="26">
        <f t="shared" ref="C34:N34" si="6">IF(OR(C32="",C33=""),"",C33/C32)</f>
        <v>1.7383177570093458</v>
      </c>
      <c r="D34" s="26">
        <f t="shared" si="6"/>
        <v>1.7398843930635837</v>
      </c>
      <c r="E34" s="26">
        <f t="shared" si="6"/>
        <v>1.742138364779874</v>
      </c>
      <c r="F34" s="26">
        <f t="shared" si="6"/>
        <v>1.7377049180327868</v>
      </c>
      <c r="G34" s="26">
        <f t="shared" si="6"/>
        <v>1.7395833333333333</v>
      </c>
      <c r="H34" s="26">
        <f t="shared" si="6"/>
        <v>1.7401574803149606</v>
      </c>
      <c r="I34" s="26">
        <f t="shared" si="6"/>
        <v>1.7391304347826089</v>
      </c>
      <c r="J34" s="26">
        <f t="shared" si="6"/>
        <v>1.7395833333333333</v>
      </c>
      <c r="K34" s="26">
        <f t="shared" si="6"/>
        <v>1.7441860465116279</v>
      </c>
      <c r="L34" s="26">
        <f t="shared" si="6"/>
        <v>1.7398373983739839</v>
      </c>
      <c r="M34" s="26">
        <f t="shared" si="6"/>
        <v>1.7314814814814814</v>
      </c>
      <c r="N34" s="26">
        <f t="shared" si="6"/>
        <v>1.7383177570093458</v>
      </c>
    </row>
    <row r="35" spans="1:14" ht="15.6" x14ac:dyDescent="0.3">
      <c r="A35" s="128">
        <v>100</v>
      </c>
      <c r="B35" s="30" t="s">
        <v>102</v>
      </c>
      <c r="C35" s="37">
        <v>2.4300000000000002</v>
      </c>
      <c r="D35" s="37">
        <v>3.94</v>
      </c>
      <c r="E35" s="37">
        <v>3.62</v>
      </c>
      <c r="F35" s="37">
        <v>4.1900000000000004</v>
      </c>
      <c r="G35" s="37">
        <v>2.1800000000000002</v>
      </c>
      <c r="H35" s="37">
        <v>2.91</v>
      </c>
      <c r="I35" s="37">
        <v>3.14</v>
      </c>
      <c r="J35" s="37">
        <v>2.1800000000000002</v>
      </c>
      <c r="K35" s="37">
        <v>2.96</v>
      </c>
      <c r="L35" s="37">
        <v>2.8</v>
      </c>
      <c r="M35" s="37">
        <v>2.44</v>
      </c>
      <c r="N35" s="37">
        <v>2.4500000000000002</v>
      </c>
    </row>
    <row r="36" spans="1:14" ht="15.6" x14ac:dyDescent="0.3">
      <c r="A36" s="128"/>
      <c r="B36" s="20" t="s">
        <v>103</v>
      </c>
      <c r="C36" s="32">
        <v>3.9</v>
      </c>
      <c r="D36" s="32">
        <v>6.32</v>
      </c>
      <c r="E36" s="32">
        <v>5.81</v>
      </c>
      <c r="F36" s="32">
        <v>6.75</v>
      </c>
      <c r="G36" s="32">
        <v>3.5</v>
      </c>
      <c r="H36" s="32">
        <v>4.68</v>
      </c>
      <c r="I36" s="32">
        <v>5.03</v>
      </c>
      <c r="J36" s="32">
        <v>3.5</v>
      </c>
      <c r="K36" s="32">
        <v>4.7699999999999996</v>
      </c>
      <c r="L36" s="32">
        <v>4.49</v>
      </c>
      <c r="M36" s="32">
        <v>3.92</v>
      </c>
      <c r="N36" s="32">
        <v>3.94</v>
      </c>
    </row>
    <row r="37" spans="1:14" ht="15.6" x14ac:dyDescent="0.3">
      <c r="A37" s="128"/>
      <c r="B37" s="38" t="s">
        <v>104</v>
      </c>
      <c r="C37" s="26">
        <f t="shared" ref="C37:N37" si="7">IF(OR(C35="",C36=""),"",C36/C35)</f>
        <v>1.6049382716049381</v>
      </c>
      <c r="D37" s="26">
        <f t="shared" si="7"/>
        <v>1.6040609137055839</v>
      </c>
      <c r="E37" s="26">
        <f t="shared" si="7"/>
        <v>1.6049723756906076</v>
      </c>
      <c r="F37" s="26">
        <f t="shared" si="7"/>
        <v>1.610978520286396</v>
      </c>
      <c r="G37" s="26">
        <f t="shared" si="7"/>
        <v>1.6055045871559632</v>
      </c>
      <c r="H37" s="26">
        <f t="shared" si="7"/>
        <v>1.6082474226804122</v>
      </c>
      <c r="I37" s="26">
        <f t="shared" si="7"/>
        <v>1.6019108280254777</v>
      </c>
      <c r="J37" s="26">
        <f t="shared" si="7"/>
        <v>1.6055045871559632</v>
      </c>
      <c r="K37" s="26">
        <f t="shared" si="7"/>
        <v>1.6114864864864864</v>
      </c>
      <c r="L37" s="26">
        <f t="shared" si="7"/>
        <v>1.6035714285714286</v>
      </c>
      <c r="M37" s="26">
        <f t="shared" si="7"/>
        <v>1.6065573770491803</v>
      </c>
      <c r="N37" s="26">
        <f t="shared" si="7"/>
        <v>1.6081632653061224</v>
      </c>
    </row>
    <row r="38" spans="1:14" ht="15.6" x14ac:dyDescent="0.3">
      <c r="A38" s="128">
        <v>120</v>
      </c>
      <c r="B38" s="30" t="s">
        <v>102</v>
      </c>
      <c r="C38" s="37">
        <v>4.28</v>
      </c>
      <c r="D38" s="37">
        <v>6.93</v>
      </c>
      <c r="E38" s="37">
        <v>6.37</v>
      </c>
      <c r="F38" s="37">
        <v>7.5</v>
      </c>
      <c r="G38" s="37">
        <v>3.84</v>
      </c>
      <c r="H38" s="37">
        <v>5.2</v>
      </c>
      <c r="I38" s="37">
        <v>5.52</v>
      </c>
      <c r="J38" s="37">
        <v>3.84</v>
      </c>
      <c r="K38" s="37">
        <v>5.3</v>
      </c>
      <c r="L38" s="37">
        <v>4.93</v>
      </c>
      <c r="M38" s="37">
        <v>4.3</v>
      </c>
      <c r="N38" s="37">
        <v>4.37</v>
      </c>
    </row>
    <row r="39" spans="1:14" ht="15.6" x14ac:dyDescent="0.3">
      <c r="A39" s="128"/>
      <c r="B39" s="20" t="s">
        <v>103</v>
      </c>
      <c r="C39" s="32">
        <v>6.61</v>
      </c>
      <c r="D39" s="32">
        <v>10.7</v>
      </c>
      <c r="E39" s="32">
        <v>9.84</v>
      </c>
      <c r="F39" s="32">
        <v>11.55</v>
      </c>
      <c r="G39" s="32">
        <v>5.93</v>
      </c>
      <c r="H39" s="32">
        <v>8.01</v>
      </c>
      <c r="I39" s="32">
        <v>8.5299999999999994</v>
      </c>
      <c r="J39" s="32">
        <v>5.93</v>
      </c>
      <c r="K39" s="32">
        <v>8.16</v>
      </c>
      <c r="L39" s="32">
        <v>7.61</v>
      </c>
      <c r="M39" s="32">
        <v>6.64</v>
      </c>
      <c r="N39" s="32">
        <v>6.74</v>
      </c>
    </row>
    <row r="40" spans="1:14" ht="15.6" x14ac:dyDescent="0.3">
      <c r="A40" s="128"/>
      <c r="B40" s="38" t="s">
        <v>104</v>
      </c>
      <c r="C40" s="26">
        <f t="shared" ref="C40:N40" si="8">IF(OR(C38="",C39=""),"",C39/C38)</f>
        <v>1.544392523364486</v>
      </c>
      <c r="D40" s="26">
        <f t="shared" si="8"/>
        <v>1.5440115440115441</v>
      </c>
      <c r="E40" s="26">
        <f t="shared" si="8"/>
        <v>1.5447409733124018</v>
      </c>
      <c r="F40" s="26">
        <f t="shared" si="8"/>
        <v>1.54</v>
      </c>
      <c r="G40" s="26">
        <f t="shared" si="8"/>
        <v>1.5442708333333333</v>
      </c>
      <c r="H40" s="26">
        <f t="shared" si="8"/>
        <v>1.5403846153846152</v>
      </c>
      <c r="I40" s="26">
        <f t="shared" si="8"/>
        <v>1.5452898550724639</v>
      </c>
      <c r="J40" s="26">
        <f t="shared" si="8"/>
        <v>1.5442708333333333</v>
      </c>
      <c r="K40" s="26">
        <f t="shared" si="8"/>
        <v>1.5396226415094341</v>
      </c>
      <c r="L40" s="26">
        <f t="shared" si="8"/>
        <v>1.543610547667343</v>
      </c>
      <c r="M40" s="26">
        <f t="shared" si="8"/>
        <v>1.5441860465116279</v>
      </c>
      <c r="N40" s="26">
        <f t="shared" si="8"/>
        <v>1.5423340961098397</v>
      </c>
    </row>
    <row r="41" spans="1:14" ht="15.6" x14ac:dyDescent="0.3">
      <c r="A41" s="128">
        <v>140</v>
      </c>
      <c r="B41" s="30" t="s">
        <v>102</v>
      </c>
      <c r="C41" s="37">
        <v>6.57</v>
      </c>
      <c r="D41" s="37">
        <v>10.64</v>
      </c>
      <c r="E41" s="37">
        <v>9.7799999999999994</v>
      </c>
      <c r="F41" s="37">
        <v>11.59</v>
      </c>
      <c r="G41" s="37">
        <v>5.89</v>
      </c>
      <c r="H41" s="37">
        <v>8.0299999999999994</v>
      </c>
      <c r="I41" s="37">
        <v>8.4700000000000006</v>
      </c>
      <c r="J41" s="37">
        <v>5.89</v>
      </c>
      <c r="K41" s="37">
        <v>8.19</v>
      </c>
      <c r="L41" s="37">
        <v>7.56</v>
      </c>
      <c r="M41" s="37">
        <v>6.6</v>
      </c>
      <c r="N41" s="37">
        <v>6.76</v>
      </c>
    </row>
    <row r="42" spans="1:14" ht="15.6" x14ac:dyDescent="0.3">
      <c r="A42" s="128"/>
      <c r="B42" s="20" t="s">
        <v>103</v>
      </c>
      <c r="C42" s="32">
        <v>9.94</v>
      </c>
      <c r="D42" s="32">
        <v>16.09</v>
      </c>
      <c r="E42" s="32">
        <v>14.79</v>
      </c>
      <c r="F42" s="32">
        <v>17.62</v>
      </c>
      <c r="G42" s="32">
        <v>8.91</v>
      </c>
      <c r="H42" s="32">
        <v>12.22</v>
      </c>
      <c r="I42" s="32">
        <v>12.81</v>
      </c>
      <c r="J42" s="32">
        <v>8.91</v>
      </c>
      <c r="K42" s="32">
        <v>12.45</v>
      </c>
      <c r="L42" s="32">
        <v>11.43</v>
      </c>
      <c r="M42" s="32">
        <v>9.98</v>
      </c>
      <c r="N42" s="32">
        <v>10.28</v>
      </c>
    </row>
    <row r="43" spans="1:14" ht="15.6" x14ac:dyDescent="0.3">
      <c r="A43" s="128"/>
      <c r="B43" s="38" t="s">
        <v>104</v>
      </c>
      <c r="C43" s="26">
        <f t="shared" ref="C43:N43" si="9">IF(OR(C41="",C42=""),"",C42/C41)</f>
        <v>1.5129375951293758</v>
      </c>
      <c r="D43" s="26">
        <f t="shared" si="9"/>
        <v>1.5122180451127818</v>
      </c>
      <c r="E43" s="26">
        <f t="shared" si="9"/>
        <v>1.5122699386503067</v>
      </c>
      <c r="F43" s="26">
        <f t="shared" si="9"/>
        <v>1.5202761000862814</v>
      </c>
      <c r="G43" s="26">
        <f t="shared" si="9"/>
        <v>1.5127334465195248</v>
      </c>
      <c r="H43" s="26">
        <f t="shared" si="9"/>
        <v>1.5217932752179331</v>
      </c>
      <c r="I43" s="26">
        <f t="shared" si="9"/>
        <v>1.5123966942148759</v>
      </c>
      <c r="J43" s="26">
        <f t="shared" si="9"/>
        <v>1.5127334465195248</v>
      </c>
      <c r="K43" s="26">
        <f t="shared" si="9"/>
        <v>1.5201465201465201</v>
      </c>
      <c r="L43" s="26">
        <f t="shared" si="9"/>
        <v>1.5119047619047619</v>
      </c>
      <c r="M43" s="26">
        <f t="shared" si="9"/>
        <v>1.5121212121212122</v>
      </c>
      <c r="N43" s="26">
        <f t="shared" si="9"/>
        <v>1.5207100591715976</v>
      </c>
    </row>
    <row r="45" spans="1:14" ht="15.6" x14ac:dyDescent="0.3">
      <c r="A45" s="8" t="s">
        <v>143</v>
      </c>
    </row>
    <row r="46" spans="1:14" ht="15.6" x14ac:dyDescent="0.3">
      <c r="B46" s="15" t="s">
        <v>100</v>
      </c>
      <c r="C46" s="31" t="s">
        <v>13</v>
      </c>
      <c r="D46" s="31" t="s">
        <v>26</v>
      </c>
      <c r="E46" s="31" t="s">
        <v>34</v>
      </c>
      <c r="F46" s="31" t="s">
        <v>34</v>
      </c>
      <c r="G46" s="31" t="s">
        <v>14</v>
      </c>
      <c r="H46" s="31" t="s">
        <v>15</v>
      </c>
      <c r="I46" s="31" t="s">
        <v>17</v>
      </c>
      <c r="J46" s="31" t="s">
        <v>18</v>
      </c>
      <c r="K46" s="31" t="s">
        <v>16</v>
      </c>
      <c r="L46" s="31" t="s">
        <v>20</v>
      </c>
      <c r="M46" s="31" t="s">
        <v>35</v>
      </c>
      <c r="N46" s="31" t="s">
        <v>22</v>
      </c>
    </row>
    <row r="47" spans="1:14" ht="15.6" x14ac:dyDescent="0.3">
      <c r="B47" s="18" t="s">
        <v>114</v>
      </c>
      <c r="C47" s="32">
        <v>2</v>
      </c>
      <c r="D47" s="32">
        <v>3.6</v>
      </c>
      <c r="E47" s="32">
        <v>4.8</v>
      </c>
      <c r="F47" s="32">
        <v>4.8</v>
      </c>
      <c r="G47" s="32">
        <v>5</v>
      </c>
      <c r="H47" s="32">
        <v>6</v>
      </c>
      <c r="I47" s="32">
        <v>7.2</v>
      </c>
      <c r="J47" s="32">
        <v>10</v>
      </c>
      <c r="K47" s="32">
        <v>12</v>
      </c>
      <c r="L47" s="32">
        <v>14.4</v>
      </c>
      <c r="M47" s="32">
        <v>38.4</v>
      </c>
      <c r="N47" s="32">
        <v>38.4</v>
      </c>
    </row>
    <row r="48" spans="1:14" ht="15.6" x14ac:dyDescent="0.3">
      <c r="B48" s="18" t="s">
        <v>101</v>
      </c>
      <c r="C48" s="32" t="s">
        <v>13</v>
      </c>
      <c r="D48" s="32" t="s">
        <v>26</v>
      </c>
      <c r="E48" s="32" t="s">
        <v>34</v>
      </c>
      <c r="F48" s="32" t="s">
        <v>31</v>
      </c>
      <c r="G48" s="32" t="s">
        <v>14</v>
      </c>
      <c r="H48" s="32" t="s">
        <v>16</v>
      </c>
      <c r="I48" s="32" t="s">
        <v>17</v>
      </c>
      <c r="J48" s="32" t="s">
        <v>18</v>
      </c>
      <c r="K48" s="32" t="s">
        <v>19</v>
      </c>
      <c r="L48" s="32" t="s">
        <v>20</v>
      </c>
      <c r="M48" s="32" t="s">
        <v>35</v>
      </c>
      <c r="N48" s="32" t="s">
        <v>36</v>
      </c>
    </row>
    <row r="49" spans="1:14" ht="15.6" x14ac:dyDescent="0.3">
      <c r="B49" s="33" t="s">
        <v>115</v>
      </c>
      <c r="C49" s="40" t="s">
        <v>96</v>
      </c>
      <c r="D49" s="40" t="s">
        <v>96</v>
      </c>
      <c r="E49" s="40" t="s">
        <v>96</v>
      </c>
      <c r="F49" s="40" t="s">
        <v>96</v>
      </c>
      <c r="G49" s="40" t="s">
        <v>96</v>
      </c>
      <c r="H49" s="40" t="s">
        <v>96</v>
      </c>
      <c r="I49" s="40" t="s">
        <v>96</v>
      </c>
      <c r="J49" s="40" t="s">
        <v>96</v>
      </c>
      <c r="K49" s="40" t="s">
        <v>96</v>
      </c>
      <c r="L49" s="40" t="s">
        <v>96</v>
      </c>
      <c r="M49" s="40" t="s">
        <v>96</v>
      </c>
      <c r="N49" s="40" t="s">
        <v>96</v>
      </c>
    </row>
    <row r="50" spans="1:14" ht="15.6" x14ac:dyDescent="0.3">
      <c r="A50" s="1" t="s">
        <v>6</v>
      </c>
      <c r="B50" s="35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</row>
    <row r="51" spans="1:14" ht="15.6" x14ac:dyDescent="0.3">
      <c r="A51" s="144">
        <v>70</v>
      </c>
      <c r="B51" s="30" t="s">
        <v>102</v>
      </c>
      <c r="C51" s="37">
        <v>2.36</v>
      </c>
      <c r="D51" s="37">
        <v>3.83</v>
      </c>
      <c r="E51" s="37">
        <v>3.52</v>
      </c>
      <c r="F51" s="37">
        <v>4.12</v>
      </c>
      <c r="G51" s="37">
        <v>2.12</v>
      </c>
      <c r="H51" s="37">
        <v>2.86</v>
      </c>
      <c r="I51" s="37">
        <v>3.05</v>
      </c>
      <c r="J51" s="37">
        <v>2.12</v>
      </c>
      <c r="K51" s="37">
        <v>2.91</v>
      </c>
      <c r="L51" s="37">
        <v>2.72</v>
      </c>
      <c r="M51" s="37">
        <v>2.38</v>
      </c>
      <c r="N51" s="37">
        <v>2.4</v>
      </c>
    </row>
    <row r="52" spans="1:14" ht="15.6" x14ac:dyDescent="0.3">
      <c r="A52" s="144"/>
      <c r="B52" s="20" t="s">
        <v>103</v>
      </c>
      <c r="C52" s="32">
        <v>2.36</v>
      </c>
      <c r="D52" s="32">
        <v>3.81</v>
      </c>
      <c r="E52" s="32">
        <v>3.51</v>
      </c>
      <c r="F52" s="32">
        <v>4.07</v>
      </c>
      <c r="G52" s="32">
        <v>2.11</v>
      </c>
      <c r="H52" s="32">
        <v>2.82</v>
      </c>
      <c r="I52" s="32">
        <v>3.04</v>
      </c>
      <c r="J52" s="32">
        <v>2.11</v>
      </c>
      <c r="K52" s="32">
        <v>2.88</v>
      </c>
      <c r="L52" s="32">
        <v>2.71</v>
      </c>
      <c r="M52" s="32">
        <v>2.37</v>
      </c>
      <c r="N52" s="32">
        <v>2.37</v>
      </c>
    </row>
    <row r="53" spans="1:14" ht="15.6" x14ac:dyDescent="0.3">
      <c r="A53" s="144"/>
      <c r="B53" s="38" t="s">
        <v>104</v>
      </c>
      <c r="C53" s="26">
        <f t="shared" ref="C53:N53" si="10">IF(OR(C51="",C52=""),"",C52/C51)</f>
        <v>1</v>
      </c>
      <c r="D53" s="26">
        <f t="shared" si="10"/>
        <v>0.99477806788511747</v>
      </c>
      <c r="E53" s="26">
        <f t="shared" si="10"/>
        <v>0.99715909090909083</v>
      </c>
      <c r="F53" s="26">
        <f t="shared" si="10"/>
        <v>0.98786407766990292</v>
      </c>
      <c r="G53" s="26">
        <f t="shared" si="10"/>
        <v>0.99528301886792447</v>
      </c>
      <c r="H53" s="26">
        <f t="shared" si="10"/>
        <v>0.98601398601398604</v>
      </c>
      <c r="I53" s="26">
        <f t="shared" si="10"/>
        <v>0.99672131147540988</v>
      </c>
      <c r="J53" s="26">
        <f t="shared" si="10"/>
        <v>0.99528301886792447</v>
      </c>
      <c r="K53" s="26">
        <f t="shared" si="10"/>
        <v>0.98969072164948446</v>
      </c>
      <c r="L53" s="26">
        <f t="shared" si="10"/>
        <v>0.99632352941176461</v>
      </c>
      <c r="M53" s="26">
        <f t="shared" si="10"/>
        <v>0.99579831932773122</v>
      </c>
      <c r="N53" s="26">
        <f t="shared" si="10"/>
        <v>0.98750000000000004</v>
      </c>
    </row>
    <row r="54" spans="1:14" ht="15.6" x14ac:dyDescent="0.3">
      <c r="A54" s="128">
        <v>80</v>
      </c>
      <c r="B54" s="30" t="s">
        <v>102</v>
      </c>
      <c r="C54" s="37">
        <v>3.81</v>
      </c>
      <c r="D54" s="37">
        <v>6.17</v>
      </c>
      <c r="E54" s="37">
        <v>5.67</v>
      </c>
      <c r="F54" s="37">
        <v>6.58</v>
      </c>
      <c r="G54" s="37">
        <v>3.42</v>
      </c>
      <c r="H54" s="37">
        <v>4.5599999999999996</v>
      </c>
      <c r="I54" s="37">
        <v>4.92</v>
      </c>
      <c r="J54" s="37">
        <v>3.42</v>
      </c>
      <c r="K54" s="37">
        <v>4.6500000000000004</v>
      </c>
      <c r="L54" s="37">
        <v>4.3899999999999997</v>
      </c>
      <c r="M54" s="37">
        <v>3.83</v>
      </c>
      <c r="N54" s="37">
        <v>3.84</v>
      </c>
    </row>
    <row r="55" spans="1:14" ht="15.6" x14ac:dyDescent="0.3">
      <c r="A55" s="128"/>
      <c r="B55" s="20" t="s">
        <v>103</v>
      </c>
      <c r="C55" s="32">
        <v>3.78</v>
      </c>
      <c r="D55" s="32">
        <v>6.12</v>
      </c>
      <c r="E55" s="32">
        <v>5.63</v>
      </c>
      <c r="F55" s="32">
        <v>6.44</v>
      </c>
      <c r="G55" s="32">
        <v>3.39</v>
      </c>
      <c r="H55" s="32">
        <v>4.47</v>
      </c>
      <c r="I55" s="32">
        <v>4.88</v>
      </c>
      <c r="J55" s="32">
        <v>3.39</v>
      </c>
      <c r="K55" s="32">
        <v>4.55</v>
      </c>
      <c r="L55" s="32">
        <v>4.3899999999999997</v>
      </c>
      <c r="M55" s="32">
        <v>3.8</v>
      </c>
      <c r="N55" s="32">
        <v>3.76</v>
      </c>
    </row>
    <row r="56" spans="1:14" ht="15.6" x14ac:dyDescent="0.3">
      <c r="A56" s="128"/>
      <c r="B56" s="38" t="s">
        <v>104</v>
      </c>
      <c r="C56" s="26">
        <f t="shared" ref="C56:N56" si="11">IF(OR(C54="",C55=""),"",C55/C54)</f>
        <v>0.99212598425196841</v>
      </c>
      <c r="D56" s="26">
        <f t="shared" si="11"/>
        <v>0.99189627228525123</v>
      </c>
      <c r="E56" s="26">
        <f t="shared" si="11"/>
        <v>0.99294532627865961</v>
      </c>
      <c r="F56" s="26">
        <f t="shared" si="11"/>
        <v>0.97872340425531923</v>
      </c>
      <c r="G56" s="26">
        <f t="shared" si="11"/>
        <v>0.99122807017543868</v>
      </c>
      <c r="H56" s="26">
        <f t="shared" si="11"/>
        <v>0.98026315789473684</v>
      </c>
      <c r="I56" s="26">
        <f t="shared" si="11"/>
        <v>0.99186991869918695</v>
      </c>
      <c r="J56" s="26">
        <f t="shared" si="11"/>
        <v>0.99122807017543868</v>
      </c>
      <c r="K56" s="26">
        <f t="shared" si="11"/>
        <v>0.97849462365591389</v>
      </c>
      <c r="L56" s="26">
        <f t="shared" si="11"/>
        <v>1</v>
      </c>
      <c r="M56" s="26">
        <f t="shared" si="11"/>
        <v>0.9921671018276762</v>
      </c>
      <c r="N56" s="26">
        <f t="shared" si="11"/>
        <v>0.97916666666666663</v>
      </c>
    </row>
    <row r="57" spans="1:14" ht="15.6" x14ac:dyDescent="0.3">
      <c r="A57" s="128">
        <v>100</v>
      </c>
      <c r="B57" s="30" t="s">
        <v>102</v>
      </c>
      <c r="C57" s="37">
        <v>7.81</v>
      </c>
      <c r="D57" s="37">
        <v>12.65</v>
      </c>
      <c r="E57" s="37">
        <v>11.63</v>
      </c>
      <c r="F57" s="37">
        <v>13.53</v>
      </c>
      <c r="G57" s="37">
        <v>7.01</v>
      </c>
      <c r="H57" s="37">
        <v>9.3800000000000008</v>
      </c>
      <c r="I57" s="37">
        <v>10.08</v>
      </c>
      <c r="J57" s="37">
        <v>7.01</v>
      </c>
      <c r="K57" s="37">
        <v>9.56</v>
      </c>
      <c r="L57" s="37">
        <v>8.99</v>
      </c>
      <c r="M57" s="37">
        <v>7.85</v>
      </c>
      <c r="N57" s="37">
        <v>7.89</v>
      </c>
    </row>
    <row r="58" spans="1:14" ht="15.6" x14ac:dyDescent="0.3">
      <c r="A58" s="128"/>
      <c r="B58" s="20" t="s">
        <v>103</v>
      </c>
      <c r="C58" s="32">
        <v>7.69</v>
      </c>
      <c r="D58" s="32">
        <v>12.45</v>
      </c>
      <c r="E58" s="32">
        <v>11.44</v>
      </c>
      <c r="F58" s="32">
        <v>13.14</v>
      </c>
      <c r="G58" s="32">
        <v>6.9</v>
      </c>
      <c r="H58" s="32">
        <v>9.11</v>
      </c>
      <c r="I58" s="32">
        <v>9.92</v>
      </c>
      <c r="J58" s="32">
        <v>6.9</v>
      </c>
      <c r="K58" s="32">
        <v>9.2899999999999991</v>
      </c>
      <c r="L58" s="32">
        <v>8.85</v>
      </c>
      <c r="M58" s="32">
        <v>7.72</v>
      </c>
      <c r="N58" s="32">
        <v>7.67</v>
      </c>
    </row>
    <row r="59" spans="1:14" ht="15.6" x14ac:dyDescent="0.3">
      <c r="A59" s="128"/>
      <c r="B59" s="38" t="s">
        <v>104</v>
      </c>
      <c r="C59" s="26">
        <f t="shared" ref="C59:N59" si="12">IF(OR(C57="",C58=""),"",C58/C57)</f>
        <v>0.98463508322663262</v>
      </c>
      <c r="D59" s="26">
        <f t="shared" si="12"/>
        <v>0.98418972332015797</v>
      </c>
      <c r="E59" s="26">
        <f t="shared" si="12"/>
        <v>0.98366294067067916</v>
      </c>
      <c r="F59" s="26">
        <f t="shared" si="12"/>
        <v>0.97117516629711764</v>
      </c>
      <c r="G59" s="26">
        <f t="shared" si="12"/>
        <v>0.98430813124108429</v>
      </c>
      <c r="H59" s="26">
        <f t="shared" si="12"/>
        <v>0.97121535181236662</v>
      </c>
      <c r="I59" s="26">
        <f t="shared" si="12"/>
        <v>0.98412698412698407</v>
      </c>
      <c r="J59" s="26">
        <f t="shared" si="12"/>
        <v>0.98430813124108429</v>
      </c>
      <c r="K59" s="26">
        <f t="shared" si="12"/>
        <v>0.97175732217573207</v>
      </c>
      <c r="L59" s="26">
        <f t="shared" si="12"/>
        <v>0.98442714126807562</v>
      </c>
      <c r="M59" s="26">
        <f t="shared" si="12"/>
        <v>0.98343949044585988</v>
      </c>
      <c r="N59" s="26">
        <f t="shared" si="12"/>
        <v>0.97211660329531058</v>
      </c>
    </row>
    <row r="60" spans="1:14" ht="15.6" x14ac:dyDescent="0.3">
      <c r="A60" s="128">
        <v>120</v>
      </c>
      <c r="B60" s="30" t="s">
        <v>102</v>
      </c>
      <c r="C60" s="37">
        <v>12.93</v>
      </c>
      <c r="D60" s="37">
        <v>20.93</v>
      </c>
      <c r="E60" s="37">
        <v>19.23</v>
      </c>
      <c r="F60" s="37">
        <v>22.53</v>
      </c>
      <c r="G60" s="37">
        <v>11.6</v>
      </c>
      <c r="H60" s="37">
        <v>15.62</v>
      </c>
      <c r="I60" s="37">
        <v>16.670000000000002</v>
      </c>
      <c r="J60" s="37">
        <v>11.6</v>
      </c>
      <c r="K60" s="37">
        <v>15.92</v>
      </c>
      <c r="L60" s="37">
        <v>14.87</v>
      </c>
      <c r="M60" s="37">
        <v>12.98</v>
      </c>
      <c r="N60" s="37">
        <v>13.14</v>
      </c>
    </row>
    <row r="61" spans="1:14" ht="15.6" x14ac:dyDescent="0.3">
      <c r="A61" s="128"/>
      <c r="B61" s="20" t="s">
        <v>103</v>
      </c>
      <c r="C61" s="32">
        <v>12.68</v>
      </c>
      <c r="D61" s="32">
        <v>20.52</v>
      </c>
      <c r="E61" s="32">
        <v>18.86</v>
      </c>
      <c r="F61" s="32">
        <v>21.91</v>
      </c>
      <c r="G61" s="32">
        <v>11.37</v>
      </c>
      <c r="H61" s="32">
        <v>16.190000000000001</v>
      </c>
      <c r="I61" s="32">
        <v>16.350000000000001</v>
      </c>
      <c r="J61" s="32">
        <v>11.37</v>
      </c>
      <c r="K61" s="32">
        <v>15.48</v>
      </c>
      <c r="L61" s="32">
        <v>14.59</v>
      </c>
      <c r="M61" s="32">
        <v>12.73</v>
      </c>
      <c r="N61" s="32">
        <v>12.78</v>
      </c>
    </row>
    <row r="62" spans="1:14" ht="15.6" x14ac:dyDescent="0.3">
      <c r="A62" s="128"/>
      <c r="B62" s="38" t="s">
        <v>104</v>
      </c>
      <c r="C62" s="26">
        <f t="shared" ref="C62:N62" si="13">IF(OR(C60="",C61=""),"",C61/C60)</f>
        <v>0.98066511987625682</v>
      </c>
      <c r="D62" s="26">
        <f t="shared" si="13"/>
        <v>0.98041089345437171</v>
      </c>
      <c r="E62" s="26">
        <f t="shared" si="13"/>
        <v>0.98075923036921475</v>
      </c>
      <c r="F62" s="26">
        <f t="shared" si="13"/>
        <v>0.97248113626276067</v>
      </c>
      <c r="G62" s="26">
        <f t="shared" si="13"/>
        <v>0.98017241379310338</v>
      </c>
      <c r="H62" s="26">
        <f t="shared" si="13"/>
        <v>1.0364916773367479</v>
      </c>
      <c r="I62" s="26">
        <f t="shared" si="13"/>
        <v>0.98080383923215353</v>
      </c>
      <c r="J62" s="26">
        <f t="shared" si="13"/>
        <v>0.98017241379310338</v>
      </c>
      <c r="K62" s="26">
        <f t="shared" si="13"/>
        <v>0.97236180904522618</v>
      </c>
      <c r="L62" s="26">
        <f t="shared" si="13"/>
        <v>0.98117014122394086</v>
      </c>
      <c r="M62" s="26">
        <f t="shared" si="13"/>
        <v>0.98073959938366717</v>
      </c>
      <c r="N62" s="26">
        <f t="shared" si="13"/>
        <v>0.97260273972602729</v>
      </c>
    </row>
    <row r="63" spans="1:14" ht="15.6" x14ac:dyDescent="0.3">
      <c r="A63" s="128">
        <v>140</v>
      </c>
      <c r="B63" s="30" t="s">
        <v>102</v>
      </c>
      <c r="C63" s="37">
        <v>18.829999999999998</v>
      </c>
      <c r="D63" s="37">
        <v>30.49</v>
      </c>
      <c r="E63" s="37">
        <v>28.02</v>
      </c>
      <c r="F63" s="37">
        <v>33.71</v>
      </c>
      <c r="G63" s="37">
        <v>16.89</v>
      </c>
      <c r="H63" s="37">
        <v>23.38</v>
      </c>
      <c r="I63" s="37">
        <v>24.29</v>
      </c>
      <c r="J63" s="37">
        <v>16.89</v>
      </c>
      <c r="K63" s="37">
        <v>23.82</v>
      </c>
      <c r="L63" s="37">
        <v>21.67</v>
      </c>
      <c r="M63" s="37">
        <v>18.91</v>
      </c>
      <c r="N63" s="37">
        <v>19.670000000000002</v>
      </c>
    </row>
    <row r="64" spans="1:14" ht="15.6" x14ac:dyDescent="0.3">
      <c r="A64" s="128"/>
      <c r="B64" s="20" t="s">
        <v>103</v>
      </c>
      <c r="C64" s="32">
        <v>18.5</v>
      </c>
      <c r="D64" s="32">
        <v>29.95</v>
      </c>
      <c r="E64" s="32">
        <v>27.53</v>
      </c>
      <c r="F64" s="32">
        <v>32.85</v>
      </c>
      <c r="G64" s="32">
        <v>16.600000000000001</v>
      </c>
      <c r="H64" s="32">
        <v>22.77</v>
      </c>
      <c r="I64" s="32">
        <v>23.86</v>
      </c>
      <c r="J64" s="32">
        <v>16.600000000000001</v>
      </c>
      <c r="K64" s="32">
        <v>23.21</v>
      </c>
      <c r="L64" s="32">
        <v>21.29</v>
      </c>
      <c r="M64" s="32">
        <v>18.579999999999998</v>
      </c>
      <c r="N64" s="32">
        <v>19.16</v>
      </c>
    </row>
    <row r="65" spans="1:14" ht="15.6" x14ac:dyDescent="0.3">
      <c r="A65" s="128"/>
      <c r="B65" s="38" t="s">
        <v>104</v>
      </c>
      <c r="C65" s="26">
        <f t="shared" ref="C65:N65" si="14">IF(OR(C63="",C64=""),"",C64/C63)</f>
        <v>0.98247477429633567</v>
      </c>
      <c r="D65" s="26">
        <f t="shared" si="14"/>
        <v>0.98228927517218767</v>
      </c>
      <c r="E65" s="26">
        <f t="shared" si="14"/>
        <v>0.98251249107780159</v>
      </c>
      <c r="F65" s="26">
        <f t="shared" si="14"/>
        <v>0.97448828240878083</v>
      </c>
      <c r="G65" s="26">
        <f t="shared" si="14"/>
        <v>0.98283007696862057</v>
      </c>
      <c r="H65" s="26">
        <f t="shared" si="14"/>
        <v>0.97390932420872545</v>
      </c>
      <c r="I65" s="26">
        <f t="shared" si="14"/>
        <v>0.98229724166323595</v>
      </c>
      <c r="J65" s="26">
        <f t="shared" si="14"/>
        <v>0.98283007696862057</v>
      </c>
      <c r="K65" s="26">
        <f t="shared" si="14"/>
        <v>0.97439126784214947</v>
      </c>
      <c r="L65" s="26">
        <f t="shared" si="14"/>
        <v>0.98246423627134272</v>
      </c>
      <c r="M65" s="26">
        <f t="shared" si="14"/>
        <v>0.98254891591750382</v>
      </c>
      <c r="N65" s="26">
        <f t="shared" si="14"/>
        <v>0.97407219115404164</v>
      </c>
    </row>
    <row r="67" spans="1:14" ht="15.6" x14ac:dyDescent="0.3">
      <c r="A67" s="8" t="s">
        <v>144</v>
      </c>
    </row>
    <row r="68" spans="1:14" ht="15.6" x14ac:dyDescent="0.3">
      <c r="B68" s="15" t="s">
        <v>100</v>
      </c>
      <c r="C68" s="31" t="s">
        <v>13</v>
      </c>
      <c r="D68" s="31" t="s">
        <v>26</v>
      </c>
      <c r="E68" s="31" t="s">
        <v>34</v>
      </c>
      <c r="F68" s="31" t="s">
        <v>34</v>
      </c>
      <c r="G68" s="31" t="s">
        <v>14</v>
      </c>
      <c r="H68" s="31" t="s">
        <v>15</v>
      </c>
      <c r="I68" s="31" t="s">
        <v>17</v>
      </c>
      <c r="J68" s="31" t="s">
        <v>18</v>
      </c>
      <c r="K68" s="31" t="s">
        <v>16</v>
      </c>
      <c r="L68" s="31" t="s">
        <v>20</v>
      </c>
      <c r="M68" s="31" t="s">
        <v>35</v>
      </c>
      <c r="N68" s="31" t="s">
        <v>22</v>
      </c>
    </row>
    <row r="69" spans="1:14" ht="15.6" x14ac:dyDescent="0.3">
      <c r="B69" s="18" t="s">
        <v>114</v>
      </c>
      <c r="C69" s="32">
        <v>2</v>
      </c>
      <c r="D69" s="32">
        <v>3.6</v>
      </c>
      <c r="E69" s="32">
        <v>4.8</v>
      </c>
      <c r="F69" s="32">
        <v>4.8</v>
      </c>
      <c r="G69" s="32">
        <v>5</v>
      </c>
      <c r="H69" s="32">
        <v>6</v>
      </c>
      <c r="I69" s="32">
        <v>7.2</v>
      </c>
      <c r="J69" s="32">
        <v>10</v>
      </c>
      <c r="K69" s="32">
        <v>12</v>
      </c>
      <c r="L69" s="32">
        <v>14.4</v>
      </c>
      <c r="M69" s="32">
        <v>38.4</v>
      </c>
      <c r="N69" s="32">
        <v>38.4</v>
      </c>
    </row>
    <row r="70" spans="1:14" ht="15.6" x14ac:dyDescent="0.3">
      <c r="B70" s="18" t="s">
        <v>101</v>
      </c>
      <c r="C70" s="32" t="s">
        <v>13</v>
      </c>
      <c r="D70" s="32" t="s">
        <v>26</v>
      </c>
      <c r="E70" s="32" t="s">
        <v>34</v>
      </c>
      <c r="F70" s="32" t="s">
        <v>31</v>
      </c>
      <c r="G70" s="32" t="s">
        <v>14</v>
      </c>
      <c r="H70" s="32" t="s">
        <v>16</v>
      </c>
      <c r="I70" s="32" t="s">
        <v>17</v>
      </c>
      <c r="J70" s="32" t="s">
        <v>18</v>
      </c>
      <c r="K70" s="32" t="s">
        <v>19</v>
      </c>
      <c r="L70" s="32" t="s">
        <v>20</v>
      </c>
      <c r="M70" s="32" t="s">
        <v>35</v>
      </c>
      <c r="N70" s="32" t="s">
        <v>36</v>
      </c>
    </row>
    <row r="71" spans="1:14" ht="15.6" x14ac:dyDescent="0.3">
      <c r="B71" s="33" t="s">
        <v>115</v>
      </c>
      <c r="C71" s="40" t="s">
        <v>96</v>
      </c>
      <c r="D71" s="40" t="s">
        <v>96</v>
      </c>
      <c r="E71" s="40" t="s">
        <v>96</v>
      </c>
      <c r="F71" s="40" t="s">
        <v>96</v>
      </c>
      <c r="G71" s="40" t="s">
        <v>96</v>
      </c>
      <c r="H71" s="40" t="s">
        <v>96</v>
      </c>
      <c r="I71" s="40" t="s">
        <v>96</v>
      </c>
      <c r="J71" s="40" t="s">
        <v>96</v>
      </c>
      <c r="K71" s="40" t="s">
        <v>96</v>
      </c>
      <c r="L71" s="40" t="s">
        <v>96</v>
      </c>
      <c r="M71" s="40" t="s">
        <v>96</v>
      </c>
      <c r="N71" s="40" t="s">
        <v>96</v>
      </c>
    </row>
    <row r="72" spans="1:14" ht="15.6" x14ac:dyDescent="0.3">
      <c r="A72" s="86" t="s">
        <v>6</v>
      </c>
      <c r="B72" s="81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</row>
    <row r="73" spans="1:14" ht="15.6" x14ac:dyDescent="0.3">
      <c r="A73" s="145">
        <v>70</v>
      </c>
      <c r="B73" s="91" t="s">
        <v>102</v>
      </c>
      <c r="C73" s="32">
        <v>0.54</v>
      </c>
      <c r="D73" s="32">
        <v>0.87</v>
      </c>
      <c r="E73" s="32">
        <v>0.8</v>
      </c>
      <c r="F73" s="32">
        <v>0.93</v>
      </c>
      <c r="G73" s="32">
        <v>0.48</v>
      </c>
      <c r="H73" s="32">
        <v>0.65</v>
      </c>
      <c r="I73" s="32">
        <v>0.69</v>
      </c>
      <c r="J73" s="32">
        <v>0.48</v>
      </c>
      <c r="K73" s="32">
        <v>0.66</v>
      </c>
      <c r="L73" s="32">
        <v>0.62</v>
      </c>
      <c r="M73" s="32">
        <v>0.54</v>
      </c>
      <c r="N73" s="32">
        <v>0.55000000000000004</v>
      </c>
    </row>
    <row r="74" spans="1:14" ht="15.6" x14ac:dyDescent="0.3">
      <c r="A74" s="145"/>
      <c r="B74" s="91" t="s">
        <v>103</v>
      </c>
      <c r="C74" s="32">
        <v>0.9</v>
      </c>
      <c r="D74" s="32">
        <v>1.45</v>
      </c>
      <c r="E74" s="32">
        <v>1.33</v>
      </c>
      <c r="F74" s="32">
        <v>1.54</v>
      </c>
      <c r="G74" s="32">
        <v>0.8</v>
      </c>
      <c r="H74" s="32">
        <v>1.07</v>
      </c>
      <c r="I74" s="32">
        <v>1.1599999999999999</v>
      </c>
      <c r="J74" s="32">
        <v>0.8</v>
      </c>
      <c r="K74" s="32">
        <v>1.0900000000000001</v>
      </c>
      <c r="L74" s="32">
        <v>1.03</v>
      </c>
      <c r="M74" s="32">
        <v>0.9</v>
      </c>
      <c r="N74" s="32">
        <v>0.9</v>
      </c>
    </row>
    <row r="75" spans="1:14" ht="15.6" x14ac:dyDescent="0.3">
      <c r="A75" s="145"/>
      <c r="B75" s="97" t="s">
        <v>104</v>
      </c>
      <c r="C75" s="26">
        <f t="shared" ref="C75:N75" si="15">IF(OR(C73="",C74=""),"",C74/C73)</f>
        <v>1.6666666666666665</v>
      </c>
      <c r="D75" s="26">
        <f t="shared" si="15"/>
        <v>1.6666666666666665</v>
      </c>
      <c r="E75" s="26">
        <f t="shared" si="15"/>
        <v>1.6625000000000001</v>
      </c>
      <c r="F75" s="26">
        <f t="shared" si="15"/>
        <v>1.6559139784946235</v>
      </c>
      <c r="G75" s="26">
        <f t="shared" si="15"/>
        <v>1.6666666666666667</v>
      </c>
      <c r="H75" s="26">
        <f t="shared" si="15"/>
        <v>1.6461538461538463</v>
      </c>
      <c r="I75" s="26">
        <f t="shared" si="15"/>
        <v>1.681159420289855</v>
      </c>
      <c r="J75" s="26">
        <f t="shared" si="15"/>
        <v>1.6666666666666667</v>
      </c>
      <c r="K75" s="26">
        <f t="shared" si="15"/>
        <v>1.6515151515151516</v>
      </c>
      <c r="L75" s="26">
        <f t="shared" si="15"/>
        <v>1.6612903225806452</v>
      </c>
      <c r="M75" s="26">
        <f t="shared" si="15"/>
        <v>1.6666666666666665</v>
      </c>
      <c r="N75" s="26">
        <f t="shared" si="15"/>
        <v>1.6363636363636362</v>
      </c>
    </row>
    <row r="76" spans="1:14" ht="15.6" x14ac:dyDescent="0.3">
      <c r="A76" s="139">
        <v>80</v>
      </c>
      <c r="B76" s="101" t="s">
        <v>102</v>
      </c>
      <c r="C76" s="37">
        <v>0.94</v>
      </c>
      <c r="D76" s="37">
        <v>1.52</v>
      </c>
      <c r="E76" s="37">
        <v>1.39</v>
      </c>
      <c r="F76" s="37">
        <v>1.62</v>
      </c>
      <c r="G76" s="37">
        <v>0.84</v>
      </c>
      <c r="H76" s="37">
        <v>1.1200000000000001</v>
      </c>
      <c r="I76" s="37">
        <v>1.21</v>
      </c>
      <c r="J76" s="37">
        <v>0.84</v>
      </c>
      <c r="K76" s="37">
        <v>1.1499999999999999</v>
      </c>
      <c r="L76" s="37">
        <v>1.08</v>
      </c>
      <c r="M76" s="37">
        <v>0.94</v>
      </c>
      <c r="N76" s="37">
        <v>0.95</v>
      </c>
    </row>
    <row r="77" spans="1:14" ht="15.6" x14ac:dyDescent="0.3">
      <c r="A77" s="139"/>
      <c r="B77" s="91" t="s">
        <v>103</v>
      </c>
      <c r="C77" s="32">
        <v>1.46</v>
      </c>
      <c r="D77" s="32">
        <v>2.36</v>
      </c>
      <c r="E77" s="32">
        <v>2.17</v>
      </c>
      <c r="F77" s="32">
        <v>2.48</v>
      </c>
      <c r="G77" s="32">
        <v>1.31</v>
      </c>
      <c r="H77" s="32">
        <v>1.72</v>
      </c>
      <c r="I77" s="32">
        <v>1.88</v>
      </c>
      <c r="J77" s="32">
        <v>1.31</v>
      </c>
      <c r="K77" s="32">
        <v>1.76</v>
      </c>
      <c r="L77" s="32">
        <v>1.68</v>
      </c>
      <c r="M77" s="32">
        <v>1.47</v>
      </c>
      <c r="N77" s="32">
        <v>1.45</v>
      </c>
    </row>
    <row r="78" spans="1:14" ht="15.6" x14ac:dyDescent="0.3">
      <c r="A78" s="139"/>
      <c r="B78" s="97" t="s">
        <v>104</v>
      </c>
      <c r="C78" s="26">
        <f t="shared" ref="C78:N78" si="16">IF(OR(C76="",C77=""),"",C77/C76)</f>
        <v>1.5531914893617023</v>
      </c>
      <c r="D78" s="26">
        <f t="shared" si="16"/>
        <v>1.5526315789473684</v>
      </c>
      <c r="E78" s="26">
        <f t="shared" si="16"/>
        <v>1.5611510791366907</v>
      </c>
      <c r="F78" s="26">
        <f t="shared" si="16"/>
        <v>1.5308641975308641</v>
      </c>
      <c r="G78" s="26">
        <f t="shared" si="16"/>
        <v>1.5595238095238095</v>
      </c>
      <c r="H78" s="26">
        <f t="shared" si="16"/>
        <v>1.5357142857142856</v>
      </c>
      <c r="I78" s="26">
        <f t="shared" si="16"/>
        <v>1.5537190082644627</v>
      </c>
      <c r="J78" s="26">
        <f t="shared" si="16"/>
        <v>1.5595238095238095</v>
      </c>
      <c r="K78" s="26">
        <f t="shared" si="16"/>
        <v>1.5304347826086957</v>
      </c>
      <c r="L78" s="26">
        <f t="shared" si="16"/>
        <v>1.5555555555555554</v>
      </c>
      <c r="M78" s="26">
        <f t="shared" si="16"/>
        <v>1.5638297872340425</v>
      </c>
      <c r="N78" s="26">
        <f t="shared" si="16"/>
        <v>1.5263157894736843</v>
      </c>
    </row>
    <row r="79" spans="1:14" ht="15.6" x14ac:dyDescent="0.3">
      <c r="A79" s="139">
        <v>100</v>
      </c>
      <c r="B79" s="101" t="s">
        <v>102</v>
      </c>
      <c r="C79" s="37">
        <v>2.17</v>
      </c>
      <c r="D79" s="37">
        <v>3.51</v>
      </c>
      <c r="E79" s="37">
        <v>3.22</v>
      </c>
      <c r="F79" s="37">
        <v>3.75</v>
      </c>
      <c r="G79" s="37">
        <v>1.94</v>
      </c>
      <c r="H79" s="37">
        <v>2.6</v>
      </c>
      <c r="I79" s="37">
        <v>2.79</v>
      </c>
      <c r="J79" s="37">
        <v>1.94</v>
      </c>
      <c r="K79" s="37">
        <v>2.65</v>
      </c>
      <c r="L79" s="37">
        <v>2.4900000000000002</v>
      </c>
      <c r="M79" s="37">
        <v>2.17</v>
      </c>
      <c r="N79" s="37">
        <v>2.19</v>
      </c>
    </row>
    <row r="80" spans="1:14" ht="15.6" x14ac:dyDescent="0.3">
      <c r="A80" s="139"/>
      <c r="B80" s="91" t="s">
        <v>103</v>
      </c>
      <c r="C80" s="32">
        <v>3.12</v>
      </c>
      <c r="D80" s="32">
        <v>5.0599999999999996</v>
      </c>
      <c r="E80" s="32">
        <v>4.6500000000000004</v>
      </c>
      <c r="F80" s="32">
        <v>5.34</v>
      </c>
      <c r="G80" s="32">
        <v>2.8</v>
      </c>
      <c r="H80" s="32">
        <v>3.7</v>
      </c>
      <c r="I80" s="32">
        <v>4.03</v>
      </c>
      <c r="J80" s="32">
        <v>2.8</v>
      </c>
      <c r="K80" s="32">
        <v>3.78</v>
      </c>
      <c r="L80" s="32">
        <v>3.59</v>
      </c>
      <c r="M80" s="32">
        <v>3.14</v>
      </c>
      <c r="N80" s="32">
        <v>3.12</v>
      </c>
    </row>
    <row r="81" spans="1:14" ht="15.6" x14ac:dyDescent="0.3">
      <c r="A81" s="139"/>
      <c r="B81" s="97" t="s">
        <v>104</v>
      </c>
      <c r="C81" s="26">
        <f t="shared" ref="C81:N81" si="17">IF(OR(C79="",C80=""),"",C80/C79)</f>
        <v>1.4377880184331797</v>
      </c>
      <c r="D81" s="26">
        <f t="shared" si="17"/>
        <v>1.4415954415954415</v>
      </c>
      <c r="E81" s="26">
        <f t="shared" si="17"/>
        <v>1.4440993788819876</v>
      </c>
      <c r="F81" s="26">
        <f t="shared" si="17"/>
        <v>1.4239999999999999</v>
      </c>
      <c r="G81" s="26">
        <f t="shared" si="17"/>
        <v>1.4432989690721649</v>
      </c>
      <c r="H81" s="26">
        <f t="shared" si="17"/>
        <v>1.4230769230769231</v>
      </c>
      <c r="I81" s="26">
        <f t="shared" si="17"/>
        <v>1.4444444444444444</v>
      </c>
      <c r="J81" s="26">
        <f t="shared" si="17"/>
        <v>1.4432989690721649</v>
      </c>
      <c r="K81" s="26">
        <f t="shared" si="17"/>
        <v>1.4264150943396225</v>
      </c>
      <c r="L81" s="26">
        <f t="shared" si="17"/>
        <v>1.4417670682730921</v>
      </c>
      <c r="M81" s="26">
        <f t="shared" si="17"/>
        <v>1.447004608294931</v>
      </c>
      <c r="N81" s="26">
        <f t="shared" si="17"/>
        <v>1.4246575342465755</v>
      </c>
    </row>
    <row r="82" spans="1:14" ht="15.6" x14ac:dyDescent="0.3">
      <c r="A82" s="139">
        <v>120</v>
      </c>
      <c r="B82" s="101" t="s">
        <v>102</v>
      </c>
      <c r="C82" s="37">
        <v>3.84</v>
      </c>
      <c r="D82" s="37">
        <v>6.22</v>
      </c>
      <c r="E82" s="37">
        <v>5.72</v>
      </c>
      <c r="F82" s="37">
        <v>6.67</v>
      </c>
      <c r="G82" s="37">
        <v>3.45</v>
      </c>
      <c r="H82" s="37">
        <v>4.62</v>
      </c>
      <c r="I82" s="37">
        <v>4.95</v>
      </c>
      <c r="J82" s="37">
        <v>3.45</v>
      </c>
      <c r="K82" s="37">
        <v>4.71</v>
      </c>
      <c r="L82" s="37">
        <v>4.42</v>
      </c>
      <c r="M82" s="37">
        <v>3.86</v>
      </c>
      <c r="N82" s="37">
        <v>3.89</v>
      </c>
    </row>
    <row r="83" spans="1:14" ht="15.6" x14ac:dyDescent="0.3">
      <c r="A83" s="139"/>
      <c r="B83" s="91" t="s">
        <v>103</v>
      </c>
      <c r="C83" s="32">
        <v>5.36</v>
      </c>
      <c r="D83" s="32">
        <v>8.68</v>
      </c>
      <c r="E83" s="32">
        <v>7.98</v>
      </c>
      <c r="F83" s="32">
        <v>9.2100000000000009</v>
      </c>
      <c r="G83" s="32">
        <v>4.8099999999999996</v>
      </c>
      <c r="H83" s="32">
        <v>6.39</v>
      </c>
      <c r="I83" s="32">
        <v>6.91</v>
      </c>
      <c r="J83" s="32">
        <v>4.8099999999999996</v>
      </c>
      <c r="K83" s="32">
        <v>6.51</v>
      </c>
      <c r="L83" s="32">
        <v>6.17</v>
      </c>
      <c r="M83" s="32">
        <v>5.39</v>
      </c>
      <c r="N83" s="32">
        <v>5.38</v>
      </c>
    </row>
    <row r="84" spans="1:14" ht="15.6" x14ac:dyDescent="0.3">
      <c r="A84" s="139"/>
      <c r="B84" s="97" t="s">
        <v>104</v>
      </c>
      <c r="C84" s="26">
        <f t="shared" ref="C84:N84" si="18">IF(OR(C82="",C83=""),"",C83/C82)</f>
        <v>1.3958333333333335</v>
      </c>
      <c r="D84" s="26">
        <f t="shared" si="18"/>
        <v>1.3954983922829582</v>
      </c>
      <c r="E84" s="26">
        <f t="shared" si="18"/>
        <v>1.3951048951048952</v>
      </c>
      <c r="F84" s="26">
        <f t="shared" si="18"/>
        <v>1.3808095952023989</v>
      </c>
      <c r="G84" s="26">
        <f t="shared" si="18"/>
        <v>1.3942028985507244</v>
      </c>
      <c r="H84" s="26">
        <f t="shared" si="18"/>
        <v>1.383116883116883</v>
      </c>
      <c r="I84" s="26">
        <f t="shared" si="18"/>
        <v>1.3959595959595958</v>
      </c>
      <c r="J84" s="26">
        <f t="shared" si="18"/>
        <v>1.3942028985507244</v>
      </c>
      <c r="K84" s="26">
        <f t="shared" si="18"/>
        <v>1.3821656050955413</v>
      </c>
      <c r="L84" s="26">
        <f t="shared" si="18"/>
        <v>1.3959276018099547</v>
      </c>
      <c r="M84" s="26">
        <f t="shared" si="18"/>
        <v>1.3963730569948185</v>
      </c>
      <c r="N84" s="26">
        <f t="shared" si="18"/>
        <v>1.3830334190231361</v>
      </c>
    </row>
    <row r="85" spans="1:14" ht="15.6" x14ac:dyDescent="0.3">
      <c r="A85" s="139">
        <v>140</v>
      </c>
      <c r="B85" s="101" t="s">
        <v>102</v>
      </c>
      <c r="C85" s="37">
        <v>5.89</v>
      </c>
      <c r="D85" s="37">
        <v>9.5299999999999994</v>
      </c>
      <c r="E85" s="37">
        <v>8.76</v>
      </c>
      <c r="F85" s="37">
        <v>10.45</v>
      </c>
      <c r="G85" s="37">
        <v>5.28</v>
      </c>
      <c r="H85" s="37">
        <v>7.25</v>
      </c>
      <c r="I85" s="37">
        <v>7.59</v>
      </c>
      <c r="J85" s="37">
        <v>5.28</v>
      </c>
      <c r="K85" s="37">
        <v>7.38</v>
      </c>
      <c r="L85" s="37">
        <v>6.77</v>
      </c>
      <c r="M85" s="37">
        <v>5.91</v>
      </c>
      <c r="N85" s="37">
        <v>6.1</v>
      </c>
    </row>
    <row r="86" spans="1:14" ht="15.6" x14ac:dyDescent="0.3">
      <c r="A86" s="139"/>
      <c r="B86" s="91" t="s">
        <v>103</v>
      </c>
      <c r="C86" s="32">
        <v>8.0299999999999994</v>
      </c>
      <c r="D86" s="32">
        <v>13</v>
      </c>
      <c r="E86" s="32">
        <v>11.95</v>
      </c>
      <c r="F86" s="32">
        <v>14.2</v>
      </c>
      <c r="G86" s="32">
        <v>7.2</v>
      </c>
      <c r="H86" s="32">
        <v>9.84</v>
      </c>
      <c r="I86" s="32">
        <v>10.36</v>
      </c>
      <c r="J86" s="32">
        <v>7.2</v>
      </c>
      <c r="K86" s="32">
        <v>10.029999999999999</v>
      </c>
      <c r="L86" s="32">
        <v>9.24</v>
      </c>
      <c r="M86" s="32">
        <v>8.07</v>
      </c>
      <c r="N86" s="32">
        <v>8.2799999999999994</v>
      </c>
    </row>
    <row r="87" spans="1:14" ht="15.6" x14ac:dyDescent="0.3">
      <c r="A87" s="139"/>
      <c r="B87" s="97" t="s">
        <v>104</v>
      </c>
      <c r="C87" s="26">
        <f t="shared" ref="C87:N87" si="19">IF(OR(C85="",C86=""),"",C86/C85)</f>
        <v>1.363327674023769</v>
      </c>
      <c r="D87" s="26">
        <f t="shared" si="19"/>
        <v>1.3641133263378804</v>
      </c>
      <c r="E87" s="26">
        <f t="shared" si="19"/>
        <v>1.3641552511415524</v>
      </c>
      <c r="F87" s="26">
        <f t="shared" si="19"/>
        <v>1.3588516746411483</v>
      </c>
      <c r="G87" s="26">
        <f t="shared" si="19"/>
        <v>1.3636363636363635</v>
      </c>
      <c r="H87" s="26">
        <f t="shared" si="19"/>
        <v>1.3572413793103448</v>
      </c>
      <c r="I87" s="26">
        <f t="shared" si="19"/>
        <v>1.3649538866930171</v>
      </c>
      <c r="J87" s="26">
        <f t="shared" si="19"/>
        <v>1.3636363636363635</v>
      </c>
      <c r="K87" s="26">
        <f t="shared" si="19"/>
        <v>1.3590785907859078</v>
      </c>
      <c r="L87" s="26">
        <f t="shared" si="19"/>
        <v>1.3648449039881834</v>
      </c>
      <c r="M87" s="26">
        <f t="shared" si="19"/>
        <v>1.3654822335025381</v>
      </c>
      <c r="N87" s="26">
        <f t="shared" si="19"/>
        <v>1.3573770491803279</v>
      </c>
    </row>
  </sheetData>
  <mergeCells count="20">
    <mergeCell ref="A73:A75"/>
    <mergeCell ref="A76:A78"/>
    <mergeCell ref="A79:A81"/>
    <mergeCell ref="A82:A84"/>
    <mergeCell ref="A85:A87"/>
    <mergeCell ref="A51:A53"/>
    <mergeCell ref="A54:A56"/>
    <mergeCell ref="A57:A59"/>
    <mergeCell ref="A60:A62"/>
    <mergeCell ref="A63:A65"/>
    <mergeCell ref="A29:A31"/>
    <mergeCell ref="A32:A34"/>
    <mergeCell ref="A35:A37"/>
    <mergeCell ref="A38:A40"/>
    <mergeCell ref="A41:A43"/>
    <mergeCell ref="A7:A9"/>
    <mergeCell ref="A10:A12"/>
    <mergeCell ref="A13:A15"/>
    <mergeCell ref="A16:A18"/>
    <mergeCell ref="A19:A21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M147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3" ht="15" customHeight="1" x14ac:dyDescent="0.3">
      <c r="A1" s="8" t="s">
        <v>97</v>
      </c>
    </row>
    <row r="2" spans="1:13" ht="15" customHeight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14</v>
      </c>
      <c r="G2" s="31" t="s">
        <v>15</v>
      </c>
      <c r="H2" s="31" t="s">
        <v>18</v>
      </c>
      <c r="I2" s="31" t="s">
        <v>20</v>
      </c>
      <c r="J2" s="31" t="s">
        <v>16</v>
      </c>
      <c r="K2" s="31" t="s">
        <v>21</v>
      </c>
      <c r="L2" s="31" t="s">
        <v>20</v>
      </c>
      <c r="M2" s="31" t="s">
        <v>22</v>
      </c>
    </row>
    <row r="3" spans="1:13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5</v>
      </c>
      <c r="G3" s="32">
        <v>6</v>
      </c>
      <c r="H3" s="32">
        <v>10</v>
      </c>
      <c r="I3" s="32">
        <v>14.4</v>
      </c>
      <c r="J3" s="32">
        <v>12</v>
      </c>
      <c r="K3" s="32">
        <v>19.2</v>
      </c>
      <c r="L3" s="32">
        <v>14.4</v>
      </c>
      <c r="M3" s="32">
        <v>38.4</v>
      </c>
    </row>
    <row r="4" spans="1:13" ht="15" customHeight="1" x14ac:dyDescent="0.3">
      <c r="B4" s="18" t="s">
        <v>101</v>
      </c>
      <c r="C4" s="32" t="s">
        <v>13</v>
      </c>
      <c r="D4" s="32" t="s">
        <v>26</v>
      </c>
      <c r="E4" s="32" t="s">
        <v>31</v>
      </c>
      <c r="F4" s="32" t="s">
        <v>14</v>
      </c>
      <c r="G4" s="32" t="s">
        <v>16</v>
      </c>
      <c r="H4" s="32" t="s">
        <v>18</v>
      </c>
      <c r="I4" s="32" t="s">
        <v>20</v>
      </c>
      <c r="J4" s="32" t="s">
        <v>19</v>
      </c>
      <c r="K4" s="32" t="s">
        <v>22</v>
      </c>
      <c r="L4" s="32" t="s">
        <v>20</v>
      </c>
      <c r="M4" s="32" t="s">
        <v>40</v>
      </c>
    </row>
    <row r="5" spans="1:13" ht="15" customHeight="1" x14ac:dyDescent="0.3">
      <c r="B5" s="33" t="s">
        <v>115</v>
      </c>
      <c r="C5" s="40"/>
      <c r="D5" s="40"/>
      <c r="E5" s="40" t="s">
        <v>121</v>
      </c>
      <c r="F5" s="40"/>
      <c r="G5" s="40" t="s">
        <v>121</v>
      </c>
      <c r="H5" s="40"/>
      <c r="I5" s="40"/>
      <c r="J5" s="40" t="s">
        <v>121</v>
      </c>
      <c r="K5" s="40" t="s">
        <v>121</v>
      </c>
      <c r="L5" s="40"/>
      <c r="M5" s="40"/>
    </row>
    <row r="6" spans="1:13" ht="15" customHeight="1" x14ac:dyDescent="0.3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</row>
    <row r="7" spans="1:13" ht="15" customHeight="1" x14ac:dyDescent="0.3">
      <c r="A7" s="128">
        <v>70</v>
      </c>
      <c r="B7" s="30" t="s">
        <v>102</v>
      </c>
      <c r="C7" s="37">
        <v>2.57</v>
      </c>
      <c r="D7" s="37">
        <v>4.17</v>
      </c>
      <c r="E7" s="37">
        <v>4.3899999999999997</v>
      </c>
      <c r="F7" s="37">
        <v>2.31</v>
      </c>
      <c r="G7" s="37">
        <v>3.04</v>
      </c>
      <c r="H7" s="37">
        <v>2.31</v>
      </c>
      <c r="I7" s="37">
        <v>2.96</v>
      </c>
      <c r="J7" s="37">
        <v>3.1</v>
      </c>
      <c r="K7" s="37">
        <v>2.86</v>
      </c>
      <c r="L7" s="37">
        <v>2.59</v>
      </c>
      <c r="M7" s="37">
        <v>2.52</v>
      </c>
    </row>
    <row r="8" spans="1:13" ht="15" customHeight="1" x14ac:dyDescent="0.3">
      <c r="A8" s="128"/>
      <c r="B8" s="20" t="s">
        <v>103</v>
      </c>
      <c r="C8" s="32">
        <v>2.69</v>
      </c>
      <c r="D8" s="32">
        <v>4.3499999999999996</v>
      </c>
      <c r="E8" s="32">
        <v>4.5599999999999996</v>
      </c>
      <c r="F8" s="32">
        <v>2.41</v>
      </c>
      <c r="G8" s="32">
        <v>3.16</v>
      </c>
      <c r="H8" s="32">
        <v>2.41</v>
      </c>
      <c r="I8" s="32">
        <v>3.09</v>
      </c>
      <c r="J8" s="32">
        <v>3.22</v>
      </c>
      <c r="K8" s="32">
        <v>2.98</v>
      </c>
      <c r="L8" s="32">
        <v>2.7</v>
      </c>
      <c r="M8" s="32">
        <v>2.62</v>
      </c>
    </row>
    <row r="9" spans="1:13" ht="15" customHeight="1" x14ac:dyDescent="0.3">
      <c r="A9" s="128"/>
      <c r="B9" s="38" t="s">
        <v>104</v>
      </c>
      <c r="C9" s="26">
        <f t="shared" ref="C9:M9" si="0">IF(OR(C7="",C8=""),"",C8/C7)</f>
        <v>1.0466926070038911</v>
      </c>
      <c r="D9" s="26">
        <f t="shared" si="0"/>
        <v>1.0431654676258992</v>
      </c>
      <c r="E9" s="26">
        <f t="shared" si="0"/>
        <v>1.0387243735763099</v>
      </c>
      <c r="F9" s="26">
        <f t="shared" si="0"/>
        <v>1.0432900432900434</v>
      </c>
      <c r="G9" s="26">
        <f t="shared" si="0"/>
        <v>1.0394736842105263</v>
      </c>
      <c r="H9" s="26">
        <f t="shared" si="0"/>
        <v>1.0432900432900434</v>
      </c>
      <c r="I9" s="26">
        <f t="shared" si="0"/>
        <v>1.0439189189189189</v>
      </c>
      <c r="J9" s="26">
        <f t="shared" si="0"/>
        <v>1.0387096774193549</v>
      </c>
      <c r="K9" s="26">
        <f t="shared" si="0"/>
        <v>1.0419580419580421</v>
      </c>
      <c r="L9" s="26">
        <f t="shared" si="0"/>
        <v>1.0424710424710426</v>
      </c>
      <c r="M9" s="26">
        <f t="shared" si="0"/>
        <v>1.0396825396825398</v>
      </c>
    </row>
    <row r="10" spans="1:13" ht="15" customHeight="1" x14ac:dyDescent="0.3">
      <c r="A10" s="128">
        <v>80</v>
      </c>
      <c r="B10" s="30" t="s">
        <v>102</v>
      </c>
      <c r="C10" s="37">
        <v>4.12</v>
      </c>
      <c r="D10" s="37">
        <v>6.66</v>
      </c>
      <c r="E10" s="37">
        <v>7.03</v>
      </c>
      <c r="F10" s="37">
        <v>3.69</v>
      </c>
      <c r="G10" s="37">
        <v>4.87</v>
      </c>
      <c r="H10" s="37">
        <v>3.69</v>
      </c>
      <c r="I10" s="37">
        <v>4.74</v>
      </c>
      <c r="J10" s="37">
        <v>4.97</v>
      </c>
      <c r="K10" s="37">
        <v>4.58</v>
      </c>
      <c r="L10" s="37">
        <v>4.13</v>
      </c>
      <c r="M10" s="37">
        <v>4.04</v>
      </c>
    </row>
    <row r="11" spans="1:13" ht="15" customHeight="1" x14ac:dyDescent="0.3">
      <c r="A11" s="128"/>
      <c r="B11" s="20" t="s">
        <v>103</v>
      </c>
      <c r="C11" s="32">
        <v>4.24</v>
      </c>
      <c r="D11" s="32">
        <v>6.87</v>
      </c>
      <c r="E11" s="32">
        <v>7.21</v>
      </c>
      <c r="F11" s="32">
        <v>3.8</v>
      </c>
      <c r="G11" s="32">
        <v>5</v>
      </c>
      <c r="H11" s="32">
        <v>3.8</v>
      </c>
      <c r="I11" s="32">
        <v>4.88</v>
      </c>
      <c r="J11" s="32">
        <v>5.0999999999999996</v>
      </c>
      <c r="K11" s="32">
        <v>4.71</v>
      </c>
      <c r="L11" s="32">
        <v>4.26</v>
      </c>
      <c r="M11" s="32">
        <v>4.1500000000000004</v>
      </c>
    </row>
    <row r="12" spans="1:13" ht="15" customHeight="1" x14ac:dyDescent="0.3">
      <c r="A12" s="128"/>
      <c r="B12" s="38" t="s">
        <v>104</v>
      </c>
      <c r="C12" s="26">
        <f t="shared" ref="C12:M12" si="1">IF(OR(C10="",C11=""),"",C11/C10)</f>
        <v>1.029126213592233</v>
      </c>
      <c r="D12" s="26">
        <f t="shared" si="1"/>
        <v>1.0315315315315314</v>
      </c>
      <c r="E12" s="26">
        <f t="shared" si="1"/>
        <v>1.0256045519203414</v>
      </c>
      <c r="F12" s="26">
        <f t="shared" si="1"/>
        <v>1.0298102981029811</v>
      </c>
      <c r="G12" s="26">
        <f t="shared" si="1"/>
        <v>1.0266940451745379</v>
      </c>
      <c r="H12" s="26">
        <f t="shared" si="1"/>
        <v>1.0298102981029811</v>
      </c>
      <c r="I12" s="26">
        <f t="shared" si="1"/>
        <v>1.0295358649789028</v>
      </c>
      <c r="J12" s="26">
        <f t="shared" si="1"/>
        <v>1.0261569416498995</v>
      </c>
      <c r="K12" s="26">
        <f t="shared" si="1"/>
        <v>1.0283842794759825</v>
      </c>
      <c r="L12" s="26">
        <f t="shared" si="1"/>
        <v>1.0314769975786924</v>
      </c>
      <c r="M12" s="26">
        <f t="shared" si="1"/>
        <v>1.0272277227722773</v>
      </c>
    </row>
    <row r="13" spans="1:13" ht="15" customHeight="1" x14ac:dyDescent="0.3">
      <c r="A13" s="128">
        <v>90</v>
      </c>
      <c r="B13" s="30" t="s">
        <v>102</v>
      </c>
      <c r="C13" s="37">
        <v>6.06</v>
      </c>
      <c r="D13" s="37">
        <v>9.81</v>
      </c>
      <c r="E13" s="37">
        <v>10.4</v>
      </c>
      <c r="F13" s="37">
        <v>5.44</v>
      </c>
      <c r="G13" s="37">
        <v>7.19</v>
      </c>
      <c r="H13" s="37">
        <v>5.44</v>
      </c>
      <c r="I13" s="37">
        <v>6.97</v>
      </c>
      <c r="J13" s="37">
        <v>7.33</v>
      </c>
      <c r="K13" s="37">
        <v>6.75</v>
      </c>
      <c r="L13" s="37">
        <v>6.09</v>
      </c>
      <c r="M13" s="37">
        <v>5.97</v>
      </c>
    </row>
    <row r="14" spans="1:13" ht="15" customHeight="1" x14ac:dyDescent="0.3">
      <c r="A14" s="128"/>
      <c r="B14" s="20" t="s">
        <v>103</v>
      </c>
      <c r="C14" s="32">
        <v>6.2</v>
      </c>
      <c r="D14" s="32">
        <v>10</v>
      </c>
      <c r="E14" s="32">
        <v>10.6</v>
      </c>
      <c r="F14" s="32">
        <v>5.56</v>
      </c>
      <c r="G14" s="32">
        <v>7.32</v>
      </c>
      <c r="H14" s="32">
        <v>5.56</v>
      </c>
      <c r="I14" s="32">
        <v>7.13</v>
      </c>
      <c r="J14" s="32">
        <v>7.46</v>
      </c>
      <c r="K14" s="32">
        <v>6.89</v>
      </c>
      <c r="L14" s="32">
        <v>6.22</v>
      </c>
      <c r="M14" s="32">
        <v>6.07</v>
      </c>
    </row>
    <row r="15" spans="1:13" ht="15" customHeight="1" x14ac:dyDescent="0.3">
      <c r="A15" s="128"/>
      <c r="B15" s="38" t="s">
        <v>104</v>
      </c>
      <c r="C15" s="26">
        <f t="shared" ref="C15:M15" si="2">IF(OR(C13="",C14=""),"",C14/C13)</f>
        <v>1.0231023102310233</v>
      </c>
      <c r="D15" s="26">
        <f t="shared" si="2"/>
        <v>1.019367991845056</v>
      </c>
      <c r="E15" s="26">
        <f t="shared" si="2"/>
        <v>1.0192307692307692</v>
      </c>
      <c r="F15" s="26">
        <f t="shared" si="2"/>
        <v>1.0220588235294117</v>
      </c>
      <c r="G15" s="26">
        <f t="shared" si="2"/>
        <v>1.0180806675938803</v>
      </c>
      <c r="H15" s="26">
        <f t="shared" si="2"/>
        <v>1.0220588235294117</v>
      </c>
      <c r="I15" s="26">
        <f t="shared" si="2"/>
        <v>1.0229555236728838</v>
      </c>
      <c r="J15" s="26">
        <f t="shared" si="2"/>
        <v>1.0177353342428377</v>
      </c>
      <c r="K15" s="26">
        <f t="shared" si="2"/>
        <v>1.0207407407407407</v>
      </c>
      <c r="L15" s="26">
        <f t="shared" si="2"/>
        <v>1.0213464696223318</v>
      </c>
      <c r="M15" s="26">
        <f t="shared" si="2"/>
        <v>1.016750418760469</v>
      </c>
    </row>
    <row r="16" spans="1:13" ht="15" customHeight="1" x14ac:dyDescent="0.3">
      <c r="A16" s="128">
        <v>100</v>
      </c>
      <c r="B16" s="30" t="s">
        <v>102</v>
      </c>
      <c r="C16" s="37">
        <v>8.35</v>
      </c>
      <c r="D16" s="37">
        <v>13.5</v>
      </c>
      <c r="E16" s="37">
        <v>14.3</v>
      </c>
      <c r="F16" s="37">
        <v>7.49</v>
      </c>
      <c r="G16" s="37">
        <v>9.91</v>
      </c>
      <c r="H16" s="37">
        <v>7.49</v>
      </c>
      <c r="I16" s="37">
        <v>9.6</v>
      </c>
      <c r="J16" s="37">
        <v>10.1</v>
      </c>
      <c r="K16" s="37">
        <v>9.3000000000000007</v>
      </c>
      <c r="L16" s="37">
        <v>8.3800000000000008</v>
      </c>
      <c r="M16" s="37">
        <v>8.2200000000000006</v>
      </c>
    </row>
    <row r="17" spans="1:13" ht="15" customHeight="1" x14ac:dyDescent="0.3">
      <c r="A17" s="128"/>
      <c r="B17" s="20" t="s">
        <v>103</v>
      </c>
      <c r="C17" s="32">
        <v>8.49</v>
      </c>
      <c r="D17" s="32">
        <v>13.8</v>
      </c>
      <c r="E17" s="32">
        <v>14.5</v>
      </c>
      <c r="F17" s="32">
        <v>7.62</v>
      </c>
      <c r="G17" s="32">
        <v>10</v>
      </c>
      <c r="H17" s="32">
        <v>7.62</v>
      </c>
      <c r="I17" s="32">
        <v>9.77</v>
      </c>
      <c r="J17" s="32">
        <v>10.199999999999999</v>
      </c>
      <c r="K17" s="32">
        <v>9.44</v>
      </c>
      <c r="L17" s="32">
        <v>8.5299999999999994</v>
      </c>
      <c r="M17" s="32">
        <v>8.32</v>
      </c>
    </row>
    <row r="18" spans="1:13" ht="15" customHeight="1" x14ac:dyDescent="0.3">
      <c r="A18" s="128"/>
      <c r="B18" s="38" t="s">
        <v>104</v>
      </c>
      <c r="C18" s="26">
        <f t="shared" ref="C18:M18" si="3">IF(OR(C16="",C17=""),"",C17/C16)</f>
        <v>1.0167664670658683</v>
      </c>
      <c r="D18" s="26">
        <f t="shared" si="3"/>
        <v>1.0222222222222224</v>
      </c>
      <c r="E18" s="26">
        <f t="shared" si="3"/>
        <v>1.013986013986014</v>
      </c>
      <c r="F18" s="26">
        <f t="shared" si="3"/>
        <v>1.0173564753004005</v>
      </c>
      <c r="G18" s="26">
        <f t="shared" si="3"/>
        <v>1.0090817356205852</v>
      </c>
      <c r="H18" s="26">
        <f t="shared" si="3"/>
        <v>1.0173564753004005</v>
      </c>
      <c r="I18" s="26">
        <f t="shared" si="3"/>
        <v>1.0177083333333334</v>
      </c>
      <c r="J18" s="26">
        <f t="shared" si="3"/>
        <v>1.0099009900990099</v>
      </c>
      <c r="K18" s="26">
        <f t="shared" si="3"/>
        <v>1.0150537634408601</v>
      </c>
      <c r="L18" s="26">
        <f t="shared" si="3"/>
        <v>1.0178997613365153</v>
      </c>
      <c r="M18" s="26">
        <f t="shared" si="3"/>
        <v>1.0121654501216544</v>
      </c>
    </row>
    <row r="19" spans="1:13" ht="15" customHeight="1" x14ac:dyDescent="0.3">
      <c r="A19" s="128">
        <v>110</v>
      </c>
      <c r="B19" s="30" t="s">
        <v>102</v>
      </c>
      <c r="C19" s="37">
        <v>11.2</v>
      </c>
      <c r="D19" s="37">
        <v>18.100000000000001</v>
      </c>
      <c r="E19" s="37">
        <v>19.2</v>
      </c>
      <c r="F19" s="37">
        <v>10.1</v>
      </c>
      <c r="G19" s="37">
        <v>13.3</v>
      </c>
      <c r="H19" s="37">
        <v>10.1</v>
      </c>
      <c r="I19" s="37">
        <v>12.9</v>
      </c>
      <c r="J19" s="37">
        <v>13.5</v>
      </c>
      <c r="K19" s="37">
        <v>12.5</v>
      </c>
      <c r="L19" s="37">
        <v>11.3</v>
      </c>
      <c r="M19" s="37">
        <v>11</v>
      </c>
    </row>
    <row r="20" spans="1:13" ht="15" customHeight="1" x14ac:dyDescent="0.3">
      <c r="A20" s="128"/>
      <c r="B20" s="20" t="s">
        <v>103</v>
      </c>
      <c r="C20" s="32">
        <v>11.4</v>
      </c>
      <c r="D20" s="32">
        <v>18.399999999999999</v>
      </c>
      <c r="E20" s="32">
        <v>19.399999999999999</v>
      </c>
      <c r="F20" s="32">
        <v>10.199999999999999</v>
      </c>
      <c r="G20" s="32">
        <v>13.4</v>
      </c>
      <c r="H20" s="32">
        <v>10.199999999999999</v>
      </c>
      <c r="I20" s="32">
        <v>13.1</v>
      </c>
      <c r="J20" s="32">
        <v>13.7</v>
      </c>
      <c r="K20" s="32">
        <v>12.6</v>
      </c>
      <c r="L20" s="32">
        <v>11.4</v>
      </c>
      <c r="M20" s="32">
        <v>11.1</v>
      </c>
    </row>
    <row r="21" spans="1:13" ht="15" customHeight="1" x14ac:dyDescent="0.3">
      <c r="A21" s="128"/>
      <c r="B21" s="38" t="s">
        <v>104</v>
      </c>
      <c r="C21" s="26">
        <f t="shared" ref="C21:M21" si="4">IF(OR(C19="",C20=""),"",C20/C19)</f>
        <v>1.017857142857143</v>
      </c>
      <c r="D21" s="26">
        <f t="shared" si="4"/>
        <v>1.016574585635359</v>
      </c>
      <c r="E21" s="26">
        <f t="shared" si="4"/>
        <v>1.0104166666666667</v>
      </c>
      <c r="F21" s="26">
        <f t="shared" si="4"/>
        <v>1.0099009900990099</v>
      </c>
      <c r="G21" s="26">
        <f t="shared" si="4"/>
        <v>1.0075187969924813</v>
      </c>
      <c r="H21" s="26">
        <f t="shared" si="4"/>
        <v>1.0099009900990099</v>
      </c>
      <c r="I21" s="26">
        <f t="shared" si="4"/>
        <v>1.0155038759689923</v>
      </c>
      <c r="J21" s="26">
        <f t="shared" si="4"/>
        <v>1.0148148148148148</v>
      </c>
      <c r="K21" s="26">
        <f t="shared" si="4"/>
        <v>1.008</v>
      </c>
      <c r="L21" s="26">
        <f t="shared" si="4"/>
        <v>1.0088495575221239</v>
      </c>
      <c r="M21" s="26">
        <f t="shared" si="4"/>
        <v>1.009090909090909</v>
      </c>
    </row>
    <row r="22" spans="1:13" ht="15" customHeight="1" x14ac:dyDescent="0.3">
      <c r="A22" s="128">
        <v>120</v>
      </c>
      <c r="B22" s="30" t="s">
        <v>102</v>
      </c>
      <c r="C22" s="37">
        <v>14</v>
      </c>
      <c r="D22" s="37">
        <v>22.7</v>
      </c>
      <c r="E22" s="37">
        <v>23.9</v>
      </c>
      <c r="F22" s="37">
        <v>12.6</v>
      </c>
      <c r="G22" s="37">
        <v>16.600000000000001</v>
      </c>
      <c r="H22" s="37">
        <v>12.6</v>
      </c>
      <c r="I22" s="37">
        <v>16.100000000000001</v>
      </c>
      <c r="J22" s="37">
        <v>16.899999999999999</v>
      </c>
      <c r="K22" s="37">
        <v>15.6</v>
      </c>
      <c r="L22" s="37">
        <v>14.1</v>
      </c>
      <c r="M22" s="37">
        <v>13.8</v>
      </c>
    </row>
    <row r="23" spans="1:13" ht="15" customHeight="1" x14ac:dyDescent="0.3">
      <c r="A23" s="128"/>
      <c r="B23" s="20" t="s">
        <v>103</v>
      </c>
      <c r="C23" s="32">
        <v>14.2</v>
      </c>
      <c r="D23" s="32">
        <v>23</v>
      </c>
      <c r="E23" s="32">
        <v>24.1</v>
      </c>
      <c r="F23" s="32">
        <v>12.7</v>
      </c>
      <c r="G23" s="32">
        <v>16.7</v>
      </c>
      <c r="H23" s="32">
        <v>12.7</v>
      </c>
      <c r="I23" s="32">
        <v>16.3</v>
      </c>
      <c r="J23" s="32">
        <v>17.100000000000001</v>
      </c>
      <c r="K23" s="32">
        <v>15.8</v>
      </c>
      <c r="L23" s="32">
        <v>14.2</v>
      </c>
      <c r="M23" s="32">
        <v>13.9</v>
      </c>
    </row>
    <row r="24" spans="1:13" ht="15" customHeight="1" x14ac:dyDescent="0.3">
      <c r="A24" s="128"/>
      <c r="B24" s="38" t="s">
        <v>104</v>
      </c>
      <c r="C24" s="26">
        <f t="shared" ref="C24:M24" si="5">IF(OR(C22="",C23=""),"",C23/C22)</f>
        <v>1.0142857142857142</v>
      </c>
      <c r="D24" s="26">
        <f t="shared" si="5"/>
        <v>1.0132158590308371</v>
      </c>
      <c r="E24" s="26">
        <f t="shared" si="5"/>
        <v>1.0083682008368202</v>
      </c>
      <c r="F24" s="26">
        <f t="shared" si="5"/>
        <v>1.0079365079365079</v>
      </c>
      <c r="G24" s="26">
        <f t="shared" si="5"/>
        <v>1.006024096385542</v>
      </c>
      <c r="H24" s="26">
        <f t="shared" si="5"/>
        <v>1.0079365079365079</v>
      </c>
      <c r="I24" s="26">
        <f t="shared" si="5"/>
        <v>1.0124223602484472</v>
      </c>
      <c r="J24" s="26">
        <f t="shared" si="5"/>
        <v>1.0118343195266273</v>
      </c>
      <c r="K24" s="26">
        <f t="shared" si="5"/>
        <v>1.012820512820513</v>
      </c>
      <c r="L24" s="26">
        <f t="shared" si="5"/>
        <v>1.0070921985815602</v>
      </c>
      <c r="M24" s="26">
        <f t="shared" si="5"/>
        <v>1.0072463768115942</v>
      </c>
    </row>
    <row r="25" spans="1:13" ht="15" customHeight="1" x14ac:dyDescent="0.3">
      <c r="A25" s="128">
        <v>130</v>
      </c>
      <c r="B25" s="30" t="s">
        <v>102</v>
      </c>
      <c r="C25" s="37">
        <v>16.899999999999999</v>
      </c>
      <c r="D25" s="37">
        <v>27.4</v>
      </c>
      <c r="E25" s="37">
        <v>29</v>
      </c>
      <c r="F25" s="37">
        <v>15.2</v>
      </c>
      <c r="G25" s="37">
        <v>20.100000000000001</v>
      </c>
      <c r="H25" s="37">
        <v>15.2</v>
      </c>
      <c r="I25" s="37">
        <v>19.5</v>
      </c>
      <c r="J25" s="37">
        <v>20.5</v>
      </c>
      <c r="K25" s="37">
        <v>18.899999999999999</v>
      </c>
      <c r="L25" s="37">
        <v>17</v>
      </c>
      <c r="M25" s="37">
        <v>16.7</v>
      </c>
    </row>
    <row r="26" spans="1:13" ht="15" customHeight="1" x14ac:dyDescent="0.3">
      <c r="A26" s="128"/>
      <c r="B26" s="20" t="s">
        <v>103</v>
      </c>
      <c r="C26" s="32">
        <v>17.2</v>
      </c>
      <c r="D26" s="32">
        <v>27.8</v>
      </c>
      <c r="E26" s="32">
        <v>29.3</v>
      </c>
      <c r="F26" s="32">
        <v>15.4</v>
      </c>
      <c r="G26" s="32">
        <v>20.3</v>
      </c>
      <c r="H26" s="32">
        <v>15.4</v>
      </c>
      <c r="I26" s="32">
        <v>19.8</v>
      </c>
      <c r="J26" s="32">
        <v>20.7</v>
      </c>
      <c r="K26" s="32">
        <v>19.100000000000001</v>
      </c>
      <c r="L26" s="32">
        <v>17.3</v>
      </c>
      <c r="M26" s="32">
        <v>16.8</v>
      </c>
    </row>
    <row r="27" spans="1:13" ht="15" customHeight="1" x14ac:dyDescent="0.3">
      <c r="A27" s="128"/>
      <c r="B27" s="38" t="s">
        <v>104</v>
      </c>
      <c r="C27" s="26">
        <f t="shared" ref="C27:M27" si="6">IF(OR(C25="",C26=""),"",C26/C25)</f>
        <v>1.0177514792899409</v>
      </c>
      <c r="D27" s="26">
        <f t="shared" si="6"/>
        <v>1.0145985401459854</v>
      </c>
      <c r="E27" s="26">
        <f t="shared" si="6"/>
        <v>1.010344827586207</v>
      </c>
      <c r="F27" s="26">
        <f t="shared" si="6"/>
        <v>1.0131578947368423</v>
      </c>
      <c r="G27" s="26">
        <f t="shared" si="6"/>
        <v>1.0099502487562189</v>
      </c>
      <c r="H27" s="26">
        <f t="shared" si="6"/>
        <v>1.0131578947368423</v>
      </c>
      <c r="I27" s="26">
        <f t="shared" si="6"/>
        <v>1.0153846153846153</v>
      </c>
      <c r="J27" s="26">
        <f t="shared" si="6"/>
        <v>1.0097560975609756</v>
      </c>
      <c r="K27" s="26">
        <f t="shared" si="6"/>
        <v>1.0105820105820107</v>
      </c>
      <c r="L27" s="26">
        <f t="shared" si="6"/>
        <v>1.0176470588235293</v>
      </c>
      <c r="M27" s="26">
        <f t="shared" si="6"/>
        <v>1.005988023952096</v>
      </c>
    </row>
    <row r="28" spans="1:13" ht="15" customHeight="1" x14ac:dyDescent="0.3">
      <c r="A28" s="128">
        <v>140</v>
      </c>
      <c r="B28" s="30" t="s">
        <v>102</v>
      </c>
      <c r="C28" s="37">
        <v>20.3</v>
      </c>
      <c r="D28" s="37">
        <v>32.9</v>
      </c>
      <c r="E28" s="37">
        <v>34.799999999999997</v>
      </c>
      <c r="F28" s="37">
        <v>18.2</v>
      </c>
      <c r="G28" s="37">
        <v>24.1</v>
      </c>
      <c r="H28" s="37">
        <v>18.2</v>
      </c>
      <c r="I28" s="37">
        <v>23.4</v>
      </c>
      <c r="J28" s="37">
        <v>24.6</v>
      </c>
      <c r="K28" s="37">
        <v>22.6</v>
      </c>
      <c r="L28" s="37">
        <v>20.399999999999999</v>
      </c>
      <c r="M28" s="37">
        <v>20</v>
      </c>
    </row>
    <row r="29" spans="1:13" ht="15" customHeight="1" x14ac:dyDescent="0.3">
      <c r="A29" s="128"/>
      <c r="B29" s="20" t="s">
        <v>103</v>
      </c>
      <c r="C29" s="32">
        <v>20.5</v>
      </c>
      <c r="D29" s="32">
        <v>33.299999999999997</v>
      </c>
      <c r="E29" s="32">
        <v>35.1</v>
      </c>
      <c r="F29" s="32">
        <v>18.399999999999999</v>
      </c>
      <c r="G29" s="32">
        <v>24.3</v>
      </c>
      <c r="H29" s="32">
        <v>18.399999999999999</v>
      </c>
      <c r="I29" s="32">
        <v>23.6</v>
      </c>
      <c r="J29" s="32">
        <v>24.8</v>
      </c>
      <c r="K29" s="32">
        <v>22.9</v>
      </c>
      <c r="L29" s="32">
        <v>20.9</v>
      </c>
      <c r="M29" s="32">
        <v>20.2</v>
      </c>
    </row>
    <row r="30" spans="1:13" ht="15.6" x14ac:dyDescent="0.3">
      <c r="A30" s="128"/>
      <c r="B30" s="38" t="s">
        <v>104</v>
      </c>
      <c r="C30" s="26">
        <f t="shared" ref="C30:M30" si="7">IF(OR(C28="",C29=""),"",C29/C28)</f>
        <v>1.0098522167487685</v>
      </c>
      <c r="D30" s="26">
        <f t="shared" si="7"/>
        <v>1.0121580547112461</v>
      </c>
      <c r="E30" s="26">
        <f t="shared" si="7"/>
        <v>1.0086206896551726</v>
      </c>
      <c r="F30" s="26">
        <f t="shared" si="7"/>
        <v>1.0109890109890109</v>
      </c>
      <c r="G30" s="26">
        <f t="shared" si="7"/>
        <v>1.008298755186722</v>
      </c>
      <c r="H30" s="26">
        <f t="shared" si="7"/>
        <v>1.0109890109890109</v>
      </c>
      <c r="I30" s="26">
        <f t="shared" si="7"/>
        <v>1.0085470085470087</v>
      </c>
      <c r="J30" s="26">
        <f t="shared" si="7"/>
        <v>1.0081300813008129</v>
      </c>
      <c r="K30" s="26">
        <f t="shared" si="7"/>
        <v>1.0132743362831858</v>
      </c>
      <c r="L30" s="26">
        <f t="shared" si="7"/>
        <v>1.0245098039215685</v>
      </c>
      <c r="M30" s="26">
        <f t="shared" si="7"/>
        <v>1.01</v>
      </c>
    </row>
    <row r="31" spans="1:13" ht="15.6" x14ac:dyDescent="0.3">
      <c r="A31" s="128" t="s">
        <v>145</v>
      </c>
      <c r="B31" s="30" t="s">
        <v>102</v>
      </c>
      <c r="C31" s="37">
        <v>1.54</v>
      </c>
      <c r="D31" s="37">
        <v>2.5</v>
      </c>
      <c r="E31" s="37">
        <v>2.65</v>
      </c>
      <c r="F31" s="37">
        <v>1.38</v>
      </c>
      <c r="G31" s="37">
        <v>1.84</v>
      </c>
      <c r="H31" s="37">
        <v>1.38</v>
      </c>
      <c r="I31" s="37">
        <v>1.77</v>
      </c>
      <c r="J31" s="37">
        <v>1.87</v>
      </c>
      <c r="K31" s="37">
        <v>1.72</v>
      </c>
      <c r="L31" s="37">
        <v>1.55</v>
      </c>
      <c r="M31" s="37">
        <v>1.52</v>
      </c>
    </row>
    <row r="32" spans="1:13" ht="15.6" x14ac:dyDescent="0.3">
      <c r="A32" s="128"/>
      <c r="B32" s="20" t="s">
        <v>103</v>
      </c>
      <c r="C32" s="32">
        <v>1.54</v>
      </c>
      <c r="D32" s="32">
        <v>2.4900000000000002</v>
      </c>
      <c r="E32" s="32">
        <v>2.63</v>
      </c>
      <c r="F32" s="32">
        <v>1.38</v>
      </c>
      <c r="G32" s="32">
        <v>1.82</v>
      </c>
      <c r="H32" s="32">
        <v>1.38</v>
      </c>
      <c r="I32" s="32">
        <v>1.77</v>
      </c>
      <c r="J32" s="32">
        <v>1.86</v>
      </c>
      <c r="K32" s="32">
        <v>1.71</v>
      </c>
      <c r="L32" s="32">
        <v>1.54</v>
      </c>
      <c r="M32" s="32">
        <v>1.51</v>
      </c>
    </row>
    <row r="33" spans="1:13" ht="15.6" x14ac:dyDescent="0.3">
      <c r="A33" s="128"/>
      <c r="B33" s="38" t="s">
        <v>104</v>
      </c>
      <c r="C33" s="26">
        <f t="shared" ref="C33:M33" si="8">IF(OR(C31="",C32=""),"",C32/C31)</f>
        <v>1</v>
      </c>
      <c r="D33" s="26">
        <f t="shared" si="8"/>
        <v>0.99600000000000011</v>
      </c>
      <c r="E33" s="26">
        <f t="shared" si="8"/>
        <v>0.99245283018867925</v>
      </c>
      <c r="F33" s="26">
        <f t="shared" si="8"/>
        <v>1</v>
      </c>
      <c r="G33" s="26">
        <f t="shared" si="8"/>
        <v>0.98913043478260865</v>
      </c>
      <c r="H33" s="26">
        <f t="shared" si="8"/>
        <v>1</v>
      </c>
      <c r="I33" s="26">
        <f t="shared" si="8"/>
        <v>1</v>
      </c>
      <c r="J33" s="26">
        <f t="shared" si="8"/>
        <v>0.99465240641711228</v>
      </c>
      <c r="K33" s="26">
        <f t="shared" si="8"/>
        <v>0.9941860465116279</v>
      </c>
      <c r="L33" s="26">
        <f t="shared" si="8"/>
        <v>0.99354838709677418</v>
      </c>
      <c r="M33" s="26">
        <f t="shared" si="8"/>
        <v>0.99342105263157898</v>
      </c>
    </row>
    <row r="34" spans="1:13" ht="15.6" x14ac:dyDescent="0.3">
      <c r="A34" s="128" t="s">
        <v>146</v>
      </c>
      <c r="B34" s="30" t="s">
        <v>102</v>
      </c>
      <c r="C34" s="37">
        <v>6.49</v>
      </c>
      <c r="D34" s="37">
        <v>10.5</v>
      </c>
      <c r="E34" s="37">
        <v>11.2</v>
      </c>
      <c r="F34" s="37">
        <v>5.82</v>
      </c>
      <c r="G34" s="37">
        <v>7.74</v>
      </c>
      <c r="H34" s="37">
        <v>5.82</v>
      </c>
      <c r="I34" s="37">
        <v>7.47</v>
      </c>
      <c r="J34" s="37">
        <v>7.88</v>
      </c>
      <c r="K34" s="37">
        <v>7.25</v>
      </c>
      <c r="L34" s="37">
        <v>6.52</v>
      </c>
      <c r="M34" s="37">
        <v>6.42</v>
      </c>
    </row>
    <row r="35" spans="1:13" ht="15.6" x14ac:dyDescent="0.3">
      <c r="A35" s="128"/>
      <c r="B35" s="20" t="s">
        <v>103</v>
      </c>
      <c r="C35" s="32">
        <v>6.55</v>
      </c>
      <c r="D35" s="32">
        <v>10.6</v>
      </c>
      <c r="E35" s="32">
        <v>11.2</v>
      </c>
      <c r="F35" s="32">
        <v>5.87</v>
      </c>
      <c r="G35" s="32">
        <v>7.79</v>
      </c>
      <c r="H35" s="32">
        <v>5.87</v>
      </c>
      <c r="I35" s="32">
        <v>7.54</v>
      </c>
      <c r="J35" s="32">
        <v>7.94</v>
      </c>
      <c r="K35" s="32">
        <v>7.3</v>
      </c>
      <c r="L35" s="32">
        <v>6.58</v>
      </c>
      <c r="M35" s="32">
        <v>6.46</v>
      </c>
    </row>
    <row r="36" spans="1:13" ht="15.6" x14ac:dyDescent="0.3">
      <c r="A36" s="128"/>
      <c r="B36" s="38" t="s">
        <v>104</v>
      </c>
      <c r="C36" s="26">
        <f t="shared" ref="C36:M36" si="9">IF(OR(C34="",C35=""),"",C35/C34)</f>
        <v>1.0092449922958397</v>
      </c>
      <c r="D36" s="26">
        <f t="shared" si="9"/>
        <v>1.0095238095238095</v>
      </c>
      <c r="E36" s="26">
        <f t="shared" si="9"/>
        <v>1</v>
      </c>
      <c r="F36" s="26">
        <f t="shared" si="9"/>
        <v>1.0085910652920962</v>
      </c>
      <c r="G36" s="26">
        <f t="shared" si="9"/>
        <v>1.0064599483204135</v>
      </c>
      <c r="H36" s="26">
        <f t="shared" si="9"/>
        <v>1.0085910652920962</v>
      </c>
      <c r="I36" s="26">
        <f t="shared" si="9"/>
        <v>1.0093708165997324</v>
      </c>
      <c r="J36" s="26">
        <f t="shared" si="9"/>
        <v>1.0076142131979695</v>
      </c>
      <c r="K36" s="26">
        <f t="shared" si="9"/>
        <v>1.0068965517241379</v>
      </c>
      <c r="L36" s="26">
        <f t="shared" si="9"/>
        <v>1.0092024539877302</v>
      </c>
      <c r="M36" s="26">
        <f t="shared" si="9"/>
        <v>1.0062305295950156</v>
      </c>
    </row>
    <row r="38" spans="1:13" ht="15.6" x14ac:dyDescent="0.3">
      <c r="A38" s="8" t="s">
        <v>147</v>
      </c>
    </row>
    <row r="39" spans="1:13" ht="15.6" x14ac:dyDescent="0.3">
      <c r="B39" s="15" t="s">
        <v>100</v>
      </c>
      <c r="C39" s="31" t="s">
        <v>13</v>
      </c>
      <c r="D39" s="31" t="s">
        <v>26</v>
      </c>
      <c r="E39" s="31" t="s">
        <v>34</v>
      </c>
      <c r="F39" s="31" t="s">
        <v>14</v>
      </c>
      <c r="G39" s="31" t="s">
        <v>15</v>
      </c>
      <c r="H39" s="31" t="s">
        <v>18</v>
      </c>
      <c r="I39" s="31" t="s">
        <v>20</v>
      </c>
      <c r="J39" s="31" t="s">
        <v>16</v>
      </c>
      <c r="K39" s="31" t="s">
        <v>21</v>
      </c>
      <c r="L39" s="31" t="s">
        <v>20</v>
      </c>
      <c r="M39" s="31" t="s">
        <v>22</v>
      </c>
    </row>
    <row r="40" spans="1:13" ht="15.6" x14ac:dyDescent="0.3">
      <c r="B40" s="18" t="s">
        <v>114</v>
      </c>
      <c r="C40" s="32">
        <v>2</v>
      </c>
      <c r="D40" s="32">
        <v>3.6</v>
      </c>
      <c r="E40" s="32">
        <v>4.8</v>
      </c>
      <c r="F40" s="32">
        <v>5</v>
      </c>
      <c r="G40" s="32">
        <v>6</v>
      </c>
      <c r="H40" s="32">
        <v>10</v>
      </c>
      <c r="I40" s="32">
        <v>14.4</v>
      </c>
      <c r="J40" s="32">
        <v>12</v>
      </c>
      <c r="K40" s="32">
        <v>19.2</v>
      </c>
      <c r="L40" s="32">
        <v>14.4</v>
      </c>
      <c r="M40" s="32">
        <v>38.4</v>
      </c>
    </row>
    <row r="41" spans="1:13" ht="15.6" x14ac:dyDescent="0.3">
      <c r="B41" s="18" t="s">
        <v>101</v>
      </c>
      <c r="C41" s="32" t="s">
        <v>13</v>
      </c>
      <c r="D41" s="32" t="s">
        <v>26</v>
      </c>
      <c r="E41" s="32" t="s">
        <v>31</v>
      </c>
      <c r="F41" s="32" t="s">
        <v>14</v>
      </c>
      <c r="G41" s="32" t="s">
        <v>16</v>
      </c>
      <c r="H41" s="32" t="s">
        <v>18</v>
      </c>
      <c r="I41" s="32" t="s">
        <v>20</v>
      </c>
      <c r="J41" s="32" t="s">
        <v>19</v>
      </c>
      <c r="K41" s="32" t="s">
        <v>22</v>
      </c>
      <c r="L41" s="32" t="s">
        <v>20</v>
      </c>
      <c r="M41" s="32" t="s">
        <v>40</v>
      </c>
    </row>
    <row r="42" spans="1:13" ht="15.6" x14ac:dyDescent="0.3">
      <c r="B42" s="33" t="s">
        <v>115</v>
      </c>
      <c r="C42" s="40"/>
      <c r="D42" s="40"/>
      <c r="E42" s="40" t="s">
        <v>121</v>
      </c>
      <c r="F42" s="40"/>
      <c r="G42" s="40" t="s">
        <v>121</v>
      </c>
      <c r="H42" s="40"/>
      <c r="I42" s="40"/>
      <c r="J42" s="40" t="s">
        <v>121</v>
      </c>
      <c r="K42" s="40" t="s">
        <v>121</v>
      </c>
      <c r="L42" s="40"/>
      <c r="M42" s="40"/>
    </row>
    <row r="43" spans="1:13" ht="15.6" x14ac:dyDescent="0.3">
      <c r="A43" s="7" t="s">
        <v>6</v>
      </c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</row>
    <row r="44" spans="1:13" ht="15.6" x14ac:dyDescent="0.3">
      <c r="A44" s="128">
        <v>70</v>
      </c>
      <c r="B44" s="30" t="s">
        <v>102</v>
      </c>
      <c r="C44" s="37">
        <v>2.3199999999999998</v>
      </c>
      <c r="D44" s="37">
        <v>3.75</v>
      </c>
      <c r="E44" s="37">
        <v>3.95</v>
      </c>
      <c r="F44" s="37">
        <v>2.08</v>
      </c>
      <c r="G44" s="37">
        <v>2.74</v>
      </c>
      <c r="H44" s="37">
        <v>2.08</v>
      </c>
      <c r="I44" s="37">
        <v>2.67</v>
      </c>
      <c r="J44" s="37">
        <v>2.79</v>
      </c>
      <c r="K44" s="37">
        <v>2.58</v>
      </c>
      <c r="L44" s="37">
        <v>2.33</v>
      </c>
      <c r="M44" s="37">
        <v>2.27</v>
      </c>
    </row>
    <row r="45" spans="1:13" ht="15.6" x14ac:dyDescent="0.3">
      <c r="A45" s="128"/>
      <c r="B45" s="20" t="s">
        <v>103</v>
      </c>
      <c r="C45" s="32">
        <v>2.29</v>
      </c>
      <c r="D45" s="32">
        <v>3.71</v>
      </c>
      <c r="E45" s="32">
        <v>3.88</v>
      </c>
      <c r="F45" s="32">
        <v>20.6</v>
      </c>
      <c r="G45" s="32">
        <v>2.69</v>
      </c>
      <c r="H45" s="32">
        <v>20.6</v>
      </c>
      <c r="I45" s="32">
        <v>2.64</v>
      </c>
      <c r="J45" s="32">
        <v>2.74</v>
      </c>
      <c r="K45" s="32">
        <v>2.54</v>
      </c>
      <c r="L45" s="32">
        <v>2.2999999999999998</v>
      </c>
      <c r="M45" s="32">
        <v>2.23</v>
      </c>
    </row>
    <row r="46" spans="1:13" ht="15.6" x14ac:dyDescent="0.3">
      <c r="A46" s="128"/>
      <c r="B46" s="38" t="s">
        <v>104</v>
      </c>
      <c r="C46" s="26">
        <f t="shared" ref="C46:M46" si="10">IF(OR(C44="",C45=""),"",C45/C44)</f>
        <v>0.98706896551724144</v>
      </c>
      <c r="D46" s="26">
        <f t="shared" si="10"/>
        <v>0.98933333333333329</v>
      </c>
      <c r="E46" s="26">
        <f t="shared" si="10"/>
        <v>0.98227848101265813</v>
      </c>
      <c r="F46" s="26">
        <f t="shared" si="10"/>
        <v>9.9038461538461551</v>
      </c>
      <c r="G46" s="26">
        <f t="shared" si="10"/>
        <v>0.9817518248175181</v>
      </c>
      <c r="H46" s="26">
        <f t="shared" si="10"/>
        <v>9.9038461538461551</v>
      </c>
      <c r="I46" s="26">
        <f t="shared" si="10"/>
        <v>0.98876404494382031</v>
      </c>
      <c r="J46" s="26">
        <f t="shared" si="10"/>
        <v>0.98207885304659504</v>
      </c>
      <c r="K46" s="26">
        <f t="shared" si="10"/>
        <v>0.98449612403100772</v>
      </c>
      <c r="L46" s="26">
        <f t="shared" si="10"/>
        <v>0.98712446351931316</v>
      </c>
      <c r="M46" s="26">
        <f t="shared" si="10"/>
        <v>0.98237885462555063</v>
      </c>
    </row>
    <row r="47" spans="1:13" ht="15.6" x14ac:dyDescent="0.3">
      <c r="A47" s="128">
        <v>80</v>
      </c>
      <c r="B47" s="30" t="s">
        <v>102</v>
      </c>
      <c r="C47" s="37">
        <v>3.74</v>
      </c>
      <c r="D47" s="37">
        <v>6.05</v>
      </c>
      <c r="E47" s="37">
        <v>6.38</v>
      </c>
      <c r="F47" s="37">
        <v>3.35</v>
      </c>
      <c r="G47" s="37">
        <v>4.43</v>
      </c>
      <c r="H47" s="37">
        <v>3.35</v>
      </c>
      <c r="I47" s="37">
        <v>4.3</v>
      </c>
      <c r="J47" s="37">
        <v>4.51</v>
      </c>
      <c r="K47" s="37">
        <v>4.16</v>
      </c>
      <c r="L47" s="37">
        <v>3.76</v>
      </c>
      <c r="M47" s="37">
        <v>3.67</v>
      </c>
    </row>
    <row r="48" spans="1:13" ht="15.6" x14ac:dyDescent="0.3">
      <c r="A48" s="128"/>
      <c r="B48" s="20" t="s">
        <v>103</v>
      </c>
      <c r="C48" s="32">
        <v>3.67</v>
      </c>
      <c r="D48" s="32">
        <v>5.94</v>
      </c>
      <c r="E48" s="32">
        <v>6.23</v>
      </c>
      <c r="F48" s="32">
        <v>3.29</v>
      </c>
      <c r="G48" s="32">
        <v>4.32</v>
      </c>
      <c r="H48" s="32">
        <v>3.29</v>
      </c>
      <c r="I48" s="32">
        <v>4.22</v>
      </c>
      <c r="J48" s="32">
        <v>4.4000000000000004</v>
      </c>
      <c r="K48" s="32">
        <v>4.07</v>
      </c>
      <c r="L48" s="32">
        <v>3.68</v>
      </c>
      <c r="M48" s="32">
        <v>3.58</v>
      </c>
    </row>
    <row r="49" spans="1:13" ht="15.6" x14ac:dyDescent="0.3">
      <c r="A49" s="128"/>
      <c r="B49" s="38" t="s">
        <v>104</v>
      </c>
      <c r="C49" s="26">
        <f t="shared" ref="C49:M49" si="11">IF(OR(C47="",C48=""),"",C48/C47)</f>
        <v>0.98128342245989297</v>
      </c>
      <c r="D49" s="26">
        <f t="shared" si="11"/>
        <v>0.98181818181818192</v>
      </c>
      <c r="E49" s="26">
        <f t="shared" si="11"/>
        <v>0.97648902821316619</v>
      </c>
      <c r="F49" s="26">
        <f t="shared" si="11"/>
        <v>0.98208955223880601</v>
      </c>
      <c r="G49" s="26">
        <f t="shared" si="11"/>
        <v>0.97516930022573378</v>
      </c>
      <c r="H49" s="26">
        <f t="shared" si="11"/>
        <v>0.98208955223880601</v>
      </c>
      <c r="I49" s="26">
        <f t="shared" si="11"/>
        <v>0.98139534883720925</v>
      </c>
      <c r="J49" s="26">
        <f t="shared" si="11"/>
        <v>0.97560975609756106</v>
      </c>
      <c r="K49" s="26">
        <f t="shared" si="11"/>
        <v>0.97836538461538469</v>
      </c>
      <c r="L49" s="26">
        <f t="shared" si="11"/>
        <v>0.97872340425531923</v>
      </c>
      <c r="M49" s="26">
        <f t="shared" si="11"/>
        <v>0.9754768392370573</v>
      </c>
    </row>
    <row r="50" spans="1:13" ht="15.6" x14ac:dyDescent="0.3">
      <c r="A50" s="128">
        <v>90</v>
      </c>
      <c r="B50" s="30" t="s">
        <v>102</v>
      </c>
      <c r="C50" s="37">
        <v>5.54</v>
      </c>
      <c r="D50" s="37">
        <v>8.9700000000000006</v>
      </c>
      <c r="E50" s="37">
        <v>9.4700000000000006</v>
      </c>
      <c r="F50" s="37">
        <v>4.97</v>
      </c>
      <c r="G50" s="37">
        <v>6.57</v>
      </c>
      <c r="H50" s="37">
        <v>4.97</v>
      </c>
      <c r="I50" s="37">
        <v>6.38</v>
      </c>
      <c r="J50" s="37">
        <v>6.69</v>
      </c>
      <c r="K50" s="37">
        <v>6.17</v>
      </c>
      <c r="L50" s="37">
        <v>5.56</v>
      </c>
      <c r="M50" s="37">
        <v>5.45</v>
      </c>
    </row>
    <row r="51" spans="1:13" ht="15.6" x14ac:dyDescent="0.3">
      <c r="A51" s="128"/>
      <c r="B51" s="20" t="s">
        <v>103</v>
      </c>
      <c r="C51" s="32">
        <v>5.42</v>
      </c>
      <c r="D51" s="32">
        <v>8.77</v>
      </c>
      <c r="E51" s="32">
        <v>9.1999999999999993</v>
      </c>
      <c r="F51" s="32">
        <v>4.8600000000000003</v>
      </c>
      <c r="G51" s="32">
        <v>6.38</v>
      </c>
      <c r="H51" s="32">
        <v>4.8600000000000003</v>
      </c>
      <c r="I51" s="32">
        <v>6.24</v>
      </c>
      <c r="J51" s="32">
        <v>6.5</v>
      </c>
      <c r="K51" s="32">
        <v>6.01</v>
      </c>
      <c r="L51" s="32">
        <v>5.44</v>
      </c>
      <c r="M51" s="32">
        <v>5.29</v>
      </c>
    </row>
    <row r="52" spans="1:13" ht="15.6" x14ac:dyDescent="0.3">
      <c r="A52" s="128"/>
      <c r="B52" s="38" t="s">
        <v>104</v>
      </c>
      <c r="C52" s="26">
        <f t="shared" ref="C52:M52" si="12">IF(OR(C50="",C51=""),"",C51/C50)</f>
        <v>0.97833935018050544</v>
      </c>
      <c r="D52" s="26">
        <f t="shared" si="12"/>
        <v>0.9777034559643254</v>
      </c>
      <c r="E52" s="26">
        <f t="shared" si="12"/>
        <v>0.9714889123548045</v>
      </c>
      <c r="F52" s="26">
        <f t="shared" si="12"/>
        <v>0.97786720321931597</v>
      </c>
      <c r="G52" s="26">
        <f t="shared" si="12"/>
        <v>0.97108066971080664</v>
      </c>
      <c r="H52" s="26">
        <f t="shared" si="12"/>
        <v>0.97786720321931597</v>
      </c>
      <c r="I52" s="26">
        <f t="shared" si="12"/>
        <v>0.9780564263322884</v>
      </c>
      <c r="J52" s="26">
        <f t="shared" si="12"/>
        <v>0.97159940209267559</v>
      </c>
      <c r="K52" s="26">
        <f t="shared" si="12"/>
        <v>0.97406807131280382</v>
      </c>
      <c r="L52" s="26">
        <f t="shared" si="12"/>
        <v>0.97841726618705049</v>
      </c>
      <c r="M52" s="26">
        <f t="shared" si="12"/>
        <v>0.97064220183486238</v>
      </c>
    </row>
    <row r="53" spans="1:13" ht="15.6" x14ac:dyDescent="0.3">
      <c r="A53" s="128">
        <v>100</v>
      </c>
      <c r="B53" s="30" t="s">
        <v>102</v>
      </c>
      <c r="C53" s="37">
        <v>7.66</v>
      </c>
      <c r="D53" s="37">
        <v>12.4</v>
      </c>
      <c r="E53" s="37">
        <v>13.1</v>
      </c>
      <c r="F53" s="37">
        <v>6.87</v>
      </c>
      <c r="G53" s="37">
        <v>9.08</v>
      </c>
      <c r="H53" s="37">
        <v>6.87</v>
      </c>
      <c r="I53" s="37">
        <v>8.81</v>
      </c>
      <c r="J53" s="37">
        <v>9.25</v>
      </c>
      <c r="K53" s="37">
        <v>8.5299999999999994</v>
      </c>
      <c r="L53" s="37">
        <v>7.69</v>
      </c>
      <c r="M53" s="37">
        <v>7.53</v>
      </c>
    </row>
    <row r="54" spans="1:13" ht="15.6" x14ac:dyDescent="0.3">
      <c r="A54" s="128"/>
      <c r="B54" s="20" t="s">
        <v>103</v>
      </c>
      <c r="C54" s="32">
        <v>7.48</v>
      </c>
      <c r="D54" s="32">
        <v>12.1</v>
      </c>
      <c r="E54" s="32">
        <v>12.7</v>
      </c>
      <c r="F54" s="32">
        <v>6.71</v>
      </c>
      <c r="G54" s="32">
        <v>8.81</v>
      </c>
      <c r="H54" s="32">
        <v>6.71</v>
      </c>
      <c r="I54" s="32">
        <v>8.6</v>
      </c>
      <c r="J54" s="32">
        <v>8.98</v>
      </c>
      <c r="K54" s="32">
        <v>8.3000000000000007</v>
      </c>
      <c r="L54" s="32">
        <v>7.51</v>
      </c>
      <c r="M54" s="32">
        <v>7.31</v>
      </c>
    </row>
    <row r="55" spans="1:13" ht="15.6" x14ac:dyDescent="0.3">
      <c r="A55" s="128"/>
      <c r="B55" s="38" t="s">
        <v>104</v>
      </c>
      <c r="C55" s="26">
        <f t="shared" ref="C55:M55" si="13">IF(OR(C53="",C54=""),"",C54/C53)</f>
        <v>0.97650130548302871</v>
      </c>
      <c r="D55" s="26">
        <f t="shared" si="13"/>
        <v>0.97580645161290314</v>
      </c>
      <c r="E55" s="26">
        <f t="shared" si="13"/>
        <v>0.96946564885496178</v>
      </c>
      <c r="F55" s="26">
        <f t="shared" si="13"/>
        <v>0.97671033478893743</v>
      </c>
      <c r="G55" s="26">
        <f t="shared" si="13"/>
        <v>0.97026431718061679</v>
      </c>
      <c r="H55" s="26">
        <f t="shared" si="13"/>
        <v>0.97671033478893743</v>
      </c>
      <c r="I55" s="26">
        <f t="shared" si="13"/>
        <v>0.97616345062429044</v>
      </c>
      <c r="J55" s="26">
        <f t="shared" si="13"/>
        <v>0.97081081081081089</v>
      </c>
      <c r="K55" s="26">
        <f t="shared" si="13"/>
        <v>0.97303634232121938</v>
      </c>
      <c r="L55" s="26">
        <f t="shared" si="13"/>
        <v>0.97659297789336796</v>
      </c>
      <c r="M55" s="26">
        <f t="shared" si="13"/>
        <v>0.9707835325365205</v>
      </c>
    </row>
    <row r="56" spans="1:13" ht="15.6" x14ac:dyDescent="0.3">
      <c r="A56" s="128">
        <v>110</v>
      </c>
      <c r="B56" s="30" t="s">
        <v>102</v>
      </c>
      <c r="C56" s="37">
        <v>10.3</v>
      </c>
      <c r="D56" s="37">
        <v>16.7</v>
      </c>
      <c r="E56" s="37">
        <v>17.600000000000001</v>
      </c>
      <c r="F56" s="37">
        <v>9.26</v>
      </c>
      <c r="G56" s="37">
        <v>12.2</v>
      </c>
      <c r="H56" s="37">
        <v>9.26</v>
      </c>
      <c r="I56" s="37">
        <v>11.9</v>
      </c>
      <c r="J56" s="37">
        <v>12.5</v>
      </c>
      <c r="K56" s="37">
        <v>11.5</v>
      </c>
      <c r="L56" s="37">
        <v>10.4</v>
      </c>
      <c r="M56" s="37">
        <v>10.1</v>
      </c>
    </row>
    <row r="57" spans="1:13" ht="15.6" x14ac:dyDescent="0.3">
      <c r="A57" s="128"/>
      <c r="B57" s="20" t="s">
        <v>103</v>
      </c>
      <c r="C57" s="32">
        <v>10.1</v>
      </c>
      <c r="D57" s="32">
        <v>16.3</v>
      </c>
      <c r="E57" s="32">
        <v>17.100000000000001</v>
      </c>
      <c r="F57" s="32">
        <v>9.0299999999999994</v>
      </c>
      <c r="G57" s="32">
        <v>11.9</v>
      </c>
      <c r="H57" s="32">
        <v>9.0299999999999994</v>
      </c>
      <c r="I57" s="32">
        <v>11.6</v>
      </c>
      <c r="J57" s="32">
        <v>12.1</v>
      </c>
      <c r="K57" s="32">
        <v>11.2</v>
      </c>
      <c r="L57" s="32">
        <v>10.1</v>
      </c>
      <c r="M57" s="32">
        <v>9.83</v>
      </c>
    </row>
    <row r="58" spans="1:13" ht="15.6" x14ac:dyDescent="0.3">
      <c r="A58" s="128"/>
      <c r="B58" s="38" t="s">
        <v>104</v>
      </c>
      <c r="C58" s="26">
        <f t="shared" ref="C58:M58" si="14">IF(OR(C56="",C57=""),"",C57/C56)</f>
        <v>0.98058252427184456</v>
      </c>
      <c r="D58" s="26">
        <f t="shared" si="14"/>
        <v>0.9760479041916168</v>
      </c>
      <c r="E58" s="26">
        <f t="shared" si="14"/>
        <v>0.97159090909090906</v>
      </c>
      <c r="F58" s="26">
        <f t="shared" si="14"/>
        <v>0.97516198704103663</v>
      </c>
      <c r="G58" s="26">
        <f t="shared" si="14"/>
        <v>0.97540983606557385</v>
      </c>
      <c r="H58" s="26">
        <f t="shared" si="14"/>
        <v>0.97516198704103663</v>
      </c>
      <c r="I58" s="26">
        <f t="shared" si="14"/>
        <v>0.97478991596638653</v>
      </c>
      <c r="J58" s="26">
        <f t="shared" si="14"/>
        <v>0.96799999999999997</v>
      </c>
      <c r="K58" s="26">
        <f t="shared" si="14"/>
        <v>0.9739130434782608</v>
      </c>
      <c r="L58" s="26">
        <f t="shared" si="14"/>
        <v>0.97115384615384603</v>
      </c>
      <c r="M58" s="26">
        <f t="shared" si="14"/>
        <v>0.97326732673267335</v>
      </c>
    </row>
    <row r="59" spans="1:13" ht="15.6" x14ac:dyDescent="0.3">
      <c r="A59" s="128">
        <v>120</v>
      </c>
      <c r="B59" s="30" t="s">
        <v>102</v>
      </c>
      <c r="C59" s="37">
        <v>12.9</v>
      </c>
      <c r="D59" s="37">
        <v>20.9</v>
      </c>
      <c r="E59" s="37">
        <v>22.1</v>
      </c>
      <c r="F59" s="37">
        <v>11.6</v>
      </c>
      <c r="G59" s="37">
        <v>15.3</v>
      </c>
      <c r="H59" s="37">
        <v>11.6</v>
      </c>
      <c r="I59" s="37">
        <v>14.9</v>
      </c>
      <c r="J59" s="37">
        <v>15.6</v>
      </c>
      <c r="K59" s="37">
        <v>14.4</v>
      </c>
      <c r="L59" s="37">
        <v>13</v>
      </c>
      <c r="M59" s="37">
        <v>12.7</v>
      </c>
    </row>
    <row r="60" spans="1:13" ht="15.6" x14ac:dyDescent="0.3">
      <c r="A60" s="128"/>
      <c r="B60" s="20" t="s">
        <v>103</v>
      </c>
      <c r="C60" s="32">
        <v>12.6</v>
      </c>
      <c r="D60" s="32">
        <v>20.399999999999999</v>
      </c>
      <c r="E60" s="32">
        <v>21.4</v>
      </c>
      <c r="F60" s="32">
        <v>11.3</v>
      </c>
      <c r="G60" s="32">
        <v>14.9</v>
      </c>
      <c r="H60" s="32">
        <v>11.3</v>
      </c>
      <c r="I60" s="32">
        <v>14.5</v>
      </c>
      <c r="J60" s="32">
        <v>15.1</v>
      </c>
      <c r="K60" s="32">
        <v>14</v>
      </c>
      <c r="L60" s="32">
        <v>12.7</v>
      </c>
      <c r="M60" s="32">
        <v>12.3</v>
      </c>
    </row>
    <row r="61" spans="1:13" ht="15.6" x14ac:dyDescent="0.3">
      <c r="A61" s="128"/>
      <c r="B61" s="38" t="s">
        <v>104</v>
      </c>
      <c r="C61" s="26">
        <f t="shared" ref="C61:M61" si="15">IF(OR(C59="",C60=""),"",C60/C59)</f>
        <v>0.97674418604651159</v>
      </c>
      <c r="D61" s="26">
        <f t="shared" si="15"/>
        <v>0.97607655502392343</v>
      </c>
      <c r="E61" s="26">
        <f t="shared" si="15"/>
        <v>0.96832579185520351</v>
      </c>
      <c r="F61" s="26">
        <f t="shared" si="15"/>
        <v>0.97413793103448287</v>
      </c>
      <c r="G61" s="26">
        <f t="shared" si="15"/>
        <v>0.97385620915032678</v>
      </c>
      <c r="H61" s="26">
        <f t="shared" si="15"/>
        <v>0.97413793103448287</v>
      </c>
      <c r="I61" s="26">
        <f t="shared" si="15"/>
        <v>0.97315436241610731</v>
      </c>
      <c r="J61" s="26">
        <f t="shared" si="15"/>
        <v>0.96794871794871795</v>
      </c>
      <c r="K61" s="26">
        <f t="shared" si="15"/>
        <v>0.97222222222222221</v>
      </c>
      <c r="L61" s="26">
        <f t="shared" si="15"/>
        <v>0.97692307692307689</v>
      </c>
      <c r="M61" s="26">
        <f t="shared" si="15"/>
        <v>0.96850393700787407</v>
      </c>
    </row>
    <row r="62" spans="1:13" ht="15.6" x14ac:dyDescent="0.3">
      <c r="A62" s="128">
        <v>130</v>
      </c>
      <c r="B62" s="30" t="s">
        <v>102</v>
      </c>
      <c r="C62" s="37">
        <v>15.7</v>
      </c>
      <c r="D62" s="37">
        <v>25.4</v>
      </c>
      <c r="E62" s="37">
        <v>26.8</v>
      </c>
      <c r="F62" s="37">
        <v>14.1</v>
      </c>
      <c r="G62" s="37">
        <v>18.600000000000001</v>
      </c>
      <c r="H62" s="37">
        <v>14.1</v>
      </c>
      <c r="I62" s="37">
        <v>18.100000000000001</v>
      </c>
      <c r="J62" s="37">
        <v>19</v>
      </c>
      <c r="K62" s="37">
        <v>17.5</v>
      </c>
      <c r="L62" s="37">
        <v>15.8</v>
      </c>
      <c r="M62" s="37">
        <v>15.4</v>
      </c>
    </row>
    <row r="63" spans="1:13" ht="15.6" x14ac:dyDescent="0.3">
      <c r="A63" s="128"/>
      <c r="B63" s="20" t="s">
        <v>103</v>
      </c>
      <c r="C63" s="32">
        <v>15.4</v>
      </c>
      <c r="D63" s="32">
        <v>24.9</v>
      </c>
      <c r="E63" s="32">
        <v>26.1</v>
      </c>
      <c r="F63" s="32">
        <v>13.8</v>
      </c>
      <c r="G63" s="32">
        <v>18.100000000000001</v>
      </c>
      <c r="H63" s="32">
        <v>13.8</v>
      </c>
      <c r="I63" s="32">
        <v>17.7</v>
      </c>
      <c r="J63" s="32">
        <v>18.5</v>
      </c>
      <c r="K63" s="32">
        <v>17.100000000000001</v>
      </c>
      <c r="L63" s="32">
        <v>15.4</v>
      </c>
      <c r="M63" s="32">
        <v>15</v>
      </c>
    </row>
    <row r="64" spans="1:13" ht="15.6" x14ac:dyDescent="0.3">
      <c r="A64" s="128"/>
      <c r="B64" s="38" t="s">
        <v>104</v>
      </c>
      <c r="C64" s="26">
        <f t="shared" ref="C64:M64" si="16">IF(OR(C62="",C63=""),"",C63/C62)</f>
        <v>0.98089171974522305</v>
      </c>
      <c r="D64" s="26">
        <f t="shared" si="16"/>
        <v>0.98031496062992129</v>
      </c>
      <c r="E64" s="26">
        <f t="shared" si="16"/>
        <v>0.97388059701492535</v>
      </c>
      <c r="F64" s="26">
        <f t="shared" si="16"/>
        <v>0.97872340425531923</v>
      </c>
      <c r="G64" s="26">
        <f t="shared" si="16"/>
        <v>0.9731182795698925</v>
      </c>
      <c r="H64" s="26">
        <f t="shared" si="16"/>
        <v>0.97872340425531923</v>
      </c>
      <c r="I64" s="26">
        <f t="shared" si="16"/>
        <v>0.97790055248618768</v>
      </c>
      <c r="J64" s="26">
        <f t="shared" si="16"/>
        <v>0.97368421052631582</v>
      </c>
      <c r="K64" s="26">
        <f t="shared" si="16"/>
        <v>0.9771428571428572</v>
      </c>
      <c r="L64" s="26">
        <f t="shared" si="16"/>
        <v>0.97468354430379744</v>
      </c>
      <c r="M64" s="26">
        <f t="shared" si="16"/>
        <v>0.97402597402597402</v>
      </c>
    </row>
    <row r="65" spans="1:13" ht="15.6" x14ac:dyDescent="0.3">
      <c r="A65" s="128">
        <v>140</v>
      </c>
      <c r="B65" s="30" t="s">
        <v>102</v>
      </c>
      <c r="C65" s="37">
        <v>18.8</v>
      </c>
      <c r="D65" s="37">
        <v>30.5</v>
      </c>
      <c r="E65" s="37">
        <v>32.299999999999997</v>
      </c>
      <c r="F65" s="37">
        <v>16.899999999999999</v>
      </c>
      <c r="G65" s="37">
        <v>22.4</v>
      </c>
      <c r="H65" s="37">
        <v>16.899999999999999</v>
      </c>
      <c r="I65" s="37">
        <v>21.7</v>
      </c>
      <c r="J65" s="37">
        <v>22.8</v>
      </c>
      <c r="K65" s="37">
        <v>21</v>
      </c>
      <c r="L65" s="37">
        <v>18.899999999999999</v>
      </c>
      <c r="M65" s="37">
        <v>18.5</v>
      </c>
    </row>
    <row r="66" spans="1:13" ht="15.6" x14ac:dyDescent="0.3">
      <c r="A66" s="128"/>
      <c r="B66" s="20" t="s">
        <v>103</v>
      </c>
      <c r="C66" s="32">
        <v>18.399999999999999</v>
      </c>
      <c r="D66" s="32">
        <v>29.8</v>
      </c>
      <c r="E66" s="32">
        <v>31.4</v>
      </c>
      <c r="F66" s="32">
        <v>16.5</v>
      </c>
      <c r="G66" s="32">
        <v>21.8</v>
      </c>
      <c r="H66" s="32">
        <v>16.5</v>
      </c>
      <c r="I66" s="32">
        <v>21.2</v>
      </c>
      <c r="J66" s="32">
        <v>22.2</v>
      </c>
      <c r="K66" s="32">
        <v>20.5</v>
      </c>
      <c r="L66" s="32">
        <v>18.5</v>
      </c>
      <c r="M66" s="32">
        <v>18</v>
      </c>
    </row>
    <row r="67" spans="1:13" ht="15.6" x14ac:dyDescent="0.3">
      <c r="A67" s="128"/>
      <c r="B67" s="38" t="s">
        <v>104</v>
      </c>
      <c r="C67" s="26">
        <f t="shared" ref="C67:M67" si="17">IF(OR(C65="",C66=""),"",C66/C65)</f>
        <v>0.97872340425531901</v>
      </c>
      <c r="D67" s="26">
        <f t="shared" si="17"/>
        <v>0.97704918032786892</v>
      </c>
      <c r="E67" s="26">
        <f t="shared" si="17"/>
        <v>0.97213622291021673</v>
      </c>
      <c r="F67" s="26">
        <f t="shared" si="17"/>
        <v>0.97633136094674566</v>
      </c>
      <c r="G67" s="26">
        <f t="shared" si="17"/>
        <v>0.97321428571428581</v>
      </c>
      <c r="H67" s="26">
        <f t="shared" si="17"/>
        <v>0.97633136094674566</v>
      </c>
      <c r="I67" s="26">
        <f t="shared" si="17"/>
        <v>0.97695852534562211</v>
      </c>
      <c r="J67" s="26">
        <f t="shared" si="17"/>
        <v>0.97368421052631571</v>
      </c>
      <c r="K67" s="26">
        <f t="shared" si="17"/>
        <v>0.97619047619047616</v>
      </c>
      <c r="L67" s="26">
        <f t="shared" si="17"/>
        <v>0.97883597883597895</v>
      </c>
      <c r="M67" s="26">
        <f t="shared" si="17"/>
        <v>0.97297297297297303</v>
      </c>
    </row>
    <row r="68" spans="1:13" ht="15.6" x14ac:dyDescent="0.3">
      <c r="A68" s="128" t="s">
        <v>145</v>
      </c>
      <c r="B68" s="30" t="s">
        <v>102</v>
      </c>
      <c r="C68" s="37">
        <v>1.45</v>
      </c>
      <c r="D68" s="37">
        <v>2.35</v>
      </c>
      <c r="E68" s="37">
        <v>2.4900000000000002</v>
      </c>
      <c r="F68" s="37">
        <v>1.3</v>
      </c>
      <c r="G68" s="37">
        <v>1.73</v>
      </c>
      <c r="H68" s="37">
        <v>1.3</v>
      </c>
      <c r="I68" s="37">
        <v>1.67</v>
      </c>
      <c r="J68" s="37">
        <v>1.76</v>
      </c>
      <c r="K68" s="37">
        <v>1.62</v>
      </c>
      <c r="L68" s="37">
        <v>1.46</v>
      </c>
      <c r="M68" s="37">
        <v>1.43</v>
      </c>
    </row>
    <row r="69" spans="1:13" ht="15.6" x14ac:dyDescent="0.3">
      <c r="A69" s="128"/>
      <c r="B69" s="20" t="s">
        <v>103</v>
      </c>
      <c r="C69" s="32">
        <v>1.4</v>
      </c>
      <c r="D69" s="32">
        <v>2.27</v>
      </c>
      <c r="E69" s="32">
        <v>2.4</v>
      </c>
      <c r="F69" s="32">
        <v>1.26</v>
      </c>
      <c r="G69" s="32">
        <v>1.66</v>
      </c>
      <c r="H69" s="32">
        <v>1.26</v>
      </c>
      <c r="I69" s="32">
        <v>1.61</v>
      </c>
      <c r="J69" s="32">
        <v>1.69</v>
      </c>
      <c r="K69" s="32">
        <v>1.56</v>
      </c>
      <c r="L69" s="32">
        <v>1.41</v>
      </c>
      <c r="M69" s="32">
        <v>1.38</v>
      </c>
    </row>
    <row r="70" spans="1:13" ht="15.6" x14ac:dyDescent="0.3">
      <c r="A70" s="128"/>
      <c r="B70" s="38" t="s">
        <v>104</v>
      </c>
      <c r="C70" s="26">
        <f t="shared" ref="C70:M70" si="18">IF(OR(C68="",C69=""),"",C69/C68)</f>
        <v>0.96551724137931028</v>
      </c>
      <c r="D70" s="26">
        <f t="shared" si="18"/>
        <v>0.96595744680851059</v>
      </c>
      <c r="E70" s="26">
        <f t="shared" si="18"/>
        <v>0.96385542168674687</v>
      </c>
      <c r="F70" s="26">
        <f t="shared" si="18"/>
        <v>0.96923076923076923</v>
      </c>
      <c r="G70" s="26">
        <f t="shared" si="18"/>
        <v>0.95953757225433522</v>
      </c>
      <c r="H70" s="26">
        <f t="shared" si="18"/>
        <v>0.96923076923076923</v>
      </c>
      <c r="I70" s="26">
        <f t="shared" si="18"/>
        <v>0.9640718562874252</v>
      </c>
      <c r="J70" s="26">
        <f t="shared" si="18"/>
        <v>0.96022727272727271</v>
      </c>
      <c r="K70" s="26">
        <f t="shared" si="18"/>
        <v>0.96296296296296291</v>
      </c>
      <c r="L70" s="26">
        <f t="shared" si="18"/>
        <v>0.96575342465753422</v>
      </c>
      <c r="M70" s="26">
        <f t="shared" si="18"/>
        <v>0.965034965034965</v>
      </c>
    </row>
    <row r="71" spans="1:13" ht="15.6" x14ac:dyDescent="0.3">
      <c r="A71" s="128" t="s">
        <v>146</v>
      </c>
      <c r="B71" s="30" t="s">
        <v>102</v>
      </c>
      <c r="C71" s="37">
        <v>6.16</v>
      </c>
      <c r="D71" s="37">
        <v>9.9700000000000006</v>
      </c>
      <c r="E71" s="37">
        <v>10.6</v>
      </c>
      <c r="F71" s="37">
        <v>5.52</v>
      </c>
      <c r="G71" s="37">
        <v>7.35</v>
      </c>
      <c r="H71" s="37">
        <v>5.52</v>
      </c>
      <c r="I71" s="37">
        <v>7.09</v>
      </c>
      <c r="J71" s="37">
        <v>7.49</v>
      </c>
      <c r="K71" s="37">
        <v>6.88</v>
      </c>
      <c r="L71" s="37">
        <v>6.19</v>
      </c>
      <c r="M71" s="37">
        <v>6.09</v>
      </c>
    </row>
    <row r="72" spans="1:13" ht="15.6" x14ac:dyDescent="0.3">
      <c r="A72" s="128"/>
      <c r="B72" s="20" t="s">
        <v>103</v>
      </c>
      <c r="C72" s="32">
        <v>6.06</v>
      </c>
      <c r="D72" s="32">
        <v>9.8000000000000007</v>
      </c>
      <c r="E72" s="32">
        <v>10.4</v>
      </c>
      <c r="F72" s="32">
        <v>5.43</v>
      </c>
      <c r="G72" s="32">
        <v>7.2</v>
      </c>
      <c r="H72" s="32">
        <v>5.43</v>
      </c>
      <c r="I72" s="32">
        <v>6.97</v>
      </c>
      <c r="J72" s="32">
        <v>7.34</v>
      </c>
      <c r="K72" s="32">
        <v>6.75</v>
      </c>
      <c r="L72" s="32">
        <v>6.08</v>
      </c>
      <c r="M72" s="32">
        <v>5.97</v>
      </c>
    </row>
    <row r="73" spans="1:13" ht="15.6" x14ac:dyDescent="0.3">
      <c r="A73" s="128"/>
      <c r="B73" s="38" t="s">
        <v>104</v>
      </c>
      <c r="C73" s="26">
        <f t="shared" ref="C73:M73" si="19">IF(OR(C71="",C72=""),"",C72/C71)</f>
        <v>0.98376623376623373</v>
      </c>
      <c r="D73" s="26">
        <f t="shared" si="19"/>
        <v>0.98294884653961889</v>
      </c>
      <c r="E73" s="26">
        <f t="shared" si="19"/>
        <v>0.98113207547169823</v>
      </c>
      <c r="F73" s="26">
        <f t="shared" si="19"/>
        <v>0.98369565217391308</v>
      </c>
      <c r="G73" s="26">
        <f t="shared" si="19"/>
        <v>0.97959183673469397</v>
      </c>
      <c r="H73" s="26">
        <f t="shared" si="19"/>
        <v>0.98369565217391308</v>
      </c>
      <c r="I73" s="26">
        <f t="shared" si="19"/>
        <v>0.98307475317348381</v>
      </c>
      <c r="J73" s="26">
        <f t="shared" si="19"/>
        <v>0.97997329773030706</v>
      </c>
      <c r="K73" s="26">
        <f t="shared" si="19"/>
        <v>0.98110465116279066</v>
      </c>
      <c r="L73" s="26">
        <f t="shared" si="19"/>
        <v>0.9822294022617124</v>
      </c>
      <c r="M73" s="26">
        <f t="shared" si="19"/>
        <v>0.98029556650246308</v>
      </c>
    </row>
    <row r="75" spans="1:13" ht="15.6" x14ac:dyDescent="0.3">
      <c r="A75" s="9" t="s">
        <v>148</v>
      </c>
    </row>
    <row r="76" spans="1:13" ht="15.6" x14ac:dyDescent="0.3">
      <c r="B76" s="15" t="s">
        <v>100</v>
      </c>
      <c r="C76" s="31" t="s">
        <v>13</v>
      </c>
      <c r="D76" s="31" t="s">
        <v>26</v>
      </c>
      <c r="E76" s="31" t="s">
        <v>34</v>
      </c>
      <c r="F76" s="31" t="s">
        <v>14</v>
      </c>
      <c r="G76" s="31" t="s">
        <v>15</v>
      </c>
      <c r="H76" s="31" t="s">
        <v>18</v>
      </c>
      <c r="I76" s="31" t="s">
        <v>20</v>
      </c>
      <c r="J76" s="31" t="s">
        <v>16</v>
      </c>
      <c r="K76" s="31" t="s">
        <v>21</v>
      </c>
      <c r="L76" s="31" t="s">
        <v>20</v>
      </c>
      <c r="M76" s="31" t="s">
        <v>22</v>
      </c>
    </row>
    <row r="77" spans="1:13" ht="15.6" x14ac:dyDescent="0.3">
      <c r="B77" s="18" t="s">
        <v>114</v>
      </c>
      <c r="C77" s="32">
        <v>2</v>
      </c>
      <c r="D77" s="32">
        <v>3.6</v>
      </c>
      <c r="E77" s="32">
        <v>4.8</v>
      </c>
      <c r="F77" s="32">
        <v>5</v>
      </c>
      <c r="G77" s="32">
        <v>6</v>
      </c>
      <c r="H77" s="32">
        <v>10</v>
      </c>
      <c r="I77" s="32">
        <v>14.4</v>
      </c>
      <c r="J77" s="32">
        <v>12</v>
      </c>
      <c r="K77" s="32">
        <v>19.2</v>
      </c>
      <c r="L77" s="32">
        <v>14.4</v>
      </c>
      <c r="M77" s="32">
        <v>38.4</v>
      </c>
    </row>
    <row r="78" spans="1:13" ht="15.6" x14ac:dyDescent="0.3">
      <c r="B78" s="18" t="s">
        <v>101</v>
      </c>
      <c r="C78" s="32" t="s">
        <v>13</v>
      </c>
      <c r="D78" s="32" t="s">
        <v>26</v>
      </c>
      <c r="E78" s="32" t="s">
        <v>31</v>
      </c>
      <c r="F78" s="32" t="s">
        <v>14</v>
      </c>
      <c r="G78" s="32" t="s">
        <v>16</v>
      </c>
      <c r="H78" s="32" t="s">
        <v>18</v>
      </c>
      <c r="I78" s="32" t="s">
        <v>20</v>
      </c>
      <c r="J78" s="32" t="s">
        <v>19</v>
      </c>
      <c r="K78" s="32" t="s">
        <v>22</v>
      </c>
      <c r="L78" s="32" t="s">
        <v>20</v>
      </c>
      <c r="M78" s="32" t="s">
        <v>40</v>
      </c>
    </row>
    <row r="79" spans="1:13" ht="15.6" x14ac:dyDescent="0.3">
      <c r="B79" s="33" t="s">
        <v>115</v>
      </c>
      <c r="C79" s="40"/>
      <c r="D79" s="40"/>
      <c r="E79" s="40" t="s">
        <v>121</v>
      </c>
      <c r="F79" s="40"/>
      <c r="G79" s="40" t="s">
        <v>121</v>
      </c>
      <c r="H79" s="40"/>
      <c r="I79" s="40"/>
      <c r="J79" s="40" t="s">
        <v>121</v>
      </c>
      <c r="K79" s="40" t="s">
        <v>121</v>
      </c>
      <c r="L79" s="40"/>
      <c r="M79" s="40"/>
    </row>
    <row r="80" spans="1:13" ht="15.6" x14ac:dyDescent="0.3">
      <c r="A80" s="7" t="s">
        <v>6</v>
      </c>
      <c r="B80" s="35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</row>
    <row r="81" spans="1:13" ht="15.6" x14ac:dyDescent="0.3">
      <c r="A81" s="128">
        <v>70</v>
      </c>
      <c r="B81" s="30" t="s">
        <v>102</v>
      </c>
      <c r="C81" s="37">
        <v>0.5</v>
      </c>
      <c r="D81" s="37">
        <v>0.81</v>
      </c>
      <c r="E81" s="37">
        <v>0.86</v>
      </c>
      <c r="F81" s="37">
        <v>0.45</v>
      </c>
      <c r="G81" s="37">
        <v>0.6</v>
      </c>
      <c r="H81" s="37">
        <v>0.45</v>
      </c>
      <c r="I81" s="37">
        <v>0.57999999999999996</v>
      </c>
      <c r="J81" s="37">
        <v>0.61</v>
      </c>
      <c r="K81" s="37">
        <v>0.56000000000000005</v>
      </c>
      <c r="L81" s="37">
        <v>0.5</v>
      </c>
      <c r="M81" s="37">
        <v>0.49</v>
      </c>
    </row>
    <row r="82" spans="1:13" ht="15.6" x14ac:dyDescent="0.3">
      <c r="A82" s="128"/>
      <c r="B82" s="20" t="s">
        <v>103</v>
      </c>
      <c r="C82" s="32">
        <v>0.82</v>
      </c>
      <c r="D82" s="32">
        <v>1.33</v>
      </c>
      <c r="E82" s="32">
        <v>1.39</v>
      </c>
      <c r="F82" s="32">
        <v>0.74</v>
      </c>
      <c r="G82" s="32">
        <v>0.97</v>
      </c>
      <c r="H82" s="32">
        <v>0.74</v>
      </c>
      <c r="I82" s="32">
        <v>0.94</v>
      </c>
      <c r="J82" s="32">
        <v>0.98</v>
      </c>
      <c r="K82" s="32">
        <v>0.91</v>
      </c>
      <c r="L82" s="32">
        <v>0.82</v>
      </c>
      <c r="M82" s="32">
        <v>0.8</v>
      </c>
    </row>
    <row r="83" spans="1:13" ht="15.6" x14ac:dyDescent="0.3">
      <c r="A83" s="128"/>
      <c r="B83" s="38" t="s">
        <v>104</v>
      </c>
      <c r="C83" s="26">
        <f t="shared" ref="C83:M83" si="20">IF(OR(C81="",C82=""),"",C82/C81)</f>
        <v>1.64</v>
      </c>
      <c r="D83" s="26">
        <f t="shared" si="20"/>
        <v>1.6419753086419753</v>
      </c>
      <c r="E83" s="26">
        <f t="shared" si="20"/>
        <v>1.6162790697674418</v>
      </c>
      <c r="F83" s="26">
        <f t="shared" si="20"/>
        <v>1.6444444444444444</v>
      </c>
      <c r="G83" s="26">
        <f t="shared" si="20"/>
        <v>1.6166666666666667</v>
      </c>
      <c r="H83" s="26">
        <f t="shared" si="20"/>
        <v>1.6444444444444444</v>
      </c>
      <c r="I83" s="26">
        <f t="shared" si="20"/>
        <v>1.6206896551724139</v>
      </c>
      <c r="J83" s="26">
        <f t="shared" si="20"/>
        <v>1.6065573770491803</v>
      </c>
      <c r="K83" s="26">
        <f t="shared" si="20"/>
        <v>1.625</v>
      </c>
      <c r="L83" s="26">
        <f t="shared" si="20"/>
        <v>1.64</v>
      </c>
      <c r="M83" s="26">
        <f t="shared" si="20"/>
        <v>1.6326530612244898</v>
      </c>
    </row>
    <row r="84" spans="1:13" ht="15.6" x14ac:dyDescent="0.3">
      <c r="A84" s="128">
        <v>80</v>
      </c>
      <c r="B84" s="30" t="s">
        <v>102</v>
      </c>
      <c r="C84" s="37">
        <v>0.91</v>
      </c>
      <c r="D84" s="37">
        <v>1.48</v>
      </c>
      <c r="E84" s="37">
        <v>1.56</v>
      </c>
      <c r="F84" s="37">
        <v>0.82</v>
      </c>
      <c r="G84" s="37">
        <v>1.08</v>
      </c>
      <c r="H84" s="37">
        <v>0.82</v>
      </c>
      <c r="I84" s="37">
        <v>1.05</v>
      </c>
      <c r="J84" s="37">
        <v>1.1100000000000001</v>
      </c>
      <c r="K84" s="37">
        <v>1.02</v>
      </c>
      <c r="L84" s="37">
        <v>0.92</v>
      </c>
      <c r="M84" s="37">
        <v>0.9</v>
      </c>
    </row>
    <row r="85" spans="1:13" ht="15.6" x14ac:dyDescent="0.3">
      <c r="A85" s="128"/>
      <c r="B85" s="20" t="s">
        <v>103</v>
      </c>
      <c r="C85" s="32">
        <v>1.41</v>
      </c>
      <c r="D85" s="32">
        <v>2.2799999999999998</v>
      </c>
      <c r="E85" s="32">
        <v>2.38</v>
      </c>
      <c r="F85" s="32">
        <v>1.26</v>
      </c>
      <c r="G85" s="32">
        <v>1.65</v>
      </c>
      <c r="H85" s="32">
        <v>1.26</v>
      </c>
      <c r="I85" s="32">
        <v>1.62</v>
      </c>
      <c r="J85" s="32">
        <v>1.68</v>
      </c>
      <c r="K85" s="32">
        <v>1.56</v>
      </c>
      <c r="L85" s="32">
        <v>1.41</v>
      </c>
      <c r="M85" s="32">
        <v>1.37</v>
      </c>
    </row>
    <row r="86" spans="1:13" ht="15.6" x14ac:dyDescent="0.3">
      <c r="A86" s="128"/>
      <c r="B86" s="38" t="s">
        <v>104</v>
      </c>
      <c r="C86" s="26">
        <f t="shared" ref="C86:M86" si="21">IF(OR(C84="",C85=""),"",C85/C84)</f>
        <v>1.5494505494505493</v>
      </c>
      <c r="D86" s="26">
        <f t="shared" si="21"/>
        <v>1.5405405405405403</v>
      </c>
      <c r="E86" s="26">
        <f t="shared" si="21"/>
        <v>1.5256410256410255</v>
      </c>
      <c r="F86" s="26">
        <f t="shared" si="21"/>
        <v>1.5365853658536586</v>
      </c>
      <c r="G86" s="26">
        <f t="shared" si="21"/>
        <v>1.5277777777777777</v>
      </c>
      <c r="H86" s="26">
        <f t="shared" si="21"/>
        <v>1.5365853658536586</v>
      </c>
      <c r="I86" s="26">
        <f t="shared" si="21"/>
        <v>1.5428571428571429</v>
      </c>
      <c r="J86" s="26">
        <f t="shared" si="21"/>
        <v>1.5135135135135134</v>
      </c>
      <c r="K86" s="26">
        <f t="shared" si="21"/>
        <v>1.5294117647058825</v>
      </c>
      <c r="L86" s="26">
        <f t="shared" si="21"/>
        <v>1.5326086956521738</v>
      </c>
      <c r="M86" s="26">
        <f t="shared" si="21"/>
        <v>1.5222222222222224</v>
      </c>
    </row>
    <row r="87" spans="1:13" ht="15.6" x14ac:dyDescent="0.3">
      <c r="A87" s="128">
        <v>90</v>
      </c>
      <c r="B87" s="30" t="s">
        <v>102</v>
      </c>
      <c r="C87" s="37">
        <v>1.46</v>
      </c>
      <c r="D87" s="37">
        <v>2.36</v>
      </c>
      <c r="E87" s="37">
        <v>2.4900000000000002</v>
      </c>
      <c r="F87" s="37">
        <v>1.31</v>
      </c>
      <c r="G87" s="37">
        <v>1.73</v>
      </c>
      <c r="H87" s="37">
        <v>1.31</v>
      </c>
      <c r="I87" s="37">
        <v>1.68</v>
      </c>
      <c r="J87" s="37">
        <v>1.76</v>
      </c>
      <c r="K87" s="37">
        <v>1.62</v>
      </c>
      <c r="L87" s="37">
        <v>1.47</v>
      </c>
      <c r="M87" s="37">
        <v>1.43</v>
      </c>
    </row>
    <row r="88" spans="1:13" ht="15.6" x14ac:dyDescent="0.3">
      <c r="A88" s="128"/>
      <c r="B88" s="20" t="s">
        <v>103</v>
      </c>
      <c r="C88" s="32">
        <v>2.17</v>
      </c>
      <c r="D88" s="32">
        <v>3.51</v>
      </c>
      <c r="E88" s="32">
        <v>3.67</v>
      </c>
      <c r="F88" s="32">
        <v>1.95</v>
      </c>
      <c r="G88" s="32">
        <v>2.54</v>
      </c>
      <c r="H88" s="32">
        <v>1.95</v>
      </c>
      <c r="I88" s="32">
        <v>2.5</v>
      </c>
      <c r="J88" s="32">
        <v>2.59</v>
      </c>
      <c r="K88" s="32">
        <v>2.4</v>
      </c>
      <c r="L88" s="32">
        <v>2.1800000000000002</v>
      </c>
      <c r="M88" s="32">
        <v>2.11</v>
      </c>
    </row>
    <row r="89" spans="1:13" ht="15.6" x14ac:dyDescent="0.3">
      <c r="A89" s="128"/>
      <c r="B89" s="38" t="s">
        <v>104</v>
      </c>
      <c r="C89" s="26">
        <f t="shared" ref="C89:M89" si="22">IF(OR(C87="",C88=""),"",C88/C87)</f>
        <v>1.4863013698630136</v>
      </c>
      <c r="D89" s="26">
        <f t="shared" si="22"/>
        <v>1.4872881355932204</v>
      </c>
      <c r="E89" s="26">
        <f t="shared" si="22"/>
        <v>1.4738955823293172</v>
      </c>
      <c r="F89" s="26">
        <f t="shared" si="22"/>
        <v>1.4885496183206106</v>
      </c>
      <c r="G89" s="26">
        <f t="shared" si="22"/>
        <v>1.4682080924855492</v>
      </c>
      <c r="H89" s="26">
        <f t="shared" si="22"/>
        <v>1.4885496183206106</v>
      </c>
      <c r="I89" s="26">
        <f t="shared" si="22"/>
        <v>1.4880952380952381</v>
      </c>
      <c r="J89" s="26">
        <f t="shared" si="22"/>
        <v>1.4715909090909089</v>
      </c>
      <c r="K89" s="26">
        <f t="shared" si="22"/>
        <v>1.4814814814814814</v>
      </c>
      <c r="L89" s="26">
        <f t="shared" si="22"/>
        <v>1.4829931972789117</v>
      </c>
      <c r="M89" s="26">
        <f t="shared" si="22"/>
        <v>1.4755244755244754</v>
      </c>
    </row>
    <row r="90" spans="1:13" ht="15.6" x14ac:dyDescent="0.3">
      <c r="A90" s="128">
        <v>100</v>
      </c>
      <c r="B90" s="30" t="s">
        <v>102</v>
      </c>
      <c r="C90" s="37">
        <v>2.1</v>
      </c>
      <c r="D90" s="37">
        <v>3.4</v>
      </c>
      <c r="E90" s="37">
        <v>3.57</v>
      </c>
      <c r="F90" s="37">
        <v>1.89</v>
      </c>
      <c r="G90" s="37">
        <v>2.4900000000000002</v>
      </c>
      <c r="H90" s="37">
        <v>1.89</v>
      </c>
      <c r="I90" s="37">
        <v>2.42</v>
      </c>
      <c r="J90" s="37">
        <v>2.54</v>
      </c>
      <c r="K90" s="37">
        <v>2.34</v>
      </c>
      <c r="L90" s="37">
        <v>2.11</v>
      </c>
      <c r="M90" s="37">
        <v>2.0699999999999998</v>
      </c>
    </row>
    <row r="91" spans="1:13" ht="15.6" x14ac:dyDescent="0.3">
      <c r="A91" s="128"/>
      <c r="B91" s="20" t="s">
        <v>103</v>
      </c>
      <c r="C91" s="32">
        <v>3.04</v>
      </c>
      <c r="D91" s="32">
        <v>4.93</v>
      </c>
      <c r="E91" s="32">
        <v>5.15</v>
      </c>
      <c r="F91" s="32">
        <v>2.73</v>
      </c>
      <c r="G91" s="32">
        <v>3.57</v>
      </c>
      <c r="H91" s="32">
        <v>2.73</v>
      </c>
      <c r="I91" s="32">
        <v>3.5</v>
      </c>
      <c r="J91" s="32">
        <v>3.64</v>
      </c>
      <c r="K91" s="32">
        <v>3.37</v>
      </c>
      <c r="L91" s="32">
        <v>3.06</v>
      </c>
      <c r="M91" s="32">
        <v>2.96</v>
      </c>
    </row>
    <row r="92" spans="1:13" ht="15.6" x14ac:dyDescent="0.3">
      <c r="A92" s="128"/>
      <c r="B92" s="38" t="s">
        <v>104</v>
      </c>
      <c r="C92" s="26">
        <f t="shared" ref="C92:M92" si="23">IF(OR(C90="",C91=""),"",C91/C90)</f>
        <v>1.4476190476190476</v>
      </c>
      <c r="D92" s="26">
        <f t="shared" si="23"/>
        <v>1.45</v>
      </c>
      <c r="E92" s="26">
        <f t="shared" si="23"/>
        <v>1.4425770308123251</v>
      </c>
      <c r="F92" s="26">
        <f t="shared" si="23"/>
        <v>1.4444444444444444</v>
      </c>
      <c r="G92" s="26">
        <f t="shared" si="23"/>
        <v>1.433734939759036</v>
      </c>
      <c r="H92" s="26">
        <f t="shared" si="23"/>
        <v>1.4444444444444444</v>
      </c>
      <c r="I92" s="26">
        <f t="shared" si="23"/>
        <v>1.4462809917355373</v>
      </c>
      <c r="J92" s="26">
        <f t="shared" si="23"/>
        <v>1.4330708661417324</v>
      </c>
      <c r="K92" s="26">
        <f t="shared" si="23"/>
        <v>1.4401709401709404</v>
      </c>
      <c r="L92" s="26">
        <f t="shared" si="23"/>
        <v>1.4502369668246446</v>
      </c>
      <c r="M92" s="26">
        <f t="shared" si="23"/>
        <v>1.4299516908212562</v>
      </c>
    </row>
    <row r="93" spans="1:13" ht="15.6" x14ac:dyDescent="0.3">
      <c r="A93" s="128">
        <v>110</v>
      </c>
      <c r="B93" s="30" t="s">
        <v>102</v>
      </c>
      <c r="C93" s="37">
        <v>2.91</v>
      </c>
      <c r="D93" s="37">
        <v>4.72</v>
      </c>
      <c r="E93" s="37">
        <v>4.9800000000000004</v>
      </c>
      <c r="F93" s="37">
        <v>2.61</v>
      </c>
      <c r="G93" s="37">
        <v>3.45</v>
      </c>
      <c r="H93" s="37">
        <v>2.61</v>
      </c>
      <c r="I93" s="37">
        <v>3.35</v>
      </c>
      <c r="J93" s="37">
        <v>3.52</v>
      </c>
      <c r="K93" s="37">
        <v>3.24</v>
      </c>
      <c r="L93" s="37">
        <v>2.93</v>
      </c>
      <c r="M93" s="37">
        <v>2.86</v>
      </c>
    </row>
    <row r="94" spans="1:13" ht="15.6" x14ac:dyDescent="0.3">
      <c r="A94" s="128"/>
      <c r="B94" s="20" t="s">
        <v>103</v>
      </c>
      <c r="C94" s="32">
        <v>4.1399999999999997</v>
      </c>
      <c r="D94" s="32">
        <v>6.7</v>
      </c>
      <c r="E94" s="32">
        <v>7.01</v>
      </c>
      <c r="F94" s="32">
        <v>3.71</v>
      </c>
      <c r="G94" s="32">
        <v>7.86</v>
      </c>
      <c r="H94" s="32">
        <v>3.71</v>
      </c>
      <c r="I94" s="32">
        <v>4.76</v>
      </c>
      <c r="J94" s="32">
        <v>4.95</v>
      </c>
      <c r="K94" s="32">
        <v>4.55</v>
      </c>
      <c r="L94" s="32">
        <v>4.0999999999999996</v>
      </c>
      <c r="M94" s="32">
        <v>4.03</v>
      </c>
    </row>
    <row r="95" spans="1:13" ht="15.6" x14ac:dyDescent="0.3">
      <c r="A95" s="128"/>
      <c r="B95" s="38" t="s">
        <v>104</v>
      </c>
      <c r="C95" s="26">
        <f t="shared" ref="C95:M95" si="24">IF(OR(C93="",C94=""),"",C94/C93)</f>
        <v>1.4226804123711339</v>
      </c>
      <c r="D95" s="26">
        <f t="shared" si="24"/>
        <v>1.419491525423729</v>
      </c>
      <c r="E95" s="26">
        <f t="shared" si="24"/>
        <v>1.4076305220883532</v>
      </c>
      <c r="F95" s="26">
        <f t="shared" si="24"/>
        <v>1.421455938697318</v>
      </c>
      <c r="G95" s="26">
        <f t="shared" si="24"/>
        <v>2.2782608695652176</v>
      </c>
      <c r="H95" s="26">
        <f t="shared" si="24"/>
        <v>1.421455938697318</v>
      </c>
      <c r="I95" s="26">
        <f t="shared" si="24"/>
        <v>1.4208955223880595</v>
      </c>
      <c r="J95" s="26">
        <f t="shared" si="24"/>
        <v>1.40625</v>
      </c>
      <c r="K95" s="26">
        <f t="shared" si="24"/>
        <v>1.4043209876543208</v>
      </c>
      <c r="L95" s="26">
        <f t="shared" si="24"/>
        <v>1.3993174061433444</v>
      </c>
      <c r="M95" s="26">
        <f t="shared" si="24"/>
        <v>1.4090909090909092</v>
      </c>
    </row>
    <row r="96" spans="1:13" ht="15.6" x14ac:dyDescent="0.3">
      <c r="A96" s="128">
        <v>120</v>
      </c>
      <c r="B96" s="30" t="s">
        <v>102</v>
      </c>
      <c r="C96" s="37">
        <v>3.76</v>
      </c>
      <c r="D96" s="37">
        <v>6.09</v>
      </c>
      <c r="E96" s="37">
        <v>6.42</v>
      </c>
      <c r="F96" s="37">
        <v>3.37</v>
      </c>
      <c r="G96" s="37">
        <v>4.45</v>
      </c>
      <c r="H96" s="37">
        <v>3.37</v>
      </c>
      <c r="I96" s="37">
        <v>4.33</v>
      </c>
      <c r="J96" s="37">
        <v>4.54</v>
      </c>
      <c r="K96" s="37">
        <v>4.18</v>
      </c>
      <c r="L96" s="37">
        <v>3.78</v>
      </c>
      <c r="M96" s="37">
        <v>3.67</v>
      </c>
    </row>
    <row r="97" spans="1:13" ht="15.6" x14ac:dyDescent="0.3">
      <c r="A97" s="128"/>
      <c r="B97" s="20" t="s">
        <v>103</v>
      </c>
      <c r="C97" s="32">
        <v>5.27</v>
      </c>
      <c r="D97" s="32">
        <v>8.5299999999999994</v>
      </c>
      <c r="E97" s="32">
        <v>8.92</v>
      </c>
      <c r="F97" s="32">
        <v>4.7300000000000004</v>
      </c>
      <c r="G97" s="32">
        <v>6.18</v>
      </c>
      <c r="H97" s="32">
        <v>4.7300000000000004</v>
      </c>
      <c r="I97" s="32">
        <v>6.06</v>
      </c>
      <c r="J97" s="32">
        <v>6.3</v>
      </c>
      <c r="K97" s="32">
        <v>5.84</v>
      </c>
      <c r="L97" s="32">
        <v>5.29</v>
      </c>
      <c r="M97" s="32">
        <v>5.13</v>
      </c>
    </row>
    <row r="98" spans="1:13" ht="15.6" x14ac:dyDescent="0.3">
      <c r="A98" s="128"/>
      <c r="B98" s="38" t="s">
        <v>104</v>
      </c>
      <c r="C98" s="26">
        <f t="shared" ref="C98:M98" si="25">IF(OR(C96="",C97=""),"",C97/C96)</f>
        <v>1.4015957446808511</v>
      </c>
      <c r="D98" s="26">
        <f t="shared" si="25"/>
        <v>1.4006568144499179</v>
      </c>
      <c r="E98" s="26">
        <f t="shared" si="25"/>
        <v>1.3894080996884735</v>
      </c>
      <c r="F98" s="26">
        <f t="shared" si="25"/>
        <v>1.4035608308605343</v>
      </c>
      <c r="G98" s="26">
        <f t="shared" si="25"/>
        <v>1.3887640449438201</v>
      </c>
      <c r="H98" s="26">
        <f t="shared" si="25"/>
        <v>1.4035608308605343</v>
      </c>
      <c r="I98" s="26">
        <f t="shared" si="25"/>
        <v>1.3995381062355656</v>
      </c>
      <c r="J98" s="26">
        <f t="shared" si="25"/>
        <v>1.3876651982378854</v>
      </c>
      <c r="K98" s="26">
        <f t="shared" si="25"/>
        <v>1.3971291866028708</v>
      </c>
      <c r="L98" s="26">
        <f t="shared" si="25"/>
        <v>1.3994708994708995</v>
      </c>
      <c r="M98" s="26">
        <f t="shared" si="25"/>
        <v>1.3978201634877385</v>
      </c>
    </row>
    <row r="99" spans="1:13" ht="15.6" x14ac:dyDescent="0.3">
      <c r="A99" s="128">
        <v>130</v>
      </c>
      <c r="B99" s="30" t="s">
        <v>102</v>
      </c>
      <c r="C99" s="37">
        <v>4.7300000000000004</v>
      </c>
      <c r="D99" s="37">
        <v>7.65</v>
      </c>
      <c r="E99" s="37">
        <v>8.08</v>
      </c>
      <c r="F99" s="37">
        <v>4.24</v>
      </c>
      <c r="G99" s="37">
        <v>5.6</v>
      </c>
      <c r="H99" s="37">
        <v>4.24</v>
      </c>
      <c r="I99" s="37">
        <v>5.44</v>
      </c>
      <c r="J99" s="37">
        <v>5.71</v>
      </c>
      <c r="K99" s="37">
        <v>5.26</v>
      </c>
      <c r="L99" s="37">
        <v>4.75</v>
      </c>
      <c r="M99" s="37">
        <v>4.6500000000000004</v>
      </c>
    </row>
    <row r="100" spans="1:13" ht="15.6" x14ac:dyDescent="0.3">
      <c r="A100" s="128"/>
      <c r="B100" s="20" t="s">
        <v>103</v>
      </c>
      <c r="C100" s="32">
        <v>6.56</v>
      </c>
      <c r="D100" s="32">
        <v>10.6</v>
      </c>
      <c r="E100" s="32">
        <v>11.1</v>
      </c>
      <c r="F100" s="32">
        <v>5.88</v>
      </c>
      <c r="G100" s="32">
        <v>7.71</v>
      </c>
      <c r="H100" s="32">
        <v>5.88</v>
      </c>
      <c r="I100" s="32">
        <v>7.55</v>
      </c>
      <c r="J100" s="32">
        <v>7.86</v>
      </c>
      <c r="K100" s="32">
        <v>7.27</v>
      </c>
      <c r="L100" s="32">
        <v>6.59</v>
      </c>
      <c r="M100" s="32">
        <v>6.39</v>
      </c>
    </row>
    <row r="101" spans="1:13" ht="15.6" x14ac:dyDescent="0.3">
      <c r="A101" s="128"/>
      <c r="B101" s="38" t="s">
        <v>104</v>
      </c>
      <c r="C101" s="26">
        <f t="shared" ref="C101:M101" si="26">IF(OR(C99="",C100=""),"",C100/C99)</f>
        <v>1.3868921775898517</v>
      </c>
      <c r="D101" s="26">
        <f t="shared" si="26"/>
        <v>1.3856209150326797</v>
      </c>
      <c r="E101" s="26">
        <f t="shared" si="26"/>
        <v>1.3737623762376237</v>
      </c>
      <c r="F101" s="26">
        <f t="shared" si="26"/>
        <v>1.3867924528301885</v>
      </c>
      <c r="G101" s="26">
        <f t="shared" si="26"/>
        <v>1.3767857142857143</v>
      </c>
      <c r="H101" s="26">
        <f t="shared" si="26"/>
        <v>1.3867924528301885</v>
      </c>
      <c r="I101" s="26">
        <f t="shared" si="26"/>
        <v>1.3878676470588234</v>
      </c>
      <c r="J101" s="26">
        <f t="shared" si="26"/>
        <v>1.3765323992994747</v>
      </c>
      <c r="K101" s="26">
        <f t="shared" si="26"/>
        <v>1.3821292775665399</v>
      </c>
      <c r="L101" s="26">
        <f t="shared" si="26"/>
        <v>1.3873684210526316</v>
      </c>
      <c r="M101" s="26">
        <f t="shared" si="26"/>
        <v>1.3741935483870966</v>
      </c>
    </row>
    <row r="102" spans="1:13" ht="15.6" x14ac:dyDescent="0.3">
      <c r="A102" s="128">
        <v>140</v>
      </c>
      <c r="B102" s="30" t="s">
        <v>102</v>
      </c>
      <c r="C102" s="37">
        <v>5.81</v>
      </c>
      <c r="D102" s="37">
        <v>9.41</v>
      </c>
      <c r="E102" s="37">
        <v>9.9600000000000009</v>
      </c>
      <c r="F102" s="37">
        <v>5.21</v>
      </c>
      <c r="G102" s="37">
        <v>6.9</v>
      </c>
      <c r="H102" s="37">
        <v>5.21</v>
      </c>
      <c r="I102" s="37">
        <v>6.69</v>
      </c>
      <c r="J102" s="37">
        <v>7.04</v>
      </c>
      <c r="K102" s="37">
        <v>6.48</v>
      </c>
      <c r="L102" s="37">
        <v>5.84</v>
      </c>
      <c r="M102" s="37">
        <v>5.72</v>
      </c>
    </row>
    <row r="103" spans="1:13" ht="15.6" x14ac:dyDescent="0.3">
      <c r="A103" s="128"/>
      <c r="B103" s="20" t="s">
        <v>103</v>
      </c>
      <c r="C103" s="32">
        <v>8</v>
      </c>
      <c r="D103" s="32">
        <v>13</v>
      </c>
      <c r="E103" s="32">
        <v>13.6</v>
      </c>
      <c r="F103" s="32">
        <v>7.18</v>
      </c>
      <c r="G103" s="32">
        <v>9.4</v>
      </c>
      <c r="H103" s="32">
        <v>7.18</v>
      </c>
      <c r="I103" s="32">
        <v>9.2100000000000009</v>
      </c>
      <c r="J103" s="32">
        <v>9.58</v>
      </c>
      <c r="K103" s="32">
        <v>8.8699999999999992</v>
      </c>
      <c r="L103" s="32">
        <v>8.0399999999999991</v>
      </c>
      <c r="M103" s="32">
        <v>7.8</v>
      </c>
    </row>
    <row r="104" spans="1:13" ht="15.6" x14ac:dyDescent="0.3">
      <c r="A104" s="128"/>
      <c r="B104" s="38" t="s">
        <v>104</v>
      </c>
      <c r="C104" s="26">
        <f t="shared" ref="C104:M104" si="27">IF(OR(C102="",C103=""),"",C103/C102)</f>
        <v>1.376936316695353</v>
      </c>
      <c r="D104" s="26">
        <f t="shared" si="27"/>
        <v>1.381509032943677</v>
      </c>
      <c r="E104" s="26">
        <f t="shared" si="27"/>
        <v>1.3654618473895581</v>
      </c>
      <c r="F104" s="26">
        <f t="shared" si="27"/>
        <v>1.3781190019193859</v>
      </c>
      <c r="G104" s="26">
        <f t="shared" si="27"/>
        <v>1.3623188405797102</v>
      </c>
      <c r="H104" s="26">
        <f t="shared" si="27"/>
        <v>1.3781190019193859</v>
      </c>
      <c r="I104" s="26">
        <f t="shared" si="27"/>
        <v>1.3766816143497758</v>
      </c>
      <c r="J104" s="26">
        <f t="shared" si="27"/>
        <v>1.3607954545454546</v>
      </c>
      <c r="K104" s="26">
        <f t="shared" si="27"/>
        <v>1.3688271604938269</v>
      </c>
      <c r="L104" s="26">
        <f t="shared" si="27"/>
        <v>1.3767123287671232</v>
      </c>
      <c r="M104" s="26">
        <f t="shared" si="27"/>
        <v>1.3636363636363638</v>
      </c>
    </row>
    <row r="105" spans="1:13" ht="15.6" x14ac:dyDescent="0.3">
      <c r="A105" s="128" t="s">
        <v>145</v>
      </c>
      <c r="B105" s="30" t="s">
        <v>102</v>
      </c>
      <c r="C105" s="37">
        <v>0.48</v>
      </c>
      <c r="D105" s="37">
        <v>0.78</v>
      </c>
      <c r="E105" s="37">
        <v>0.82</v>
      </c>
      <c r="F105" s="37">
        <v>0.43</v>
      </c>
      <c r="G105" s="37">
        <v>0.56999999999999995</v>
      </c>
      <c r="H105" s="37">
        <v>0.43</v>
      </c>
      <c r="I105" s="37">
        <v>0.55000000000000004</v>
      </c>
      <c r="J105" s="37">
        <v>0.57999999999999996</v>
      </c>
      <c r="K105" s="37">
        <v>0.54</v>
      </c>
      <c r="L105" s="37">
        <v>0.48</v>
      </c>
      <c r="M105" s="37">
        <v>0.47</v>
      </c>
    </row>
    <row r="106" spans="1:13" ht="15.6" x14ac:dyDescent="0.3">
      <c r="A106" s="128"/>
      <c r="B106" s="20" t="s">
        <v>103</v>
      </c>
      <c r="C106" s="32">
        <v>0.63</v>
      </c>
      <c r="D106" s="32">
        <v>1.02</v>
      </c>
      <c r="E106" s="32">
        <v>1.08</v>
      </c>
      <c r="F106" s="32">
        <v>0.56999999999999995</v>
      </c>
      <c r="G106" s="32">
        <v>0.75</v>
      </c>
      <c r="H106" s="32">
        <v>0.56999999999999995</v>
      </c>
      <c r="I106" s="32">
        <v>0.73</v>
      </c>
      <c r="J106" s="32">
        <v>0.76</v>
      </c>
      <c r="K106" s="32">
        <v>0.7</v>
      </c>
      <c r="L106" s="32">
        <v>0.64</v>
      </c>
      <c r="M106" s="32">
        <v>0.62</v>
      </c>
    </row>
    <row r="107" spans="1:13" ht="15.6" x14ac:dyDescent="0.3">
      <c r="A107" s="128"/>
      <c r="B107" s="38" t="s">
        <v>104</v>
      </c>
      <c r="C107" s="26">
        <f t="shared" ref="C107:M107" si="28">IF(OR(C105="",C106=""),"",C106/C105)</f>
        <v>1.3125</v>
      </c>
      <c r="D107" s="26">
        <f t="shared" si="28"/>
        <v>1.3076923076923077</v>
      </c>
      <c r="E107" s="26">
        <f t="shared" si="28"/>
        <v>1.3170731707317074</v>
      </c>
      <c r="F107" s="26">
        <f t="shared" si="28"/>
        <v>1.3255813953488371</v>
      </c>
      <c r="G107" s="26">
        <f t="shared" si="28"/>
        <v>1.3157894736842106</v>
      </c>
      <c r="H107" s="26">
        <f t="shared" si="28"/>
        <v>1.3255813953488371</v>
      </c>
      <c r="I107" s="26">
        <f t="shared" si="28"/>
        <v>1.3272727272727272</v>
      </c>
      <c r="J107" s="26">
        <f t="shared" si="28"/>
        <v>1.3103448275862071</v>
      </c>
      <c r="K107" s="26">
        <f t="shared" si="28"/>
        <v>1.2962962962962961</v>
      </c>
      <c r="L107" s="26">
        <f t="shared" si="28"/>
        <v>1.3333333333333335</v>
      </c>
      <c r="M107" s="26">
        <f t="shared" si="28"/>
        <v>1.3191489361702129</v>
      </c>
    </row>
    <row r="108" spans="1:13" ht="15.6" x14ac:dyDescent="0.3">
      <c r="A108" s="128" t="s">
        <v>146</v>
      </c>
      <c r="B108" s="30" t="s">
        <v>102</v>
      </c>
      <c r="C108" s="37">
        <v>2.23</v>
      </c>
      <c r="D108" s="37">
        <v>3.61</v>
      </c>
      <c r="E108" s="37">
        <v>3.83</v>
      </c>
      <c r="F108" s="37">
        <v>2</v>
      </c>
      <c r="G108" s="37">
        <v>2.66</v>
      </c>
      <c r="H108" s="37">
        <v>2</v>
      </c>
      <c r="I108" s="37">
        <v>2.57</v>
      </c>
      <c r="J108" s="37">
        <v>2.71</v>
      </c>
      <c r="K108" s="37">
        <v>2.4900000000000002</v>
      </c>
      <c r="L108" s="37">
        <v>2.2400000000000002</v>
      </c>
      <c r="M108" s="37">
        <v>2.2000000000000002</v>
      </c>
    </row>
    <row r="109" spans="1:13" ht="15.6" x14ac:dyDescent="0.3">
      <c r="A109" s="128"/>
      <c r="B109" s="20" t="s">
        <v>103</v>
      </c>
      <c r="C109" s="32">
        <v>2.9</v>
      </c>
      <c r="D109" s="32">
        <v>4.7</v>
      </c>
      <c r="E109" s="32">
        <v>4.9400000000000004</v>
      </c>
      <c r="F109" s="32">
        <v>2.6</v>
      </c>
      <c r="G109" s="32">
        <v>3.43</v>
      </c>
      <c r="H109" s="32">
        <v>2.6</v>
      </c>
      <c r="I109" s="32">
        <v>3.34</v>
      </c>
      <c r="J109" s="32">
        <v>3.49</v>
      </c>
      <c r="K109" s="32">
        <v>3.22</v>
      </c>
      <c r="L109" s="32">
        <v>2.92</v>
      </c>
      <c r="M109" s="32">
        <v>2.84</v>
      </c>
    </row>
    <row r="110" spans="1:13" ht="15.6" x14ac:dyDescent="0.3">
      <c r="A110" s="128"/>
      <c r="B110" s="38" t="s">
        <v>104</v>
      </c>
      <c r="C110" s="26">
        <f t="shared" ref="C110:M110" si="29">IF(OR(C108="",C109=""),"",C109/C108)</f>
        <v>1.3004484304932735</v>
      </c>
      <c r="D110" s="26">
        <f t="shared" si="29"/>
        <v>1.3019390581717452</v>
      </c>
      <c r="E110" s="26">
        <f t="shared" si="29"/>
        <v>1.2898172323759791</v>
      </c>
      <c r="F110" s="26">
        <f t="shared" si="29"/>
        <v>1.3</v>
      </c>
      <c r="G110" s="26">
        <f t="shared" si="29"/>
        <v>1.2894736842105263</v>
      </c>
      <c r="H110" s="26">
        <f t="shared" si="29"/>
        <v>1.3</v>
      </c>
      <c r="I110" s="26">
        <f t="shared" si="29"/>
        <v>1.2996108949416343</v>
      </c>
      <c r="J110" s="26">
        <f t="shared" si="29"/>
        <v>1.2878228782287824</v>
      </c>
      <c r="K110" s="26">
        <f t="shared" si="29"/>
        <v>1.2931726907630521</v>
      </c>
      <c r="L110" s="26">
        <f t="shared" si="29"/>
        <v>1.3035714285714284</v>
      </c>
      <c r="M110" s="26">
        <f t="shared" si="29"/>
        <v>1.2909090909090908</v>
      </c>
    </row>
    <row r="112" spans="1:13" ht="15.6" x14ac:dyDescent="0.3">
      <c r="A112" s="9" t="s">
        <v>124</v>
      </c>
    </row>
    <row r="113" spans="1:13" ht="15.6" x14ac:dyDescent="0.3">
      <c r="B113" s="15" t="s">
        <v>100</v>
      </c>
      <c r="C113" s="31" t="s">
        <v>13</v>
      </c>
      <c r="D113" s="31" t="s">
        <v>26</v>
      </c>
      <c r="E113" s="31" t="s">
        <v>34</v>
      </c>
      <c r="F113" s="31" t="s">
        <v>14</v>
      </c>
      <c r="G113" s="31" t="s">
        <v>15</v>
      </c>
      <c r="H113" s="31" t="s">
        <v>18</v>
      </c>
      <c r="I113" s="31" t="s">
        <v>20</v>
      </c>
      <c r="J113" s="31" t="s">
        <v>16</v>
      </c>
      <c r="K113" s="31" t="s">
        <v>21</v>
      </c>
      <c r="L113" s="31" t="s">
        <v>20</v>
      </c>
      <c r="M113" s="31" t="s">
        <v>22</v>
      </c>
    </row>
    <row r="114" spans="1:13" ht="15.6" x14ac:dyDescent="0.3">
      <c r="B114" s="18" t="s">
        <v>114</v>
      </c>
      <c r="C114" s="32">
        <v>2</v>
      </c>
      <c r="D114" s="32">
        <v>3.6</v>
      </c>
      <c r="E114" s="32">
        <v>4.8</v>
      </c>
      <c r="F114" s="32">
        <v>5</v>
      </c>
      <c r="G114" s="32">
        <v>6</v>
      </c>
      <c r="H114" s="32">
        <v>10</v>
      </c>
      <c r="I114" s="32">
        <v>14.4</v>
      </c>
      <c r="J114" s="32">
        <v>12</v>
      </c>
      <c r="K114" s="32">
        <v>19.2</v>
      </c>
      <c r="L114" s="32">
        <v>14.4</v>
      </c>
      <c r="M114" s="32">
        <v>38.4</v>
      </c>
    </row>
    <row r="115" spans="1:13" ht="15.6" x14ac:dyDescent="0.3">
      <c r="B115" s="18" t="s">
        <v>101</v>
      </c>
      <c r="C115" s="32" t="s">
        <v>13</v>
      </c>
      <c r="D115" s="32" t="s">
        <v>26</v>
      </c>
      <c r="E115" s="32" t="s">
        <v>31</v>
      </c>
      <c r="F115" s="32" t="s">
        <v>14</v>
      </c>
      <c r="G115" s="32" t="s">
        <v>16</v>
      </c>
      <c r="H115" s="32" t="s">
        <v>18</v>
      </c>
      <c r="I115" s="32" t="s">
        <v>20</v>
      </c>
      <c r="J115" s="32" t="s">
        <v>19</v>
      </c>
      <c r="K115" s="32" t="s">
        <v>22</v>
      </c>
      <c r="L115" s="32" t="s">
        <v>20</v>
      </c>
      <c r="M115" s="32" t="s">
        <v>40</v>
      </c>
    </row>
    <row r="116" spans="1:13" ht="15.6" x14ac:dyDescent="0.3">
      <c r="B116" s="33" t="s">
        <v>115</v>
      </c>
      <c r="C116" s="40"/>
      <c r="D116" s="40"/>
      <c r="E116" s="40" t="s">
        <v>121</v>
      </c>
      <c r="F116" s="40"/>
      <c r="G116" s="40" t="s">
        <v>121</v>
      </c>
      <c r="H116" s="40"/>
      <c r="I116" s="40"/>
      <c r="J116" s="40" t="s">
        <v>121</v>
      </c>
      <c r="K116" s="40" t="s">
        <v>121</v>
      </c>
      <c r="L116" s="40"/>
      <c r="M116" s="40"/>
    </row>
    <row r="117" spans="1:13" ht="15.6" x14ac:dyDescent="0.3">
      <c r="A117" s="7" t="s">
        <v>6</v>
      </c>
      <c r="B117" s="35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</row>
    <row r="118" spans="1:13" ht="15.6" x14ac:dyDescent="0.3">
      <c r="A118" s="128">
        <v>70</v>
      </c>
      <c r="B118" s="30" t="s">
        <v>102</v>
      </c>
      <c r="C118" s="37">
        <v>0.57999999999999996</v>
      </c>
      <c r="D118" s="37">
        <v>0.94</v>
      </c>
      <c r="E118" s="37">
        <v>0.99</v>
      </c>
      <c r="F118" s="37">
        <v>0.52</v>
      </c>
      <c r="G118" s="37">
        <v>0.69</v>
      </c>
      <c r="H118" s="37">
        <v>0.52</v>
      </c>
      <c r="I118" s="37">
        <v>0.66</v>
      </c>
      <c r="J118" s="37">
        <v>0.7</v>
      </c>
      <c r="K118" s="37">
        <v>0.64</v>
      </c>
      <c r="L118" s="37">
        <v>0.57999999999999996</v>
      </c>
      <c r="M118" s="37">
        <v>0.56999999999999995</v>
      </c>
    </row>
    <row r="119" spans="1:13" ht="15.6" x14ac:dyDescent="0.3">
      <c r="A119" s="128"/>
      <c r="B119" s="20" t="s">
        <v>103</v>
      </c>
      <c r="C119" s="32">
        <v>1.05</v>
      </c>
      <c r="D119" s="32">
        <v>1.7</v>
      </c>
      <c r="E119" s="32">
        <v>1.79</v>
      </c>
      <c r="F119" s="32">
        <v>0.94</v>
      </c>
      <c r="G119" s="32">
        <v>1.24</v>
      </c>
      <c r="H119" s="32">
        <v>0.94</v>
      </c>
      <c r="I119" s="32">
        <v>1.21</v>
      </c>
      <c r="J119" s="32">
        <v>1.27</v>
      </c>
      <c r="K119" s="32">
        <v>1.17</v>
      </c>
      <c r="L119" s="32">
        <v>1.05</v>
      </c>
      <c r="M119" s="32">
        <v>1.03</v>
      </c>
    </row>
    <row r="120" spans="1:13" ht="15.6" x14ac:dyDescent="0.3">
      <c r="A120" s="128"/>
      <c r="B120" s="38" t="s">
        <v>104</v>
      </c>
      <c r="C120" s="26">
        <f t="shared" ref="C120:M120" si="30">IF(OR(C118="",C119=""),"",C119/C118)</f>
        <v>1.8103448275862071</v>
      </c>
      <c r="D120" s="26">
        <f t="shared" si="30"/>
        <v>1.8085106382978724</v>
      </c>
      <c r="E120" s="26">
        <f t="shared" si="30"/>
        <v>1.8080808080808082</v>
      </c>
      <c r="F120" s="26">
        <f t="shared" si="30"/>
        <v>1.8076923076923075</v>
      </c>
      <c r="G120" s="26">
        <f t="shared" si="30"/>
        <v>1.7971014492753625</v>
      </c>
      <c r="H120" s="26">
        <f t="shared" si="30"/>
        <v>1.8076923076923075</v>
      </c>
      <c r="I120" s="26">
        <f t="shared" si="30"/>
        <v>1.8333333333333333</v>
      </c>
      <c r="J120" s="26">
        <f t="shared" si="30"/>
        <v>1.8142857142857145</v>
      </c>
      <c r="K120" s="26">
        <f t="shared" si="30"/>
        <v>1.8281249999999998</v>
      </c>
      <c r="L120" s="26">
        <f t="shared" si="30"/>
        <v>1.8103448275862071</v>
      </c>
      <c r="M120" s="26">
        <f t="shared" si="30"/>
        <v>1.8070175438596494</v>
      </c>
    </row>
    <row r="121" spans="1:13" ht="15.6" x14ac:dyDescent="0.3">
      <c r="A121" s="128">
        <v>80</v>
      </c>
      <c r="B121" s="30" t="s">
        <v>102</v>
      </c>
      <c r="C121" s="37">
        <v>1.04</v>
      </c>
      <c r="D121" s="37">
        <v>1.69</v>
      </c>
      <c r="E121" s="37">
        <v>1.79</v>
      </c>
      <c r="F121" s="37">
        <v>0.94</v>
      </c>
      <c r="G121" s="37">
        <v>1.24</v>
      </c>
      <c r="H121" s="37">
        <v>0.94</v>
      </c>
      <c r="I121" s="37">
        <v>1.2</v>
      </c>
      <c r="J121" s="37">
        <v>1.26</v>
      </c>
      <c r="K121" s="37">
        <v>1.1599999999999999</v>
      </c>
      <c r="L121" s="37">
        <v>1.05</v>
      </c>
      <c r="M121" s="37">
        <v>1.03</v>
      </c>
    </row>
    <row r="122" spans="1:13" ht="15.6" x14ac:dyDescent="0.3">
      <c r="A122" s="128"/>
      <c r="B122" s="20" t="s">
        <v>103</v>
      </c>
      <c r="C122" s="32">
        <v>1.79</v>
      </c>
      <c r="D122" s="32">
        <v>2.9</v>
      </c>
      <c r="E122" s="32">
        <v>3.04</v>
      </c>
      <c r="F122" s="32">
        <v>1.6</v>
      </c>
      <c r="G122" s="32">
        <v>2.11</v>
      </c>
      <c r="H122" s="32">
        <v>1.6</v>
      </c>
      <c r="I122" s="32">
        <v>2.06</v>
      </c>
      <c r="J122" s="32">
        <v>2.15</v>
      </c>
      <c r="K122" s="32">
        <v>1.99</v>
      </c>
      <c r="L122" s="32">
        <v>1.8</v>
      </c>
      <c r="M122" s="32">
        <v>1.75</v>
      </c>
    </row>
    <row r="123" spans="1:13" ht="15.6" x14ac:dyDescent="0.3">
      <c r="A123" s="128"/>
      <c r="B123" s="38" t="s">
        <v>104</v>
      </c>
      <c r="C123" s="26">
        <f t="shared" ref="C123:M123" si="31">IF(OR(C121="",C122=""),"",C122/C121)</f>
        <v>1.721153846153846</v>
      </c>
      <c r="D123" s="26">
        <f t="shared" si="31"/>
        <v>1.7159763313609468</v>
      </c>
      <c r="E123" s="26">
        <f t="shared" si="31"/>
        <v>1.6983240223463687</v>
      </c>
      <c r="F123" s="26">
        <f t="shared" si="31"/>
        <v>1.7021276595744683</v>
      </c>
      <c r="G123" s="26">
        <f t="shared" si="31"/>
        <v>1.7016129032258063</v>
      </c>
      <c r="H123" s="26">
        <f t="shared" si="31"/>
        <v>1.7021276595744683</v>
      </c>
      <c r="I123" s="26">
        <f t="shared" si="31"/>
        <v>1.7166666666666668</v>
      </c>
      <c r="J123" s="26">
        <f t="shared" si="31"/>
        <v>1.7063492063492063</v>
      </c>
      <c r="K123" s="26">
        <f t="shared" si="31"/>
        <v>1.7155172413793105</v>
      </c>
      <c r="L123" s="26">
        <f t="shared" si="31"/>
        <v>1.7142857142857142</v>
      </c>
      <c r="M123" s="26">
        <f t="shared" si="31"/>
        <v>1.6990291262135921</v>
      </c>
    </row>
    <row r="124" spans="1:13" ht="15.6" x14ac:dyDescent="0.3">
      <c r="A124" s="128">
        <v>90</v>
      </c>
      <c r="B124" s="30" t="s">
        <v>102</v>
      </c>
      <c r="C124" s="37">
        <v>1.66</v>
      </c>
      <c r="D124" s="37">
        <v>2.68</v>
      </c>
      <c r="E124" s="37">
        <v>2.84</v>
      </c>
      <c r="F124" s="37">
        <v>1.49</v>
      </c>
      <c r="G124" s="37">
        <v>1.97</v>
      </c>
      <c r="H124" s="37">
        <v>1.49</v>
      </c>
      <c r="I124" s="37">
        <v>1.91</v>
      </c>
      <c r="J124" s="37">
        <v>2</v>
      </c>
      <c r="K124" s="37">
        <v>1.85</v>
      </c>
      <c r="L124" s="37">
        <v>1.66</v>
      </c>
      <c r="M124" s="37">
        <v>1.63</v>
      </c>
    </row>
    <row r="125" spans="1:13" ht="15.6" x14ac:dyDescent="0.3">
      <c r="A125" s="128"/>
      <c r="B125" s="20" t="s">
        <v>103</v>
      </c>
      <c r="C125" s="32">
        <v>2.73</v>
      </c>
      <c r="D125" s="32">
        <v>4.42</v>
      </c>
      <c r="E125" s="32">
        <v>4.6399999999999997</v>
      </c>
      <c r="F125" s="32">
        <v>2.4500000000000002</v>
      </c>
      <c r="G125" s="32">
        <v>3.22</v>
      </c>
      <c r="H125" s="32">
        <v>2.4500000000000002</v>
      </c>
      <c r="I125" s="32">
        <v>3.14</v>
      </c>
      <c r="J125" s="32">
        <v>3.28</v>
      </c>
      <c r="K125" s="32">
        <v>3.03</v>
      </c>
      <c r="L125" s="32">
        <v>2.74</v>
      </c>
      <c r="M125" s="32">
        <v>2.67</v>
      </c>
    </row>
    <row r="126" spans="1:13" ht="15.6" x14ac:dyDescent="0.3">
      <c r="A126" s="128"/>
      <c r="B126" s="38" t="s">
        <v>104</v>
      </c>
      <c r="C126" s="26">
        <f t="shared" ref="C126:M126" si="32">IF(OR(C124="",C125=""),"",C125/C124)</f>
        <v>1.6445783132530121</v>
      </c>
      <c r="D126" s="26">
        <f t="shared" si="32"/>
        <v>1.6492537313432833</v>
      </c>
      <c r="E126" s="26">
        <f t="shared" si="32"/>
        <v>1.6338028169014085</v>
      </c>
      <c r="F126" s="26">
        <f t="shared" si="32"/>
        <v>1.644295302013423</v>
      </c>
      <c r="G126" s="26">
        <f t="shared" si="32"/>
        <v>1.6345177664974619</v>
      </c>
      <c r="H126" s="26">
        <f t="shared" si="32"/>
        <v>1.644295302013423</v>
      </c>
      <c r="I126" s="26">
        <f t="shared" si="32"/>
        <v>1.6439790575916231</v>
      </c>
      <c r="J126" s="26">
        <f t="shared" si="32"/>
        <v>1.64</v>
      </c>
      <c r="K126" s="26">
        <f t="shared" si="32"/>
        <v>1.6378378378378378</v>
      </c>
      <c r="L126" s="26">
        <f t="shared" si="32"/>
        <v>1.6506024096385545</v>
      </c>
      <c r="M126" s="26">
        <f t="shared" si="32"/>
        <v>1.638036809815951</v>
      </c>
    </row>
    <row r="127" spans="1:13" ht="15.6" x14ac:dyDescent="0.3">
      <c r="A127" s="128">
        <v>100</v>
      </c>
      <c r="B127" s="30" t="s">
        <v>102</v>
      </c>
      <c r="C127" s="113">
        <v>2.38</v>
      </c>
      <c r="D127" s="114">
        <v>3.85</v>
      </c>
      <c r="E127" s="37">
        <v>4.07</v>
      </c>
      <c r="F127" s="37">
        <v>2.13</v>
      </c>
      <c r="G127" s="37">
        <v>2.82</v>
      </c>
      <c r="H127" s="37">
        <v>2.13</v>
      </c>
      <c r="I127" s="37">
        <v>2.73</v>
      </c>
      <c r="J127" s="37">
        <v>2.88</v>
      </c>
      <c r="K127" s="37">
        <v>2.65</v>
      </c>
      <c r="L127" s="37">
        <v>2.39</v>
      </c>
      <c r="M127" s="37">
        <v>2.34</v>
      </c>
    </row>
    <row r="128" spans="1:13" ht="15.6" x14ac:dyDescent="0.3">
      <c r="A128" s="128"/>
      <c r="B128" s="20" t="s">
        <v>103</v>
      </c>
      <c r="C128" s="113">
        <v>3.81</v>
      </c>
      <c r="D128" s="114">
        <v>6.17</v>
      </c>
      <c r="E128" s="32">
        <v>6.48</v>
      </c>
      <c r="F128" s="32">
        <v>3.42</v>
      </c>
      <c r="G128" s="32">
        <v>4.5</v>
      </c>
      <c r="H128" s="32">
        <v>3.42</v>
      </c>
      <c r="I128" s="32">
        <v>4.3899999999999997</v>
      </c>
      <c r="J128" s="32">
        <v>4.58</v>
      </c>
      <c r="K128" s="32">
        <v>4.2300000000000004</v>
      </c>
      <c r="L128" s="32">
        <v>3.83</v>
      </c>
      <c r="M128" s="32">
        <v>3.73</v>
      </c>
    </row>
    <row r="129" spans="1:13" ht="15.6" x14ac:dyDescent="0.3">
      <c r="A129" s="128"/>
      <c r="B129" s="38" t="s">
        <v>104</v>
      </c>
      <c r="C129" s="26">
        <f t="shared" ref="C129:M129" si="33">IF(OR(C127="",C128=""),"",C128/C127)</f>
        <v>1.6008403361344539</v>
      </c>
      <c r="D129" s="26">
        <f t="shared" si="33"/>
        <v>1.6025974025974026</v>
      </c>
      <c r="E129" s="26">
        <f t="shared" si="33"/>
        <v>1.5921375921375922</v>
      </c>
      <c r="F129" s="26">
        <f t="shared" si="33"/>
        <v>1.6056338028169015</v>
      </c>
      <c r="G129" s="26">
        <f t="shared" si="33"/>
        <v>1.595744680851064</v>
      </c>
      <c r="H129" s="26">
        <f t="shared" si="33"/>
        <v>1.6056338028169015</v>
      </c>
      <c r="I129" s="26">
        <f t="shared" si="33"/>
        <v>1.6080586080586079</v>
      </c>
      <c r="J129" s="26">
        <f t="shared" si="33"/>
        <v>1.5902777777777779</v>
      </c>
      <c r="K129" s="26">
        <f t="shared" si="33"/>
        <v>1.5962264150943399</v>
      </c>
      <c r="L129" s="26">
        <f t="shared" si="33"/>
        <v>1.602510460251046</v>
      </c>
      <c r="M129" s="26">
        <f t="shared" si="33"/>
        <v>1.5940170940170941</v>
      </c>
    </row>
    <row r="130" spans="1:13" ht="15.6" x14ac:dyDescent="0.3">
      <c r="A130" s="128">
        <v>110</v>
      </c>
      <c r="B130" s="30" t="s">
        <v>102</v>
      </c>
      <c r="C130" s="37">
        <v>3.28</v>
      </c>
      <c r="D130" s="37">
        <v>5.31</v>
      </c>
      <c r="E130" s="37">
        <v>5.62</v>
      </c>
      <c r="F130" s="37">
        <v>2.94</v>
      </c>
      <c r="G130" s="37">
        <v>3.9</v>
      </c>
      <c r="H130" s="37">
        <v>2.94</v>
      </c>
      <c r="I130" s="37">
        <v>3.77</v>
      </c>
      <c r="J130" s="37">
        <v>3.97</v>
      </c>
      <c r="K130" s="37">
        <v>3.66</v>
      </c>
      <c r="L130" s="37">
        <v>3.29</v>
      </c>
      <c r="M130" s="37">
        <v>3.23</v>
      </c>
    </row>
    <row r="131" spans="1:13" ht="15.6" x14ac:dyDescent="0.3">
      <c r="A131" s="128"/>
      <c r="B131" s="20" t="s">
        <v>103</v>
      </c>
      <c r="C131" s="32">
        <v>5.16</v>
      </c>
      <c r="D131" s="32">
        <v>8.36</v>
      </c>
      <c r="E131" s="32">
        <v>8.77</v>
      </c>
      <c r="F131" s="32">
        <v>4.63</v>
      </c>
      <c r="G131" s="32">
        <v>6.08</v>
      </c>
      <c r="H131" s="32">
        <v>4.63</v>
      </c>
      <c r="I131" s="32">
        <v>5.94</v>
      </c>
      <c r="J131" s="32">
        <v>6.2</v>
      </c>
      <c r="K131" s="32">
        <v>5.73</v>
      </c>
      <c r="L131" s="32">
        <v>5.18</v>
      </c>
      <c r="M131" s="32">
        <v>5.04</v>
      </c>
    </row>
    <row r="132" spans="1:13" ht="15.6" x14ac:dyDescent="0.3">
      <c r="A132" s="128"/>
      <c r="B132" s="38" t="s">
        <v>104</v>
      </c>
      <c r="C132" s="26">
        <f t="shared" ref="C132:M132" si="34">IF(OR(C130="",C131=""),"",C131/C130)</f>
        <v>1.5731707317073171</v>
      </c>
      <c r="D132" s="26">
        <f t="shared" si="34"/>
        <v>1.5743879472693032</v>
      </c>
      <c r="E132" s="26">
        <f t="shared" si="34"/>
        <v>1.5604982206405693</v>
      </c>
      <c r="F132" s="26">
        <f t="shared" si="34"/>
        <v>1.5748299319727892</v>
      </c>
      <c r="G132" s="26">
        <f t="shared" si="34"/>
        <v>1.558974358974359</v>
      </c>
      <c r="H132" s="26">
        <f t="shared" si="34"/>
        <v>1.5748299319727892</v>
      </c>
      <c r="I132" s="26">
        <f t="shared" si="34"/>
        <v>1.5755968169761274</v>
      </c>
      <c r="J132" s="26">
        <f t="shared" si="34"/>
        <v>1.5617128463476071</v>
      </c>
      <c r="K132" s="26">
        <f t="shared" si="34"/>
        <v>1.5655737704918034</v>
      </c>
      <c r="L132" s="26">
        <f t="shared" si="34"/>
        <v>1.5744680851063828</v>
      </c>
      <c r="M132" s="26">
        <f t="shared" si="34"/>
        <v>1.5603715170278638</v>
      </c>
    </row>
    <row r="133" spans="1:13" ht="15.6" x14ac:dyDescent="0.3">
      <c r="A133" s="128">
        <v>120</v>
      </c>
      <c r="B133" s="30" t="s">
        <v>102</v>
      </c>
      <c r="C133" s="37">
        <v>4.22</v>
      </c>
      <c r="D133" s="37">
        <v>6.84</v>
      </c>
      <c r="E133" s="37">
        <v>7.23</v>
      </c>
      <c r="F133" s="37">
        <v>3.79</v>
      </c>
      <c r="G133" s="37">
        <v>5.01</v>
      </c>
      <c r="H133" s="37">
        <v>3.79</v>
      </c>
      <c r="I133" s="37">
        <v>4.8600000000000003</v>
      </c>
      <c r="J133" s="37">
        <v>5.1100000000000003</v>
      </c>
      <c r="K133" s="37">
        <v>4.7</v>
      </c>
      <c r="L133" s="37">
        <v>4.24</v>
      </c>
      <c r="M133" s="37">
        <v>4.16</v>
      </c>
    </row>
    <row r="134" spans="1:13" ht="15.6" x14ac:dyDescent="0.3">
      <c r="A134" s="128"/>
      <c r="B134" s="20" t="s">
        <v>103</v>
      </c>
      <c r="C134" s="32">
        <v>6.53</v>
      </c>
      <c r="D134" s="32">
        <v>10.6</v>
      </c>
      <c r="E134" s="32">
        <v>11.1</v>
      </c>
      <c r="F134" s="32">
        <v>5.86</v>
      </c>
      <c r="G134" s="32">
        <v>7.7</v>
      </c>
      <c r="H134" s="32">
        <v>5.86</v>
      </c>
      <c r="I134" s="32">
        <v>7.52</v>
      </c>
      <c r="J134" s="32">
        <v>7.85</v>
      </c>
      <c r="K134" s="32">
        <v>7.25</v>
      </c>
      <c r="L134" s="32">
        <v>6.56</v>
      </c>
      <c r="M134" s="32">
        <v>6.39</v>
      </c>
    </row>
    <row r="135" spans="1:13" ht="15.6" x14ac:dyDescent="0.3">
      <c r="A135" s="128"/>
      <c r="B135" s="38" t="s">
        <v>104</v>
      </c>
      <c r="C135" s="26">
        <f t="shared" ref="C135:M135" si="35">IF(OR(C133="",C134=""),"",C134/C133)</f>
        <v>1.54739336492891</v>
      </c>
      <c r="D135" s="26">
        <f t="shared" si="35"/>
        <v>1.5497076023391814</v>
      </c>
      <c r="E135" s="26">
        <f t="shared" si="35"/>
        <v>1.5352697095435683</v>
      </c>
      <c r="F135" s="26">
        <f t="shared" si="35"/>
        <v>1.5461741424802111</v>
      </c>
      <c r="G135" s="26">
        <f t="shared" si="35"/>
        <v>1.536926147704591</v>
      </c>
      <c r="H135" s="26">
        <f t="shared" si="35"/>
        <v>1.5461741424802111</v>
      </c>
      <c r="I135" s="26">
        <f t="shared" si="35"/>
        <v>1.5473251028806583</v>
      </c>
      <c r="J135" s="26">
        <f t="shared" si="35"/>
        <v>1.5362035225048922</v>
      </c>
      <c r="K135" s="26">
        <f t="shared" si="35"/>
        <v>1.5425531914893615</v>
      </c>
      <c r="L135" s="26">
        <f t="shared" si="35"/>
        <v>1.5471698113207546</v>
      </c>
      <c r="M135" s="26">
        <f t="shared" si="35"/>
        <v>1.5360576923076921</v>
      </c>
    </row>
    <row r="136" spans="1:13" ht="15.6" x14ac:dyDescent="0.3">
      <c r="A136" s="128">
        <v>130</v>
      </c>
      <c r="B136" s="30" t="s">
        <v>102</v>
      </c>
      <c r="C136" s="37">
        <v>5.29</v>
      </c>
      <c r="D136" s="37">
        <v>8.57</v>
      </c>
      <c r="E136" s="37">
        <v>9.07</v>
      </c>
      <c r="F136" s="37">
        <v>4.75</v>
      </c>
      <c r="G136" s="37">
        <v>6.29</v>
      </c>
      <c r="H136" s="37">
        <v>4.75</v>
      </c>
      <c r="I136" s="37">
        <v>6.09</v>
      </c>
      <c r="J136" s="37">
        <v>6.41</v>
      </c>
      <c r="K136" s="37">
        <v>5.9</v>
      </c>
      <c r="L136" s="37">
        <v>5.31</v>
      </c>
      <c r="M136" s="37">
        <v>5.22</v>
      </c>
    </row>
    <row r="137" spans="1:13" ht="15.6" x14ac:dyDescent="0.3">
      <c r="A137" s="128"/>
      <c r="B137" s="20" t="s">
        <v>103</v>
      </c>
      <c r="C137" s="32">
        <v>8.1</v>
      </c>
      <c r="D137" s="32">
        <v>13.1</v>
      </c>
      <c r="E137" s="32">
        <v>13.8</v>
      </c>
      <c r="F137" s="32">
        <v>7.26</v>
      </c>
      <c r="G137" s="32">
        <v>9.5500000000000007</v>
      </c>
      <c r="H137" s="32">
        <v>7.26</v>
      </c>
      <c r="I137" s="32">
        <v>9.32</v>
      </c>
      <c r="J137" s="32">
        <v>9.74</v>
      </c>
      <c r="K137" s="32">
        <v>8.99</v>
      </c>
      <c r="L137" s="32">
        <v>8.1300000000000008</v>
      </c>
      <c r="M137" s="32">
        <v>7.92</v>
      </c>
    </row>
    <row r="138" spans="1:13" ht="15.6" x14ac:dyDescent="0.3">
      <c r="A138" s="128"/>
      <c r="B138" s="38" t="s">
        <v>104</v>
      </c>
      <c r="C138" s="26">
        <f t="shared" ref="C138:M138" si="36">IF(OR(C136="",C137=""),"",C137/C136)</f>
        <v>1.5311909262759924</v>
      </c>
      <c r="D138" s="26">
        <f t="shared" si="36"/>
        <v>1.528588098016336</v>
      </c>
      <c r="E138" s="26">
        <f t="shared" si="36"/>
        <v>1.5214994487320839</v>
      </c>
      <c r="F138" s="26">
        <f t="shared" si="36"/>
        <v>1.5284210526315789</v>
      </c>
      <c r="G138" s="26">
        <f t="shared" si="36"/>
        <v>1.5182829888712244</v>
      </c>
      <c r="H138" s="26">
        <f t="shared" si="36"/>
        <v>1.5284210526315789</v>
      </c>
      <c r="I138" s="26">
        <f t="shared" si="36"/>
        <v>1.5303776683087029</v>
      </c>
      <c r="J138" s="26">
        <f t="shared" si="36"/>
        <v>1.5195007800312013</v>
      </c>
      <c r="K138" s="26">
        <f t="shared" si="36"/>
        <v>1.5237288135593219</v>
      </c>
      <c r="L138" s="26">
        <f t="shared" si="36"/>
        <v>1.5310734463276838</v>
      </c>
      <c r="M138" s="26">
        <f t="shared" si="36"/>
        <v>1.517241379310345</v>
      </c>
    </row>
    <row r="139" spans="1:13" ht="15.6" x14ac:dyDescent="0.3">
      <c r="A139" s="128">
        <v>140</v>
      </c>
      <c r="B139" s="30" t="s">
        <v>102</v>
      </c>
      <c r="C139" s="37">
        <v>6.49</v>
      </c>
      <c r="D139" s="37">
        <v>10.5</v>
      </c>
      <c r="E139" s="37">
        <v>11.1</v>
      </c>
      <c r="F139" s="37">
        <v>5.82</v>
      </c>
      <c r="G139" s="37">
        <v>7.72</v>
      </c>
      <c r="H139" s="37">
        <v>5.82</v>
      </c>
      <c r="I139" s="37">
        <v>7.47</v>
      </c>
      <c r="J139" s="37">
        <v>7.86</v>
      </c>
      <c r="K139" s="37">
        <v>7.24</v>
      </c>
      <c r="L139" s="37">
        <v>6.52</v>
      </c>
      <c r="M139" s="37">
        <v>6.4</v>
      </c>
    </row>
    <row r="140" spans="1:13" ht="15.6" x14ac:dyDescent="0.3">
      <c r="A140" s="128"/>
      <c r="B140" s="20" t="s">
        <v>103</v>
      </c>
      <c r="C140" s="32">
        <v>9.84</v>
      </c>
      <c r="D140" s="32">
        <v>15.9</v>
      </c>
      <c r="E140" s="32">
        <v>16.7</v>
      </c>
      <c r="F140" s="32">
        <v>8.83</v>
      </c>
      <c r="G140" s="32">
        <v>11.6</v>
      </c>
      <c r="H140" s="32">
        <v>8.83</v>
      </c>
      <c r="I140" s="32">
        <v>11.3</v>
      </c>
      <c r="J140" s="32">
        <v>11.8</v>
      </c>
      <c r="K140" s="32">
        <v>10.9</v>
      </c>
      <c r="L140" s="32">
        <v>9.89</v>
      </c>
      <c r="M140" s="32">
        <v>9.6300000000000008</v>
      </c>
    </row>
    <row r="141" spans="1:13" ht="15.6" x14ac:dyDescent="0.3">
      <c r="A141" s="128"/>
      <c r="B141" s="38" t="s">
        <v>104</v>
      </c>
      <c r="C141" s="26">
        <f t="shared" ref="C141:M141" si="37">IF(OR(C139="",C140=""),"",C140/C139)</f>
        <v>1.5161787365177195</v>
      </c>
      <c r="D141" s="26">
        <f t="shared" si="37"/>
        <v>1.5142857142857142</v>
      </c>
      <c r="E141" s="26">
        <f t="shared" si="37"/>
        <v>1.5045045045045045</v>
      </c>
      <c r="F141" s="26">
        <f t="shared" si="37"/>
        <v>1.5171821305841924</v>
      </c>
      <c r="G141" s="26">
        <f t="shared" si="37"/>
        <v>1.5025906735751295</v>
      </c>
      <c r="H141" s="26">
        <f t="shared" si="37"/>
        <v>1.5171821305841924</v>
      </c>
      <c r="I141" s="26">
        <f t="shared" si="37"/>
        <v>1.5127175368139225</v>
      </c>
      <c r="J141" s="26">
        <f t="shared" si="37"/>
        <v>1.5012722646310432</v>
      </c>
      <c r="K141" s="26">
        <f t="shared" si="37"/>
        <v>1.5055248618784531</v>
      </c>
      <c r="L141" s="26">
        <f t="shared" si="37"/>
        <v>1.516871165644172</v>
      </c>
      <c r="M141" s="26">
        <f t="shared" si="37"/>
        <v>1.5046875</v>
      </c>
    </row>
    <row r="142" spans="1:13" ht="15.6" x14ac:dyDescent="0.3">
      <c r="A142" s="128" t="s">
        <v>145</v>
      </c>
      <c r="B142" s="30" t="s">
        <v>102</v>
      </c>
      <c r="C142" s="37">
        <v>0.54</v>
      </c>
      <c r="D142" s="37">
        <v>0.87</v>
      </c>
      <c r="E142" s="37">
        <v>0.92</v>
      </c>
      <c r="F142" s="37">
        <v>0.48</v>
      </c>
      <c r="G142" s="37">
        <v>0.64</v>
      </c>
      <c r="H142" s="37">
        <v>0.48</v>
      </c>
      <c r="I142" s="37">
        <v>0.62</v>
      </c>
      <c r="J142" s="37">
        <v>0.65</v>
      </c>
      <c r="K142" s="37">
        <v>0.6</v>
      </c>
      <c r="L142" s="37">
        <v>0.54</v>
      </c>
      <c r="M142" s="37">
        <v>0.53</v>
      </c>
    </row>
    <row r="143" spans="1:13" ht="15.6" x14ac:dyDescent="0.3">
      <c r="A143" s="128"/>
      <c r="B143" s="20" t="s">
        <v>103</v>
      </c>
      <c r="C143" s="32">
        <v>0.77</v>
      </c>
      <c r="D143" s="32">
        <v>1.25</v>
      </c>
      <c r="E143" s="32">
        <v>1.32</v>
      </c>
      <c r="F143" s="32">
        <v>0.69</v>
      </c>
      <c r="G143" s="32">
        <v>0.91</v>
      </c>
      <c r="H143" s="32">
        <v>0.69</v>
      </c>
      <c r="I143" s="32">
        <v>0.89</v>
      </c>
      <c r="J143" s="32">
        <v>0.93</v>
      </c>
      <c r="K143" s="32">
        <v>0.86</v>
      </c>
      <c r="L143" s="32">
        <v>0.78</v>
      </c>
      <c r="M143" s="32">
        <v>0.76</v>
      </c>
    </row>
    <row r="144" spans="1:13" ht="15.6" x14ac:dyDescent="0.3">
      <c r="A144" s="128"/>
      <c r="B144" s="38" t="s">
        <v>104</v>
      </c>
      <c r="C144" s="26">
        <f t="shared" ref="C144:M144" si="38">IF(OR(C142="",C143=""),"",C143/C142)</f>
        <v>1.4259259259259258</v>
      </c>
      <c r="D144" s="26">
        <f t="shared" si="38"/>
        <v>1.4367816091954022</v>
      </c>
      <c r="E144" s="26">
        <f t="shared" si="38"/>
        <v>1.4347826086956521</v>
      </c>
      <c r="F144" s="26">
        <f t="shared" si="38"/>
        <v>1.4375</v>
      </c>
      <c r="G144" s="26">
        <f t="shared" si="38"/>
        <v>1.421875</v>
      </c>
      <c r="H144" s="26">
        <f t="shared" si="38"/>
        <v>1.4375</v>
      </c>
      <c r="I144" s="26">
        <f t="shared" si="38"/>
        <v>1.435483870967742</v>
      </c>
      <c r="J144" s="26">
        <f t="shared" si="38"/>
        <v>1.4307692307692308</v>
      </c>
      <c r="K144" s="26">
        <f t="shared" si="38"/>
        <v>1.4333333333333333</v>
      </c>
      <c r="L144" s="26">
        <f t="shared" si="38"/>
        <v>1.4444444444444444</v>
      </c>
      <c r="M144" s="26">
        <f t="shared" si="38"/>
        <v>1.4339622641509433</v>
      </c>
    </row>
    <row r="145" spans="1:13" ht="15.6" x14ac:dyDescent="0.3">
      <c r="A145" s="128" t="s">
        <v>146</v>
      </c>
      <c r="B145" s="30" t="s">
        <v>102</v>
      </c>
      <c r="C145" s="37">
        <v>2.4500000000000002</v>
      </c>
      <c r="D145" s="37">
        <v>3.97</v>
      </c>
      <c r="E145" s="37">
        <v>4.21</v>
      </c>
      <c r="F145" s="37">
        <v>2.2000000000000002</v>
      </c>
      <c r="G145" s="37">
        <v>2.92</v>
      </c>
      <c r="H145" s="37">
        <v>2.2000000000000002</v>
      </c>
      <c r="I145" s="37">
        <v>2.82</v>
      </c>
      <c r="J145" s="37">
        <v>2.97</v>
      </c>
      <c r="K145" s="37">
        <v>2.73</v>
      </c>
      <c r="L145" s="37">
        <v>2.46</v>
      </c>
      <c r="M145" s="37">
        <v>2.42</v>
      </c>
    </row>
    <row r="146" spans="1:13" ht="15.6" x14ac:dyDescent="0.3">
      <c r="A146" s="128"/>
      <c r="B146" s="20" t="s">
        <v>103</v>
      </c>
      <c r="C146" s="32">
        <v>3.47</v>
      </c>
      <c r="D146" s="32">
        <v>5.62</v>
      </c>
      <c r="E146" s="32">
        <v>5.94</v>
      </c>
      <c r="F146" s="32">
        <v>3.12</v>
      </c>
      <c r="G146" s="32">
        <v>4.12</v>
      </c>
      <c r="H146" s="32">
        <v>3.12</v>
      </c>
      <c r="I146" s="32">
        <v>4</v>
      </c>
      <c r="J146" s="32">
        <v>4.2</v>
      </c>
      <c r="K146" s="32">
        <v>3.87</v>
      </c>
      <c r="L146" s="32">
        <v>3.49</v>
      </c>
      <c r="M146" s="32">
        <v>3.42</v>
      </c>
    </row>
    <row r="147" spans="1:13" ht="15.6" x14ac:dyDescent="0.3">
      <c r="A147" s="128"/>
      <c r="B147" s="38" t="s">
        <v>104</v>
      </c>
      <c r="C147" s="26">
        <f t="shared" ref="C147:M147" si="39">IF(OR(C145="",C146=""),"",C146/C145)</f>
        <v>1.4163265306122448</v>
      </c>
      <c r="D147" s="26">
        <f t="shared" si="39"/>
        <v>1.415617128463476</v>
      </c>
      <c r="E147" s="26">
        <f t="shared" si="39"/>
        <v>1.4109263657957245</v>
      </c>
      <c r="F147" s="26">
        <f t="shared" si="39"/>
        <v>1.4181818181818182</v>
      </c>
      <c r="G147" s="26">
        <f t="shared" si="39"/>
        <v>1.4109589041095891</v>
      </c>
      <c r="H147" s="26">
        <f t="shared" si="39"/>
        <v>1.4181818181818182</v>
      </c>
      <c r="I147" s="26">
        <f t="shared" si="39"/>
        <v>1.4184397163120568</v>
      </c>
      <c r="J147" s="26">
        <f t="shared" si="39"/>
        <v>1.4141414141414141</v>
      </c>
      <c r="K147" s="26">
        <f t="shared" si="39"/>
        <v>1.4175824175824177</v>
      </c>
      <c r="L147" s="26">
        <f t="shared" si="39"/>
        <v>1.4186991869918699</v>
      </c>
      <c r="M147" s="26">
        <f t="shared" si="39"/>
        <v>1.4132231404958677</v>
      </c>
    </row>
  </sheetData>
  <mergeCells count="40">
    <mergeCell ref="A133:A135"/>
    <mergeCell ref="A136:A138"/>
    <mergeCell ref="A139:A141"/>
    <mergeCell ref="A142:A144"/>
    <mergeCell ref="A145:A147"/>
    <mergeCell ref="A118:A120"/>
    <mergeCell ref="A121:A123"/>
    <mergeCell ref="A124:A126"/>
    <mergeCell ref="A127:A129"/>
    <mergeCell ref="A130:A132"/>
    <mergeCell ref="A96:A98"/>
    <mergeCell ref="A99:A101"/>
    <mergeCell ref="A102:A104"/>
    <mergeCell ref="A105:A107"/>
    <mergeCell ref="A108:A110"/>
    <mergeCell ref="A81:A83"/>
    <mergeCell ref="A84:A86"/>
    <mergeCell ref="A87:A89"/>
    <mergeCell ref="A90:A92"/>
    <mergeCell ref="A93:A95"/>
    <mergeCell ref="A59:A61"/>
    <mergeCell ref="A62:A64"/>
    <mergeCell ref="A65:A67"/>
    <mergeCell ref="A68:A70"/>
    <mergeCell ref="A71:A73"/>
    <mergeCell ref="A44:A46"/>
    <mergeCell ref="A47:A49"/>
    <mergeCell ref="A50:A52"/>
    <mergeCell ref="A53:A55"/>
    <mergeCell ref="A56:A58"/>
    <mergeCell ref="A22:A24"/>
    <mergeCell ref="A25:A27"/>
    <mergeCell ref="A28:A30"/>
    <mergeCell ref="A31:A33"/>
    <mergeCell ref="A34:A36"/>
    <mergeCell ref="A7:A9"/>
    <mergeCell ref="A10:A12"/>
    <mergeCell ref="A13:A15"/>
    <mergeCell ref="A16:A18"/>
    <mergeCell ref="A19:A21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O171"/>
  <sheetViews>
    <sheetView zoomScaleNormal="100" workbookViewId="0">
      <selection activeCellId="1" sqref="D93:D181 A1"/>
    </sheetView>
  </sheetViews>
  <sheetFormatPr defaultColWidth="11.19921875" defaultRowHeight="15" customHeight="1" x14ac:dyDescent="0.3"/>
  <cols>
    <col min="16" max="16" width="11.19921875" customWidth="1"/>
  </cols>
  <sheetData>
    <row r="1" spans="1:15" ht="15" customHeight="1" thickBot="1" x14ac:dyDescent="0.35">
      <c r="A1" s="8" t="s">
        <v>97</v>
      </c>
    </row>
    <row r="2" spans="1:15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14</v>
      </c>
      <c r="F2" s="31" t="s">
        <v>18</v>
      </c>
      <c r="G2" s="31" t="s">
        <v>20</v>
      </c>
      <c r="H2" s="31" t="s">
        <v>21</v>
      </c>
      <c r="I2" s="31" t="s">
        <v>21</v>
      </c>
      <c r="J2" s="31" t="s">
        <v>21</v>
      </c>
      <c r="K2" s="31" t="s">
        <v>43</v>
      </c>
      <c r="L2" s="31" t="s">
        <v>172</v>
      </c>
      <c r="M2" s="31" t="s">
        <v>39</v>
      </c>
      <c r="N2" s="31" t="s">
        <v>42</v>
      </c>
      <c r="O2" s="31" t="s">
        <v>43</v>
      </c>
    </row>
    <row r="3" spans="1:15" ht="15" customHeight="1" x14ac:dyDescent="0.3">
      <c r="B3" s="18" t="s">
        <v>114</v>
      </c>
      <c r="C3" s="32">
        <v>2</v>
      </c>
      <c r="D3" s="32">
        <v>3.6</v>
      </c>
      <c r="E3" s="32">
        <v>5</v>
      </c>
      <c r="F3" s="32">
        <v>10</v>
      </c>
      <c r="G3" s="32">
        <v>14.4</v>
      </c>
      <c r="H3" s="32">
        <v>19.2</v>
      </c>
      <c r="I3" s="32">
        <v>19.2</v>
      </c>
      <c r="J3" s="32">
        <v>19.2</v>
      </c>
      <c r="K3" s="32">
        <f>48*1.2</f>
        <v>57.599999999999994</v>
      </c>
      <c r="L3" s="32">
        <f>64*1.2</f>
        <v>76.8</v>
      </c>
      <c r="M3" s="32">
        <f>96*0.6</f>
        <v>57.599999999999994</v>
      </c>
      <c r="N3" s="32">
        <f>24*1.2</f>
        <v>28.799999999999997</v>
      </c>
      <c r="O3" s="32">
        <f>48*1.2</f>
        <v>57.599999999999994</v>
      </c>
    </row>
    <row r="4" spans="1:15" ht="15" customHeight="1" x14ac:dyDescent="0.3">
      <c r="B4" s="18" t="s">
        <v>101</v>
      </c>
      <c r="C4" s="32" t="s">
        <v>13</v>
      </c>
      <c r="D4" s="32" t="s">
        <v>26</v>
      </c>
      <c r="E4" s="32" t="s">
        <v>14</v>
      </c>
      <c r="F4" s="32" t="s">
        <v>18</v>
      </c>
      <c r="G4" s="32" t="s">
        <v>20</v>
      </c>
      <c r="H4" s="32" t="s">
        <v>21</v>
      </c>
      <c r="I4" s="32" t="s">
        <v>22</v>
      </c>
      <c r="J4" s="32" t="s">
        <v>22</v>
      </c>
      <c r="K4" s="32" t="s">
        <v>39</v>
      </c>
      <c r="L4" s="32" t="s">
        <v>40</v>
      </c>
      <c r="M4" s="32" t="s">
        <v>41</v>
      </c>
      <c r="N4" s="32" t="s">
        <v>42</v>
      </c>
      <c r="O4" s="32" t="s">
        <v>149</v>
      </c>
    </row>
    <row r="5" spans="1:15" ht="15" customHeight="1" thickBot="1" x14ac:dyDescent="0.35">
      <c r="B5" s="33" t="s">
        <v>115</v>
      </c>
      <c r="C5" s="40"/>
      <c r="D5" s="40"/>
      <c r="E5" s="40"/>
      <c r="F5" s="40"/>
      <c r="G5" s="40"/>
      <c r="H5" s="40" t="s">
        <v>119</v>
      </c>
      <c r="I5" s="40" t="s">
        <v>150</v>
      </c>
      <c r="J5" s="40" t="s">
        <v>121</v>
      </c>
      <c r="K5" s="40" t="s">
        <v>121</v>
      </c>
      <c r="L5" s="40" t="s">
        <v>121</v>
      </c>
      <c r="M5" s="40" t="s">
        <v>121</v>
      </c>
      <c r="N5" s="40" t="s">
        <v>121</v>
      </c>
      <c r="O5" s="40"/>
    </row>
    <row r="6" spans="1:15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</row>
    <row r="7" spans="1:15" ht="15" customHeight="1" thickTop="1" thickBot="1" x14ac:dyDescent="0.35">
      <c r="A7" s="128">
        <v>70</v>
      </c>
      <c r="B7" s="30" t="s">
        <v>102</v>
      </c>
      <c r="C7" s="37">
        <v>2.5299999999999998</v>
      </c>
      <c r="D7" s="37">
        <v>4.21</v>
      </c>
      <c r="E7" s="37">
        <v>2.44</v>
      </c>
      <c r="F7" s="37">
        <v>2.44</v>
      </c>
      <c r="G7" s="37">
        <v>3.48</v>
      </c>
      <c r="H7" s="37">
        <v>2.75</v>
      </c>
      <c r="I7" s="37">
        <v>2.96</v>
      </c>
      <c r="J7" s="37">
        <v>3.36</v>
      </c>
      <c r="K7" s="37">
        <v>3.05</v>
      </c>
      <c r="L7" s="37">
        <v>2.9</v>
      </c>
      <c r="M7" s="37">
        <v>2.72</v>
      </c>
      <c r="N7" s="37">
        <v>3</v>
      </c>
      <c r="O7" s="37">
        <v>2.73</v>
      </c>
    </row>
    <row r="8" spans="1:15" ht="15" customHeight="1" thickTop="1" thickBot="1" x14ac:dyDescent="0.35">
      <c r="A8" s="128"/>
      <c r="B8" s="20" t="s">
        <v>103</v>
      </c>
      <c r="C8" s="32">
        <v>2.72</v>
      </c>
      <c r="D8" s="32">
        <v>4.53</v>
      </c>
      <c r="E8" s="32">
        <v>2.63</v>
      </c>
      <c r="F8" s="32">
        <v>2.63</v>
      </c>
      <c r="G8" s="32">
        <v>3.75</v>
      </c>
      <c r="H8" s="32">
        <v>2.96</v>
      </c>
      <c r="I8" s="32">
        <v>3.18</v>
      </c>
      <c r="J8" s="32">
        <v>3.62</v>
      </c>
      <c r="K8" s="32">
        <v>3.28</v>
      </c>
      <c r="L8" s="32">
        <v>3.12</v>
      </c>
      <c r="M8" s="32">
        <v>2.93</v>
      </c>
      <c r="N8" s="32">
        <v>3.23</v>
      </c>
      <c r="O8" s="32">
        <v>2.93</v>
      </c>
    </row>
    <row r="9" spans="1:15" ht="15" customHeight="1" thickTop="1" thickBot="1" x14ac:dyDescent="0.35">
      <c r="A9" s="128"/>
      <c r="B9" s="38" t="s">
        <v>104</v>
      </c>
      <c r="C9" s="26">
        <f t="shared" ref="C9:O9" si="0">IF(OR(C7="",C8=""),"",C8/C7)</f>
        <v>1.0750988142292492</v>
      </c>
      <c r="D9" s="26">
        <f t="shared" si="0"/>
        <v>1.0760095011876485</v>
      </c>
      <c r="E9" s="26">
        <f t="shared" si="0"/>
        <v>1.0778688524590163</v>
      </c>
      <c r="F9" s="26">
        <f t="shared" si="0"/>
        <v>1.0778688524590163</v>
      </c>
      <c r="G9" s="26">
        <f t="shared" si="0"/>
        <v>1.0775862068965518</v>
      </c>
      <c r="H9" s="26">
        <f t="shared" si="0"/>
        <v>1.0763636363636364</v>
      </c>
      <c r="I9" s="26">
        <f t="shared" si="0"/>
        <v>1.0743243243243243</v>
      </c>
      <c r="J9" s="26">
        <f t="shared" si="0"/>
        <v>1.0773809523809526</v>
      </c>
      <c r="K9" s="26">
        <f t="shared" si="0"/>
        <v>1.0754098360655737</v>
      </c>
      <c r="L9" s="26">
        <f t="shared" si="0"/>
        <v>1.0758620689655174</v>
      </c>
      <c r="M9" s="26">
        <f t="shared" si="0"/>
        <v>1.0772058823529411</v>
      </c>
      <c r="N9" s="26">
        <f t="shared" si="0"/>
        <v>1.0766666666666667</v>
      </c>
      <c r="O9" s="26">
        <f t="shared" si="0"/>
        <v>1.0732600732600732</v>
      </c>
    </row>
    <row r="10" spans="1:15" ht="15" customHeight="1" thickTop="1" thickBot="1" x14ac:dyDescent="0.35">
      <c r="A10" s="128">
        <v>80</v>
      </c>
      <c r="B10" s="30" t="s">
        <v>102</v>
      </c>
      <c r="C10" s="37">
        <v>4.04</v>
      </c>
      <c r="D10" s="37">
        <v>6.73</v>
      </c>
      <c r="E10" s="37">
        <v>3.9</v>
      </c>
      <c r="F10" s="37">
        <v>3.9</v>
      </c>
      <c r="G10" s="37">
        <v>5.56</v>
      </c>
      <c r="H10" s="37">
        <v>4.4000000000000004</v>
      </c>
      <c r="I10" s="37">
        <v>4.72</v>
      </c>
      <c r="J10" s="37">
        <v>5.37</v>
      </c>
      <c r="K10" s="37">
        <v>4.87</v>
      </c>
      <c r="L10" s="37">
        <v>4.62</v>
      </c>
      <c r="M10" s="37">
        <v>4.3499999999999996</v>
      </c>
      <c r="N10" s="37">
        <v>4.79</v>
      </c>
      <c r="O10" s="37">
        <v>4.3499999999999996</v>
      </c>
    </row>
    <row r="11" spans="1:15" ht="15" customHeight="1" thickTop="1" thickBot="1" x14ac:dyDescent="0.35">
      <c r="A11" s="128"/>
      <c r="B11" s="20" t="s">
        <v>103</v>
      </c>
      <c r="C11" s="32">
        <v>4.24</v>
      </c>
      <c r="D11" s="32">
        <v>7.07</v>
      </c>
      <c r="E11" s="32">
        <v>4.0999999999999996</v>
      </c>
      <c r="F11" s="32">
        <v>4.0999999999999996</v>
      </c>
      <c r="G11" s="32">
        <v>5.85</v>
      </c>
      <c r="H11" s="32">
        <v>4.63</v>
      </c>
      <c r="I11" s="32">
        <v>4.97</v>
      </c>
      <c r="J11" s="32">
        <v>5.65</v>
      </c>
      <c r="K11" s="32">
        <v>5.12</v>
      </c>
      <c r="L11" s="32">
        <v>4.8600000000000003</v>
      </c>
      <c r="M11" s="32">
        <v>4.58</v>
      </c>
      <c r="N11" s="32">
        <v>5.03</v>
      </c>
      <c r="O11" s="32">
        <v>4.58</v>
      </c>
    </row>
    <row r="12" spans="1:15" ht="15" customHeight="1" thickTop="1" thickBot="1" x14ac:dyDescent="0.35">
      <c r="A12" s="128"/>
      <c r="B12" s="38" t="s">
        <v>104</v>
      </c>
      <c r="C12" s="26">
        <f t="shared" ref="C12:O12" si="1">IF(OR(C10="",C11=""),"",C11/C10)</f>
        <v>1.0495049504950495</v>
      </c>
      <c r="D12" s="26">
        <f t="shared" si="1"/>
        <v>1.0505200594353641</v>
      </c>
      <c r="E12" s="26">
        <f t="shared" si="1"/>
        <v>1.0512820512820513</v>
      </c>
      <c r="F12" s="26">
        <f t="shared" si="1"/>
        <v>1.0512820512820513</v>
      </c>
      <c r="G12" s="26">
        <f t="shared" si="1"/>
        <v>1.0521582733812951</v>
      </c>
      <c r="H12" s="26">
        <f t="shared" si="1"/>
        <v>1.0522727272727272</v>
      </c>
      <c r="I12" s="26">
        <f t="shared" si="1"/>
        <v>1.0529661016949152</v>
      </c>
      <c r="J12" s="26">
        <f t="shared" si="1"/>
        <v>1.0521415270018621</v>
      </c>
      <c r="K12" s="26">
        <f t="shared" si="1"/>
        <v>1.0513347022587269</v>
      </c>
      <c r="L12" s="26">
        <f t="shared" si="1"/>
        <v>1.051948051948052</v>
      </c>
      <c r="M12" s="26">
        <f t="shared" si="1"/>
        <v>1.052873563218391</v>
      </c>
      <c r="N12" s="26">
        <f t="shared" si="1"/>
        <v>1.0501043841336117</v>
      </c>
      <c r="O12" s="26">
        <f t="shared" si="1"/>
        <v>1.052873563218391</v>
      </c>
    </row>
    <row r="13" spans="1:15" ht="15" customHeight="1" thickTop="1" thickBot="1" x14ac:dyDescent="0.35">
      <c r="A13" s="128">
        <v>90</v>
      </c>
      <c r="B13" s="30" t="s">
        <v>102</v>
      </c>
      <c r="C13" s="37">
        <v>5.93</v>
      </c>
      <c r="D13" s="37">
        <v>9.8800000000000008</v>
      </c>
      <c r="E13" s="37">
        <v>5.73</v>
      </c>
      <c r="F13" s="37">
        <v>5.73</v>
      </c>
      <c r="G13" s="37">
        <v>8.17</v>
      </c>
      <c r="H13" s="37">
        <v>6.46</v>
      </c>
      <c r="I13" s="37">
        <v>6.94</v>
      </c>
      <c r="J13" s="37">
        <v>7.89</v>
      </c>
      <c r="K13" s="37">
        <v>7.16</v>
      </c>
      <c r="L13" s="37">
        <v>6.79</v>
      </c>
      <c r="M13" s="37">
        <v>6.39</v>
      </c>
      <c r="N13" s="37">
        <v>7.03</v>
      </c>
      <c r="O13" s="37">
        <v>6.4</v>
      </c>
    </row>
    <row r="14" spans="1:15" ht="15" customHeight="1" thickTop="1" thickBot="1" x14ac:dyDescent="0.35">
      <c r="A14" s="128"/>
      <c r="B14" s="20" t="s">
        <v>103</v>
      </c>
      <c r="C14" s="32">
        <v>6.08</v>
      </c>
      <c r="D14" s="32">
        <v>10.130000000000001</v>
      </c>
      <c r="E14" s="32">
        <v>5.87</v>
      </c>
      <c r="F14" s="32">
        <v>5.87</v>
      </c>
      <c r="G14" s="32">
        <v>8.3699999999999992</v>
      </c>
      <c r="H14" s="32">
        <v>6.62</v>
      </c>
      <c r="I14" s="32">
        <v>7.11</v>
      </c>
      <c r="J14" s="32">
        <v>8.08</v>
      </c>
      <c r="K14" s="32">
        <v>7.33</v>
      </c>
      <c r="L14" s="32">
        <v>6.96</v>
      </c>
      <c r="M14" s="32">
        <v>6.55</v>
      </c>
      <c r="N14" s="32">
        <v>7.2</v>
      </c>
      <c r="O14" s="32">
        <v>6.55</v>
      </c>
    </row>
    <row r="15" spans="1:15" ht="15" customHeight="1" thickTop="1" thickBot="1" x14ac:dyDescent="0.35">
      <c r="A15" s="128"/>
      <c r="B15" s="38" t="s">
        <v>104</v>
      </c>
      <c r="C15" s="26">
        <f t="shared" ref="C15:O15" si="2">IF(OR(C13="",C14=""),"",C14/C13)</f>
        <v>1.0252951096121417</v>
      </c>
      <c r="D15" s="26">
        <f t="shared" si="2"/>
        <v>1.0253036437246963</v>
      </c>
      <c r="E15" s="26">
        <f t="shared" si="2"/>
        <v>1.0244328097731239</v>
      </c>
      <c r="F15" s="26">
        <f t="shared" si="2"/>
        <v>1.0244328097731239</v>
      </c>
      <c r="G15" s="26">
        <f t="shared" si="2"/>
        <v>1.0244798041615666</v>
      </c>
      <c r="H15" s="26">
        <f t="shared" si="2"/>
        <v>1.0247678018575852</v>
      </c>
      <c r="I15" s="26">
        <f t="shared" si="2"/>
        <v>1.0244956772334295</v>
      </c>
      <c r="J15" s="26">
        <f t="shared" si="2"/>
        <v>1.0240811153358682</v>
      </c>
      <c r="K15" s="26">
        <f t="shared" si="2"/>
        <v>1.0237430167597765</v>
      </c>
      <c r="L15" s="26">
        <f t="shared" si="2"/>
        <v>1.0250368188512518</v>
      </c>
      <c r="M15" s="26">
        <f t="shared" si="2"/>
        <v>1.0250391236306728</v>
      </c>
      <c r="N15" s="26">
        <f t="shared" si="2"/>
        <v>1.0241820768136558</v>
      </c>
      <c r="O15" s="26">
        <f t="shared" si="2"/>
        <v>1.0234375</v>
      </c>
    </row>
    <row r="16" spans="1:15" ht="15" customHeight="1" thickTop="1" thickBot="1" x14ac:dyDescent="0.35">
      <c r="A16" s="128">
        <v>100</v>
      </c>
      <c r="B16" s="30" t="s">
        <v>102</v>
      </c>
      <c r="C16" s="37">
        <v>8.08</v>
      </c>
      <c r="D16" s="37">
        <v>13.47</v>
      </c>
      <c r="E16" s="37">
        <v>7.81</v>
      </c>
      <c r="F16" s="37">
        <v>7.81</v>
      </c>
      <c r="G16" s="37">
        <v>11.14</v>
      </c>
      <c r="H16" s="37">
        <v>8.81</v>
      </c>
      <c r="I16" s="37">
        <v>9.4499999999999993</v>
      </c>
      <c r="J16" s="37">
        <v>10.75</v>
      </c>
      <c r="K16" s="37">
        <v>9.76</v>
      </c>
      <c r="L16" s="37">
        <v>9.26</v>
      </c>
      <c r="M16" s="37">
        <v>8.7100000000000009</v>
      </c>
      <c r="N16" s="37">
        <v>9.58</v>
      </c>
      <c r="O16" s="37">
        <v>8.7200000000000006</v>
      </c>
    </row>
    <row r="17" spans="1:15" ht="15" customHeight="1" thickTop="1" thickBot="1" x14ac:dyDescent="0.35">
      <c r="A17" s="128"/>
      <c r="B17" s="20" t="s">
        <v>103</v>
      </c>
      <c r="C17" s="32">
        <v>8.23</v>
      </c>
      <c r="D17" s="32">
        <v>13.72</v>
      </c>
      <c r="E17" s="32">
        <v>7.95</v>
      </c>
      <c r="F17" s="32">
        <v>7.95</v>
      </c>
      <c r="G17" s="32">
        <v>11.34</v>
      </c>
      <c r="H17" s="32">
        <v>8.9700000000000006</v>
      </c>
      <c r="I17" s="32">
        <v>9.6300000000000008</v>
      </c>
      <c r="J17" s="32">
        <v>10.95</v>
      </c>
      <c r="K17" s="32">
        <v>9.94</v>
      </c>
      <c r="L17" s="32">
        <v>9.43</v>
      </c>
      <c r="M17" s="32">
        <v>8.8699999999999992</v>
      </c>
      <c r="N17" s="32">
        <v>9.76</v>
      </c>
      <c r="O17" s="32">
        <v>8.8800000000000008</v>
      </c>
    </row>
    <row r="18" spans="1:15" ht="15" customHeight="1" thickTop="1" thickBot="1" x14ac:dyDescent="0.35">
      <c r="A18" s="128"/>
      <c r="B18" s="38" t="s">
        <v>104</v>
      </c>
      <c r="C18" s="26">
        <f t="shared" ref="C18:O18" si="3">IF(OR(C16="",C17=""),"",C17/C16)</f>
        <v>1.0185643564356437</v>
      </c>
      <c r="D18" s="26">
        <f t="shared" si="3"/>
        <v>1.0185597624350409</v>
      </c>
      <c r="E18" s="26">
        <f t="shared" si="3"/>
        <v>1.0179257362355956</v>
      </c>
      <c r="F18" s="26">
        <f t="shared" si="3"/>
        <v>1.0179257362355956</v>
      </c>
      <c r="G18" s="26">
        <f t="shared" si="3"/>
        <v>1.0179533213644523</v>
      </c>
      <c r="H18" s="26">
        <f t="shared" si="3"/>
        <v>1.018161180476731</v>
      </c>
      <c r="I18" s="26">
        <f t="shared" si="3"/>
        <v>1.0190476190476192</v>
      </c>
      <c r="J18" s="26">
        <f t="shared" si="3"/>
        <v>1.0186046511627906</v>
      </c>
      <c r="K18" s="26">
        <f t="shared" si="3"/>
        <v>1.0184426229508197</v>
      </c>
      <c r="L18" s="26">
        <f t="shared" si="3"/>
        <v>1.0183585313174945</v>
      </c>
      <c r="M18" s="26">
        <f t="shared" si="3"/>
        <v>1.0183696900114809</v>
      </c>
      <c r="N18" s="26">
        <f t="shared" si="3"/>
        <v>1.0187891440501045</v>
      </c>
      <c r="O18" s="26">
        <f t="shared" si="3"/>
        <v>1.0183486238532111</v>
      </c>
    </row>
    <row r="19" spans="1:15" ht="15" customHeight="1" thickTop="1" thickBot="1" x14ac:dyDescent="0.35">
      <c r="A19" s="128">
        <v>110</v>
      </c>
      <c r="B19" s="30" t="s">
        <v>102</v>
      </c>
      <c r="C19" s="37">
        <v>10.45</v>
      </c>
      <c r="D19" s="37">
        <v>17.420000000000002</v>
      </c>
      <c r="E19" s="37">
        <v>10.1</v>
      </c>
      <c r="F19" s="37">
        <v>10.1</v>
      </c>
      <c r="G19" s="37">
        <v>14.41</v>
      </c>
      <c r="H19" s="37">
        <v>11.39</v>
      </c>
      <c r="I19" s="37">
        <v>12.23</v>
      </c>
      <c r="J19" s="37">
        <v>13.91</v>
      </c>
      <c r="K19" s="37">
        <v>12.62</v>
      </c>
      <c r="L19" s="37">
        <v>11.98</v>
      </c>
      <c r="M19" s="37">
        <v>11.27</v>
      </c>
      <c r="N19" s="37">
        <v>12.4</v>
      </c>
      <c r="O19" s="37">
        <v>11.28</v>
      </c>
    </row>
    <row r="20" spans="1:15" ht="15" customHeight="1" thickTop="1" thickBot="1" x14ac:dyDescent="0.35">
      <c r="A20" s="128"/>
      <c r="B20" s="20" t="s">
        <v>103</v>
      </c>
      <c r="C20" s="32">
        <v>10.61</v>
      </c>
      <c r="D20" s="32">
        <v>17.68</v>
      </c>
      <c r="E20" s="32">
        <v>10.25</v>
      </c>
      <c r="F20" s="32">
        <v>10.25</v>
      </c>
      <c r="G20" s="32">
        <v>14.62</v>
      </c>
      <c r="H20" s="32">
        <v>11.56</v>
      </c>
      <c r="I20" s="32">
        <v>12.41</v>
      </c>
      <c r="J20" s="32">
        <v>14.11</v>
      </c>
      <c r="K20" s="32">
        <v>12.81</v>
      </c>
      <c r="L20" s="32">
        <v>12.16</v>
      </c>
      <c r="M20" s="32">
        <v>11.44</v>
      </c>
      <c r="N20" s="32">
        <v>12.58</v>
      </c>
      <c r="O20" s="32">
        <v>11.45</v>
      </c>
    </row>
    <row r="21" spans="1:15" ht="15" customHeight="1" thickTop="1" thickBot="1" x14ac:dyDescent="0.35">
      <c r="A21" s="128"/>
      <c r="B21" s="38" t="s">
        <v>104</v>
      </c>
      <c r="C21" s="26">
        <f t="shared" ref="C21:O21" si="4">IF(OR(C19="",C20=""),"",C20/C19)</f>
        <v>1.0153110047846889</v>
      </c>
      <c r="D21" s="26">
        <f t="shared" si="4"/>
        <v>1.0149253731343282</v>
      </c>
      <c r="E21" s="26">
        <f t="shared" si="4"/>
        <v>1.0148514851485149</v>
      </c>
      <c r="F21" s="26">
        <f t="shared" si="4"/>
        <v>1.0148514851485149</v>
      </c>
      <c r="G21" s="26">
        <f t="shared" si="4"/>
        <v>1.0145732130464955</v>
      </c>
      <c r="H21" s="26">
        <f t="shared" si="4"/>
        <v>1.0149253731343284</v>
      </c>
      <c r="I21" s="26">
        <f t="shared" si="4"/>
        <v>1.0147179067865904</v>
      </c>
      <c r="J21" s="26">
        <f t="shared" si="4"/>
        <v>1.0143781452192666</v>
      </c>
      <c r="K21" s="26">
        <f t="shared" si="4"/>
        <v>1.0150554675118859</v>
      </c>
      <c r="L21" s="26">
        <f t="shared" si="4"/>
        <v>1.015025041736227</v>
      </c>
      <c r="M21" s="26">
        <f t="shared" si="4"/>
        <v>1.0150842945874001</v>
      </c>
      <c r="N21" s="26">
        <f t="shared" si="4"/>
        <v>1.014516129032258</v>
      </c>
      <c r="O21" s="26">
        <f t="shared" si="4"/>
        <v>1.0150709219858156</v>
      </c>
    </row>
    <row r="22" spans="1:15" ht="15" customHeight="1" thickTop="1" thickBot="1" x14ac:dyDescent="0.35">
      <c r="A22" s="128">
        <v>120</v>
      </c>
      <c r="B22" s="30" t="s">
        <v>102</v>
      </c>
      <c r="C22" s="37">
        <v>13.06</v>
      </c>
      <c r="D22" s="37">
        <v>21.76</v>
      </c>
      <c r="E22" s="37">
        <v>12.62</v>
      </c>
      <c r="F22" s="37">
        <v>12.62</v>
      </c>
      <c r="G22" s="37">
        <v>18</v>
      </c>
      <c r="H22" s="37">
        <v>14.23</v>
      </c>
      <c r="I22" s="37">
        <v>15.28</v>
      </c>
      <c r="J22" s="37">
        <v>17.37</v>
      </c>
      <c r="K22" s="37">
        <v>15.76</v>
      </c>
      <c r="L22" s="37">
        <v>14.96</v>
      </c>
      <c r="M22" s="37">
        <v>14.07</v>
      </c>
      <c r="N22" s="37">
        <v>15.49</v>
      </c>
      <c r="O22" s="37">
        <v>14.09</v>
      </c>
    </row>
    <row r="23" spans="1:15" ht="15" customHeight="1" thickTop="1" thickBot="1" x14ac:dyDescent="0.35">
      <c r="A23" s="128"/>
      <c r="B23" s="20" t="s">
        <v>103</v>
      </c>
      <c r="C23" s="32">
        <v>13.22</v>
      </c>
      <c r="D23" s="32">
        <v>22.04</v>
      </c>
      <c r="E23" s="32">
        <v>12.77</v>
      </c>
      <c r="F23" s="32">
        <v>12.77</v>
      </c>
      <c r="G23" s="32">
        <v>18.22</v>
      </c>
      <c r="H23" s="32">
        <v>14.41</v>
      </c>
      <c r="I23" s="32">
        <v>15.47</v>
      </c>
      <c r="J23" s="32">
        <v>17.59</v>
      </c>
      <c r="K23" s="32">
        <v>15.96</v>
      </c>
      <c r="L23" s="32">
        <v>15.15</v>
      </c>
      <c r="M23" s="32">
        <v>14.25</v>
      </c>
      <c r="N23" s="32">
        <v>15.68</v>
      </c>
      <c r="O23" s="32">
        <v>14.26</v>
      </c>
    </row>
    <row r="24" spans="1:15" ht="15" customHeight="1" thickTop="1" thickBot="1" x14ac:dyDescent="0.35">
      <c r="A24" s="128"/>
      <c r="B24" s="38" t="s">
        <v>104</v>
      </c>
      <c r="C24" s="26">
        <f t="shared" ref="C24:O24" si="5">IF(OR(C22="",C23=""),"",C23/C22)</f>
        <v>1.0122511485451762</v>
      </c>
      <c r="D24" s="26">
        <f t="shared" si="5"/>
        <v>1.0128676470588234</v>
      </c>
      <c r="E24" s="26">
        <f t="shared" si="5"/>
        <v>1.0118858954041206</v>
      </c>
      <c r="F24" s="26">
        <f t="shared" si="5"/>
        <v>1.0118858954041206</v>
      </c>
      <c r="G24" s="26">
        <f t="shared" si="5"/>
        <v>1.0122222222222221</v>
      </c>
      <c r="H24" s="26">
        <f t="shared" si="5"/>
        <v>1.0126493323963457</v>
      </c>
      <c r="I24" s="26">
        <f t="shared" si="5"/>
        <v>1.0124345549738221</v>
      </c>
      <c r="J24" s="26">
        <f t="shared" si="5"/>
        <v>1.0126655152561888</v>
      </c>
      <c r="K24" s="26">
        <f t="shared" si="5"/>
        <v>1.0126903553299493</v>
      </c>
      <c r="L24" s="26">
        <f t="shared" si="5"/>
        <v>1.0127005347593583</v>
      </c>
      <c r="M24" s="26">
        <f t="shared" si="5"/>
        <v>1.0127931769722813</v>
      </c>
      <c r="N24" s="26">
        <f t="shared" si="5"/>
        <v>1.0122659780503551</v>
      </c>
      <c r="O24" s="26">
        <f t="shared" si="5"/>
        <v>1.0120652945351314</v>
      </c>
    </row>
    <row r="25" spans="1:15" ht="15" customHeight="1" thickTop="1" thickBot="1" x14ac:dyDescent="0.35">
      <c r="A25" s="128">
        <v>130</v>
      </c>
      <c r="B25" s="30" t="s">
        <v>102</v>
      </c>
      <c r="C25" s="37">
        <v>15.73</v>
      </c>
      <c r="D25" s="37">
        <v>26.21</v>
      </c>
      <c r="E25" s="37">
        <v>15.2</v>
      </c>
      <c r="F25" s="37">
        <v>15.2</v>
      </c>
      <c r="G25" s="37">
        <v>21.68</v>
      </c>
      <c r="H25" s="37">
        <v>17.14</v>
      </c>
      <c r="I25" s="37">
        <v>18.399999999999999</v>
      </c>
      <c r="J25" s="37">
        <v>20.92</v>
      </c>
      <c r="K25" s="37">
        <v>18.989999999999998</v>
      </c>
      <c r="L25" s="37">
        <v>18.02</v>
      </c>
      <c r="M25" s="37">
        <v>16.95</v>
      </c>
      <c r="N25" s="37">
        <v>18.649999999999999</v>
      </c>
      <c r="O25" s="37">
        <v>16.97</v>
      </c>
    </row>
    <row r="26" spans="1:15" ht="15" customHeight="1" thickTop="1" thickBot="1" x14ac:dyDescent="0.35">
      <c r="A26" s="128"/>
      <c r="B26" s="20" t="s">
        <v>103</v>
      </c>
      <c r="C26" s="32">
        <v>15.92</v>
      </c>
      <c r="D26" s="32">
        <v>26.53</v>
      </c>
      <c r="E26" s="32">
        <v>15.38</v>
      </c>
      <c r="F26" s="32">
        <v>15.38</v>
      </c>
      <c r="G26" s="32">
        <v>21.93</v>
      </c>
      <c r="H26" s="32">
        <v>17.34</v>
      </c>
      <c r="I26" s="32">
        <v>18.62</v>
      </c>
      <c r="J26" s="32">
        <v>21.17</v>
      </c>
      <c r="K26" s="32">
        <v>19.21</v>
      </c>
      <c r="L26" s="32">
        <v>18.239999999999998</v>
      </c>
      <c r="M26" s="32">
        <v>17.149999999999999</v>
      </c>
      <c r="N26" s="32">
        <v>18.87</v>
      </c>
      <c r="O26" s="32">
        <v>17.170000000000002</v>
      </c>
    </row>
    <row r="27" spans="1:15" ht="15" customHeight="1" thickTop="1" thickBot="1" x14ac:dyDescent="0.35">
      <c r="A27" s="128"/>
      <c r="B27" s="38" t="s">
        <v>104</v>
      </c>
      <c r="C27" s="26">
        <f t="shared" ref="C27:O27" si="6">IF(OR(C25="",C26=""),"",C26/C25)</f>
        <v>1.0120788302606485</v>
      </c>
      <c r="D27" s="26">
        <f t="shared" si="6"/>
        <v>1.0122090805036246</v>
      </c>
      <c r="E27" s="26">
        <f t="shared" si="6"/>
        <v>1.0118421052631581</v>
      </c>
      <c r="F27" s="26">
        <f t="shared" si="6"/>
        <v>1.0118421052631581</v>
      </c>
      <c r="G27" s="26">
        <f t="shared" si="6"/>
        <v>1.0115313653136531</v>
      </c>
      <c r="H27" s="26">
        <f t="shared" si="6"/>
        <v>1.0116686114352391</v>
      </c>
      <c r="I27" s="26">
        <f t="shared" si="6"/>
        <v>1.0119565217391306</v>
      </c>
      <c r="J27" s="26">
        <f t="shared" si="6"/>
        <v>1.0119502868068833</v>
      </c>
      <c r="K27" s="26">
        <f t="shared" si="6"/>
        <v>1.0115850447604002</v>
      </c>
      <c r="L27" s="26">
        <f t="shared" si="6"/>
        <v>1.0122086570477247</v>
      </c>
      <c r="M27" s="26">
        <f t="shared" si="6"/>
        <v>1.0117994100294985</v>
      </c>
      <c r="N27" s="26">
        <f t="shared" si="6"/>
        <v>1.0117962466487938</v>
      </c>
      <c r="O27" s="26">
        <f t="shared" si="6"/>
        <v>1.011785503830289</v>
      </c>
    </row>
    <row r="28" spans="1:15" ht="15" customHeight="1" thickTop="1" thickBot="1" x14ac:dyDescent="0.35">
      <c r="A28" s="128">
        <v>140</v>
      </c>
      <c r="B28" s="30" t="s">
        <v>102</v>
      </c>
      <c r="C28" s="37">
        <v>18.55</v>
      </c>
      <c r="D28" s="37">
        <v>30.92</v>
      </c>
      <c r="E28" s="37">
        <v>17.93</v>
      </c>
      <c r="F28" s="37">
        <v>17.93</v>
      </c>
      <c r="G28" s="37">
        <v>25.57</v>
      </c>
      <c r="H28" s="37">
        <v>20.22</v>
      </c>
      <c r="I28" s="37">
        <v>21.7</v>
      </c>
      <c r="J28" s="37">
        <v>24.68</v>
      </c>
      <c r="K28" s="37">
        <v>22.4</v>
      </c>
      <c r="L28" s="37">
        <v>21.26</v>
      </c>
      <c r="M28" s="37">
        <v>20</v>
      </c>
      <c r="N28" s="37">
        <v>22</v>
      </c>
      <c r="O28" s="37">
        <v>20.010000000000002</v>
      </c>
    </row>
    <row r="29" spans="1:15" ht="15" customHeight="1" thickTop="1" thickBot="1" x14ac:dyDescent="0.35">
      <c r="A29" s="128"/>
      <c r="B29" s="20" t="s">
        <v>103</v>
      </c>
      <c r="C29" s="32">
        <v>18.75</v>
      </c>
      <c r="D29" s="32">
        <v>31.25</v>
      </c>
      <c r="E29" s="32">
        <v>18.12</v>
      </c>
      <c r="F29" s="32">
        <v>18.12</v>
      </c>
      <c r="G29" s="32">
        <v>25.84</v>
      </c>
      <c r="H29" s="32">
        <v>20.43</v>
      </c>
      <c r="I29" s="32">
        <v>21.94</v>
      </c>
      <c r="J29" s="32">
        <v>24.94</v>
      </c>
      <c r="K29" s="32">
        <v>22.64</v>
      </c>
      <c r="L29" s="32">
        <v>21.49</v>
      </c>
      <c r="M29" s="32">
        <v>20.21</v>
      </c>
      <c r="N29" s="32">
        <v>22.24</v>
      </c>
      <c r="O29" s="32">
        <v>20.23</v>
      </c>
    </row>
    <row r="30" spans="1:15" ht="16.8" thickTop="1" thickBot="1" x14ac:dyDescent="0.35">
      <c r="A30" s="128"/>
      <c r="B30" s="38" t="s">
        <v>104</v>
      </c>
      <c r="C30" s="26">
        <f t="shared" ref="C30:O30" si="7">IF(OR(C28="",C29=""),"",C29/C28)</f>
        <v>1.0107816711590296</v>
      </c>
      <c r="D30" s="26">
        <f t="shared" si="7"/>
        <v>1.010672703751617</v>
      </c>
      <c r="E30" s="26">
        <f t="shared" si="7"/>
        <v>1.0105967651979924</v>
      </c>
      <c r="F30" s="26">
        <f t="shared" si="7"/>
        <v>1.0105967651979924</v>
      </c>
      <c r="G30" s="26">
        <f t="shared" si="7"/>
        <v>1.0105592491200626</v>
      </c>
      <c r="H30" s="26">
        <f t="shared" si="7"/>
        <v>1.0103857566765579</v>
      </c>
      <c r="I30" s="26">
        <f t="shared" si="7"/>
        <v>1.0110599078341014</v>
      </c>
      <c r="J30" s="26">
        <f t="shared" si="7"/>
        <v>1.0105348460291734</v>
      </c>
      <c r="K30" s="26">
        <f t="shared" si="7"/>
        <v>1.0107142857142859</v>
      </c>
      <c r="L30" s="26">
        <f t="shared" si="7"/>
        <v>1.0108184383819379</v>
      </c>
      <c r="M30" s="26">
        <f t="shared" si="7"/>
        <v>1.0105</v>
      </c>
      <c r="N30" s="26">
        <f t="shared" si="7"/>
        <v>1.0109090909090908</v>
      </c>
      <c r="O30" s="26">
        <f t="shared" si="7"/>
        <v>1.0109945027486256</v>
      </c>
    </row>
    <row r="31" spans="1:15" ht="16.8" thickTop="1" thickBot="1" x14ac:dyDescent="0.35">
      <c r="A31" s="128">
        <v>150</v>
      </c>
      <c r="B31" s="30" t="s">
        <v>102</v>
      </c>
      <c r="C31" s="37">
        <v>21.49</v>
      </c>
      <c r="D31" s="37">
        <v>35.82</v>
      </c>
      <c r="E31" s="37">
        <v>20.77</v>
      </c>
      <c r="F31" s="37">
        <v>20.77</v>
      </c>
      <c r="G31" s="37">
        <v>29.62</v>
      </c>
      <c r="H31" s="37">
        <v>23.42</v>
      </c>
      <c r="I31" s="37">
        <v>25.15</v>
      </c>
      <c r="J31" s="37">
        <v>28.59</v>
      </c>
      <c r="K31" s="37">
        <v>25.95</v>
      </c>
      <c r="L31" s="37">
        <v>24.63</v>
      </c>
      <c r="M31" s="37">
        <v>23.17</v>
      </c>
      <c r="N31" s="37">
        <v>25.49</v>
      </c>
      <c r="O31" s="37">
        <v>23.19</v>
      </c>
    </row>
    <row r="32" spans="1:15" ht="16.8" thickTop="1" thickBot="1" x14ac:dyDescent="0.35">
      <c r="A32" s="128"/>
      <c r="B32" s="20" t="s">
        <v>103</v>
      </c>
      <c r="C32" s="32">
        <v>21.73</v>
      </c>
      <c r="D32" s="32">
        <v>36.22</v>
      </c>
      <c r="E32" s="32">
        <v>21</v>
      </c>
      <c r="F32" s="32">
        <v>21</v>
      </c>
      <c r="G32" s="32">
        <v>29.95</v>
      </c>
      <c r="H32" s="32">
        <v>23.68</v>
      </c>
      <c r="I32" s="32">
        <v>25.42</v>
      </c>
      <c r="J32" s="32">
        <v>28.91</v>
      </c>
      <c r="K32" s="32">
        <v>26.24</v>
      </c>
      <c r="L32" s="32">
        <v>24.9</v>
      </c>
      <c r="M32" s="32">
        <v>23.42</v>
      </c>
      <c r="N32" s="32">
        <v>25.77</v>
      </c>
      <c r="O32" s="32">
        <v>23.44</v>
      </c>
    </row>
    <row r="33" spans="1:15" ht="16.8" thickTop="1" thickBot="1" x14ac:dyDescent="0.35">
      <c r="A33" s="128"/>
      <c r="B33" s="38" t="s">
        <v>104</v>
      </c>
      <c r="C33" s="26">
        <f t="shared" ref="C33:O33" si="8">IF(OR(C31="",C32=""),"",C32/C31)</f>
        <v>1.0111679851093534</v>
      </c>
      <c r="D33" s="26">
        <f t="shared" si="8"/>
        <v>1.0111669458403125</v>
      </c>
      <c r="E33" s="26">
        <f t="shared" si="8"/>
        <v>1.0110736639383726</v>
      </c>
      <c r="F33" s="26">
        <f t="shared" si="8"/>
        <v>1.0110736639383726</v>
      </c>
      <c r="G33" s="26">
        <f t="shared" si="8"/>
        <v>1.0111411208642809</v>
      </c>
      <c r="H33" s="26">
        <f t="shared" si="8"/>
        <v>1.0111016225448335</v>
      </c>
      <c r="I33" s="26">
        <f t="shared" si="8"/>
        <v>1.0107355864811134</v>
      </c>
      <c r="J33" s="26">
        <f t="shared" si="8"/>
        <v>1.0111927247289263</v>
      </c>
      <c r="K33" s="26">
        <f t="shared" si="8"/>
        <v>1.0111753371868979</v>
      </c>
      <c r="L33" s="26">
        <f t="shared" si="8"/>
        <v>1.0109622411693058</v>
      </c>
      <c r="M33" s="26">
        <f t="shared" si="8"/>
        <v>1.0107898144151921</v>
      </c>
      <c r="N33" s="26">
        <f t="shared" si="8"/>
        <v>1.0109846998823069</v>
      </c>
      <c r="O33" s="26">
        <f t="shared" si="8"/>
        <v>1.0107805088400172</v>
      </c>
    </row>
    <row r="34" spans="1:15" ht="16.8" thickTop="1" thickBot="1" x14ac:dyDescent="0.35">
      <c r="A34" s="128" t="s">
        <v>145</v>
      </c>
      <c r="B34" s="30" t="s">
        <v>102</v>
      </c>
      <c r="C34" s="37">
        <v>0.79</v>
      </c>
      <c r="D34" s="37">
        <v>1.31</v>
      </c>
      <c r="E34" s="37">
        <v>0.76</v>
      </c>
      <c r="F34" s="37">
        <v>0.76</v>
      </c>
      <c r="G34" s="37">
        <v>1.08</v>
      </c>
      <c r="H34" s="37">
        <v>0.86</v>
      </c>
      <c r="I34" s="37">
        <v>0.92</v>
      </c>
      <c r="J34" s="37">
        <v>1.05</v>
      </c>
      <c r="K34" s="37">
        <v>0.95</v>
      </c>
      <c r="L34" s="37">
        <v>0.9</v>
      </c>
      <c r="M34" s="37">
        <v>0.85</v>
      </c>
      <c r="N34" s="37">
        <v>0.93</v>
      </c>
      <c r="O34" s="37">
        <v>0.85</v>
      </c>
    </row>
    <row r="35" spans="1:15" ht="16.8" thickTop="1" thickBot="1" x14ac:dyDescent="0.35">
      <c r="A35" s="128"/>
      <c r="B35" s="20" t="s">
        <v>103</v>
      </c>
      <c r="C35" s="32">
        <v>0.77</v>
      </c>
      <c r="D35" s="32">
        <v>1.29</v>
      </c>
      <c r="E35" s="32">
        <v>0.75</v>
      </c>
      <c r="F35" s="32">
        <v>0.75</v>
      </c>
      <c r="G35" s="32">
        <v>1.07</v>
      </c>
      <c r="H35" s="32">
        <v>0.84</v>
      </c>
      <c r="I35" s="32">
        <v>0.9</v>
      </c>
      <c r="J35" s="32">
        <v>1.03</v>
      </c>
      <c r="K35" s="32">
        <v>0.93</v>
      </c>
      <c r="L35" s="32">
        <v>0.89</v>
      </c>
      <c r="M35" s="32">
        <v>0.83</v>
      </c>
      <c r="N35" s="32">
        <v>0.92</v>
      </c>
      <c r="O35" s="32">
        <v>0.83</v>
      </c>
    </row>
    <row r="36" spans="1:15" ht="16.8" thickTop="1" thickBot="1" x14ac:dyDescent="0.35">
      <c r="A36" s="128"/>
      <c r="B36" s="38" t="s">
        <v>104</v>
      </c>
      <c r="C36" s="26">
        <f t="shared" ref="C36:O36" si="9">IF(OR(C34="",C35=""),"",C35/C34)</f>
        <v>0.97468354430379744</v>
      </c>
      <c r="D36" s="26">
        <f t="shared" si="9"/>
        <v>0.98473282442748089</v>
      </c>
      <c r="E36" s="26">
        <f t="shared" si="9"/>
        <v>0.98684210526315785</v>
      </c>
      <c r="F36" s="26">
        <f t="shared" si="9"/>
        <v>0.98684210526315785</v>
      </c>
      <c r="G36" s="26">
        <f t="shared" si="9"/>
        <v>0.9907407407407407</v>
      </c>
      <c r="H36" s="26">
        <f t="shared" si="9"/>
        <v>0.97674418604651159</v>
      </c>
      <c r="I36" s="26">
        <f t="shared" si="9"/>
        <v>0.97826086956521741</v>
      </c>
      <c r="J36" s="26">
        <f t="shared" si="9"/>
        <v>0.98095238095238091</v>
      </c>
      <c r="K36" s="26">
        <f t="shared" si="9"/>
        <v>0.97894736842105268</v>
      </c>
      <c r="L36" s="26">
        <f t="shared" si="9"/>
        <v>0.98888888888888893</v>
      </c>
      <c r="M36" s="26">
        <f t="shared" si="9"/>
        <v>0.97647058823529409</v>
      </c>
      <c r="N36" s="26">
        <f t="shared" si="9"/>
        <v>0.989247311827957</v>
      </c>
      <c r="O36" s="26">
        <f t="shared" si="9"/>
        <v>0.97647058823529409</v>
      </c>
    </row>
    <row r="37" spans="1:15" ht="16.8" thickTop="1" thickBot="1" x14ac:dyDescent="0.35">
      <c r="A37" s="128" t="s">
        <v>171</v>
      </c>
      <c r="B37" s="30" t="s">
        <v>102</v>
      </c>
      <c r="C37" s="37">
        <v>1.92</v>
      </c>
      <c r="D37" s="37">
        <v>3.21</v>
      </c>
      <c r="E37" s="37">
        <v>1.86</v>
      </c>
      <c r="F37" s="37">
        <v>1.86</v>
      </c>
      <c r="G37" s="37">
        <v>2.65</v>
      </c>
      <c r="H37" s="37">
        <v>2.1</v>
      </c>
      <c r="I37" s="37">
        <v>2.25</v>
      </c>
      <c r="J37" s="37">
        <v>2.56</v>
      </c>
      <c r="K37" s="37">
        <v>2.3199999999999998</v>
      </c>
      <c r="L37" s="37">
        <v>2.2000000000000002</v>
      </c>
      <c r="M37" s="37">
        <v>2.0699999999999998</v>
      </c>
      <c r="N37" s="37">
        <v>2.2799999999999998</v>
      </c>
      <c r="O37" s="37">
        <v>2.0699999999999998</v>
      </c>
    </row>
    <row r="38" spans="1:15" ht="16.8" thickTop="1" thickBot="1" x14ac:dyDescent="0.35">
      <c r="A38" s="128"/>
      <c r="B38" s="20" t="s">
        <v>103</v>
      </c>
      <c r="C38" s="32">
        <v>1.92</v>
      </c>
      <c r="D38" s="32">
        <v>3.2</v>
      </c>
      <c r="E38" s="32">
        <v>1.85</v>
      </c>
      <c r="F38" s="32">
        <v>1.85</v>
      </c>
      <c r="G38" s="32">
        <v>2.65</v>
      </c>
      <c r="H38" s="32">
        <v>2.09</v>
      </c>
      <c r="I38" s="32">
        <v>2.25</v>
      </c>
      <c r="J38" s="32">
        <v>2.5499999999999998</v>
      </c>
      <c r="K38" s="32">
        <v>2.3199999999999998</v>
      </c>
      <c r="L38" s="32">
        <v>2.2000000000000002</v>
      </c>
      <c r="M38" s="32">
        <v>2.0699999999999998</v>
      </c>
      <c r="N38" s="32">
        <v>2.2799999999999998</v>
      </c>
      <c r="O38" s="32">
        <v>2.0699999999999998</v>
      </c>
    </row>
    <row r="39" spans="1:15" ht="16.8" thickTop="1" thickBot="1" x14ac:dyDescent="0.35">
      <c r="A39" s="128"/>
      <c r="B39" s="38" t="s">
        <v>104</v>
      </c>
      <c r="C39" s="26">
        <f t="shared" ref="C39:O39" si="10">IF(OR(C37="",C38=""),"",C38/C37)</f>
        <v>1</v>
      </c>
      <c r="D39" s="26">
        <f t="shared" si="10"/>
        <v>0.99688473520249232</v>
      </c>
      <c r="E39" s="26">
        <f t="shared" si="10"/>
        <v>0.9946236559139785</v>
      </c>
      <c r="F39" s="26">
        <f t="shared" si="10"/>
        <v>0.9946236559139785</v>
      </c>
      <c r="G39" s="26">
        <f t="shared" si="10"/>
        <v>1</v>
      </c>
      <c r="H39" s="26">
        <f t="shared" si="10"/>
        <v>0.99523809523809514</v>
      </c>
      <c r="I39" s="26">
        <f t="shared" si="10"/>
        <v>1</v>
      </c>
      <c r="J39" s="26">
        <f t="shared" si="10"/>
        <v>0.99609374999999989</v>
      </c>
      <c r="K39" s="26">
        <f t="shared" si="10"/>
        <v>1</v>
      </c>
      <c r="L39" s="26">
        <f t="shared" si="10"/>
        <v>1</v>
      </c>
      <c r="M39" s="26">
        <f t="shared" si="10"/>
        <v>1</v>
      </c>
      <c r="N39" s="26">
        <f t="shared" si="10"/>
        <v>1</v>
      </c>
      <c r="O39" s="26">
        <f t="shared" si="10"/>
        <v>1</v>
      </c>
    </row>
    <row r="40" spans="1:15" ht="16.8" thickTop="1" thickBot="1" x14ac:dyDescent="0.35">
      <c r="A40" s="128" t="s">
        <v>151</v>
      </c>
      <c r="B40" s="30" t="s">
        <v>102</v>
      </c>
      <c r="C40" s="37">
        <v>4.99</v>
      </c>
      <c r="D40" s="37">
        <v>8.31</v>
      </c>
      <c r="E40" s="37">
        <v>4.82</v>
      </c>
      <c r="F40" s="37">
        <v>4.82</v>
      </c>
      <c r="G40" s="37">
        <v>6.87</v>
      </c>
      <c r="H40" s="37">
        <v>5.43</v>
      </c>
      <c r="I40" s="37">
        <v>5.83</v>
      </c>
      <c r="J40" s="37">
        <v>6.63</v>
      </c>
      <c r="K40" s="37">
        <v>6.02</v>
      </c>
      <c r="L40" s="37">
        <v>5.71</v>
      </c>
      <c r="M40" s="37">
        <v>5.38</v>
      </c>
      <c r="N40" s="37">
        <v>5.91</v>
      </c>
      <c r="O40" s="37">
        <v>5.38</v>
      </c>
    </row>
    <row r="41" spans="1:15" ht="16.8" thickTop="1" thickBot="1" x14ac:dyDescent="0.35">
      <c r="A41" s="128"/>
      <c r="B41" s="20" t="s">
        <v>103</v>
      </c>
      <c r="C41" s="32">
        <v>5.01</v>
      </c>
      <c r="D41" s="32">
        <v>8.35</v>
      </c>
      <c r="E41" s="32">
        <v>4.84</v>
      </c>
      <c r="F41" s="32">
        <v>4.84</v>
      </c>
      <c r="G41" s="32">
        <v>6.9</v>
      </c>
      <c r="H41" s="32">
        <v>5.46</v>
      </c>
      <c r="I41" s="32">
        <v>5.86</v>
      </c>
      <c r="J41" s="32">
        <v>6.66</v>
      </c>
      <c r="K41" s="32">
        <v>6.05</v>
      </c>
      <c r="L41" s="32">
        <v>5.74</v>
      </c>
      <c r="M41" s="32">
        <v>5.4</v>
      </c>
      <c r="N41" s="32">
        <v>5.94</v>
      </c>
      <c r="O41" s="32">
        <v>5.4</v>
      </c>
    </row>
    <row r="42" spans="1:15" ht="16.8" thickTop="1" thickBot="1" x14ac:dyDescent="0.35">
      <c r="A42" s="128"/>
      <c r="B42" s="38" t="s">
        <v>104</v>
      </c>
      <c r="C42" s="26">
        <f t="shared" ref="C42:O42" si="11">IF(OR(C40="",C41=""),"",C41/C40)</f>
        <v>1.0040080160320641</v>
      </c>
      <c r="D42" s="26">
        <f t="shared" si="11"/>
        <v>1.0048134777376654</v>
      </c>
      <c r="E42" s="26">
        <f t="shared" si="11"/>
        <v>1.004149377593361</v>
      </c>
      <c r="F42" s="26">
        <f t="shared" si="11"/>
        <v>1.004149377593361</v>
      </c>
      <c r="G42" s="26">
        <f t="shared" si="11"/>
        <v>1.0043668122270744</v>
      </c>
      <c r="H42" s="26">
        <f t="shared" si="11"/>
        <v>1.0055248618784531</v>
      </c>
      <c r="I42" s="26">
        <f t="shared" si="11"/>
        <v>1.0051457975986278</v>
      </c>
      <c r="J42" s="26">
        <f t="shared" si="11"/>
        <v>1.004524886877828</v>
      </c>
      <c r="K42" s="26">
        <f t="shared" si="11"/>
        <v>1.0049833887043189</v>
      </c>
      <c r="L42" s="26">
        <f t="shared" si="11"/>
        <v>1.0052539404553416</v>
      </c>
      <c r="M42" s="26">
        <f t="shared" si="11"/>
        <v>1.0037174721189592</v>
      </c>
      <c r="N42" s="26">
        <f t="shared" si="11"/>
        <v>1.0050761421319798</v>
      </c>
      <c r="O42" s="26">
        <f t="shared" si="11"/>
        <v>1.0037174721189592</v>
      </c>
    </row>
    <row r="43" spans="1:15" ht="15" customHeight="1" thickTop="1" x14ac:dyDescent="0.3"/>
    <row r="44" spans="1:15" ht="16.2" thickBot="1" x14ac:dyDescent="0.35">
      <c r="A44" s="8" t="s">
        <v>147</v>
      </c>
    </row>
    <row r="45" spans="1:15" ht="16.2" thickTop="1" x14ac:dyDescent="0.3">
      <c r="B45" s="15" t="s">
        <v>100</v>
      </c>
      <c r="C45" s="31" t="s">
        <v>13</v>
      </c>
      <c r="D45" s="31" t="s">
        <v>26</v>
      </c>
      <c r="E45" s="31" t="s">
        <v>14</v>
      </c>
      <c r="F45" s="31" t="s">
        <v>18</v>
      </c>
      <c r="G45" s="31" t="s">
        <v>20</v>
      </c>
      <c r="H45" s="31" t="s">
        <v>21</v>
      </c>
      <c r="I45" s="31" t="s">
        <v>21</v>
      </c>
      <c r="J45" s="31" t="s">
        <v>21</v>
      </c>
      <c r="K45" s="31" t="s">
        <v>38</v>
      </c>
      <c r="L45" s="31" t="s">
        <v>22</v>
      </c>
      <c r="M45" s="31" t="s">
        <v>39</v>
      </c>
      <c r="N45" s="31" t="s">
        <v>42</v>
      </c>
      <c r="O45" s="31" t="s">
        <v>43</v>
      </c>
    </row>
    <row r="46" spans="1:15" ht="15.6" x14ac:dyDescent="0.3">
      <c r="B46" s="18" t="s">
        <v>114</v>
      </c>
      <c r="C46" s="32">
        <v>2</v>
      </c>
      <c r="D46" s="32">
        <v>3.6</v>
      </c>
      <c r="E46" s="32">
        <v>5</v>
      </c>
      <c r="F46" s="32">
        <v>10</v>
      </c>
      <c r="G46" s="32">
        <v>14.4</v>
      </c>
      <c r="H46" s="32">
        <v>19.2</v>
      </c>
      <c r="I46" s="32">
        <v>19.2</v>
      </c>
      <c r="J46" s="32">
        <v>19.2</v>
      </c>
      <c r="K46" s="32">
        <f>48*0.6</f>
        <v>28.799999999999997</v>
      </c>
      <c r="L46" s="32">
        <f>64*0.6</f>
        <v>38.4</v>
      </c>
      <c r="M46" s="32">
        <f>96*0.6</f>
        <v>57.599999999999994</v>
      </c>
      <c r="N46" s="32">
        <f>24*1.2</f>
        <v>28.799999999999997</v>
      </c>
      <c r="O46" s="32">
        <f>48*1.2</f>
        <v>57.599999999999994</v>
      </c>
    </row>
    <row r="47" spans="1:15" ht="15.6" x14ac:dyDescent="0.3">
      <c r="B47" s="18" t="s">
        <v>101</v>
      </c>
      <c r="C47" s="32" t="s">
        <v>13</v>
      </c>
      <c r="D47" s="32" t="s">
        <v>26</v>
      </c>
      <c r="E47" s="32" t="s">
        <v>14</v>
      </c>
      <c r="F47" s="32" t="s">
        <v>18</v>
      </c>
      <c r="G47" s="32" t="s">
        <v>20</v>
      </c>
      <c r="H47" s="32" t="s">
        <v>21</v>
      </c>
      <c r="I47" s="32" t="s">
        <v>22</v>
      </c>
      <c r="J47" s="32" t="s">
        <v>22</v>
      </c>
      <c r="K47" s="32" t="s">
        <v>39</v>
      </c>
      <c r="L47" s="32" t="s">
        <v>40</v>
      </c>
      <c r="M47" s="32" t="s">
        <v>41</v>
      </c>
      <c r="N47" s="32" t="s">
        <v>42</v>
      </c>
      <c r="O47" s="32" t="s">
        <v>149</v>
      </c>
    </row>
    <row r="48" spans="1:15" ht="16.2" thickBot="1" x14ac:dyDescent="0.35">
      <c r="B48" s="33" t="s">
        <v>115</v>
      </c>
      <c r="C48" s="40"/>
      <c r="D48" s="40"/>
      <c r="E48" s="40"/>
      <c r="F48" s="40"/>
      <c r="G48" s="40"/>
      <c r="H48" s="40" t="s">
        <v>119</v>
      </c>
      <c r="I48" s="40" t="s">
        <v>150</v>
      </c>
      <c r="J48" s="40" t="s">
        <v>121</v>
      </c>
      <c r="K48" s="40" t="s">
        <v>121</v>
      </c>
      <c r="L48" s="40" t="s">
        <v>121</v>
      </c>
      <c r="M48" s="40" t="s">
        <v>121</v>
      </c>
      <c r="N48" s="40" t="s">
        <v>121</v>
      </c>
      <c r="O48" s="40"/>
    </row>
    <row r="49" spans="1:15" ht="16.8" thickTop="1" thickBot="1" x14ac:dyDescent="0.35">
      <c r="A49" s="7" t="s">
        <v>6</v>
      </c>
      <c r="B49" s="35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</row>
    <row r="50" spans="1:15" ht="16.8" thickTop="1" thickBot="1" x14ac:dyDescent="0.35">
      <c r="A50" s="128">
        <v>70</v>
      </c>
      <c r="B50" s="30" t="s">
        <v>102</v>
      </c>
      <c r="C50" s="37">
        <v>2.2799999999999998</v>
      </c>
      <c r="D50" s="37">
        <v>3.8</v>
      </c>
      <c r="E50" s="37">
        <v>2.2000000000000002</v>
      </c>
      <c r="F50" s="37">
        <v>2.2000000000000002</v>
      </c>
      <c r="G50" s="37">
        <v>3.14</v>
      </c>
      <c r="H50" s="37">
        <v>2.48</v>
      </c>
      <c r="I50" s="37">
        <v>2.67</v>
      </c>
      <c r="J50" s="37">
        <v>3.03</v>
      </c>
      <c r="K50" s="37">
        <v>2.75</v>
      </c>
      <c r="L50" s="37">
        <v>2.61</v>
      </c>
      <c r="M50" s="37">
        <v>2.46</v>
      </c>
      <c r="N50" s="37">
        <v>2.7</v>
      </c>
      <c r="O50" s="37">
        <v>2.46</v>
      </c>
    </row>
    <row r="51" spans="1:15" ht="16.8" thickTop="1" thickBot="1" x14ac:dyDescent="0.35">
      <c r="A51" s="128"/>
      <c r="B51" s="20" t="s">
        <v>103</v>
      </c>
      <c r="C51" s="32">
        <v>2.25</v>
      </c>
      <c r="D51" s="32">
        <v>3.76</v>
      </c>
      <c r="E51" s="32">
        <v>2.1800000000000002</v>
      </c>
      <c r="F51" s="32">
        <v>2.1800000000000002</v>
      </c>
      <c r="G51" s="32">
        <v>3.11</v>
      </c>
      <c r="H51" s="32">
        <v>2.46</v>
      </c>
      <c r="I51" s="32">
        <v>2.64</v>
      </c>
      <c r="J51" s="32">
        <v>3</v>
      </c>
      <c r="K51" s="32">
        <v>2.72</v>
      </c>
      <c r="L51" s="32">
        <v>2.58</v>
      </c>
      <c r="M51" s="32">
        <v>2.4300000000000002</v>
      </c>
      <c r="N51" s="32">
        <v>2.64</v>
      </c>
      <c r="O51" s="32">
        <v>2.4300000000000002</v>
      </c>
    </row>
    <row r="52" spans="1:15" ht="16.8" thickTop="1" thickBot="1" x14ac:dyDescent="0.35">
      <c r="A52" s="128"/>
      <c r="B52" s="38" t="s">
        <v>104</v>
      </c>
      <c r="C52" s="26">
        <f t="shared" ref="C52:O52" si="12">IF(OR(C50="",C51=""),"",C51/C50)</f>
        <v>0.98684210526315796</v>
      </c>
      <c r="D52" s="26">
        <f t="shared" si="12"/>
        <v>0.98947368421052628</v>
      </c>
      <c r="E52" s="26">
        <f t="shared" si="12"/>
        <v>0.99090909090909085</v>
      </c>
      <c r="F52" s="26">
        <f t="shared" si="12"/>
        <v>0.99090909090909085</v>
      </c>
      <c r="G52" s="26">
        <f t="shared" si="12"/>
        <v>0.99044585987261136</v>
      </c>
      <c r="H52" s="26">
        <f t="shared" si="12"/>
        <v>0.99193548387096775</v>
      </c>
      <c r="I52" s="26">
        <f t="shared" si="12"/>
        <v>0.98876404494382031</v>
      </c>
      <c r="J52" s="26">
        <f t="shared" si="12"/>
        <v>0.9900990099009902</v>
      </c>
      <c r="K52" s="26">
        <f t="shared" si="12"/>
        <v>0.98909090909090913</v>
      </c>
      <c r="L52" s="26">
        <f t="shared" si="12"/>
        <v>0.98850574712643691</v>
      </c>
      <c r="M52" s="26">
        <f t="shared" si="12"/>
        <v>0.98780487804878059</v>
      </c>
      <c r="N52" s="26">
        <f t="shared" si="12"/>
        <v>0.97777777777777775</v>
      </c>
      <c r="O52" s="26">
        <f t="shared" si="12"/>
        <v>0.98780487804878059</v>
      </c>
    </row>
    <row r="53" spans="1:15" ht="16.8" thickTop="1" thickBot="1" x14ac:dyDescent="0.35">
      <c r="A53" s="128">
        <v>80</v>
      </c>
      <c r="B53" s="30" t="s">
        <v>102</v>
      </c>
      <c r="C53" s="37">
        <v>3.67</v>
      </c>
      <c r="D53" s="37">
        <v>6.12</v>
      </c>
      <c r="E53" s="37">
        <v>3.55</v>
      </c>
      <c r="F53" s="37">
        <v>3.55</v>
      </c>
      <c r="G53" s="37">
        <v>5.0599999999999996</v>
      </c>
      <c r="H53" s="37">
        <v>4</v>
      </c>
      <c r="I53" s="37">
        <v>4.29</v>
      </c>
      <c r="J53" s="37">
        <v>4.88</v>
      </c>
      <c r="K53" s="37">
        <v>4.43</v>
      </c>
      <c r="L53" s="37">
        <v>4.21</v>
      </c>
      <c r="M53" s="37">
        <v>3.96</v>
      </c>
      <c r="N53" s="37">
        <v>4.3499999999999996</v>
      </c>
      <c r="O53" s="37">
        <v>3.96</v>
      </c>
    </row>
    <row r="54" spans="1:15" ht="16.8" thickTop="1" thickBot="1" x14ac:dyDescent="0.35">
      <c r="A54" s="128"/>
      <c r="B54" s="20" t="s">
        <v>103</v>
      </c>
      <c r="C54" s="32">
        <v>3.6</v>
      </c>
      <c r="D54" s="32">
        <v>5.99</v>
      </c>
      <c r="E54" s="32">
        <v>3.48</v>
      </c>
      <c r="F54" s="32">
        <v>3.48</v>
      </c>
      <c r="G54" s="32">
        <v>4.96</v>
      </c>
      <c r="H54" s="32">
        <v>3.92</v>
      </c>
      <c r="I54" s="32">
        <v>4.21</v>
      </c>
      <c r="J54" s="32">
        <v>4.78</v>
      </c>
      <c r="K54" s="32">
        <v>4.34</v>
      </c>
      <c r="L54" s="32">
        <v>4.12</v>
      </c>
      <c r="M54" s="32">
        <v>3.88</v>
      </c>
      <c r="N54" s="32">
        <v>4.2699999999999996</v>
      </c>
      <c r="O54" s="32">
        <v>3.88</v>
      </c>
    </row>
    <row r="55" spans="1:15" ht="16.8" thickTop="1" thickBot="1" x14ac:dyDescent="0.35">
      <c r="A55" s="128"/>
      <c r="B55" s="38" t="s">
        <v>104</v>
      </c>
      <c r="C55" s="26">
        <f t="shared" ref="C55:O55" si="13">IF(OR(C53="",C54=""),"",C54/C53)</f>
        <v>0.98092643051771122</v>
      </c>
      <c r="D55" s="26">
        <f t="shared" si="13"/>
        <v>0.97875816993464049</v>
      </c>
      <c r="E55" s="26">
        <f t="shared" si="13"/>
        <v>0.9802816901408451</v>
      </c>
      <c r="F55" s="26">
        <f t="shared" si="13"/>
        <v>0.9802816901408451</v>
      </c>
      <c r="G55" s="26">
        <f t="shared" si="13"/>
        <v>0.98023715415019774</v>
      </c>
      <c r="H55" s="26">
        <f t="shared" si="13"/>
        <v>0.98</v>
      </c>
      <c r="I55" s="26">
        <f t="shared" si="13"/>
        <v>0.98135198135198132</v>
      </c>
      <c r="J55" s="26">
        <f t="shared" si="13"/>
        <v>0.97950819672131151</v>
      </c>
      <c r="K55" s="26">
        <f t="shared" si="13"/>
        <v>0.97968397291196396</v>
      </c>
      <c r="L55" s="26">
        <f t="shared" si="13"/>
        <v>0.97862232779097391</v>
      </c>
      <c r="M55" s="26">
        <f t="shared" si="13"/>
        <v>0.97979797979797978</v>
      </c>
      <c r="N55" s="26">
        <f t="shared" si="13"/>
        <v>0.98160919540229885</v>
      </c>
      <c r="O55" s="26">
        <f t="shared" si="13"/>
        <v>0.97979797979797978</v>
      </c>
    </row>
    <row r="56" spans="1:15" ht="16.8" thickTop="1" thickBot="1" x14ac:dyDescent="0.35">
      <c r="A56" s="128">
        <v>90</v>
      </c>
      <c r="B56" s="30" t="s">
        <v>102</v>
      </c>
      <c r="C56" s="37">
        <v>5.43</v>
      </c>
      <c r="D56" s="37">
        <v>9.0500000000000007</v>
      </c>
      <c r="E56" s="37">
        <v>5.25</v>
      </c>
      <c r="F56" s="37">
        <v>52.25</v>
      </c>
      <c r="G56" s="37">
        <v>7.49</v>
      </c>
      <c r="H56" s="37">
        <v>5.92</v>
      </c>
      <c r="I56" s="37">
        <v>6.35</v>
      </c>
      <c r="J56" s="37">
        <v>7.23</v>
      </c>
      <c r="K56" s="37">
        <v>6.56</v>
      </c>
      <c r="L56" s="37">
        <v>6.22</v>
      </c>
      <c r="M56" s="37">
        <v>5.86</v>
      </c>
      <c r="N56" s="37">
        <v>6.44</v>
      </c>
      <c r="O56" s="37">
        <v>5.86</v>
      </c>
    </row>
    <row r="57" spans="1:15" ht="16.8" thickTop="1" thickBot="1" x14ac:dyDescent="0.35">
      <c r="A57" s="128"/>
      <c r="B57" s="20" t="s">
        <v>103</v>
      </c>
      <c r="C57" s="32">
        <v>5.29</v>
      </c>
      <c r="D57" s="32">
        <v>8.82</v>
      </c>
      <c r="E57" s="32">
        <v>5.1100000000000003</v>
      </c>
      <c r="F57" s="32">
        <v>5.1100000000000003</v>
      </c>
      <c r="G57" s="32">
        <v>7.29</v>
      </c>
      <c r="H57" s="32">
        <v>5.76</v>
      </c>
      <c r="I57" s="32">
        <v>6.19</v>
      </c>
      <c r="J57" s="32">
        <v>7.04</v>
      </c>
      <c r="K57" s="32">
        <v>6.39</v>
      </c>
      <c r="L57" s="32">
        <v>6.06</v>
      </c>
      <c r="M57" s="32">
        <v>5.7</v>
      </c>
      <c r="N57" s="32">
        <v>6.27</v>
      </c>
      <c r="O57" s="32">
        <v>5.71</v>
      </c>
    </row>
    <row r="58" spans="1:15" ht="16.8" thickTop="1" thickBot="1" x14ac:dyDescent="0.35">
      <c r="A58" s="128"/>
      <c r="B58" s="38" t="s">
        <v>104</v>
      </c>
      <c r="C58" s="26">
        <f t="shared" ref="C58:O58" si="14">IF(OR(C56="",C57=""),"",C57/C56)</f>
        <v>0.97421731123388589</v>
      </c>
      <c r="D58" s="26">
        <f t="shared" si="14"/>
        <v>0.97458563535911602</v>
      </c>
      <c r="E58" s="26">
        <f t="shared" si="14"/>
        <v>0.97333333333333338</v>
      </c>
      <c r="F58" s="26">
        <f t="shared" si="14"/>
        <v>9.7799043062200969E-2</v>
      </c>
      <c r="G58" s="26">
        <f t="shared" si="14"/>
        <v>0.97329773030707611</v>
      </c>
      <c r="H58" s="26">
        <f t="shared" si="14"/>
        <v>0.97297297297297292</v>
      </c>
      <c r="I58" s="26">
        <f t="shared" si="14"/>
        <v>0.97480314960629932</v>
      </c>
      <c r="J58" s="26">
        <f t="shared" si="14"/>
        <v>0.97372060857538034</v>
      </c>
      <c r="K58" s="26">
        <f t="shared" si="14"/>
        <v>0.97408536585365857</v>
      </c>
      <c r="L58" s="26">
        <f t="shared" si="14"/>
        <v>0.97427652733118963</v>
      </c>
      <c r="M58" s="26">
        <f t="shared" si="14"/>
        <v>0.97269624573378832</v>
      </c>
      <c r="N58" s="26">
        <f t="shared" si="14"/>
        <v>0.97360248447204956</v>
      </c>
      <c r="O58" s="26">
        <f t="shared" si="14"/>
        <v>0.97440273037542657</v>
      </c>
    </row>
    <row r="59" spans="1:15" ht="16.8" thickTop="1" thickBot="1" x14ac:dyDescent="0.35">
      <c r="A59" s="128">
        <v>100</v>
      </c>
      <c r="B59" s="30" t="s">
        <v>102</v>
      </c>
      <c r="C59" s="37">
        <v>7.45</v>
      </c>
      <c r="D59" s="37">
        <v>12.43</v>
      </c>
      <c r="E59" s="37">
        <v>7.2</v>
      </c>
      <c r="F59" s="37">
        <v>7.2</v>
      </c>
      <c r="G59" s="37">
        <v>10.26</v>
      </c>
      <c r="H59" s="37">
        <v>8.1199999999999992</v>
      </c>
      <c r="I59" s="37">
        <v>8.7100000000000009</v>
      </c>
      <c r="J59" s="37">
        <v>9.91</v>
      </c>
      <c r="K59" s="37">
        <v>8.99</v>
      </c>
      <c r="L59" s="37">
        <v>8.5299999999999994</v>
      </c>
      <c r="M59" s="37">
        <v>8.0299999999999994</v>
      </c>
      <c r="N59" s="37">
        <v>8.83</v>
      </c>
      <c r="O59" s="37">
        <v>8.0299999999999994</v>
      </c>
    </row>
    <row r="60" spans="1:15" ht="16.8" thickTop="1" thickBot="1" x14ac:dyDescent="0.35">
      <c r="A60" s="128"/>
      <c r="B60" s="20" t="s">
        <v>103</v>
      </c>
      <c r="C60" s="32">
        <v>7.23</v>
      </c>
      <c r="D60" s="32">
        <v>12.04</v>
      </c>
      <c r="E60" s="32">
        <v>6.98</v>
      </c>
      <c r="F60" s="32">
        <v>6.98</v>
      </c>
      <c r="G60" s="32">
        <v>9.9600000000000009</v>
      </c>
      <c r="H60" s="32">
        <v>7.87</v>
      </c>
      <c r="I60" s="32">
        <v>8.4499999999999993</v>
      </c>
      <c r="J60" s="32">
        <v>9.61</v>
      </c>
      <c r="K60" s="32">
        <v>8.7200000000000006</v>
      </c>
      <c r="L60" s="32">
        <v>8.2799999999999994</v>
      </c>
      <c r="M60" s="32">
        <v>7.79</v>
      </c>
      <c r="N60" s="32">
        <v>8.57</v>
      </c>
      <c r="O60" s="32">
        <v>7.79</v>
      </c>
    </row>
    <row r="61" spans="1:15" ht="16.8" thickTop="1" thickBot="1" x14ac:dyDescent="0.35">
      <c r="A61" s="128"/>
      <c r="B61" s="38" t="s">
        <v>104</v>
      </c>
      <c r="C61" s="26">
        <f t="shared" ref="C61:O61" si="15">IF(OR(C59="",C60=""),"",C60/C59)</f>
        <v>0.97046979865771821</v>
      </c>
      <c r="D61" s="26">
        <f t="shared" si="15"/>
        <v>0.96862429605792433</v>
      </c>
      <c r="E61" s="26">
        <f t="shared" si="15"/>
        <v>0.96944444444444444</v>
      </c>
      <c r="F61" s="26">
        <f t="shared" si="15"/>
        <v>0.96944444444444444</v>
      </c>
      <c r="G61" s="26">
        <f t="shared" si="15"/>
        <v>0.97076023391812871</v>
      </c>
      <c r="H61" s="26">
        <f t="shared" si="15"/>
        <v>0.96921182266009864</v>
      </c>
      <c r="I61" s="26">
        <f t="shared" si="15"/>
        <v>0.97014925373134309</v>
      </c>
      <c r="J61" s="26">
        <f t="shared" si="15"/>
        <v>0.96972754793138238</v>
      </c>
      <c r="K61" s="26">
        <f t="shared" si="15"/>
        <v>0.96996662958843161</v>
      </c>
      <c r="L61" s="26">
        <f t="shared" si="15"/>
        <v>0.97069167643610788</v>
      </c>
      <c r="M61" s="26">
        <f t="shared" si="15"/>
        <v>0.9701120797011209</v>
      </c>
      <c r="N61" s="26">
        <f t="shared" si="15"/>
        <v>0.970554926387316</v>
      </c>
      <c r="O61" s="26">
        <f t="shared" si="15"/>
        <v>0.9701120797011209</v>
      </c>
    </row>
    <row r="62" spans="1:15" ht="16.8" thickTop="1" thickBot="1" x14ac:dyDescent="0.35">
      <c r="A62" s="128">
        <v>110</v>
      </c>
      <c r="B62" s="30" t="s">
        <v>102</v>
      </c>
      <c r="C62" s="37">
        <v>9.66</v>
      </c>
      <c r="D62" s="37">
        <v>16.11</v>
      </c>
      <c r="E62" s="37">
        <v>9.34</v>
      </c>
      <c r="F62" s="37">
        <v>9.34</v>
      </c>
      <c r="G62" s="37">
        <v>13.32</v>
      </c>
      <c r="H62" s="37">
        <v>10.53</v>
      </c>
      <c r="I62" s="37">
        <v>11.31</v>
      </c>
      <c r="J62" s="37">
        <v>12.86</v>
      </c>
      <c r="K62" s="37">
        <v>11.67</v>
      </c>
      <c r="L62" s="37">
        <v>11.07</v>
      </c>
      <c r="M62" s="37">
        <v>10.42</v>
      </c>
      <c r="N62" s="37">
        <v>11.46</v>
      </c>
      <c r="O62" s="37">
        <v>10.43</v>
      </c>
    </row>
    <row r="63" spans="1:15" ht="16.8" thickTop="1" thickBot="1" x14ac:dyDescent="0.35">
      <c r="A63" s="128"/>
      <c r="B63" s="20" t="s">
        <v>103</v>
      </c>
      <c r="C63" s="32">
        <v>9.3699999999999992</v>
      </c>
      <c r="D63" s="32">
        <v>15.62</v>
      </c>
      <c r="E63" s="32">
        <v>9.06</v>
      </c>
      <c r="F63" s="32">
        <v>9.06</v>
      </c>
      <c r="G63" s="32">
        <v>12.92</v>
      </c>
      <c r="H63" s="32">
        <v>10.220000000000001</v>
      </c>
      <c r="I63" s="32">
        <v>10.97</v>
      </c>
      <c r="J63" s="32">
        <v>12.47</v>
      </c>
      <c r="K63" s="32">
        <v>11.32</v>
      </c>
      <c r="L63" s="32">
        <v>10.74</v>
      </c>
      <c r="M63" s="32">
        <v>10.1</v>
      </c>
      <c r="N63" s="32">
        <v>11.12</v>
      </c>
      <c r="O63" s="32">
        <v>10.11</v>
      </c>
    </row>
    <row r="64" spans="1:15" ht="16.8" thickTop="1" thickBot="1" x14ac:dyDescent="0.35">
      <c r="A64" s="128"/>
      <c r="B64" s="38" t="s">
        <v>104</v>
      </c>
      <c r="C64" s="26">
        <f t="shared" ref="C64:O64" si="16">IF(OR(C62="",C63=""),"",C63/C62)</f>
        <v>0.96997929606625244</v>
      </c>
      <c r="D64" s="26">
        <f t="shared" si="16"/>
        <v>0.96958410924891369</v>
      </c>
      <c r="E64" s="26">
        <f t="shared" si="16"/>
        <v>0.97002141327623137</v>
      </c>
      <c r="F64" s="26">
        <f t="shared" si="16"/>
        <v>0.97002141327623137</v>
      </c>
      <c r="G64" s="26">
        <f t="shared" si="16"/>
        <v>0.96996996996996998</v>
      </c>
      <c r="H64" s="26">
        <f t="shared" si="16"/>
        <v>0.97056030389363734</v>
      </c>
      <c r="I64" s="26">
        <f t="shared" si="16"/>
        <v>0.96993810786914236</v>
      </c>
      <c r="J64" s="26">
        <f t="shared" si="16"/>
        <v>0.96967340590979789</v>
      </c>
      <c r="K64" s="26">
        <f t="shared" si="16"/>
        <v>0.97000856898029142</v>
      </c>
      <c r="L64" s="26">
        <f t="shared" si="16"/>
        <v>0.97018970189701892</v>
      </c>
      <c r="M64" s="26">
        <f t="shared" si="16"/>
        <v>0.96928982725527824</v>
      </c>
      <c r="N64" s="26">
        <f t="shared" si="16"/>
        <v>0.97033158813263509</v>
      </c>
      <c r="O64" s="26">
        <f t="shared" si="16"/>
        <v>0.96931927133269413</v>
      </c>
    </row>
    <row r="65" spans="1:15" ht="16.8" thickTop="1" thickBot="1" x14ac:dyDescent="0.35">
      <c r="A65" s="128">
        <v>120</v>
      </c>
      <c r="B65" s="30" t="s">
        <v>102</v>
      </c>
      <c r="C65" s="37">
        <v>12.1</v>
      </c>
      <c r="D65" s="37">
        <v>20.16</v>
      </c>
      <c r="E65" s="37">
        <v>11.69</v>
      </c>
      <c r="F65" s="37">
        <v>11.69</v>
      </c>
      <c r="G65" s="37">
        <v>16.670000000000002</v>
      </c>
      <c r="H65" s="37">
        <v>13.18</v>
      </c>
      <c r="I65" s="37">
        <v>14.15</v>
      </c>
      <c r="J65" s="37">
        <v>16.09</v>
      </c>
      <c r="K65" s="37">
        <v>14.6</v>
      </c>
      <c r="L65" s="37">
        <v>13.86</v>
      </c>
      <c r="M65" s="37">
        <v>13.04</v>
      </c>
      <c r="N65" s="37">
        <v>14.34</v>
      </c>
      <c r="O65" s="37">
        <v>13.05</v>
      </c>
    </row>
    <row r="66" spans="1:15" ht="16.8" thickTop="1" thickBot="1" x14ac:dyDescent="0.35">
      <c r="A66" s="128"/>
      <c r="B66" s="20" t="s">
        <v>103</v>
      </c>
      <c r="C66" s="32">
        <v>11.74</v>
      </c>
      <c r="D66" s="32">
        <v>19.57</v>
      </c>
      <c r="E66" s="32">
        <v>11.34</v>
      </c>
      <c r="F66" s="32">
        <v>11.34</v>
      </c>
      <c r="G66" s="32">
        <v>16.18</v>
      </c>
      <c r="H66" s="32">
        <v>12.79</v>
      </c>
      <c r="I66" s="32">
        <v>13.73</v>
      </c>
      <c r="J66" s="32">
        <v>15.62</v>
      </c>
      <c r="K66" s="32">
        <v>14.17</v>
      </c>
      <c r="L66" s="32">
        <v>13.45</v>
      </c>
      <c r="M66" s="32">
        <v>12.65</v>
      </c>
      <c r="N66" s="32">
        <v>13.92</v>
      </c>
      <c r="O66" s="32">
        <v>12.66</v>
      </c>
    </row>
    <row r="67" spans="1:15" ht="16.8" thickTop="1" thickBot="1" x14ac:dyDescent="0.35">
      <c r="A67" s="128"/>
      <c r="B67" s="38" t="s">
        <v>104</v>
      </c>
      <c r="C67" s="26">
        <f t="shared" ref="C67:O67" si="17">IF(OR(C65="",C66=""),"",C66/C65)</f>
        <v>0.97024793388429753</v>
      </c>
      <c r="D67" s="26">
        <f t="shared" si="17"/>
        <v>0.97073412698412698</v>
      </c>
      <c r="E67" s="26">
        <f t="shared" si="17"/>
        <v>0.97005988023952094</v>
      </c>
      <c r="F67" s="26">
        <f t="shared" si="17"/>
        <v>0.97005988023952094</v>
      </c>
      <c r="G67" s="26">
        <f t="shared" si="17"/>
        <v>0.97060587882423499</v>
      </c>
      <c r="H67" s="26">
        <f t="shared" si="17"/>
        <v>0.97040971168437018</v>
      </c>
      <c r="I67" s="26">
        <f t="shared" si="17"/>
        <v>0.97031802120141342</v>
      </c>
      <c r="J67" s="26">
        <f t="shared" si="17"/>
        <v>0.97078931013051584</v>
      </c>
      <c r="K67" s="26">
        <f t="shared" si="17"/>
        <v>0.97054794520547949</v>
      </c>
      <c r="L67" s="26">
        <f t="shared" si="17"/>
        <v>0.9704184704184704</v>
      </c>
      <c r="M67" s="26">
        <f t="shared" si="17"/>
        <v>0.97009202453987742</v>
      </c>
      <c r="N67" s="26">
        <f t="shared" si="17"/>
        <v>0.97071129707112969</v>
      </c>
      <c r="O67" s="26">
        <f t="shared" si="17"/>
        <v>0.97011494252873554</v>
      </c>
    </row>
    <row r="68" spans="1:15" ht="16.8" thickTop="1" thickBot="1" x14ac:dyDescent="0.35">
      <c r="A68" s="128">
        <v>130</v>
      </c>
      <c r="B68" s="30" t="s">
        <v>102</v>
      </c>
      <c r="C68" s="37">
        <v>16.63</v>
      </c>
      <c r="D68" s="37">
        <v>24.38</v>
      </c>
      <c r="E68" s="37">
        <v>14.13</v>
      </c>
      <c r="F68" s="37">
        <v>14.13</v>
      </c>
      <c r="G68" s="37">
        <v>20.16</v>
      </c>
      <c r="H68" s="37">
        <v>15.94</v>
      </c>
      <c r="I68" s="37">
        <v>17.12</v>
      </c>
      <c r="J68" s="37">
        <v>19.46</v>
      </c>
      <c r="K68" s="37">
        <v>17.66</v>
      </c>
      <c r="L68" s="37">
        <v>16.760000000000002</v>
      </c>
      <c r="M68" s="37">
        <v>15.77</v>
      </c>
      <c r="N68" s="37">
        <v>17.350000000000001</v>
      </c>
      <c r="O68" s="37">
        <v>15.78</v>
      </c>
    </row>
    <row r="69" spans="1:15" ht="16.8" thickTop="1" thickBot="1" x14ac:dyDescent="0.35">
      <c r="A69" s="128"/>
      <c r="B69" s="20" t="s">
        <v>103</v>
      </c>
      <c r="C69" s="32">
        <v>14.19</v>
      </c>
      <c r="D69" s="32">
        <v>23.66</v>
      </c>
      <c r="E69" s="32">
        <v>13.71</v>
      </c>
      <c r="F69" s="32">
        <v>13.71</v>
      </c>
      <c r="G69" s="32">
        <v>19.559999999999999</v>
      </c>
      <c r="H69" s="32">
        <v>15.47</v>
      </c>
      <c r="I69" s="32">
        <v>16.600000000000001</v>
      </c>
      <c r="J69" s="32">
        <v>18.88</v>
      </c>
      <c r="K69" s="32">
        <v>17.13</v>
      </c>
      <c r="L69" s="32">
        <v>16.600000000000001</v>
      </c>
      <c r="M69" s="32">
        <v>15.3</v>
      </c>
      <c r="N69" s="32">
        <v>16.829999999999998</v>
      </c>
      <c r="O69" s="32">
        <v>15.31</v>
      </c>
    </row>
    <row r="70" spans="1:15" ht="16.8" thickTop="1" thickBot="1" x14ac:dyDescent="0.35">
      <c r="A70" s="128"/>
      <c r="B70" s="38" t="s">
        <v>104</v>
      </c>
      <c r="C70" s="26">
        <f t="shared" ref="C70:O70" si="18">IF(OR(C68="",C69=""),"",C69/C68)</f>
        <v>0.85327720986169575</v>
      </c>
      <c r="D70" s="26">
        <f t="shared" si="18"/>
        <v>0.97046759639048408</v>
      </c>
      <c r="E70" s="26">
        <f t="shared" si="18"/>
        <v>0.97027600849256901</v>
      </c>
      <c r="F70" s="26">
        <f t="shared" si="18"/>
        <v>0.97027600849256901</v>
      </c>
      <c r="G70" s="26">
        <f t="shared" si="18"/>
        <v>0.97023809523809512</v>
      </c>
      <c r="H70" s="26">
        <f t="shared" si="18"/>
        <v>0.97051442910915942</v>
      </c>
      <c r="I70" s="26">
        <f t="shared" si="18"/>
        <v>0.96962616822429915</v>
      </c>
      <c r="J70" s="26">
        <f t="shared" si="18"/>
        <v>0.97019527235354563</v>
      </c>
      <c r="K70" s="26">
        <f t="shared" si="18"/>
        <v>0.96998867497168739</v>
      </c>
      <c r="L70" s="26">
        <f t="shared" si="18"/>
        <v>0.99045346062052508</v>
      </c>
      <c r="M70" s="26">
        <f t="shared" si="18"/>
        <v>0.97019657577679141</v>
      </c>
      <c r="N70" s="26">
        <f t="shared" si="18"/>
        <v>0.97002881844380384</v>
      </c>
      <c r="O70" s="26">
        <f t="shared" si="18"/>
        <v>0.97021546261089997</v>
      </c>
    </row>
    <row r="71" spans="1:15" ht="16.8" thickTop="1" thickBot="1" x14ac:dyDescent="0.35">
      <c r="A71" s="128">
        <v>140</v>
      </c>
      <c r="B71" s="30" t="s">
        <v>102</v>
      </c>
      <c r="C71" s="37">
        <v>17.3</v>
      </c>
      <c r="D71" s="37">
        <v>28.83</v>
      </c>
      <c r="E71" s="37">
        <v>16.71</v>
      </c>
      <c r="F71" s="37">
        <v>16.71</v>
      </c>
      <c r="G71" s="37">
        <v>23.84</v>
      </c>
      <c r="H71" s="37">
        <v>18.850000000000001</v>
      </c>
      <c r="I71" s="37">
        <v>20.239999999999998</v>
      </c>
      <c r="J71" s="37">
        <v>23.01</v>
      </c>
      <c r="K71" s="37">
        <v>20.88</v>
      </c>
      <c r="L71" s="37">
        <v>19.82</v>
      </c>
      <c r="M71" s="37">
        <v>18.64</v>
      </c>
      <c r="N71" s="37">
        <v>20.51</v>
      </c>
      <c r="O71" s="37">
        <v>18.66</v>
      </c>
    </row>
    <row r="72" spans="1:15" ht="16.8" thickTop="1" thickBot="1" x14ac:dyDescent="0.35">
      <c r="A72" s="128"/>
      <c r="B72" s="20" t="s">
        <v>103</v>
      </c>
      <c r="C72" s="32">
        <v>16.79</v>
      </c>
      <c r="D72" s="32">
        <v>27.98</v>
      </c>
      <c r="E72" s="32">
        <v>16.22</v>
      </c>
      <c r="F72" s="32">
        <v>16.22</v>
      </c>
      <c r="G72" s="32">
        <v>23.14</v>
      </c>
      <c r="H72" s="32">
        <v>18.3</v>
      </c>
      <c r="I72" s="32">
        <v>19.64</v>
      </c>
      <c r="J72" s="32">
        <v>22.33</v>
      </c>
      <c r="K72" s="32">
        <v>20.27</v>
      </c>
      <c r="L72" s="32">
        <v>19.239999999999998</v>
      </c>
      <c r="M72" s="32">
        <v>19.100000000000001</v>
      </c>
      <c r="N72" s="32">
        <v>19.91</v>
      </c>
      <c r="O72" s="32">
        <v>18.11</v>
      </c>
    </row>
    <row r="73" spans="1:15" ht="16.8" thickTop="1" thickBot="1" x14ac:dyDescent="0.35">
      <c r="A73" s="128"/>
      <c r="B73" s="38" t="s">
        <v>104</v>
      </c>
      <c r="C73" s="26">
        <f t="shared" ref="C73:O73" si="19">IF(OR(C71="",C72=""),"",C72/C71)</f>
        <v>0.97052023121387276</v>
      </c>
      <c r="D73" s="26">
        <f t="shared" si="19"/>
        <v>0.97051682275407569</v>
      </c>
      <c r="E73" s="26">
        <f t="shared" si="19"/>
        <v>0.97067624177139422</v>
      </c>
      <c r="F73" s="26">
        <f t="shared" si="19"/>
        <v>0.97067624177139422</v>
      </c>
      <c r="G73" s="26">
        <f t="shared" si="19"/>
        <v>0.97063758389261745</v>
      </c>
      <c r="H73" s="26">
        <f t="shared" si="19"/>
        <v>0.97082228116710867</v>
      </c>
      <c r="I73" s="26">
        <f t="shared" si="19"/>
        <v>0.9703557312252965</v>
      </c>
      <c r="J73" s="26">
        <f t="shared" si="19"/>
        <v>0.97044763146458046</v>
      </c>
      <c r="K73" s="26">
        <f t="shared" si="19"/>
        <v>0.97078544061302685</v>
      </c>
      <c r="L73" s="26">
        <f t="shared" si="19"/>
        <v>0.97073662966700291</v>
      </c>
      <c r="M73" s="26">
        <f t="shared" si="19"/>
        <v>1.0246781115879828</v>
      </c>
      <c r="N73" s="26">
        <f t="shared" si="19"/>
        <v>0.97074597757191605</v>
      </c>
      <c r="O73" s="26">
        <f t="shared" si="19"/>
        <v>0.97052518756698813</v>
      </c>
    </row>
    <row r="74" spans="1:15" ht="16.8" thickTop="1" thickBot="1" x14ac:dyDescent="0.35">
      <c r="A74" s="128">
        <v>150</v>
      </c>
      <c r="B74" s="30" t="s">
        <v>102</v>
      </c>
      <c r="C74" s="37">
        <v>20.100000000000001</v>
      </c>
      <c r="D74" s="37">
        <v>33.49</v>
      </c>
      <c r="E74" s="37">
        <v>19.420000000000002</v>
      </c>
      <c r="F74" s="37">
        <v>19.420000000000002</v>
      </c>
      <c r="G74" s="37">
        <v>27.7</v>
      </c>
      <c r="H74" s="37">
        <v>21.9</v>
      </c>
      <c r="I74" s="37">
        <v>23.51</v>
      </c>
      <c r="J74" s="37">
        <v>26.73</v>
      </c>
      <c r="K74" s="37">
        <v>24.26</v>
      </c>
      <c r="L74" s="37">
        <v>23.03</v>
      </c>
      <c r="M74" s="37">
        <v>21.66</v>
      </c>
      <c r="N74" s="37">
        <v>23.83</v>
      </c>
      <c r="O74" s="37">
        <v>21.68</v>
      </c>
    </row>
    <row r="75" spans="1:15" ht="16.8" thickTop="1" thickBot="1" x14ac:dyDescent="0.35">
      <c r="A75" s="128"/>
      <c r="B75" s="20" t="s">
        <v>103</v>
      </c>
      <c r="C75" s="32">
        <v>19.510000000000002</v>
      </c>
      <c r="D75" s="32">
        <v>32.51</v>
      </c>
      <c r="E75" s="32">
        <v>18.850000000000001</v>
      </c>
      <c r="F75" s="32">
        <v>18.850000000000001</v>
      </c>
      <c r="G75" s="32">
        <v>26.88</v>
      </c>
      <c r="H75" s="32">
        <v>21.26</v>
      </c>
      <c r="I75" s="32">
        <v>22.82</v>
      </c>
      <c r="J75" s="32">
        <v>2595</v>
      </c>
      <c r="K75" s="32">
        <v>23.55</v>
      </c>
      <c r="L75" s="32">
        <v>22.35</v>
      </c>
      <c r="M75" s="32">
        <v>21.03</v>
      </c>
      <c r="N75" s="32">
        <v>23.13</v>
      </c>
      <c r="O75" s="32">
        <v>21.04</v>
      </c>
    </row>
    <row r="76" spans="1:15" ht="16.8" thickTop="1" thickBot="1" x14ac:dyDescent="0.35">
      <c r="A76" s="128"/>
      <c r="B76" s="38" t="s">
        <v>104</v>
      </c>
      <c r="C76" s="26">
        <f t="shared" ref="C76:O76" si="20">IF(OR(C74="",C75=""),"",C75/C74)</f>
        <v>0.97064676616915424</v>
      </c>
      <c r="D76" s="26">
        <f t="shared" si="20"/>
        <v>0.9707375335921169</v>
      </c>
      <c r="E76" s="26">
        <f t="shared" si="20"/>
        <v>0.97064881565396499</v>
      </c>
      <c r="F76" s="26">
        <f t="shared" si="20"/>
        <v>0.97064881565396499</v>
      </c>
      <c r="G76" s="26">
        <f t="shared" si="20"/>
        <v>0.97039711191335742</v>
      </c>
      <c r="H76" s="26">
        <f t="shared" si="20"/>
        <v>0.97077625570776271</v>
      </c>
      <c r="I76" s="26">
        <f t="shared" si="20"/>
        <v>0.97065078689919182</v>
      </c>
      <c r="J76" s="26">
        <f t="shared" si="20"/>
        <v>97.081930415263741</v>
      </c>
      <c r="K76" s="26">
        <f t="shared" si="20"/>
        <v>0.97073371805441055</v>
      </c>
      <c r="L76" s="26">
        <f t="shared" si="20"/>
        <v>0.97047329570125929</v>
      </c>
      <c r="M76" s="26">
        <f t="shared" si="20"/>
        <v>0.97091412742382277</v>
      </c>
      <c r="N76" s="26">
        <f t="shared" si="20"/>
        <v>0.97062526227444401</v>
      </c>
      <c r="O76" s="26">
        <f t="shared" si="20"/>
        <v>0.97047970479704793</v>
      </c>
    </row>
    <row r="77" spans="1:15" ht="16.8" thickTop="1" thickBot="1" x14ac:dyDescent="0.35">
      <c r="A77" s="128" t="s">
        <v>145</v>
      </c>
      <c r="B77" s="30" t="s">
        <v>102</v>
      </c>
      <c r="C77" s="37">
        <v>0.74</v>
      </c>
      <c r="D77" s="37">
        <v>1.23</v>
      </c>
      <c r="E77" s="37">
        <v>0.71</v>
      </c>
      <c r="F77" s="37">
        <v>0.71</v>
      </c>
      <c r="G77" s="37">
        <v>1.02</v>
      </c>
      <c r="H77" s="37">
        <v>1</v>
      </c>
      <c r="I77" s="37">
        <v>0.86</v>
      </c>
      <c r="J77" s="37">
        <v>98</v>
      </c>
      <c r="K77" s="37">
        <v>0.89</v>
      </c>
      <c r="L77" s="37">
        <v>0.85</v>
      </c>
      <c r="M77" s="37">
        <v>0.8</v>
      </c>
      <c r="N77" s="37">
        <v>0.88</v>
      </c>
      <c r="O77" s="37">
        <v>0.8</v>
      </c>
    </row>
    <row r="78" spans="1:15" ht="16.8" thickTop="1" thickBot="1" x14ac:dyDescent="0.35">
      <c r="A78" s="128"/>
      <c r="B78" s="20" t="s">
        <v>103</v>
      </c>
      <c r="C78" s="32">
        <v>0.71</v>
      </c>
      <c r="D78" s="32">
        <v>1.18</v>
      </c>
      <c r="E78" s="32">
        <v>0.68</v>
      </c>
      <c r="F78" s="32">
        <v>0.68</v>
      </c>
      <c r="G78" s="32">
        <v>0.98</v>
      </c>
      <c r="H78" s="32">
        <v>0.77</v>
      </c>
      <c r="I78" s="32">
        <v>0.83</v>
      </c>
      <c r="J78" s="32">
        <v>0.94</v>
      </c>
      <c r="K78" s="32">
        <v>0.85</v>
      </c>
      <c r="L78" s="32">
        <v>0.81</v>
      </c>
      <c r="M78" s="32">
        <v>0.76</v>
      </c>
      <c r="N78" s="32">
        <v>0.84</v>
      </c>
      <c r="O78" s="32">
        <v>0.76</v>
      </c>
    </row>
    <row r="79" spans="1:15" ht="16.8" thickTop="1" thickBot="1" x14ac:dyDescent="0.35">
      <c r="A79" s="128"/>
      <c r="B79" s="38" t="s">
        <v>104</v>
      </c>
      <c r="C79" s="26">
        <f t="shared" ref="C79:O79" si="21">IF(OR(C77="",C78=""),"",C78/C77)</f>
        <v>0.95945945945945943</v>
      </c>
      <c r="D79" s="26">
        <f t="shared" si="21"/>
        <v>0.95934959349593496</v>
      </c>
      <c r="E79" s="26">
        <f t="shared" si="21"/>
        <v>0.9577464788732396</v>
      </c>
      <c r="F79" s="26">
        <f t="shared" si="21"/>
        <v>0.9577464788732396</v>
      </c>
      <c r="G79" s="26">
        <f t="shared" si="21"/>
        <v>0.96078431372549011</v>
      </c>
      <c r="H79" s="26">
        <f t="shared" si="21"/>
        <v>0.77</v>
      </c>
      <c r="I79" s="26">
        <f t="shared" si="21"/>
        <v>0.96511627906976738</v>
      </c>
      <c r="J79" s="26">
        <f t="shared" si="21"/>
        <v>9.5918367346938763E-3</v>
      </c>
      <c r="K79" s="26">
        <f t="shared" si="21"/>
        <v>0.9550561797752809</v>
      </c>
      <c r="L79" s="26">
        <f t="shared" si="21"/>
        <v>0.95294117647058829</v>
      </c>
      <c r="M79" s="26">
        <f t="shared" si="21"/>
        <v>0.95</v>
      </c>
      <c r="N79" s="26">
        <f t="shared" si="21"/>
        <v>0.95454545454545447</v>
      </c>
      <c r="O79" s="26">
        <f t="shared" si="21"/>
        <v>0.95</v>
      </c>
    </row>
    <row r="80" spans="1:15" ht="16.8" thickTop="1" thickBot="1" x14ac:dyDescent="0.35">
      <c r="A80" s="128" t="s">
        <v>171</v>
      </c>
      <c r="B80" s="30" t="s">
        <v>102</v>
      </c>
      <c r="C80" s="37">
        <v>1.83</v>
      </c>
      <c r="D80" s="37">
        <v>3.04</v>
      </c>
      <c r="E80" s="37">
        <v>1.76</v>
      </c>
      <c r="F80" s="37">
        <v>1.76</v>
      </c>
      <c r="G80" s="37">
        <v>2.52</v>
      </c>
      <c r="H80" s="37">
        <v>1.99</v>
      </c>
      <c r="I80" s="37">
        <v>2.14</v>
      </c>
      <c r="J80" s="37">
        <v>2.4300000000000002</v>
      </c>
      <c r="K80" s="37">
        <v>2.2000000000000002</v>
      </c>
      <c r="L80" s="37">
        <v>2.09</v>
      </c>
      <c r="M80" s="37">
        <v>1.97</v>
      </c>
      <c r="N80" s="37">
        <v>2.17</v>
      </c>
      <c r="O80" s="37">
        <v>1.97</v>
      </c>
    </row>
    <row r="81" spans="1:15" ht="16.8" thickTop="1" thickBot="1" x14ac:dyDescent="0.35">
      <c r="A81" s="128"/>
      <c r="B81" s="20" t="s">
        <v>103</v>
      </c>
      <c r="C81" s="32">
        <v>1.77</v>
      </c>
      <c r="D81" s="32">
        <v>2.95</v>
      </c>
      <c r="E81" s="32">
        <v>1.71</v>
      </c>
      <c r="F81" s="32">
        <v>1.71</v>
      </c>
      <c r="G81" s="32">
        <v>2.44</v>
      </c>
      <c r="H81" s="32">
        <v>1.93</v>
      </c>
      <c r="I81" s="32">
        <v>2.0699999999999998</v>
      </c>
      <c r="J81" s="32">
        <v>2.35</v>
      </c>
      <c r="K81" s="32">
        <v>2.14</v>
      </c>
      <c r="L81" s="32">
        <v>2.0299999999999998</v>
      </c>
      <c r="M81" s="32">
        <v>1.91</v>
      </c>
      <c r="N81" s="32">
        <v>2.1</v>
      </c>
      <c r="O81" s="32">
        <v>1.91</v>
      </c>
    </row>
    <row r="82" spans="1:15" ht="16.8" thickTop="1" thickBot="1" x14ac:dyDescent="0.35">
      <c r="A82" s="128"/>
      <c r="B82" s="38" t="s">
        <v>104</v>
      </c>
      <c r="C82" s="26">
        <f t="shared" ref="C82:O82" si="22">IF(OR(C80="",C81=""),"",C81/C80)</f>
        <v>0.96721311475409832</v>
      </c>
      <c r="D82" s="26">
        <f t="shared" si="22"/>
        <v>0.97039473684210531</v>
      </c>
      <c r="E82" s="26">
        <f t="shared" si="22"/>
        <v>0.97159090909090906</v>
      </c>
      <c r="F82" s="26">
        <f t="shared" si="22"/>
        <v>0.97159090909090906</v>
      </c>
      <c r="G82" s="26">
        <f t="shared" si="22"/>
        <v>0.96825396825396826</v>
      </c>
      <c r="H82" s="26">
        <f t="shared" si="22"/>
        <v>0.96984924623115576</v>
      </c>
      <c r="I82" s="26">
        <f t="shared" si="22"/>
        <v>0.96728971962616805</v>
      </c>
      <c r="J82" s="26">
        <f t="shared" si="22"/>
        <v>0.96707818930041145</v>
      </c>
      <c r="K82" s="26">
        <f t="shared" si="22"/>
        <v>0.97272727272727266</v>
      </c>
      <c r="L82" s="26">
        <f t="shared" si="22"/>
        <v>0.9712918660287081</v>
      </c>
      <c r="M82" s="26">
        <f t="shared" si="22"/>
        <v>0.96954314720812185</v>
      </c>
      <c r="N82" s="26">
        <f t="shared" si="22"/>
        <v>0.967741935483871</v>
      </c>
      <c r="O82" s="26">
        <f t="shared" si="22"/>
        <v>0.96954314720812185</v>
      </c>
    </row>
    <row r="83" spans="1:15" ht="16.8" thickTop="1" thickBot="1" x14ac:dyDescent="0.35">
      <c r="A83" s="128" t="s">
        <v>151</v>
      </c>
      <c r="B83" s="30" t="s">
        <v>102</v>
      </c>
      <c r="C83" s="37">
        <v>4.78</v>
      </c>
      <c r="D83" s="37">
        <v>7.97</v>
      </c>
      <c r="E83" s="37">
        <v>4.62</v>
      </c>
      <c r="F83" s="37">
        <v>4.62</v>
      </c>
      <c r="G83" s="37">
        <v>6.59</v>
      </c>
      <c r="H83" s="37">
        <v>5.21</v>
      </c>
      <c r="I83" s="37">
        <v>5.59</v>
      </c>
      <c r="J83" s="37">
        <v>6.36</v>
      </c>
      <c r="K83" s="37">
        <v>5.77</v>
      </c>
      <c r="L83" s="37">
        <v>5.48</v>
      </c>
      <c r="M83" s="37">
        <v>5.15</v>
      </c>
      <c r="N83" s="37">
        <v>567</v>
      </c>
      <c r="O83" s="37">
        <v>5.16</v>
      </c>
    </row>
    <row r="84" spans="1:15" ht="16.8" thickTop="1" thickBot="1" x14ac:dyDescent="0.35">
      <c r="A84" s="128"/>
      <c r="B84" s="20" t="s">
        <v>103</v>
      </c>
      <c r="C84" s="32">
        <v>4.66</v>
      </c>
      <c r="D84" s="32">
        <v>7.77</v>
      </c>
      <c r="E84" s="32">
        <v>4.5</v>
      </c>
      <c r="F84" s="32">
        <v>4.5</v>
      </c>
      <c r="G84" s="32">
        <v>6.42</v>
      </c>
      <c r="H84" s="32">
        <v>5.08</v>
      </c>
      <c r="I84" s="32">
        <v>5.45</v>
      </c>
      <c r="J84" s="32">
        <v>6.2</v>
      </c>
      <c r="K84" s="32">
        <v>5.63</v>
      </c>
      <c r="L84" s="32">
        <v>5.34</v>
      </c>
      <c r="M84" s="32">
        <v>5.0199999999999996</v>
      </c>
      <c r="N84" s="32">
        <v>5.53</v>
      </c>
      <c r="O84" s="32">
        <v>5.03</v>
      </c>
    </row>
    <row r="85" spans="1:15" ht="16.8" thickTop="1" thickBot="1" x14ac:dyDescent="0.35">
      <c r="A85" s="128"/>
      <c r="B85" s="38" t="s">
        <v>104</v>
      </c>
      <c r="C85" s="26">
        <f t="shared" ref="C85:O85" si="23">IF(OR(C83="",C84=""),"",C84/C83)</f>
        <v>0.97489539748953968</v>
      </c>
      <c r="D85" s="26">
        <f t="shared" si="23"/>
        <v>0.97490589711417819</v>
      </c>
      <c r="E85" s="26">
        <f t="shared" si="23"/>
        <v>0.97402597402597402</v>
      </c>
      <c r="F85" s="26">
        <f t="shared" si="23"/>
        <v>0.97402597402597402</v>
      </c>
      <c r="G85" s="26">
        <f t="shared" si="23"/>
        <v>0.9742033383915023</v>
      </c>
      <c r="H85" s="26">
        <f t="shared" si="23"/>
        <v>0.9750479846449136</v>
      </c>
      <c r="I85" s="26">
        <f t="shared" si="23"/>
        <v>0.97495527728085873</v>
      </c>
      <c r="J85" s="26">
        <f t="shared" si="23"/>
        <v>0.97484276729559749</v>
      </c>
      <c r="K85" s="26">
        <f t="shared" si="23"/>
        <v>0.97573656845753909</v>
      </c>
      <c r="L85" s="26">
        <f t="shared" si="23"/>
        <v>0.97445255474452541</v>
      </c>
      <c r="M85" s="26">
        <f t="shared" si="23"/>
        <v>0.97475728155339791</v>
      </c>
      <c r="N85" s="26">
        <f t="shared" si="23"/>
        <v>9.7530864197530875E-3</v>
      </c>
      <c r="O85" s="26">
        <f t="shared" si="23"/>
        <v>0.97480620155038766</v>
      </c>
    </row>
    <row r="86" spans="1:15" ht="15" customHeight="1" thickTop="1" x14ac:dyDescent="0.3"/>
    <row r="87" spans="1:15" ht="16.2" thickBot="1" x14ac:dyDescent="0.35">
      <c r="A87" s="8" t="s">
        <v>124</v>
      </c>
    </row>
    <row r="88" spans="1:15" ht="16.2" thickTop="1" x14ac:dyDescent="0.3">
      <c r="B88" s="15" t="s">
        <v>100</v>
      </c>
      <c r="C88" s="31" t="s">
        <v>13</v>
      </c>
      <c r="D88" s="31" t="s">
        <v>26</v>
      </c>
      <c r="E88" s="31" t="s">
        <v>14</v>
      </c>
      <c r="F88" s="31" t="s">
        <v>18</v>
      </c>
      <c r="G88" s="31" t="s">
        <v>20</v>
      </c>
      <c r="H88" s="31" t="s">
        <v>21</v>
      </c>
      <c r="I88" s="31" t="s">
        <v>21</v>
      </c>
      <c r="J88" s="31" t="s">
        <v>21</v>
      </c>
      <c r="K88" s="31" t="s">
        <v>38</v>
      </c>
      <c r="L88" s="31" t="s">
        <v>22</v>
      </c>
      <c r="M88" s="31" t="s">
        <v>39</v>
      </c>
      <c r="N88" s="31" t="s">
        <v>42</v>
      </c>
      <c r="O88" s="31" t="s">
        <v>43</v>
      </c>
    </row>
    <row r="89" spans="1:15" ht="15.6" x14ac:dyDescent="0.3">
      <c r="B89" s="18" t="s">
        <v>114</v>
      </c>
      <c r="C89" s="32">
        <v>2</v>
      </c>
      <c r="D89" s="32">
        <v>3.6</v>
      </c>
      <c r="E89" s="32">
        <v>5</v>
      </c>
      <c r="F89" s="32">
        <v>10</v>
      </c>
      <c r="G89" s="32">
        <v>14.4</v>
      </c>
      <c r="H89" s="32">
        <v>19.2</v>
      </c>
      <c r="I89" s="32">
        <v>19.2</v>
      </c>
      <c r="J89" s="32">
        <v>19.2</v>
      </c>
      <c r="K89" s="32">
        <f>48*0.6</f>
        <v>28.799999999999997</v>
      </c>
      <c r="L89" s="32">
        <f>64*0.6</f>
        <v>38.4</v>
      </c>
      <c r="M89" s="32">
        <f>96*0.6</f>
        <v>57.599999999999994</v>
      </c>
      <c r="N89" s="32">
        <f>24*1.2</f>
        <v>28.799999999999997</v>
      </c>
      <c r="O89" s="32">
        <f>48*1.2</f>
        <v>57.599999999999994</v>
      </c>
    </row>
    <row r="90" spans="1:15" ht="15.6" x14ac:dyDescent="0.3">
      <c r="B90" s="18" t="s">
        <v>101</v>
      </c>
      <c r="C90" s="32" t="s">
        <v>13</v>
      </c>
      <c r="D90" s="32" t="s">
        <v>26</v>
      </c>
      <c r="E90" s="32" t="s">
        <v>14</v>
      </c>
      <c r="F90" s="32" t="s">
        <v>18</v>
      </c>
      <c r="G90" s="32" t="s">
        <v>20</v>
      </c>
      <c r="H90" s="32" t="s">
        <v>21</v>
      </c>
      <c r="I90" s="32" t="s">
        <v>22</v>
      </c>
      <c r="J90" s="32" t="s">
        <v>22</v>
      </c>
      <c r="K90" s="32" t="s">
        <v>39</v>
      </c>
      <c r="L90" s="32" t="s">
        <v>40</v>
      </c>
      <c r="M90" s="32" t="s">
        <v>41</v>
      </c>
      <c r="N90" s="32" t="s">
        <v>42</v>
      </c>
      <c r="O90" s="32" t="s">
        <v>149</v>
      </c>
    </row>
    <row r="91" spans="1:15" ht="16.2" thickBot="1" x14ac:dyDescent="0.35">
      <c r="B91" s="33" t="s">
        <v>115</v>
      </c>
      <c r="C91" s="40"/>
      <c r="D91" s="40"/>
      <c r="E91" s="40"/>
      <c r="F91" s="40"/>
      <c r="G91" s="40"/>
      <c r="H91" s="40" t="s">
        <v>119</v>
      </c>
      <c r="I91" s="40" t="s">
        <v>150</v>
      </c>
      <c r="J91" s="40" t="s">
        <v>121</v>
      </c>
      <c r="K91" s="40" t="s">
        <v>121</v>
      </c>
      <c r="L91" s="40" t="s">
        <v>121</v>
      </c>
      <c r="M91" s="40" t="s">
        <v>121</v>
      </c>
      <c r="N91" s="40" t="s">
        <v>121</v>
      </c>
      <c r="O91" s="40"/>
    </row>
    <row r="92" spans="1:15" ht="16.8" thickTop="1" thickBot="1" x14ac:dyDescent="0.35">
      <c r="A92" s="7" t="s">
        <v>6</v>
      </c>
      <c r="B92" s="35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</row>
    <row r="93" spans="1:15" ht="16.8" thickTop="1" thickBot="1" x14ac:dyDescent="0.35">
      <c r="A93" s="128">
        <v>70</v>
      </c>
      <c r="B93" s="30" t="s">
        <v>102</v>
      </c>
      <c r="C93" s="37">
        <v>0.57999999999999996</v>
      </c>
      <c r="D93" s="37">
        <v>0.97</v>
      </c>
      <c r="E93" s="37">
        <v>0.56000000000000005</v>
      </c>
      <c r="F93" s="37">
        <v>0.56000000000000005</v>
      </c>
      <c r="G93" s="37">
        <v>0.8</v>
      </c>
      <c r="H93" s="37">
        <v>0.64</v>
      </c>
      <c r="I93" s="37">
        <v>0.68</v>
      </c>
      <c r="J93" s="37">
        <v>0.78</v>
      </c>
      <c r="K93" s="37">
        <v>0.7</v>
      </c>
      <c r="L93" s="37">
        <v>0.67</v>
      </c>
      <c r="M93" s="37">
        <v>0.63</v>
      </c>
      <c r="N93" s="37">
        <v>0.69</v>
      </c>
      <c r="O93" s="37">
        <v>0.63</v>
      </c>
    </row>
    <row r="94" spans="1:15" ht="16.8" thickTop="1" thickBot="1" x14ac:dyDescent="0.35">
      <c r="A94" s="128"/>
      <c r="B94" s="20" t="s">
        <v>103</v>
      </c>
      <c r="C94" s="32">
        <v>1.0900000000000001</v>
      </c>
      <c r="D94" s="32">
        <v>1.81</v>
      </c>
      <c r="E94" s="32">
        <v>1.05</v>
      </c>
      <c r="F94" s="32">
        <v>1.05</v>
      </c>
      <c r="G94" s="32">
        <v>1.5</v>
      </c>
      <c r="H94" s="32">
        <v>1.18</v>
      </c>
      <c r="I94" s="32">
        <v>1.27</v>
      </c>
      <c r="J94" s="32">
        <v>1.44</v>
      </c>
      <c r="K94" s="32">
        <v>1.31</v>
      </c>
      <c r="L94" s="32">
        <v>1.24</v>
      </c>
      <c r="M94" s="32">
        <v>1.17</v>
      </c>
      <c r="N94" s="32">
        <v>1.29</v>
      </c>
      <c r="O94" s="32">
        <v>1.17</v>
      </c>
    </row>
    <row r="95" spans="1:15" ht="16.8" thickTop="1" thickBot="1" x14ac:dyDescent="0.35">
      <c r="A95" s="128"/>
      <c r="B95" s="38" t="s">
        <v>104</v>
      </c>
      <c r="C95" s="26">
        <f t="shared" ref="C95:O95" si="24">IF(OR(C93="",C94=""),"",C94/C93)</f>
        <v>1.8793103448275865</v>
      </c>
      <c r="D95" s="26">
        <f t="shared" si="24"/>
        <v>1.865979381443299</v>
      </c>
      <c r="E95" s="26">
        <f t="shared" si="24"/>
        <v>1.875</v>
      </c>
      <c r="F95" s="26">
        <f t="shared" si="24"/>
        <v>1.875</v>
      </c>
      <c r="G95" s="26">
        <f t="shared" si="24"/>
        <v>1.875</v>
      </c>
      <c r="H95" s="26">
        <f t="shared" si="24"/>
        <v>1.8437499999999998</v>
      </c>
      <c r="I95" s="26">
        <f t="shared" si="24"/>
        <v>1.8676470588235292</v>
      </c>
      <c r="J95" s="26">
        <f t="shared" si="24"/>
        <v>1.846153846153846</v>
      </c>
      <c r="K95" s="26">
        <f t="shared" si="24"/>
        <v>1.8714285714285717</v>
      </c>
      <c r="L95" s="26">
        <f t="shared" si="24"/>
        <v>1.8507462686567162</v>
      </c>
      <c r="M95" s="26">
        <f t="shared" si="24"/>
        <v>1.857142857142857</v>
      </c>
      <c r="N95" s="26">
        <f t="shared" si="24"/>
        <v>1.8695652173913044</v>
      </c>
      <c r="O95" s="26">
        <f t="shared" si="24"/>
        <v>1.857142857142857</v>
      </c>
    </row>
    <row r="96" spans="1:15" ht="16.8" thickTop="1" thickBot="1" x14ac:dyDescent="0.35">
      <c r="A96" s="128">
        <v>80</v>
      </c>
      <c r="B96" s="30" t="s">
        <v>102</v>
      </c>
      <c r="C96" s="37">
        <v>1.03</v>
      </c>
      <c r="D96" s="37">
        <v>1.72</v>
      </c>
      <c r="E96" s="37">
        <v>1</v>
      </c>
      <c r="F96" s="37">
        <v>1</v>
      </c>
      <c r="G96" s="37">
        <v>1.42</v>
      </c>
      <c r="H96" s="37">
        <v>1.1200000000000001</v>
      </c>
      <c r="I96" s="37">
        <v>1.21</v>
      </c>
      <c r="J96" s="37">
        <v>1.37</v>
      </c>
      <c r="K96" s="37">
        <v>1.24</v>
      </c>
      <c r="L96" s="37">
        <v>1.18</v>
      </c>
      <c r="M96" s="37">
        <v>1.1100000000000001</v>
      </c>
      <c r="N96" s="37">
        <v>1.22</v>
      </c>
      <c r="O96" s="37">
        <v>1.1100000000000001</v>
      </c>
    </row>
    <row r="97" spans="1:15" ht="16.8" thickTop="1" thickBot="1" x14ac:dyDescent="0.35">
      <c r="A97" s="128"/>
      <c r="B97" s="20" t="s">
        <v>103</v>
      </c>
      <c r="C97" s="32">
        <v>1.78</v>
      </c>
      <c r="D97" s="32">
        <v>2.97</v>
      </c>
      <c r="E97" s="32">
        <v>1.72</v>
      </c>
      <c r="F97" s="32">
        <v>1.72</v>
      </c>
      <c r="G97" s="32">
        <v>2.46</v>
      </c>
      <c r="H97" s="32">
        <v>1.94</v>
      </c>
      <c r="I97" s="32">
        <v>2.08</v>
      </c>
      <c r="J97" s="32">
        <v>2.37</v>
      </c>
      <c r="K97" s="32">
        <v>2.15</v>
      </c>
      <c r="L97" s="32">
        <v>2.04</v>
      </c>
      <c r="M97" s="32">
        <v>1.92</v>
      </c>
      <c r="N97" s="32">
        <v>2.11</v>
      </c>
      <c r="O97" s="32">
        <v>1.92</v>
      </c>
    </row>
    <row r="98" spans="1:15" ht="16.8" thickTop="1" thickBot="1" x14ac:dyDescent="0.35">
      <c r="A98" s="128"/>
      <c r="B98" s="38" t="s">
        <v>104</v>
      </c>
      <c r="C98" s="26">
        <f t="shared" ref="C98:O98" si="25">IF(OR(C96="",C97=""),"",C97/C96)</f>
        <v>1.7281553398058251</v>
      </c>
      <c r="D98" s="26">
        <f t="shared" si="25"/>
        <v>1.7267441860465118</v>
      </c>
      <c r="E98" s="26">
        <f t="shared" si="25"/>
        <v>1.72</v>
      </c>
      <c r="F98" s="26">
        <f t="shared" si="25"/>
        <v>1.72</v>
      </c>
      <c r="G98" s="26">
        <f t="shared" si="25"/>
        <v>1.7323943661971832</v>
      </c>
      <c r="H98" s="26">
        <f t="shared" si="25"/>
        <v>1.732142857142857</v>
      </c>
      <c r="I98" s="26">
        <f t="shared" si="25"/>
        <v>1.71900826446281</v>
      </c>
      <c r="J98" s="26">
        <f t="shared" si="25"/>
        <v>1.7299270072992701</v>
      </c>
      <c r="K98" s="26">
        <f t="shared" si="25"/>
        <v>1.7338709677419355</v>
      </c>
      <c r="L98" s="26">
        <f t="shared" si="25"/>
        <v>1.728813559322034</v>
      </c>
      <c r="M98" s="26">
        <f t="shared" si="25"/>
        <v>1.7297297297297296</v>
      </c>
      <c r="N98" s="26">
        <f t="shared" si="25"/>
        <v>1.7295081967213115</v>
      </c>
      <c r="O98" s="26">
        <f t="shared" si="25"/>
        <v>1.7297297297297296</v>
      </c>
    </row>
    <row r="99" spans="1:15" ht="16.8" thickTop="1" thickBot="1" x14ac:dyDescent="0.35">
      <c r="A99" s="128">
        <v>90</v>
      </c>
      <c r="B99" s="30" t="s">
        <v>102</v>
      </c>
      <c r="C99" s="37">
        <v>1.62</v>
      </c>
      <c r="D99" s="37">
        <v>2.69</v>
      </c>
      <c r="E99" s="37">
        <v>1.56</v>
      </c>
      <c r="F99" s="37">
        <v>1.56</v>
      </c>
      <c r="G99" s="37">
        <v>2.23</v>
      </c>
      <c r="H99" s="37">
        <v>1.76</v>
      </c>
      <c r="I99" s="37">
        <v>1.89</v>
      </c>
      <c r="J99" s="37">
        <v>2.15</v>
      </c>
      <c r="K99" s="37">
        <v>1.95</v>
      </c>
      <c r="L99" s="37">
        <v>1.85</v>
      </c>
      <c r="M99" s="37">
        <v>1.7</v>
      </c>
      <c r="N99" s="37">
        <v>1.92</v>
      </c>
      <c r="O99" s="37">
        <v>1.74</v>
      </c>
    </row>
    <row r="100" spans="1:15" ht="16.8" thickTop="1" thickBot="1" x14ac:dyDescent="0.35">
      <c r="A100" s="128"/>
      <c r="B100" s="20" t="s">
        <v>103</v>
      </c>
      <c r="C100" s="32">
        <v>2.68</v>
      </c>
      <c r="D100" s="32">
        <v>4.46</v>
      </c>
      <c r="E100" s="32">
        <v>2.59</v>
      </c>
      <c r="F100" s="32">
        <v>2.59</v>
      </c>
      <c r="G100" s="32">
        <v>3.69</v>
      </c>
      <c r="H100" s="32">
        <v>2.92</v>
      </c>
      <c r="I100" s="32">
        <v>3.13</v>
      </c>
      <c r="J100" s="32">
        <v>3.56</v>
      </c>
      <c r="K100" s="32">
        <v>3.23</v>
      </c>
      <c r="L100" s="32">
        <v>3.07</v>
      </c>
      <c r="M100" s="32">
        <v>2.89</v>
      </c>
      <c r="N100" s="32">
        <v>3.18</v>
      </c>
      <c r="O100" s="32">
        <v>2.89</v>
      </c>
    </row>
    <row r="101" spans="1:15" ht="16.8" thickTop="1" thickBot="1" x14ac:dyDescent="0.35">
      <c r="A101" s="128"/>
      <c r="B101" s="38" t="s">
        <v>104</v>
      </c>
      <c r="C101" s="26">
        <f t="shared" ref="C101:O101" si="26">IF(OR(C99="",C100=""),"",C100/C99)</f>
        <v>1.654320987654321</v>
      </c>
      <c r="D101" s="26">
        <f t="shared" si="26"/>
        <v>1.6579925650557621</v>
      </c>
      <c r="E101" s="26">
        <f t="shared" si="26"/>
        <v>1.6602564102564101</v>
      </c>
      <c r="F101" s="26">
        <f t="shared" si="26"/>
        <v>1.6602564102564101</v>
      </c>
      <c r="G101" s="26">
        <f t="shared" si="26"/>
        <v>1.6547085201793721</v>
      </c>
      <c r="H101" s="26">
        <f t="shared" si="26"/>
        <v>1.6590909090909089</v>
      </c>
      <c r="I101" s="26">
        <f t="shared" si="26"/>
        <v>1.656084656084656</v>
      </c>
      <c r="J101" s="26">
        <f t="shared" si="26"/>
        <v>1.6558139534883722</v>
      </c>
      <c r="K101" s="26">
        <f t="shared" si="26"/>
        <v>1.6564102564102565</v>
      </c>
      <c r="L101" s="26">
        <f t="shared" si="26"/>
        <v>1.6594594594594594</v>
      </c>
      <c r="M101" s="26">
        <f t="shared" si="26"/>
        <v>1.7000000000000002</v>
      </c>
      <c r="N101" s="26">
        <f t="shared" si="26"/>
        <v>1.6562500000000002</v>
      </c>
      <c r="O101" s="26">
        <f t="shared" si="26"/>
        <v>1.6609195402298851</v>
      </c>
    </row>
    <row r="102" spans="1:15" ht="16.8" thickTop="1" thickBot="1" x14ac:dyDescent="0.35">
      <c r="A102" s="128">
        <v>100</v>
      </c>
      <c r="B102" s="30" t="s">
        <v>102</v>
      </c>
      <c r="C102" s="37">
        <v>2.3199999999999998</v>
      </c>
      <c r="D102" s="37">
        <v>3.86</v>
      </c>
      <c r="E102" s="37">
        <v>2.2400000000000002</v>
      </c>
      <c r="F102" s="37">
        <v>2.2400000000000002</v>
      </c>
      <c r="G102" s="37">
        <v>3.19</v>
      </c>
      <c r="H102" s="37">
        <v>2.52</v>
      </c>
      <c r="I102" s="37">
        <v>2.71</v>
      </c>
      <c r="J102" s="37">
        <v>3.08</v>
      </c>
      <c r="K102" s="37">
        <v>2.8</v>
      </c>
      <c r="L102" s="37">
        <v>2.65</v>
      </c>
      <c r="M102" s="37">
        <v>2.5</v>
      </c>
      <c r="N102" s="37">
        <v>2.75</v>
      </c>
      <c r="O102" s="37">
        <v>2.5</v>
      </c>
    </row>
    <row r="103" spans="1:15" ht="16.8" thickTop="1" thickBot="1" x14ac:dyDescent="0.35">
      <c r="A103" s="128"/>
      <c r="B103" s="20" t="s">
        <v>103</v>
      </c>
      <c r="C103" s="32">
        <v>3.72</v>
      </c>
      <c r="D103" s="32">
        <v>6.2</v>
      </c>
      <c r="E103" s="32">
        <v>3.59</v>
      </c>
      <c r="F103" s="32">
        <v>3.59</v>
      </c>
      <c r="G103" s="32">
        <v>5.13</v>
      </c>
      <c r="H103" s="32">
        <v>4.05</v>
      </c>
      <c r="I103" s="32">
        <v>4.3499999999999996</v>
      </c>
      <c r="J103" s="32">
        <v>4.95</v>
      </c>
      <c r="K103" s="32">
        <v>4.49</v>
      </c>
      <c r="L103" s="32">
        <v>4.26</v>
      </c>
      <c r="M103" s="32">
        <v>4.01</v>
      </c>
      <c r="N103" s="32">
        <v>4.41</v>
      </c>
      <c r="O103" s="32">
        <v>4.01</v>
      </c>
    </row>
    <row r="104" spans="1:15" ht="16.8" thickTop="1" thickBot="1" x14ac:dyDescent="0.35">
      <c r="A104" s="128"/>
      <c r="B104" s="38" t="s">
        <v>104</v>
      </c>
      <c r="C104" s="26">
        <f t="shared" ref="C104:O104" si="27">IF(OR(C102="",C103=""),"",C103/C102)</f>
        <v>1.6034482758620692</v>
      </c>
      <c r="D104" s="26">
        <f t="shared" si="27"/>
        <v>1.606217616580311</v>
      </c>
      <c r="E104" s="26">
        <f t="shared" si="27"/>
        <v>1.6026785714285712</v>
      </c>
      <c r="F104" s="26">
        <f t="shared" si="27"/>
        <v>1.6026785714285712</v>
      </c>
      <c r="G104" s="26">
        <f t="shared" si="27"/>
        <v>1.6081504702194358</v>
      </c>
      <c r="H104" s="26">
        <f t="shared" si="27"/>
        <v>1.607142857142857</v>
      </c>
      <c r="I104" s="26">
        <f t="shared" si="27"/>
        <v>1.6051660516605164</v>
      </c>
      <c r="J104" s="26">
        <f t="shared" si="27"/>
        <v>1.6071428571428572</v>
      </c>
      <c r="K104" s="26">
        <f t="shared" si="27"/>
        <v>1.6035714285714286</v>
      </c>
      <c r="L104" s="26">
        <f t="shared" si="27"/>
        <v>1.6075471698113206</v>
      </c>
      <c r="M104" s="26">
        <f t="shared" si="27"/>
        <v>1.6039999999999999</v>
      </c>
      <c r="N104" s="26">
        <f t="shared" si="27"/>
        <v>1.6036363636363637</v>
      </c>
      <c r="O104" s="26">
        <f t="shared" si="27"/>
        <v>1.6039999999999999</v>
      </c>
    </row>
    <row r="105" spans="1:15" ht="16.8" thickTop="1" thickBot="1" x14ac:dyDescent="0.35">
      <c r="A105" s="128">
        <v>110</v>
      </c>
      <c r="B105" s="30" t="s">
        <v>102</v>
      </c>
      <c r="C105" s="37">
        <v>3.11</v>
      </c>
      <c r="D105" s="37">
        <v>5.19</v>
      </c>
      <c r="E105" s="37">
        <v>3.01</v>
      </c>
      <c r="F105" s="37">
        <v>3.01</v>
      </c>
      <c r="G105" s="37">
        <v>4.29</v>
      </c>
      <c r="H105" s="37">
        <v>3.39</v>
      </c>
      <c r="I105" s="37">
        <v>3.64</v>
      </c>
      <c r="J105" s="37">
        <v>4.1399999999999997</v>
      </c>
      <c r="K105" s="37">
        <v>3.76</v>
      </c>
      <c r="L105" s="37">
        <v>3.57</v>
      </c>
      <c r="M105" s="37">
        <v>3.36</v>
      </c>
      <c r="N105" s="37">
        <v>3.69</v>
      </c>
      <c r="O105" s="37">
        <v>3.36</v>
      </c>
    </row>
    <row r="106" spans="1:15" ht="16.8" thickTop="1" thickBot="1" x14ac:dyDescent="0.35">
      <c r="A106" s="128"/>
      <c r="B106" s="20" t="s">
        <v>103</v>
      </c>
      <c r="C106" s="32">
        <v>4.84</v>
      </c>
      <c r="D106" s="32">
        <v>8.07</v>
      </c>
      <c r="E106" s="32">
        <v>4.68</v>
      </c>
      <c r="F106" s="32">
        <v>4.68</v>
      </c>
      <c r="G106" s="32">
        <v>6.67</v>
      </c>
      <c r="H106" s="32">
        <v>5.28</v>
      </c>
      <c r="I106" s="32">
        <v>5.66</v>
      </c>
      <c r="J106" s="32">
        <v>6.44</v>
      </c>
      <c r="K106" s="32">
        <v>5.85</v>
      </c>
      <c r="L106" s="32">
        <v>5.55</v>
      </c>
      <c r="M106" s="32">
        <v>5.22</v>
      </c>
      <c r="N106" s="32">
        <v>5.74</v>
      </c>
      <c r="O106" s="32">
        <v>5.22</v>
      </c>
    </row>
    <row r="107" spans="1:15" ht="16.8" thickTop="1" thickBot="1" x14ac:dyDescent="0.35">
      <c r="A107" s="128"/>
      <c r="B107" s="38" t="s">
        <v>104</v>
      </c>
      <c r="C107" s="26">
        <f t="shared" ref="C107:O107" si="28">IF(OR(C105="",C106=""),"",C106/C105)</f>
        <v>1.5562700964630225</v>
      </c>
      <c r="D107" s="26">
        <f t="shared" si="28"/>
        <v>1.5549132947976878</v>
      </c>
      <c r="E107" s="26">
        <f t="shared" si="28"/>
        <v>1.5548172757475083</v>
      </c>
      <c r="F107" s="26">
        <f t="shared" si="28"/>
        <v>1.5548172757475083</v>
      </c>
      <c r="G107" s="26">
        <f t="shared" si="28"/>
        <v>1.5547785547785546</v>
      </c>
      <c r="H107" s="26">
        <f t="shared" si="28"/>
        <v>1.5575221238938053</v>
      </c>
      <c r="I107" s="26">
        <f t="shared" si="28"/>
        <v>1.554945054945055</v>
      </c>
      <c r="J107" s="26">
        <f t="shared" si="28"/>
        <v>1.5555555555555558</v>
      </c>
      <c r="K107" s="26">
        <f t="shared" si="28"/>
        <v>1.5558510638297873</v>
      </c>
      <c r="L107" s="26">
        <f t="shared" si="28"/>
        <v>1.5546218487394958</v>
      </c>
      <c r="M107" s="26">
        <f t="shared" si="28"/>
        <v>1.5535714285714286</v>
      </c>
      <c r="N107" s="26">
        <f t="shared" si="28"/>
        <v>1.5555555555555556</v>
      </c>
      <c r="O107" s="26">
        <f t="shared" si="28"/>
        <v>1.5535714285714286</v>
      </c>
    </row>
    <row r="108" spans="1:15" ht="16.8" thickTop="1" thickBot="1" x14ac:dyDescent="0.35">
      <c r="A108" s="128">
        <v>120</v>
      </c>
      <c r="B108" s="30" t="s">
        <v>102</v>
      </c>
      <c r="C108" s="37">
        <v>4.0199999999999996</v>
      </c>
      <c r="D108" s="37">
        <v>6.69</v>
      </c>
      <c r="E108" s="37">
        <v>3.88</v>
      </c>
      <c r="F108" s="37">
        <v>3.88</v>
      </c>
      <c r="G108" s="37">
        <v>5.53</v>
      </c>
      <c r="H108" s="37">
        <v>4.38</v>
      </c>
      <c r="I108" s="37">
        <v>4.7</v>
      </c>
      <c r="J108" s="37">
        <v>5.34</v>
      </c>
      <c r="K108" s="37">
        <v>4.8499999999999996</v>
      </c>
      <c r="L108" s="37">
        <v>4.5999999999999996</v>
      </c>
      <c r="M108" s="37">
        <v>4.33</v>
      </c>
      <c r="N108" s="37">
        <v>4.76</v>
      </c>
      <c r="O108" s="37">
        <v>4.33</v>
      </c>
    </row>
    <row r="109" spans="1:15" ht="16.8" thickTop="1" thickBot="1" x14ac:dyDescent="0.35">
      <c r="A109" s="128"/>
      <c r="B109" s="20" t="s">
        <v>103</v>
      </c>
      <c r="C109" s="32">
        <v>6.2</v>
      </c>
      <c r="D109" s="32">
        <v>10.34</v>
      </c>
      <c r="E109" s="32">
        <v>5.99</v>
      </c>
      <c r="F109" s="32">
        <v>5.99</v>
      </c>
      <c r="G109" s="32">
        <v>8.5500000000000007</v>
      </c>
      <c r="H109" s="32">
        <v>6.76</v>
      </c>
      <c r="I109" s="32">
        <v>7.26</v>
      </c>
      <c r="J109" s="32">
        <v>8.25</v>
      </c>
      <c r="K109" s="32">
        <v>7.49</v>
      </c>
      <c r="L109" s="32">
        <v>7.11</v>
      </c>
      <c r="M109" s="32">
        <v>6.69</v>
      </c>
      <c r="N109" s="32">
        <v>7.36</v>
      </c>
      <c r="O109" s="32">
        <v>6.69</v>
      </c>
    </row>
    <row r="110" spans="1:15" ht="16.8" thickTop="1" thickBot="1" x14ac:dyDescent="0.35">
      <c r="A110" s="128"/>
      <c r="B110" s="38" t="s">
        <v>104</v>
      </c>
      <c r="C110" s="26">
        <f t="shared" ref="C110:O110" si="29">IF(OR(C108="",C109=""),"",C109/C108)</f>
        <v>1.5422885572139307</v>
      </c>
      <c r="D110" s="26">
        <f t="shared" si="29"/>
        <v>1.5455904334828101</v>
      </c>
      <c r="E110" s="26">
        <f t="shared" si="29"/>
        <v>1.5438144329896908</v>
      </c>
      <c r="F110" s="26">
        <f t="shared" si="29"/>
        <v>1.5438144329896908</v>
      </c>
      <c r="G110" s="26">
        <f t="shared" si="29"/>
        <v>1.546112115732369</v>
      </c>
      <c r="H110" s="26">
        <f t="shared" si="29"/>
        <v>1.54337899543379</v>
      </c>
      <c r="I110" s="26">
        <f t="shared" si="29"/>
        <v>1.5446808510638297</v>
      </c>
      <c r="J110" s="26">
        <f t="shared" si="29"/>
        <v>1.5449438202247192</v>
      </c>
      <c r="K110" s="26">
        <f t="shared" si="29"/>
        <v>1.5443298969072166</v>
      </c>
      <c r="L110" s="26">
        <f t="shared" si="29"/>
        <v>1.5456521739130438</v>
      </c>
      <c r="M110" s="26">
        <f t="shared" si="29"/>
        <v>1.5450346420323327</v>
      </c>
      <c r="N110" s="26">
        <f t="shared" si="29"/>
        <v>1.546218487394958</v>
      </c>
      <c r="O110" s="26">
        <f t="shared" si="29"/>
        <v>1.5450346420323327</v>
      </c>
    </row>
    <row r="111" spans="1:15" ht="16.8" thickTop="1" thickBot="1" x14ac:dyDescent="0.35">
      <c r="A111" s="128">
        <v>130</v>
      </c>
      <c r="B111" s="30" t="s">
        <v>102</v>
      </c>
      <c r="C111" s="37">
        <v>4.97</v>
      </c>
      <c r="D111" s="37">
        <v>8.2799999999999994</v>
      </c>
      <c r="E111" s="37">
        <v>4.8</v>
      </c>
      <c r="F111" s="37">
        <v>4.8</v>
      </c>
      <c r="G111" s="37">
        <v>6.84</v>
      </c>
      <c r="H111" s="37">
        <v>5.41</v>
      </c>
      <c r="I111" s="37">
        <v>5.81</v>
      </c>
      <c r="J111" s="37">
        <v>6.6</v>
      </c>
      <c r="K111" s="37">
        <v>5.99</v>
      </c>
      <c r="L111" s="37">
        <v>5.69</v>
      </c>
      <c r="M111" s="37">
        <v>5.35</v>
      </c>
      <c r="N111" s="37">
        <v>5.89</v>
      </c>
      <c r="O111" s="37">
        <v>5.36</v>
      </c>
    </row>
    <row r="112" spans="1:15" ht="16.8" thickTop="1" thickBot="1" x14ac:dyDescent="0.35">
      <c r="A112" s="128"/>
      <c r="B112" s="20" t="s">
        <v>103</v>
      </c>
      <c r="C112" s="32">
        <v>7.58</v>
      </c>
      <c r="D112" s="32">
        <v>12.63</v>
      </c>
      <c r="E112" s="32">
        <v>7.32</v>
      </c>
      <c r="F112" s="32">
        <v>7.32</v>
      </c>
      <c r="G112" s="32">
        <v>10.44</v>
      </c>
      <c r="H112" s="32">
        <v>8.26</v>
      </c>
      <c r="I112" s="32">
        <v>8.86</v>
      </c>
      <c r="J112" s="32">
        <v>10.08</v>
      </c>
      <c r="K112" s="32">
        <v>9.15</v>
      </c>
      <c r="L112" s="32">
        <v>8.67</v>
      </c>
      <c r="M112" s="32">
        <v>8.17</v>
      </c>
      <c r="N112" s="32">
        <v>8.98</v>
      </c>
      <c r="O112" s="32">
        <v>8.17</v>
      </c>
    </row>
    <row r="113" spans="1:15" ht="16.8" thickTop="1" thickBot="1" x14ac:dyDescent="0.35">
      <c r="A113" s="128"/>
      <c r="B113" s="38" t="s">
        <v>104</v>
      </c>
      <c r="C113" s="26">
        <f t="shared" ref="C113:O113" si="30">IF(OR(C111="",C112=""),"",C112/C111)</f>
        <v>1.5251509054325956</v>
      </c>
      <c r="D113" s="26">
        <f t="shared" si="30"/>
        <v>1.5253623188405798</v>
      </c>
      <c r="E113" s="26">
        <f t="shared" si="30"/>
        <v>1.5250000000000001</v>
      </c>
      <c r="F113" s="26">
        <f t="shared" si="30"/>
        <v>1.5250000000000001</v>
      </c>
      <c r="G113" s="26">
        <f t="shared" si="30"/>
        <v>1.5263157894736841</v>
      </c>
      <c r="H113" s="26">
        <f t="shared" si="30"/>
        <v>1.5268022181146026</v>
      </c>
      <c r="I113" s="26">
        <f t="shared" si="30"/>
        <v>1.5249569707401032</v>
      </c>
      <c r="J113" s="26">
        <f t="shared" si="30"/>
        <v>1.5272727272727273</v>
      </c>
      <c r="K113" s="26">
        <f t="shared" si="30"/>
        <v>1.5275459098497497</v>
      </c>
      <c r="L113" s="26">
        <f t="shared" si="30"/>
        <v>1.5237258347978908</v>
      </c>
      <c r="M113" s="26">
        <f t="shared" si="30"/>
        <v>1.5271028037383179</v>
      </c>
      <c r="N113" s="26">
        <f t="shared" si="30"/>
        <v>1.5246179966044144</v>
      </c>
      <c r="O113" s="26">
        <f t="shared" si="30"/>
        <v>1.5242537313432836</v>
      </c>
    </row>
    <row r="114" spans="1:15" ht="16.8" thickTop="1" thickBot="1" x14ac:dyDescent="0.35">
      <c r="A114" s="128">
        <v>140</v>
      </c>
      <c r="B114" s="30" t="s">
        <v>102</v>
      </c>
      <c r="C114" s="37">
        <v>5.98</v>
      </c>
      <c r="D114" s="37">
        <v>9.9700000000000006</v>
      </c>
      <c r="E114" s="37">
        <v>5.78</v>
      </c>
      <c r="F114" s="37">
        <v>5.78</v>
      </c>
      <c r="G114" s="37">
        <v>8.25</v>
      </c>
      <c r="H114" s="37">
        <v>6.52</v>
      </c>
      <c r="I114" s="37">
        <v>7</v>
      </c>
      <c r="J114" s="37">
        <v>7.96</v>
      </c>
      <c r="K114" s="37">
        <v>7.23</v>
      </c>
      <c r="L114" s="37">
        <v>6.86</v>
      </c>
      <c r="M114" s="37">
        <v>6.45</v>
      </c>
      <c r="N114" s="37">
        <v>7.1</v>
      </c>
      <c r="O114" s="37">
        <v>6.46</v>
      </c>
    </row>
    <row r="115" spans="1:15" ht="16.8" thickTop="1" thickBot="1" x14ac:dyDescent="0.35">
      <c r="A115" s="128"/>
      <c r="B115" s="20" t="s">
        <v>103</v>
      </c>
      <c r="C115" s="32">
        <v>9.0500000000000007</v>
      </c>
      <c r="D115" s="32">
        <v>15.08</v>
      </c>
      <c r="E115" s="32">
        <v>8.74</v>
      </c>
      <c r="F115" s="32">
        <v>8.74</v>
      </c>
      <c r="G115" s="32">
        <v>12.47</v>
      </c>
      <c r="H115" s="32">
        <v>9.86</v>
      </c>
      <c r="I115" s="32">
        <v>10.58</v>
      </c>
      <c r="J115" s="32">
        <v>12.03</v>
      </c>
      <c r="K115" s="32">
        <v>10.92</v>
      </c>
      <c r="L115" s="32">
        <v>10.36</v>
      </c>
      <c r="M115" s="32">
        <v>9.75</v>
      </c>
      <c r="N115" s="32">
        <v>10.73</v>
      </c>
      <c r="O115" s="32">
        <v>9.76</v>
      </c>
    </row>
    <row r="116" spans="1:15" ht="16.8" thickTop="1" thickBot="1" x14ac:dyDescent="0.35">
      <c r="A116" s="128"/>
      <c r="B116" s="38" t="s">
        <v>104</v>
      </c>
      <c r="C116" s="26">
        <f t="shared" ref="C116:O116" si="31">IF(OR(C114="",C115=""),"",C115/C114)</f>
        <v>1.5133779264214047</v>
      </c>
      <c r="D116" s="26">
        <f t="shared" si="31"/>
        <v>1.5125376128385155</v>
      </c>
      <c r="E116" s="26">
        <f t="shared" si="31"/>
        <v>1.5121107266435987</v>
      </c>
      <c r="F116" s="26">
        <f t="shared" si="31"/>
        <v>1.5121107266435987</v>
      </c>
      <c r="G116" s="26">
        <f t="shared" si="31"/>
        <v>1.5115151515151517</v>
      </c>
      <c r="H116" s="26">
        <f t="shared" si="31"/>
        <v>1.5122699386503067</v>
      </c>
      <c r="I116" s="26">
        <f t="shared" si="31"/>
        <v>1.5114285714285713</v>
      </c>
      <c r="J116" s="26">
        <f t="shared" si="31"/>
        <v>1.5113065326633166</v>
      </c>
      <c r="K116" s="26">
        <f t="shared" si="31"/>
        <v>1.5103734439834025</v>
      </c>
      <c r="L116" s="26">
        <f t="shared" si="31"/>
        <v>1.510204081632653</v>
      </c>
      <c r="M116" s="26">
        <f t="shared" si="31"/>
        <v>1.5116279069767442</v>
      </c>
      <c r="N116" s="26">
        <f t="shared" si="31"/>
        <v>1.511267605633803</v>
      </c>
      <c r="O116" s="26">
        <f t="shared" si="31"/>
        <v>1.5108359133126934</v>
      </c>
    </row>
    <row r="117" spans="1:15" ht="16.8" thickTop="1" thickBot="1" x14ac:dyDescent="0.35">
      <c r="A117" s="128">
        <v>150</v>
      </c>
      <c r="B117" s="30" t="s">
        <v>102</v>
      </c>
      <c r="C117" s="37">
        <v>7.07</v>
      </c>
      <c r="D117" s="37">
        <v>11.79</v>
      </c>
      <c r="E117" s="37">
        <v>6.83</v>
      </c>
      <c r="F117" s="37">
        <v>6.83</v>
      </c>
      <c r="G117" s="37">
        <v>9.75</v>
      </c>
      <c r="H117" s="37">
        <v>7.71</v>
      </c>
      <c r="I117" s="37">
        <v>8.25</v>
      </c>
      <c r="J117" s="37">
        <v>9.41</v>
      </c>
      <c r="K117" s="37">
        <v>8.5399999999999991</v>
      </c>
      <c r="L117" s="37">
        <v>8.11</v>
      </c>
      <c r="M117" s="37">
        <v>8.6199999999999992</v>
      </c>
      <c r="N117" s="37">
        <v>8.39</v>
      </c>
      <c r="O117" s="37">
        <v>7.63</v>
      </c>
    </row>
    <row r="118" spans="1:15" ht="16.8" thickTop="1" thickBot="1" x14ac:dyDescent="0.35">
      <c r="A118" s="128"/>
      <c r="B118" s="20" t="s">
        <v>103</v>
      </c>
      <c r="C118" s="32">
        <v>10.61</v>
      </c>
      <c r="D118" s="32">
        <v>17.68</v>
      </c>
      <c r="E118" s="32">
        <v>10.25</v>
      </c>
      <c r="F118" s="32">
        <v>10.25</v>
      </c>
      <c r="G118" s="32">
        <v>14.62</v>
      </c>
      <c r="H118" s="32">
        <v>11.56</v>
      </c>
      <c r="I118" s="32">
        <v>12.41</v>
      </c>
      <c r="J118" s="32">
        <v>14.11</v>
      </c>
      <c r="K118" s="32">
        <v>12.81</v>
      </c>
      <c r="L118" s="32">
        <v>12.15</v>
      </c>
      <c r="M118" s="32">
        <v>11.43</v>
      </c>
      <c r="N118" s="32">
        <v>12.58</v>
      </c>
      <c r="O118" s="32">
        <v>11.44</v>
      </c>
    </row>
    <row r="119" spans="1:15" ht="16.8" thickTop="1" thickBot="1" x14ac:dyDescent="0.35">
      <c r="A119" s="128"/>
      <c r="B119" s="38" t="s">
        <v>104</v>
      </c>
      <c r="C119" s="26">
        <f t="shared" ref="C119:O119" si="32">IF(OR(C117="",C118=""),"",C118/C117)</f>
        <v>1.5007072135785007</v>
      </c>
      <c r="D119" s="26">
        <f t="shared" si="32"/>
        <v>1.4995759117896523</v>
      </c>
      <c r="E119" s="26">
        <f t="shared" si="32"/>
        <v>1.5007320644216691</v>
      </c>
      <c r="F119" s="26">
        <f t="shared" si="32"/>
        <v>1.5007320644216691</v>
      </c>
      <c r="G119" s="26">
        <f t="shared" si="32"/>
        <v>1.4994871794871794</v>
      </c>
      <c r="H119" s="26">
        <f t="shared" si="32"/>
        <v>1.4993514915693904</v>
      </c>
      <c r="I119" s="26">
        <f t="shared" si="32"/>
        <v>1.5042424242424242</v>
      </c>
      <c r="J119" s="26">
        <f t="shared" si="32"/>
        <v>1.4994686503719448</v>
      </c>
      <c r="K119" s="26">
        <f t="shared" si="32"/>
        <v>1.5000000000000002</v>
      </c>
      <c r="L119" s="26">
        <f t="shared" si="32"/>
        <v>1.4981504315659682</v>
      </c>
      <c r="M119" s="26">
        <f t="shared" si="32"/>
        <v>1.3259860788863109</v>
      </c>
      <c r="N119" s="26">
        <f t="shared" si="32"/>
        <v>1.4994040524433849</v>
      </c>
      <c r="O119" s="26">
        <f t="shared" si="32"/>
        <v>1.4993446920052425</v>
      </c>
    </row>
    <row r="120" spans="1:15" ht="16.8" thickTop="1" thickBot="1" x14ac:dyDescent="0.35">
      <c r="A120" s="128" t="s">
        <v>145</v>
      </c>
      <c r="B120" s="30" t="s">
        <v>102</v>
      </c>
      <c r="C120" s="37">
        <v>0.28000000000000003</v>
      </c>
      <c r="D120" s="37">
        <v>0.47</v>
      </c>
      <c r="E120" s="37">
        <v>0.27</v>
      </c>
      <c r="F120" s="37">
        <v>0.27</v>
      </c>
      <c r="G120" s="37">
        <v>0.38</v>
      </c>
      <c r="H120" s="37">
        <v>0.3</v>
      </c>
      <c r="I120" s="37">
        <v>0.33</v>
      </c>
      <c r="J120" s="37">
        <v>0.37</v>
      </c>
      <c r="K120" s="37">
        <v>0.34</v>
      </c>
      <c r="L120" s="37">
        <v>0.32</v>
      </c>
      <c r="M120" s="37">
        <v>0.3</v>
      </c>
      <c r="N120" s="37">
        <v>0.33</v>
      </c>
      <c r="O120" s="37">
        <v>0.3</v>
      </c>
    </row>
    <row r="121" spans="1:15" ht="16.8" thickTop="1" thickBot="1" x14ac:dyDescent="0.35">
      <c r="A121" s="128"/>
      <c r="B121" s="20" t="s">
        <v>103</v>
      </c>
      <c r="C121" s="32">
        <v>0.39</v>
      </c>
      <c r="D121" s="32">
        <v>0.66</v>
      </c>
      <c r="E121" s="32">
        <v>0.38</v>
      </c>
      <c r="F121" s="32">
        <v>0.38</v>
      </c>
      <c r="G121" s="32">
        <v>0.54</v>
      </c>
      <c r="H121" s="32">
        <v>0.43</v>
      </c>
      <c r="I121" s="32">
        <v>0.46</v>
      </c>
      <c r="J121" s="32">
        <v>0.52</v>
      </c>
      <c r="K121" s="32">
        <v>0.47</v>
      </c>
      <c r="L121" s="32">
        <v>0.45</v>
      </c>
      <c r="M121" s="32">
        <v>0.42</v>
      </c>
      <c r="N121" s="32">
        <v>0.47</v>
      </c>
      <c r="O121" s="32">
        <v>0.42</v>
      </c>
    </row>
    <row r="122" spans="1:15" ht="16.8" thickTop="1" thickBot="1" x14ac:dyDescent="0.35">
      <c r="A122" s="128"/>
      <c r="B122" s="38" t="s">
        <v>104</v>
      </c>
      <c r="C122" s="26">
        <f t="shared" ref="C122:O122" si="33">IF(OR(C120="",C121=""),"",C121/C120)</f>
        <v>1.3928571428571428</v>
      </c>
      <c r="D122" s="26">
        <f t="shared" si="33"/>
        <v>1.4042553191489364</v>
      </c>
      <c r="E122" s="26">
        <f t="shared" si="33"/>
        <v>1.4074074074074074</v>
      </c>
      <c r="F122" s="26">
        <f t="shared" si="33"/>
        <v>1.4074074074074074</v>
      </c>
      <c r="G122" s="26">
        <f t="shared" si="33"/>
        <v>1.4210526315789473</v>
      </c>
      <c r="H122" s="26">
        <f t="shared" si="33"/>
        <v>1.4333333333333333</v>
      </c>
      <c r="I122" s="26">
        <f t="shared" si="33"/>
        <v>1.393939393939394</v>
      </c>
      <c r="J122" s="26">
        <f t="shared" si="33"/>
        <v>1.4054054054054055</v>
      </c>
      <c r="K122" s="26">
        <f t="shared" si="33"/>
        <v>1.3823529411764703</v>
      </c>
      <c r="L122" s="26">
        <f t="shared" si="33"/>
        <v>1.40625</v>
      </c>
      <c r="M122" s="26">
        <f t="shared" si="33"/>
        <v>1.4</v>
      </c>
      <c r="N122" s="26">
        <f t="shared" si="33"/>
        <v>1.4242424242424241</v>
      </c>
      <c r="O122" s="26">
        <f t="shared" si="33"/>
        <v>1.4</v>
      </c>
    </row>
    <row r="123" spans="1:15" ht="16.8" thickTop="1" thickBot="1" x14ac:dyDescent="0.35">
      <c r="A123" s="128" t="s">
        <v>171</v>
      </c>
      <c r="B123" s="30" t="s">
        <v>102</v>
      </c>
      <c r="C123" s="37">
        <v>0.71</v>
      </c>
      <c r="D123" s="37">
        <v>1.19</v>
      </c>
      <c r="E123" s="37">
        <v>0.69</v>
      </c>
      <c r="F123" s="37">
        <v>0.69</v>
      </c>
      <c r="G123" s="37">
        <v>0.99</v>
      </c>
      <c r="H123" s="37">
        <v>0.78</v>
      </c>
      <c r="I123" s="37">
        <v>0.84</v>
      </c>
      <c r="J123" s="37">
        <v>0.95</v>
      </c>
      <c r="K123" s="37">
        <v>0.86</v>
      </c>
      <c r="L123" s="37">
        <v>0.82</v>
      </c>
      <c r="M123" s="37">
        <v>0.77</v>
      </c>
      <c r="N123" s="37">
        <v>0.85</v>
      </c>
      <c r="O123" s="37">
        <v>0.77</v>
      </c>
    </row>
    <row r="124" spans="1:15" ht="16.8" thickTop="1" thickBot="1" x14ac:dyDescent="0.35">
      <c r="A124" s="128"/>
      <c r="B124" s="20" t="s">
        <v>103</v>
      </c>
      <c r="C124" s="32">
        <v>1</v>
      </c>
      <c r="D124" s="32">
        <v>1.67</v>
      </c>
      <c r="E124" s="32">
        <v>0.97</v>
      </c>
      <c r="F124" s="32">
        <v>0.97</v>
      </c>
      <c r="G124" s="32">
        <v>1.38</v>
      </c>
      <c r="H124" s="32">
        <v>1.0900000000000001</v>
      </c>
      <c r="I124" s="32">
        <v>1.17</v>
      </c>
      <c r="J124" s="32">
        <v>1.33</v>
      </c>
      <c r="K124" s="32">
        <v>1.21</v>
      </c>
      <c r="L124" s="32">
        <v>1.1499999999999999</v>
      </c>
      <c r="M124" s="32">
        <v>1.08</v>
      </c>
      <c r="N124" s="32">
        <v>1.19</v>
      </c>
      <c r="O124" s="32">
        <v>1.08</v>
      </c>
    </row>
    <row r="125" spans="1:15" ht="16.8" thickTop="1" thickBot="1" x14ac:dyDescent="0.35">
      <c r="A125" s="128"/>
      <c r="B125" s="38" t="s">
        <v>104</v>
      </c>
      <c r="C125" s="26">
        <f t="shared" ref="C125:O125" si="34">IF(OR(C123="",C124=""),"",C124/C123)</f>
        <v>1.4084507042253522</v>
      </c>
      <c r="D125" s="26">
        <f t="shared" si="34"/>
        <v>1.403361344537815</v>
      </c>
      <c r="E125" s="26">
        <f t="shared" si="34"/>
        <v>1.4057971014492754</v>
      </c>
      <c r="F125" s="26">
        <f t="shared" si="34"/>
        <v>1.4057971014492754</v>
      </c>
      <c r="G125" s="26">
        <f t="shared" si="34"/>
        <v>1.3939393939393938</v>
      </c>
      <c r="H125" s="26">
        <f t="shared" si="34"/>
        <v>1.3974358974358976</v>
      </c>
      <c r="I125" s="26">
        <f t="shared" si="34"/>
        <v>1.3928571428571428</v>
      </c>
      <c r="J125" s="26">
        <f t="shared" si="34"/>
        <v>1.4000000000000001</v>
      </c>
      <c r="K125" s="26">
        <f t="shared" si="34"/>
        <v>1.4069767441860466</v>
      </c>
      <c r="L125" s="26">
        <f t="shared" si="34"/>
        <v>1.4024390243902438</v>
      </c>
      <c r="M125" s="26">
        <f t="shared" si="34"/>
        <v>1.4025974025974026</v>
      </c>
      <c r="N125" s="26">
        <f t="shared" si="34"/>
        <v>1.4</v>
      </c>
      <c r="O125" s="26">
        <f t="shared" si="34"/>
        <v>1.4025974025974026</v>
      </c>
    </row>
    <row r="126" spans="1:15" ht="16.8" thickTop="1" thickBot="1" x14ac:dyDescent="0.35">
      <c r="A126" s="128" t="s">
        <v>151</v>
      </c>
      <c r="B126" s="30" t="s">
        <v>102</v>
      </c>
      <c r="C126" s="37">
        <v>1.96</v>
      </c>
      <c r="D126" s="37">
        <v>3.27</v>
      </c>
      <c r="E126" s="37">
        <v>1.89</v>
      </c>
      <c r="F126" s="37">
        <v>1.89</v>
      </c>
      <c r="G126" s="37">
        <v>2.7</v>
      </c>
      <c r="H126" s="37">
        <v>2.14</v>
      </c>
      <c r="I126" s="37">
        <v>2.29</v>
      </c>
      <c r="J126" s="37">
        <v>2.61</v>
      </c>
      <c r="K126" s="37">
        <v>2.37</v>
      </c>
      <c r="L126" s="37">
        <v>2.25</v>
      </c>
      <c r="M126" s="37">
        <v>2.11</v>
      </c>
      <c r="N126" s="37">
        <v>2.3199999999999998</v>
      </c>
      <c r="O126" s="37">
        <v>2.11</v>
      </c>
    </row>
    <row r="127" spans="1:15" ht="16.8" thickTop="1" thickBot="1" x14ac:dyDescent="0.35">
      <c r="A127" s="128"/>
      <c r="B127" s="20" t="s">
        <v>103</v>
      </c>
      <c r="C127" s="32">
        <v>2.7</v>
      </c>
      <c r="D127" s="32">
        <v>4.51</v>
      </c>
      <c r="E127" s="32">
        <v>2.61</v>
      </c>
      <c r="F127" s="32">
        <v>2.61</v>
      </c>
      <c r="G127" s="32">
        <v>3.73</v>
      </c>
      <c r="H127" s="32">
        <v>2.95</v>
      </c>
      <c r="I127" s="32">
        <v>3.16</v>
      </c>
      <c r="J127" s="32">
        <v>3.6</v>
      </c>
      <c r="K127" s="32">
        <v>3.26</v>
      </c>
      <c r="L127" s="32">
        <v>3.1</v>
      </c>
      <c r="M127" s="32">
        <v>2.92</v>
      </c>
      <c r="N127" s="32">
        <v>3.21</v>
      </c>
      <c r="O127" s="32">
        <v>2.92</v>
      </c>
    </row>
    <row r="128" spans="1:15" ht="16.8" thickTop="1" thickBot="1" x14ac:dyDescent="0.35">
      <c r="A128" s="128"/>
      <c r="B128" s="38" t="s">
        <v>104</v>
      </c>
      <c r="C128" s="26">
        <f t="shared" ref="C128:O128" si="35">IF(OR(C126="",C127=""),"",C127/C126)</f>
        <v>1.3775510204081634</v>
      </c>
      <c r="D128" s="26">
        <f t="shared" si="35"/>
        <v>1.3792048929663607</v>
      </c>
      <c r="E128" s="26">
        <f t="shared" si="35"/>
        <v>1.3809523809523809</v>
      </c>
      <c r="F128" s="26">
        <f t="shared" si="35"/>
        <v>1.3809523809523809</v>
      </c>
      <c r="G128" s="26">
        <f t="shared" si="35"/>
        <v>1.3814814814814813</v>
      </c>
      <c r="H128" s="26">
        <f t="shared" si="35"/>
        <v>1.3785046728971964</v>
      </c>
      <c r="I128" s="26">
        <f t="shared" si="35"/>
        <v>1.3799126637554586</v>
      </c>
      <c r="J128" s="26">
        <f t="shared" si="35"/>
        <v>1.3793103448275863</v>
      </c>
      <c r="K128" s="26">
        <f t="shared" si="35"/>
        <v>1.3755274261603374</v>
      </c>
      <c r="L128" s="26">
        <f t="shared" si="35"/>
        <v>1.3777777777777778</v>
      </c>
      <c r="M128" s="26">
        <f t="shared" si="35"/>
        <v>1.3838862559241707</v>
      </c>
      <c r="N128" s="26">
        <f t="shared" si="35"/>
        <v>1.3836206896551726</v>
      </c>
      <c r="O128" s="26">
        <f t="shared" si="35"/>
        <v>1.3838862559241707</v>
      </c>
    </row>
    <row r="129" spans="1:15" ht="15" customHeight="1" thickTop="1" x14ac:dyDescent="0.3"/>
    <row r="130" spans="1:15" ht="16.2" thickBot="1" x14ac:dyDescent="0.35">
      <c r="A130" s="8" t="s">
        <v>148</v>
      </c>
    </row>
    <row r="131" spans="1:15" ht="16.2" thickTop="1" x14ac:dyDescent="0.3">
      <c r="B131" s="15" t="s">
        <v>100</v>
      </c>
      <c r="C131" s="31" t="s">
        <v>13</v>
      </c>
      <c r="D131" s="31" t="s">
        <v>26</v>
      </c>
      <c r="E131" s="31" t="s">
        <v>14</v>
      </c>
      <c r="F131" s="31" t="s">
        <v>18</v>
      </c>
      <c r="G131" s="31" t="s">
        <v>20</v>
      </c>
      <c r="H131" s="31" t="s">
        <v>21</v>
      </c>
      <c r="I131" s="31" t="s">
        <v>21</v>
      </c>
      <c r="J131" s="31" t="s">
        <v>21</v>
      </c>
      <c r="K131" s="31" t="s">
        <v>38</v>
      </c>
      <c r="L131" s="31" t="s">
        <v>22</v>
      </c>
      <c r="M131" s="31" t="s">
        <v>39</v>
      </c>
      <c r="N131" s="31" t="s">
        <v>42</v>
      </c>
      <c r="O131" s="31" t="s">
        <v>43</v>
      </c>
    </row>
    <row r="132" spans="1:15" ht="15.6" x14ac:dyDescent="0.3">
      <c r="B132" s="18" t="s">
        <v>114</v>
      </c>
      <c r="C132" s="32">
        <v>2</v>
      </c>
      <c r="D132" s="32">
        <v>3.6</v>
      </c>
      <c r="E132" s="32">
        <v>5</v>
      </c>
      <c r="F132" s="32">
        <v>10</v>
      </c>
      <c r="G132" s="32">
        <v>14.4</v>
      </c>
      <c r="H132" s="32">
        <v>19.2</v>
      </c>
      <c r="I132" s="32">
        <v>19.2</v>
      </c>
      <c r="J132" s="32">
        <v>19.2</v>
      </c>
      <c r="K132" s="32">
        <f>48*0.6</f>
        <v>28.799999999999997</v>
      </c>
      <c r="L132" s="32">
        <f>64*0.6</f>
        <v>38.4</v>
      </c>
      <c r="M132" s="32">
        <f>96*0.6</f>
        <v>57.599999999999994</v>
      </c>
      <c r="N132" s="32">
        <f>24*1.2</f>
        <v>28.799999999999997</v>
      </c>
      <c r="O132" s="32">
        <f>48*1.2</f>
        <v>57.599999999999994</v>
      </c>
    </row>
    <row r="133" spans="1:15" ht="15.6" x14ac:dyDescent="0.3">
      <c r="B133" s="18" t="s">
        <v>101</v>
      </c>
      <c r="C133" s="32" t="s">
        <v>13</v>
      </c>
      <c r="D133" s="32" t="s">
        <v>26</v>
      </c>
      <c r="E133" s="32" t="s">
        <v>14</v>
      </c>
      <c r="F133" s="32" t="s">
        <v>18</v>
      </c>
      <c r="G133" s="32" t="s">
        <v>20</v>
      </c>
      <c r="H133" s="32" t="s">
        <v>21</v>
      </c>
      <c r="I133" s="32" t="s">
        <v>22</v>
      </c>
      <c r="J133" s="32" t="s">
        <v>22</v>
      </c>
      <c r="K133" s="32" t="s">
        <v>39</v>
      </c>
      <c r="L133" s="32" t="s">
        <v>40</v>
      </c>
      <c r="M133" s="32" t="s">
        <v>41</v>
      </c>
      <c r="N133" s="32" t="s">
        <v>42</v>
      </c>
      <c r="O133" s="32" t="s">
        <v>149</v>
      </c>
    </row>
    <row r="134" spans="1:15" ht="16.2" thickBot="1" x14ac:dyDescent="0.35">
      <c r="B134" s="33" t="s">
        <v>115</v>
      </c>
      <c r="C134" s="40"/>
      <c r="D134" s="40"/>
      <c r="E134" s="40"/>
      <c r="F134" s="40"/>
      <c r="G134" s="40"/>
      <c r="H134" s="40" t="s">
        <v>119</v>
      </c>
      <c r="I134" s="40" t="s">
        <v>150</v>
      </c>
      <c r="J134" s="40" t="s">
        <v>121</v>
      </c>
      <c r="K134" s="40" t="s">
        <v>121</v>
      </c>
      <c r="L134" s="40" t="s">
        <v>121</v>
      </c>
      <c r="M134" s="40" t="s">
        <v>121</v>
      </c>
      <c r="N134" s="40" t="s">
        <v>121</v>
      </c>
      <c r="O134" s="40"/>
    </row>
    <row r="135" spans="1:15" ht="16.8" thickTop="1" thickBot="1" x14ac:dyDescent="0.35">
      <c r="A135" s="7" t="s">
        <v>6</v>
      </c>
      <c r="B135" s="35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</row>
    <row r="136" spans="1:15" ht="16.8" thickTop="1" thickBot="1" x14ac:dyDescent="0.35">
      <c r="A136" s="128">
        <v>70</v>
      </c>
      <c r="B136" s="30" t="s">
        <v>102</v>
      </c>
      <c r="C136" s="37">
        <v>0.51</v>
      </c>
      <c r="D136" s="37">
        <v>0.84</v>
      </c>
      <c r="E136" s="37">
        <v>0.49</v>
      </c>
      <c r="F136" s="37">
        <v>0.49</v>
      </c>
      <c r="G136" s="37">
        <v>0.7</v>
      </c>
      <c r="H136" s="37">
        <v>0.55000000000000004</v>
      </c>
      <c r="I136" s="37">
        <v>0.59</v>
      </c>
      <c r="J136" s="37">
        <v>0.67</v>
      </c>
      <c r="K136" s="37">
        <v>0.61</v>
      </c>
      <c r="L136" s="37">
        <v>0.57999999999999996</v>
      </c>
      <c r="M136" s="37">
        <v>0.54</v>
      </c>
      <c r="N136" s="37">
        <v>0.6</v>
      </c>
      <c r="O136" s="37">
        <v>0.55000000000000004</v>
      </c>
    </row>
    <row r="137" spans="1:15" ht="16.8" thickTop="1" thickBot="1" x14ac:dyDescent="0.35">
      <c r="A137" s="128"/>
      <c r="B137" s="20" t="s">
        <v>103</v>
      </c>
      <c r="C137" s="32">
        <v>0.83</v>
      </c>
      <c r="D137" s="32">
        <v>1.39</v>
      </c>
      <c r="E137" s="32">
        <v>0.81</v>
      </c>
      <c r="F137" s="32">
        <v>0.81</v>
      </c>
      <c r="G137" s="32">
        <v>1.1499999999999999</v>
      </c>
      <c r="H137" s="32">
        <v>0.91</v>
      </c>
      <c r="I137" s="32">
        <v>0.98</v>
      </c>
      <c r="J137" s="32">
        <v>1.1100000000000001</v>
      </c>
      <c r="K137" s="32">
        <v>1.01</v>
      </c>
      <c r="L137" s="32">
        <v>0.96</v>
      </c>
      <c r="M137" s="32">
        <v>0.9</v>
      </c>
      <c r="N137" s="32">
        <v>0.99</v>
      </c>
      <c r="O137" s="32">
        <v>0.9</v>
      </c>
    </row>
    <row r="138" spans="1:15" ht="16.8" thickTop="1" thickBot="1" x14ac:dyDescent="0.35">
      <c r="A138" s="128"/>
      <c r="B138" s="38" t="s">
        <v>104</v>
      </c>
      <c r="C138" s="26">
        <f t="shared" ref="C138:O138" si="36">IF(OR(C136="",C137=""),"",C137/C136)</f>
        <v>1.6274509803921569</v>
      </c>
      <c r="D138" s="26">
        <f t="shared" si="36"/>
        <v>1.6547619047619047</v>
      </c>
      <c r="E138" s="26">
        <f t="shared" si="36"/>
        <v>1.653061224489796</v>
      </c>
      <c r="F138" s="26">
        <f t="shared" si="36"/>
        <v>1.653061224489796</v>
      </c>
      <c r="G138" s="26">
        <f t="shared" si="36"/>
        <v>1.6428571428571428</v>
      </c>
      <c r="H138" s="26">
        <f t="shared" si="36"/>
        <v>1.6545454545454545</v>
      </c>
      <c r="I138" s="26">
        <f t="shared" si="36"/>
        <v>1.6610169491525424</v>
      </c>
      <c r="J138" s="26">
        <f t="shared" si="36"/>
        <v>1.6567164179104479</v>
      </c>
      <c r="K138" s="26">
        <f t="shared" si="36"/>
        <v>1.6557377049180328</v>
      </c>
      <c r="L138" s="26">
        <f t="shared" si="36"/>
        <v>1.6551724137931034</v>
      </c>
      <c r="M138" s="26">
        <f t="shared" si="36"/>
        <v>1.6666666666666665</v>
      </c>
      <c r="N138" s="26">
        <f t="shared" si="36"/>
        <v>1.6500000000000001</v>
      </c>
      <c r="O138" s="26">
        <f t="shared" si="36"/>
        <v>1.6363636363636362</v>
      </c>
    </row>
    <row r="139" spans="1:15" ht="16.8" thickTop="1" thickBot="1" x14ac:dyDescent="0.35">
      <c r="A139" s="128">
        <v>80</v>
      </c>
      <c r="B139" s="30" t="s">
        <v>102</v>
      </c>
      <c r="C139" s="37">
        <v>0.9</v>
      </c>
      <c r="D139" s="37">
        <v>1.49</v>
      </c>
      <c r="E139" s="37">
        <v>0.87</v>
      </c>
      <c r="F139" s="37">
        <v>0.87</v>
      </c>
      <c r="G139" s="37">
        <v>1.23</v>
      </c>
      <c r="H139" s="37">
        <v>0.98</v>
      </c>
      <c r="I139" s="37">
        <v>1.05</v>
      </c>
      <c r="J139" s="37">
        <v>1.19</v>
      </c>
      <c r="K139" s="37">
        <v>1.08</v>
      </c>
      <c r="L139" s="37">
        <v>1.03</v>
      </c>
      <c r="M139" s="37">
        <v>0.97</v>
      </c>
      <c r="N139" s="37">
        <v>1.06</v>
      </c>
      <c r="O139" s="37">
        <v>0.97</v>
      </c>
    </row>
    <row r="140" spans="1:15" ht="16.8" thickTop="1" thickBot="1" x14ac:dyDescent="0.35">
      <c r="A140" s="128"/>
      <c r="B140" s="20" t="s">
        <v>103</v>
      </c>
      <c r="C140" s="32">
        <v>1.36</v>
      </c>
      <c r="D140" s="32">
        <v>2.27</v>
      </c>
      <c r="E140" s="32">
        <v>1.32</v>
      </c>
      <c r="F140" s="32">
        <v>1.32</v>
      </c>
      <c r="G140" s="32">
        <v>1.88</v>
      </c>
      <c r="H140" s="32">
        <v>1.48</v>
      </c>
      <c r="I140" s="32">
        <v>1.59</v>
      </c>
      <c r="J140" s="32">
        <v>1.81</v>
      </c>
      <c r="K140" s="32">
        <v>1.64</v>
      </c>
      <c r="L140" s="32">
        <v>1.56</v>
      </c>
      <c r="M140" s="32">
        <v>1.47</v>
      </c>
      <c r="N140" s="32">
        <v>1.61</v>
      </c>
      <c r="O140" s="32">
        <v>1.47</v>
      </c>
    </row>
    <row r="141" spans="1:15" ht="16.8" thickTop="1" thickBot="1" x14ac:dyDescent="0.35">
      <c r="A141" s="128"/>
      <c r="B141" s="38" t="s">
        <v>104</v>
      </c>
      <c r="C141" s="26">
        <f t="shared" ref="C141:O141" si="37">IF(OR(C139="",C140=""),"",C140/C139)</f>
        <v>1.5111111111111111</v>
      </c>
      <c r="D141" s="26">
        <f t="shared" si="37"/>
        <v>1.523489932885906</v>
      </c>
      <c r="E141" s="26">
        <f t="shared" si="37"/>
        <v>1.517241379310345</v>
      </c>
      <c r="F141" s="26">
        <f t="shared" si="37"/>
        <v>1.517241379310345</v>
      </c>
      <c r="G141" s="26">
        <f t="shared" si="37"/>
        <v>1.5284552845528454</v>
      </c>
      <c r="H141" s="26">
        <f t="shared" si="37"/>
        <v>1.510204081632653</v>
      </c>
      <c r="I141" s="26">
        <f t="shared" si="37"/>
        <v>1.5142857142857142</v>
      </c>
      <c r="J141" s="26">
        <f t="shared" si="37"/>
        <v>1.5210084033613447</v>
      </c>
      <c r="K141" s="26">
        <f t="shared" si="37"/>
        <v>1.5185185185185184</v>
      </c>
      <c r="L141" s="26">
        <f t="shared" si="37"/>
        <v>1.5145631067961165</v>
      </c>
      <c r="M141" s="26">
        <f t="shared" si="37"/>
        <v>1.5154639175257731</v>
      </c>
      <c r="N141" s="26">
        <f t="shared" si="37"/>
        <v>1.5188679245283019</v>
      </c>
      <c r="O141" s="26">
        <f t="shared" si="37"/>
        <v>1.5154639175257731</v>
      </c>
    </row>
    <row r="142" spans="1:15" ht="16.8" thickTop="1" thickBot="1" x14ac:dyDescent="0.35">
      <c r="A142" s="128">
        <v>90</v>
      </c>
      <c r="B142" s="30" t="s">
        <v>102</v>
      </c>
      <c r="C142" s="37">
        <v>1.4</v>
      </c>
      <c r="D142" s="37">
        <v>2.34</v>
      </c>
      <c r="E142" s="37">
        <v>1.35</v>
      </c>
      <c r="F142" s="37">
        <v>1.35</v>
      </c>
      <c r="G142" s="37">
        <v>1.93</v>
      </c>
      <c r="H142" s="37">
        <v>1.53</v>
      </c>
      <c r="I142" s="37">
        <v>1.64</v>
      </c>
      <c r="J142" s="37">
        <v>1.87</v>
      </c>
      <c r="K142" s="37">
        <v>1.69</v>
      </c>
      <c r="L142" s="37">
        <v>1.61</v>
      </c>
      <c r="M142" s="37">
        <v>1.51</v>
      </c>
      <c r="N142" s="37">
        <v>1.66</v>
      </c>
      <c r="O142" s="37">
        <v>1.51</v>
      </c>
    </row>
    <row r="143" spans="1:15" ht="16.8" thickTop="1" thickBot="1" x14ac:dyDescent="0.35">
      <c r="A143" s="128"/>
      <c r="B143" s="20" t="s">
        <v>103</v>
      </c>
      <c r="C143" s="32">
        <v>2.1</v>
      </c>
      <c r="D143" s="32">
        <v>3.49</v>
      </c>
      <c r="E143" s="32">
        <v>2.02</v>
      </c>
      <c r="F143" s="32">
        <v>2.02</v>
      </c>
      <c r="G143" s="32">
        <v>2.89</v>
      </c>
      <c r="H143" s="32">
        <v>2.2799999999999998</v>
      </c>
      <c r="I143" s="32">
        <v>2.4500000000000002</v>
      </c>
      <c r="J143" s="32">
        <v>2.79</v>
      </c>
      <c r="K143" s="32">
        <v>2.5299999999999998</v>
      </c>
      <c r="L143" s="32">
        <v>2.4</v>
      </c>
      <c r="M143" s="32">
        <v>2.2599999999999998</v>
      </c>
      <c r="N143" s="32">
        <v>2.4900000000000002</v>
      </c>
      <c r="O143" s="32">
        <v>2.2599999999999998</v>
      </c>
    </row>
    <row r="144" spans="1:15" ht="16.8" thickTop="1" thickBot="1" x14ac:dyDescent="0.35">
      <c r="A144" s="128"/>
      <c r="B144" s="38" t="s">
        <v>104</v>
      </c>
      <c r="C144" s="26">
        <f t="shared" ref="C144:O144" si="38">IF(OR(C142="",C143=""),"",C143/C142)</f>
        <v>1.5000000000000002</v>
      </c>
      <c r="D144" s="26">
        <f t="shared" si="38"/>
        <v>1.4914529914529917</v>
      </c>
      <c r="E144" s="26">
        <f t="shared" si="38"/>
        <v>1.4962962962962962</v>
      </c>
      <c r="F144" s="26">
        <f t="shared" si="38"/>
        <v>1.4962962962962962</v>
      </c>
      <c r="G144" s="26">
        <f t="shared" si="38"/>
        <v>1.4974093264248707</v>
      </c>
      <c r="H144" s="26">
        <f t="shared" si="38"/>
        <v>1.4901960784313724</v>
      </c>
      <c r="I144" s="26">
        <f t="shared" si="38"/>
        <v>1.4939024390243905</v>
      </c>
      <c r="J144" s="26">
        <f t="shared" si="38"/>
        <v>1.4919786096256684</v>
      </c>
      <c r="K144" s="26">
        <f t="shared" si="38"/>
        <v>1.4970414201183431</v>
      </c>
      <c r="L144" s="26">
        <f t="shared" si="38"/>
        <v>1.4906832298136645</v>
      </c>
      <c r="M144" s="26">
        <f t="shared" si="38"/>
        <v>1.4966887417218542</v>
      </c>
      <c r="N144" s="26">
        <f t="shared" si="38"/>
        <v>1.5000000000000002</v>
      </c>
      <c r="O144" s="26">
        <f t="shared" si="38"/>
        <v>1.4966887417218542</v>
      </c>
    </row>
    <row r="145" spans="1:15" ht="16.8" thickTop="1" thickBot="1" x14ac:dyDescent="0.35">
      <c r="A145" s="128">
        <v>100</v>
      </c>
      <c r="B145" s="30" t="s">
        <v>102</v>
      </c>
      <c r="C145" s="37">
        <v>2.04</v>
      </c>
      <c r="D145" s="37">
        <v>3.41</v>
      </c>
      <c r="E145" s="37">
        <v>1.98</v>
      </c>
      <c r="F145" s="37">
        <v>1.98</v>
      </c>
      <c r="G145" s="37">
        <v>2.82</v>
      </c>
      <c r="H145" s="37">
        <v>2.23</v>
      </c>
      <c r="I145" s="37">
        <v>2.39</v>
      </c>
      <c r="J145" s="37">
        <v>2.72</v>
      </c>
      <c r="K145" s="37">
        <v>2.4700000000000002</v>
      </c>
      <c r="L145" s="37">
        <v>2.34</v>
      </c>
      <c r="M145" s="37">
        <v>2.2000000000000002</v>
      </c>
      <c r="N145" s="37">
        <v>2.42</v>
      </c>
      <c r="O145" s="37">
        <v>2.21</v>
      </c>
    </row>
    <row r="146" spans="1:15" ht="16.8" thickTop="1" thickBot="1" x14ac:dyDescent="0.35">
      <c r="A146" s="128"/>
      <c r="B146" s="20" t="s">
        <v>103</v>
      </c>
      <c r="C146" s="32">
        <v>2.94</v>
      </c>
      <c r="D146" s="32">
        <v>4.9000000000000004</v>
      </c>
      <c r="E146" s="32">
        <v>2.84</v>
      </c>
      <c r="F146" s="32">
        <v>2.84</v>
      </c>
      <c r="G146" s="32">
        <v>4.05</v>
      </c>
      <c r="H146" s="32">
        <v>3.2</v>
      </c>
      <c r="I146" s="32">
        <v>3.44</v>
      </c>
      <c r="J146" s="32">
        <v>3.91</v>
      </c>
      <c r="K146" s="32">
        <v>3.55</v>
      </c>
      <c r="L146" s="32">
        <v>3.37</v>
      </c>
      <c r="M146" s="32">
        <v>3.17</v>
      </c>
      <c r="N146" s="32">
        <v>3.48</v>
      </c>
      <c r="O146" s="32">
        <v>3.17</v>
      </c>
    </row>
    <row r="147" spans="1:15" ht="16.8" thickTop="1" thickBot="1" x14ac:dyDescent="0.35">
      <c r="A147" s="128"/>
      <c r="B147" s="38" t="s">
        <v>104</v>
      </c>
      <c r="C147" s="26">
        <f t="shared" ref="C147:O147" si="39">IF(OR(C145="",C146=""),"",C146/C145)</f>
        <v>1.4411764705882353</v>
      </c>
      <c r="D147" s="26">
        <f t="shared" si="39"/>
        <v>1.436950146627566</v>
      </c>
      <c r="E147" s="26">
        <f t="shared" si="39"/>
        <v>1.4343434343434343</v>
      </c>
      <c r="F147" s="26">
        <f t="shared" si="39"/>
        <v>1.4343434343434343</v>
      </c>
      <c r="G147" s="26">
        <f t="shared" si="39"/>
        <v>1.4361702127659575</v>
      </c>
      <c r="H147" s="26">
        <f t="shared" si="39"/>
        <v>1.4349775784753365</v>
      </c>
      <c r="I147" s="26">
        <f t="shared" si="39"/>
        <v>1.4393305439330544</v>
      </c>
      <c r="J147" s="26">
        <f t="shared" si="39"/>
        <v>1.4375</v>
      </c>
      <c r="K147" s="26">
        <f t="shared" si="39"/>
        <v>1.4372469635627529</v>
      </c>
      <c r="L147" s="26">
        <f t="shared" si="39"/>
        <v>1.4401709401709404</v>
      </c>
      <c r="M147" s="26">
        <f t="shared" si="39"/>
        <v>1.4409090909090907</v>
      </c>
      <c r="N147" s="26">
        <f t="shared" si="39"/>
        <v>1.4380165289256199</v>
      </c>
      <c r="O147" s="26">
        <f t="shared" si="39"/>
        <v>1.4343891402714932</v>
      </c>
    </row>
    <row r="148" spans="1:15" ht="16.8" thickTop="1" thickBot="1" x14ac:dyDescent="0.35">
      <c r="A148" s="128">
        <v>110</v>
      </c>
      <c r="B148" s="30" t="s">
        <v>102</v>
      </c>
      <c r="C148" s="37">
        <v>2.75</v>
      </c>
      <c r="D148" s="37">
        <v>4.59</v>
      </c>
      <c r="E148" s="37">
        <v>2.66</v>
      </c>
      <c r="F148" s="37">
        <v>2.66</v>
      </c>
      <c r="G148" s="37">
        <v>3.79</v>
      </c>
      <c r="H148" s="37">
        <v>3</v>
      </c>
      <c r="I148" s="37">
        <v>3.22</v>
      </c>
      <c r="J148" s="37">
        <v>3.66</v>
      </c>
      <c r="K148" s="37">
        <v>3.32</v>
      </c>
      <c r="L148" s="37">
        <v>3.5</v>
      </c>
      <c r="M148" s="37">
        <v>2.97</v>
      </c>
      <c r="N148" s="37">
        <v>3.26</v>
      </c>
      <c r="O148" s="37">
        <v>2.97</v>
      </c>
    </row>
    <row r="149" spans="1:15" ht="16.8" thickTop="1" thickBot="1" x14ac:dyDescent="0.35">
      <c r="A149" s="128"/>
      <c r="B149" s="20" t="s">
        <v>103</v>
      </c>
      <c r="C149" s="32">
        <v>3.89</v>
      </c>
      <c r="D149" s="32">
        <v>6.48</v>
      </c>
      <c r="E149" s="32">
        <v>3.76</v>
      </c>
      <c r="F149" s="32">
        <v>3.76</v>
      </c>
      <c r="G149" s="32">
        <v>5.36</v>
      </c>
      <c r="H149" s="32">
        <v>4.24</v>
      </c>
      <c r="I149" s="32">
        <v>4.55</v>
      </c>
      <c r="J149" s="32">
        <v>5.17</v>
      </c>
      <c r="K149" s="32">
        <v>4.6900000000000004</v>
      </c>
      <c r="L149" s="32">
        <v>4.45</v>
      </c>
      <c r="M149" s="32">
        <v>4.1900000000000004</v>
      </c>
      <c r="N149" s="32">
        <v>4.6100000000000003</v>
      </c>
      <c r="O149" s="32">
        <v>4.1900000000000004</v>
      </c>
    </row>
    <row r="150" spans="1:15" ht="16.8" thickTop="1" thickBot="1" x14ac:dyDescent="0.35">
      <c r="A150" s="128"/>
      <c r="B150" s="38" t="s">
        <v>104</v>
      </c>
      <c r="C150" s="26">
        <f t="shared" ref="C150:O150" si="40">IF(OR(C148="",C149=""),"",C149/C148)</f>
        <v>1.4145454545454546</v>
      </c>
      <c r="D150" s="26">
        <f t="shared" si="40"/>
        <v>1.411764705882353</v>
      </c>
      <c r="E150" s="26">
        <f t="shared" si="40"/>
        <v>1.4135338345864661</v>
      </c>
      <c r="F150" s="26">
        <f t="shared" si="40"/>
        <v>1.4135338345864661</v>
      </c>
      <c r="G150" s="26">
        <f t="shared" si="40"/>
        <v>1.4142480211081796</v>
      </c>
      <c r="H150" s="26">
        <f t="shared" si="40"/>
        <v>1.4133333333333333</v>
      </c>
      <c r="I150" s="26">
        <f t="shared" si="40"/>
        <v>1.4130434782608694</v>
      </c>
      <c r="J150" s="26">
        <f t="shared" si="40"/>
        <v>1.4125683060109289</v>
      </c>
      <c r="K150" s="26">
        <f t="shared" si="40"/>
        <v>1.4126506024096388</v>
      </c>
      <c r="L150" s="26">
        <f t="shared" si="40"/>
        <v>1.2714285714285716</v>
      </c>
      <c r="M150" s="26">
        <f t="shared" si="40"/>
        <v>1.4107744107744109</v>
      </c>
      <c r="N150" s="26">
        <f t="shared" si="40"/>
        <v>1.414110429447853</v>
      </c>
      <c r="O150" s="26">
        <f t="shared" si="40"/>
        <v>1.4107744107744109</v>
      </c>
    </row>
    <row r="151" spans="1:15" ht="16.8" thickTop="1" thickBot="1" x14ac:dyDescent="0.35">
      <c r="A151" s="128">
        <v>120</v>
      </c>
      <c r="B151" s="30" t="s">
        <v>102</v>
      </c>
      <c r="C151" s="37">
        <v>3.56</v>
      </c>
      <c r="D151" s="37">
        <v>5.94</v>
      </c>
      <c r="E151" s="37">
        <v>3.44</v>
      </c>
      <c r="F151" s="37">
        <v>3.44</v>
      </c>
      <c r="G151" s="37">
        <v>4.91</v>
      </c>
      <c r="H151" s="37">
        <v>3.88</v>
      </c>
      <c r="I151" s="37">
        <v>4.17</v>
      </c>
      <c r="J151" s="37">
        <v>4.74</v>
      </c>
      <c r="K151" s="37">
        <v>4.3</v>
      </c>
      <c r="L151" s="37">
        <v>4.08</v>
      </c>
      <c r="M151" s="37">
        <v>3.84</v>
      </c>
      <c r="N151" s="37">
        <v>4.2300000000000004</v>
      </c>
      <c r="O151" s="37">
        <v>3.85</v>
      </c>
    </row>
    <row r="152" spans="1:15" ht="16.8" thickTop="1" thickBot="1" x14ac:dyDescent="0.35">
      <c r="A152" s="128"/>
      <c r="B152" s="20" t="s">
        <v>103</v>
      </c>
      <c r="C152" s="32">
        <v>4.95</v>
      </c>
      <c r="D152" s="32">
        <v>8.26</v>
      </c>
      <c r="E152" s="32">
        <v>4.79</v>
      </c>
      <c r="F152" s="32">
        <v>4.79</v>
      </c>
      <c r="G152" s="32">
        <v>6.83</v>
      </c>
      <c r="H152" s="32">
        <v>5.4</v>
      </c>
      <c r="I152" s="32">
        <v>5.8</v>
      </c>
      <c r="J152" s="32">
        <v>6.59</v>
      </c>
      <c r="K152" s="32">
        <v>5.98</v>
      </c>
      <c r="L152" s="32">
        <v>5.68</v>
      </c>
      <c r="M152" s="32">
        <v>5.34</v>
      </c>
      <c r="N152" s="32">
        <v>5.87</v>
      </c>
      <c r="O152" s="32">
        <v>5.34</v>
      </c>
    </row>
    <row r="153" spans="1:15" ht="16.8" thickTop="1" thickBot="1" x14ac:dyDescent="0.35">
      <c r="A153" s="128"/>
      <c r="B153" s="38" t="s">
        <v>104</v>
      </c>
      <c r="C153" s="26">
        <f t="shared" ref="C153:O153" si="41">IF(OR(C151="",C152=""),"",C152/C151)</f>
        <v>1.3904494382022472</v>
      </c>
      <c r="D153" s="26">
        <f t="shared" si="41"/>
        <v>1.3905723905723903</v>
      </c>
      <c r="E153" s="26">
        <f t="shared" si="41"/>
        <v>1.3924418604651163</v>
      </c>
      <c r="F153" s="26">
        <f t="shared" si="41"/>
        <v>1.3924418604651163</v>
      </c>
      <c r="G153" s="26">
        <f t="shared" si="41"/>
        <v>1.3910386965376782</v>
      </c>
      <c r="H153" s="26">
        <f t="shared" si="41"/>
        <v>1.3917525773195878</v>
      </c>
      <c r="I153" s="26">
        <f t="shared" si="41"/>
        <v>1.3908872901678657</v>
      </c>
      <c r="J153" s="26">
        <f t="shared" si="41"/>
        <v>1.390295358649789</v>
      </c>
      <c r="K153" s="26">
        <f t="shared" si="41"/>
        <v>1.3906976744186048</v>
      </c>
      <c r="L153" s="26">
        <f t="shared" si="41"/>
        <v>1.392156862745098</v>
      </c>
      <c r="M153" s="26">
        <f t="shared" si="41"/>
        <v>1.390625</v>
      </c>
      <c r="N153" s="26">
        <f t="shared" si="41"/>
        <v>1.3877068557919621</v>
      </c>
      <c r="O153" s="26">
        <f t="shared" si="41"/>
        <v>1.387012987012987</v>
      </c>
    </row>
    <row r="154" spans="1:15" ht="16.8" thickTop="1" thickBot="1" x14ac:dyDescent="0.35">
      <c r="A154" s="128">
        <v>130</v>
      </c>
      <c r="B154" s="30" t="s">
        <v>102</v>
      </c>
      <c r="C154" s="37">
        <v>4.42</v>
      </c>
      <c r="D154" s="37">
        <v>7.37</v>
      </c>
      <c r="E154" s="37">
        <v>4.2699999999999996</v>
      </c>
      <c r="F154" s="37">
        <v>4.2699999999999996</v>
      </c>
      <c r="G154" s="37">
        <v>609</v>
      </c>
      <c r="H154" s="37">
        <v>4.82</v>
      </c>
      <c r="I154" s="37">
        <v>5.17</v>
      </c>
      <c r="J154" s="37">
        <v>5.88</v>
      </c>
      <c r="K154" s="37">
        <v>5.34</v>
      </c>
      <c r="L154" s="37">
        <v>5.07</v>
      </c>
      <c r="M154" s="37">
        <v>4.7699999999999996</v>
      </c>
      <c r="N154" s="37">
        <v>5.24</v>
      </c>
      <c r="O154" s="37">
        <v>4.7699999999999996</v>
      </c>
    </row>
    <row r="155" spans="1:15" ht="16.8" thickTop="1" thickBot="1" x14ac:dyDescent="0.35">
      <c r="A155" s="128"/>
      <c r="B155" s="20" t="s">
        <v>103</v>
      </c>
      <c r="C155" s="32">
        <v>6.08</v>
      </c>
      <c r="D155" s="32">
        <v>10.130000000000001</v>
      </c>
      <c r="E155" s="32">
        <v>5.87</v>
      </c>
      <c r="F155" s="32">
        <v>5.87</v>
      </c>
      <c r="G155" s="32">
        <v>8.3800000000000008</v>
      </c>
      <c r="H155" s="32">
        <v>6.63</v>
      </c>
      <c r="I155" s="32">
        <v>7.11</v>
      </c>
      <c r="J155" s="32">
        <v>8.09</v>
      </c>
      <c r="K155" s="32">
        <v>7.34</v>
      </c>
      <c r="L155" s="32">
        <v>6.97</v>
      </c>
      <c r="M155" s="32">
        <v>6.55</v>
      </c>
      <c r="N155" s="32">
        <v>7.21</v>
      </c>
      <c r="O155" s="32">
        <v>6.56</v>
      </c>
    </row>
    <row r="156" spans="1:15" ht="16.8" thickTop="1" thickBot="1" x14ac:dyDescent="0.35">
      <c r="A156" s="128"/>
      <c r="B156" s="38" t="s">
        <v>104</v>
      </c>
      <c r="C156" s="26">
        <f t="shared" ref="C156:O156" si="42">IF(OR(C154="",C155=""),"",C155/C154)</f>
        <v>1.3755656108597285</v>
      </c>
      <c r="D156" s="26">
        <f t="shared" si="42"/>
        <v>1.3744911804613298</v>
      </c>
      <c r="E156" s="26">
        <f t="shared" si="42"/>
        <v>1.3747072599531618</v>
      </c>
      <c r="F156" s="26">
        <f t="shared" si="42"/>
        <v>1.3747072599531618</v>
      </c>
      <c r="G156" s="26">
        <f t="shared" si="42"/>
        <v>1.3760262725779968E-2</v>
      </c>
      <c r="H156" s="26">
        <f t="shared" si="42"/>
        <v>1.3755186721991701</v>
      </c>
      <c r="I156" s="26">
        <f t="shared" si="42"/>
        <v>1.3752417794970988</v>
      </c>
      <c r="J156" s="26">
        <f t="shared" si="42"/>
        <v>1.3758503401360545</v>
      </c>
      <c r="K156" s="26">
        <f t="shared" si="42"/>
        <v>1.3745318352059925</v>
      </c>
      <c r="L156" s="26">
        <f t="shared" si="42"/>
        <v>1.3747534516765285</v>
      </c>
      <c r="M156" s="26">
        <f t="shared" si="42"/>
        <v>1.3731656184486374</v>
      </c>
      <c r="N156" s="26">
        <f t="shared" si="42"/>
        <v>1.3759541984732824</v>
      </c>
      <c r="O156" s="26">
        <f t="shared" si="42"/>
        <v>1.3752620545073375</v>
      </c>
    </row>
    <row r="157" spans="1:15" ht="16.8" thickTop="1" thickBot="1" x14ac:dyDescent="0.35">
      <c r="A157" s="128">
        <v>140</v>
      </c>
      <c r="B157" s="30" t="s">
        <v>102</v>
      </c>
      <c r="C157" s="37">
        <v>5.34</v>
      </c>
      <c r="D157" s="37">
        <v>8.9</v>
      </c>
      <c r="E157" s="37">
        <v>5.16</v>
      </c>
      <c r="F157" s="37">
        <v>5.16</v>
      </c>
      <c r="G157" s="37">
        <v>7.36</v>
      </c>
      <c r="H157" s="37">
        <v>5.82</v>
      </c>
      <c r="I157" s="37">
        <v>6.25</v>
      </c>
      <c r="J157" s="37">
        <v>7.1</v>
      </c>
      <c r="K157" s="37">
        <v>6.45</v>
      </c>
      <c r="L157" s="37">
        <v>6.12</v>
      </c>
      <c r="M157" s="37">
        <v>5.76</v>
      </c>
      <c r="N157" s="37">
        <v>6.33</v>
      </c>
      <c r="O157" s="37">
        <v>5.76</v>
      </c>
    </row>
    <row r="158" spans="1:15" ht="16.8" thickTop="1" thickBot="1" x14ac:dyDescent="0.35">
      <c r="A158" s="128"/>
      <c r="B158" s="20" t="s">
        <v>103</v>
      </c>
      <c r="C158" s="32">
        <v>7.28</v>
      </c>
      <c r="D158" s="32">
        <v>12.14</v>
      </c>
      <c r="E158" s="32">
        <v>7.04</v>
      </c>
      <c r="F158" s="32">
        <v>7.04</v>
      </c>
      <c r="G158" s="32">
        <v>10.039999999999999</v>
      </c>
      <c r="H158" s="32">
        <v>7.94</v>
      </c>
      <c r="I158" s="32">
        <v>8.52</v>
      </c>
      <c r="J158" s="32">
        <v>9.69</v>
      </c>
      <c r="K158" s="32">
        <v>8.7899999999999991</v>
      </c>
      <c r="L158" s="32">
        <v>8.35</v>
      </c>
      <c r="M158" s="32">
        <v>7.85</v>
      </c>
      <c r="N158" s="32">
        <v>8.64</v>
      </c>
      <c r="O158" s="32">
        <v>7.86</v>
      </c>
    </row>
    <row r="159" spans="1:15" ht="16.8" thickTop="1" thickBot="1" x14ac:dyDescent="0.35">
      <c r="A159" s="128"/>
      <c r="B159" s="38" t="s">
        <v>104</v>
      </c>
      <c r="C159" s="26">
        <f t="shared" ref="C159:O159" si="43">IF(OR(C157="",C158=""),"",C158/C157)</f>
        <v>1.3632958801498127</v>
      </c>
      <c r="D159" s="26">
        <f t="shared" si="43"/>
        <v>1.3640449438202247</v>
      </c>
      <c r="E159" s="26">
        <f t="shared" si="43"/>
        <v>1.3643410852713178</v>
      </c>
      <c r="F159" s="26">
        <f t="shared" si="43"/>
        <v>1.3643410852713178</v>
      </c>
      <c r="G159" s="26">
        <f t="shared" si="43"/>
        <v>1.3641304347826084</v>
      </c>
      <c r="H159" s="26">
        <f t="shared" si="43"/>
        <v>1.3642611683848798</v>
      </c>
      <c r="I159" s="26">
        <f t="shared" si="43"/>
        <v>1.3632</v>
      </c>
      <c r="J159" s="26">
        <f t="shared" si="43"/>
        <v>1.3647887323943662</v>
      </c>
      <c r="K159" s="26">
        <f t="shared" si="43"/>
        <v>1.3627906976744184</v>
      </c>
      <c r="L159" s="26">
        <f t="shared" si="43"/>
        <v>1.3643790849673201</v>
      </c>
      <c r="M159" s="26">
        <f t="shared" si="43"/>
        <v>1.3628472222222223</v>
      </c>
      <c r="N159" s="26">
        <f t="shared" si="43"/>
        <v>1.3649289099526067</v>
      </c>
      <c r="O159" s="26">
        <f t="shared" si="43"/>
        <v>1.3645833333333335</v>
      </c>
    </row>
    <row r="160" spans="1:15" ht="16.8" thickTop="1" thickBot="1" x14ac:dyDescent="0.35">
      <c r="A160" s="128">
        <v>150</v>
      </c>
      <c r="B160" s="30" t="s">
        <v>102</v>
      </c>
      <c r="C160" s="37">
        <v>6.33</v>
      </c>
      <c r="D160" s="37">
        <v>10.56</v>
      </c>
      <c r="E160" s="37">
        <v>6.12</v>
      </c>
      <c r="F160" s="37">
        <v>6.12</v>
      </c>
      <c r="G160" s="37">
        <v>8.73</v>
      </c>
      <c r="H160" s="37">
        <v>6.9</v>
      </c>
      <c r="I160" s="37">
        <v>7.41</v>
      </c>
      <c r="J160" s="37">
        <v>8.42</v>
      </c>
      <c r="K160" s="37">
        <v>7.65</v>
      </c>
      <c r="L160" s="37">
        <v>7.26</v>
      </c>
      <c r="M160" s="37">
        <v>6.83</v>
      </c>
      <c r="N160" s="37">
        <v>7.51</v>
      </c>
      <c r="O160" s="37">
        <v>6.83</v>
      </c>
    </row>
    <row r="161" spans="1:15" ht="16.8" thickTop="1" thickBot="1" x14ac:dyDescent="0.35">
      <c r="A161" s="128"/>
      <c r="B161" s="20" t="s">
        <v>103</v>
      </c>
      <c r="C161" s="32">
        <v>8.56</v>
      </c>
      <c r="D161" s="32">
        <v>14.27</v>
      </c>
      <c r="E161" s="32">
        <v>8.27</v>
      </c>
      <c r="F161" s="32">
        <v>8.27</v>
      </c>
      <c r="G161" s="32">
        <v>11.8</v>
      </c>
      <c r="H161" s="32">
        <v>9.33</v>
      </c>
      <c r="I161" s="32">
        <v>10.02</v>
      </c>
      <c r="J161" s="32">
        <v>11.39</v>
      </c>
      <c r="K161" s="32">
        <v>10.34</v>
      </c>
      <c r="L161" s="32">
        <v>9.81</v>
      </c>
      <c r="M161" s="32">
        <v>9.23</v>
      </c>
      <c r="N161" s="32">
        <v>10.16</v>
      </c>
      <c r="O161" s="32">
        <v>9.24</v>
      </c>
    </row>
    <row r="162" spans="1:15" ht="16.8" thickTop="1" thickBot="1" x14ac:dyDescent="0.35">
      <c r="A162" s="128"/>
      <c r="B162" s="38" t="s">
        <v>104</v>
      </c>
      <c r="C162" s="26">
        <f t="shared" ref="C162:O162" si="44">IF(OR(C160="",C161=""),"",C161/C160)</f>
        <v>1.3522906793048974</v>
      </c>
      <c r="D162" s="26">
        <f t="shared" si="44"/>
        <v>1.3513257575757576</v>
      </c>
      <c r="E162" s="26">
        <f t="shared" si="44"/>
        <v>1.3513071895424835</v>
      </c>
      <c r="F162" s="26">
        <f t="shared" si="44"/>
        <v>1.3513071895424835</v>
      </c>
      <c r="G162" s="26">
        <f t="shared" si="44"/>
        <v>1.3516609392898054</v>
      </c>
      <c r="H162" s="26">
        <f t="shared" si="44"/>
        <v>1.3521739130434782</v>
      </c>
      <c r="I162" s="26">
        <f t="shared" si="44"/>
        <v>1.3522267206477732</v>
      </c>
      <c r="J162" s="26">
        <f t="shared" si="44"/>
        <v>1.3527315914489313</v>
      </c>
      <c r="K162" s="26">
        <f t="shared" si="44"/>
        <v>1.3516339869281044</v>
      </c>
      <c r="L162" s="26">
        <f t="shared" si="44"/>
        <v>1.3512396694214877</v>
      </c>
      <c r="M162" s="26">
        <f t="shared" si="44"/>
        <v>1.3513909224011713</v>
      </c>
      <c r="N162" s="26">
        <f t="shared" si="44"/>
        <v>1.3528628495339547</v>
      </c>
      <c r="O162" s="26">
        <f t="shared" si="44"/>
        <v>1.3528550512445094</v>
      </c>
    </row>
    <row r="163" spans="1:15" ht="16.8" thickTop="1" thickBot="1" x14ac:dyDescent="0.35">
      <c r="A163" s="128" t="s">
        <v>145</v>
      </c>
      <c r="B163" s="30" t="s">
        <v>102</v>
      </c>
      <c r="C163" s="37">
        <v>0.25</v>
      </c>
      <c r="D163" s="37">
        <v>0.42</v>
      </c>
      <c r="E163" s="37">
        <v>0.24</v>
      </c>
      <c r="F163" s="37">
        <v>0.24</v>
      </c>
      <c r="G163" s="37">
        <v>0.35</v>
      </c>
      <c r="H163" s="37">
        <v>0.27</v>
      </c>
      <c r="I163" s="37">
        <v>0.28999999999999998</v>
      </c>
      <c r="J163" s="37">
        <v>0.33</v>
      </c>
      <c r="K163" s="37">
        <v>0.3</v>
      </c>
      <c r="L163" s="37">
        <v>0.28999999999999998</v>
      </c>
      <c r="M163" s="37">
        <v>0.27</v>
      </c>
      <c r="N163" s="37">
        <v>0.3</v>
      </c>
      <c r="O163" s="37">
        <v>0.27</v>
      </c>
    </row>
    <row r="164" spans="1:15" ht="16.8" thickTop="1" thickBot="1" x14ac:dyDescent="0.35">
      <c r="A164" s="128"/>
      <c r="B164" s="20" t="s">
        <v>103</v>
      </c>
      <c r="C164" s="32">
        <v>0.32</v>
      </c>
      <c r="D164" s="32">
        <v>0.53</v>
      </c>
      <c r="E164" s="32">
        <v>0.31</v>
      </c>
      <c r="F164" s="32">
        <v>0.31</v>
      </c>
      <c r="G164" s="32">
        <v>0.44</v>
      </c>
      <c r="H164" s="32">
        <v>0.35</v>
      </c>
      <c r="I164" s="32">
        <v>0.38</v>
      </c>
      <c r="J164" s="32">
        <v>0.43</v>
      </c>
      <c r="K164" s="32">
        <v>0.39</v>
      </c>
      <c r="L164" s="32">
        <v>0.37</v>
      </c>
      <c r="M164" s="32">
        <v>0.35</v>
      </c>
      <c r="N164" s="32">
        <v>0.38</v>
      </c>
      <c r="O164" s="32">
        <v>0.35</v>
      </c>
    </row>
    <row r="165" spans="1:15" ht="16.8" thickTop="1" thickBot="1" x14ac:dyDescent="0.35">
      <c r="A165" s="128"/>
      <c r="B165" s="38" t="s">
        <v>104</v>
      </c>
      <c r="C165" s="26">
        <f t="shared" ref="C165:O165" si="45">IF(OR(C163="",C164=""),"",C164/C163)</f>
        <v>1.28</v>
      </c>
      <c r="D165" s="26">
        <f t="shared" si="45"/>
        <v>1.2619047619047621</v>
      </c>
      <c r="E165" s="26">
        <f t="shared" si="45"/>
        <v>1.2916666666666667</v>
      </c>
      <c r="F165" s="26">
        <f t="shared" si="45"/>
        <v>1.2916666666666667</v>
      </c>
      <c r="G165" s="26">
        <f t="shared" si="45"/>
        <v>1.2571428571428573</v>
      </c>
      <c r="H165" s="26">
        <f t="shared" si="45"/>
        <v>1.2962962962962961</v>
      </c>
      <c r="I165" s="26">
        <f t="shared" si="45"/>
        <v>1.3103448275862071</v>
      </c>
      <c r="J165" s="26">
        <f t="shared" si="45"/>
        <v>1.303030303030303</v>
      </c>
      <c r="K165" s="26">
        <f t="shared" si="45"/>
        <v>1.3</v>
      </c>
      <c r="L165" s="26">
        <f t="shared" si="45"/>
        <v>1.2758620689655173</v>
      </c>
      <c r="M165" s="26">
        <f t="shared" si="45"/>
        <v>1.2962962962962961</v>
      </c>
      <c r="N165" s="26">
        <f t="shared" si="45"/>
        <v>1.2666666666666668</v>
      </c>
      <c r="O165" s="26">
        <f t="shared" si="45"/>
        <v>1.2962962962962961</v>
      </c>
    </row>
    <row r="166" spans="1:15" ht="16.8" thickTop="1" thickBot="1" x14ac:dyDescent="0.35">
      <c r="A166" s="128" t="s">
        <v>171</v>
      </c>
      <c r="B166" s="30" t="s">
        <v>102</v>
      </c>
      <c r="C166" s="37">
        <v>0.65</v>
      </c>
      <c r="D166" s="37">
        <v>1.08</v>
      </c>
      <c r="E166" s="37">
        <v>0.62</v>
      </c>
      <c r="F166" s="37">
        <v>0.62</v>
      </c>
      <c r="G166" s="37">
        <v>0.89</v>
      </c>
      <c r="H166" s="37">
        <v>0.7</v>
      </c>
      <c r="I166" s="37">
        <v>0.76</v>
      </c>
      <c r="J166" s="37">
        <v>0.86</v>
      </c>
      <c r="K166" s="37">
        <v>0.78</v>
      </c>
      <c r="L166" s="37">
        <v>0.74</v>
      </c>
      <c r="M166" s="37">
        <v>0.7</v>
      </c>
      <c r="N166" s="37">
        <v>0.77</v>
      </c>
      <c r="O166" s="37">
        <v>0.7</v>
      </c>
    </row>
    <row r="167" spans="1:15" ht="16.8" thickTop="1" thickBot="1" x14ac:dyDescent="0.35">
      <c r="A167" s="128"/>
      <c r="B167" s="20" t="s">
        <v>103</v>
      </c>
      <c r="C167" s="32">
        <v>0.83</v>
      </c>
      <c r="D167" s="32">
        <v>1.38</v>
      </c>
      <c r="E167" s="32">
        <v>0.8</v>
      </c>
      <c r="F167" s="32">
        <v>0.8</v>
      </c>
      <c r="G167" s="32">
        <v>1.1399999999999999</v>
      </c>
      <c r="H167" s="32">
        <v>0.9</v>
      </c>
      <c r="I167" s="32">
        <v>0.97</v>
      </c>
      <c r="J167" s="32">
        <v>1.1000000000000001</v>
      </c>
      <c r="K167" s="32">
        <v>1</v>
      </c>
      <c r="L167" s="32">
        <v>0.95</v>
      </c>
      <c r="M167" s="32">
        <v>0.89</v>
      </c>
      <c r="N167" s="32">
        <v>0.98</v>
      </c>
      <c r="O167" s="32">
        <v>0.89</v>
      </c>
    </row>
    <row r="168" spans="1:15" ht="16.8" thickTop="1" thickBot="1" x14ac:dyDescent="0.35">
      <c r="A168" s="128"/>
      <c r="B168" s="38" t="s">
        <v>104</v>
      </c>
      <c r="C168" s="26">
        <f t="shared" ref="C168:O168" si="46">IF(OR(C166="",C167=""),"",C167/C166)</f>
        <v>1.2769230769230768</v>
      </c>
      <c r="D168" s="26">
        <f t="shared" si="46"/>
        <v>1.2777777777777777</v>
      </c>
      <c r="E168" s="26">
        <f t="shared" si="46"/>
        <v>1.2903225806451615</v>
      </c>
      <c r="F168" s="26">
        <f t="shared" si="46"/>
        <v>1.2903225806451615</v>
      </c>
      <c r="G168" s="26">
        <f t="shared" si="46"/>
        <v>1.2808988764044942</v>
      </c>
      <c r="H168" s="26">
        <f t="shared" si="46"/>
        <v>1.2857142857142858</v>
      </c>
      <c r="I168" s="26">
        <f t="shared" si="46"/>
        <v>1.2763157894736841</v>
      </c>
      <c r="J168" s="26">
        <f t="shared" si="46"/>
        <v>1.2790697674418605</v>
      </c>
      <c r="K168" s="26">
        <f t="shared" si="46"/>
        <v>1.2820512820512819</v>
      </c>
      <c r="L168" s="26">
        <f t="shared" si="46"/>
        <v>1.2837837837837838</v>
      </c>
      <c r="M168" s="26">
        <f t="shared" si="46"/>
        <v>1.2714285714285716</v>
      </c>
      <c r="N168" s="26">
        <f t="shared" si="46"/>
        <v>1.2727272727272727</v>
      </c>
      <c r="O168" s="26">
        <f t="shared" si="46"/>
        <v>1.2714285714285716</v>
      </c>
    </row>
    <row r="169" spans="1:15" ht="16.8" thickTop="1" thickBot="1" x14ac:dyDescent="0.35">
      <c r="A169" s="128" t="s">
        <v>151</v>
      </c>
      <c r="B169" s="30" t="s">
        <v>102</v>
      </c>
      <c r="C169" s="37">
        <v>1.78</v>
      </c>
      <c r="D169" s="37">
        <v>2.97</v>
      </c>
      <c r="E169" s="37">
        <v>1.72</v>
      </c>
      <c r="F169" s="37">
        <v>1.72</v>
      </c>
      <c r="G169" s="37">
        <v>2.46</v>
      </c>
      <c r="H169" s="37">
        <v>1.94</v>
      </c>
      <c r="I169" s="37">
        <v>2.09</v>
      </c>
      <c r="J169" s="37">
        <v>2.37</v>
      </c>
      <c r="K169" s="37">
        <v>2.15</v>
      </c>
      <c r="L169" s="37">
        <v>2.04</v>
      </c>
      <c r="M169" s="37">
        <v>1.92</v>
      </c>
      <c r="N169" s="37">
        <v>2.12</v>
      </c>
      <c r="O169" s="37">
        <v>1.92</v>
      </c>
    </row>
    <row r="170" spans="1:15" ht="16.8" thickTop="1" thickBot="1" x14ac:dyDescent="0.35">
      <c r="A170" s="128"/>
      <c r="B170" s="20" t="s">
        <v>103</v>
      </c>
      <c r="C170" s="32">
        <v>2.2599999999999998</v>
      </c>
      <c r="D170" s="32">
        <v>3.77</v>
      </c>
      <c r="E170" s="32">
        <v>2.1800000000000002</v>
      </c>
      <c r="F170" s="32">
        <v>2.1800000000000002</v>
      </c>
      <c r="G170" s="32">
        <v>3.12</v>
      </c>
      <c r="H170" s="32">
        <v>2.46</v>
      </c>
      <c r="I170" s="32">
        <v>2.65</v>
      </c>
      <c r="J170" s="32">
        <v>3.01</v>
      </c>
      <c r="K170" s="32">
        <v>2.73</v>
      </c>
      <c r="L170" s="32">
        <v>2.59</v>
      </c>
      <c r="M170" s="32">
        <v>2.44</v>
      </c>
      <c r="N170" s="32">
        <v>2.68</v>
      </c>
      <c r="O170" s="32">
        <v>2.44</v>
      </c>
    </row>
    <row r="171" spans="1:15" ht="16.8" thickTop="1" thickBot="1" x14ac:dyDescent="0.35">
      <c r="A171" s="128"/>
      <c r="B171" s="38" t="s">
        <v>104</v>
      </c>
      <c r="C171" s="26">
        <f t="shared" ref="C171:O171" si="47">IF(OR(C169="",C170=""),"",C170/C169)</f>
        <v>1.2696629213483144</v>
      </c>
      <c r="D171" s="26">
        <f t="shared" si="47"/>
        <v>1.2693602693602692</v>
      </c>
      <c r="E171" s="26">
        <f t="shared" si="47"/>
        <v>1.2674418604651163</v>
      </c>
      <c r="F171" s="26">
        <f t="shared" si="47"/>
        <v>1.2674418604651163</v>
      </c>
      <c r="G171" s="26">
        <f t="shared" si="47"/>
        <v>1.2682926829268293</v>
      </c>
      <c r="H171" s="26">
        <f t="shared" si="47"/>
        <v>1.268041237113402</v>
      </c>
      <c r="I171" s="26">
        <f t="shared" si="47"/>
        <v>1.2679425837320575</v>
      </c>
      <c r="J171" s="26">
        <f t="shared" si="47"/>
        <v>1.2700421940928268</v>
      </c>
      <c r="K171" s="26">
        <f t="shared" si="47"/>
        <v>1.2697674418604652</v>
      </c>
      <c r="L171" s="26">
        <f t="shared" si="47"/>
        <v>1.2696078431372548</v>
      </c>
      <c r="M171" s="26">
        <f t="shared" si="47"/>
        <v>1.2708333333333333</v>
      </c>
      <c r="N171" s="26">
        <f t="shared" si="47"/>
        <v>1.2641509433962264</v>
      </c>
      <c r="O171" s="26">
        <f t="shared" si="47"/>
        <v>1.2708333333333333</v>
      </c>
    </row>
  </sheetData>
  <mergeCells count="48">
    <mergeCell ref="A145:A147"/>
    <mergeCell ref="A148:A150"/>
    <mergeCell ref="A151:A153"/>
    <mergeCell ref="A136:A138"/>
    <mergeCell ref="A139:A141"/>
    <mergeCell ref="A142:A144"/>
    <mergeCell ref="A166:A168"/>
    <mergeCell ref="A163:A165"/>
    <mergeCell ref="A169:A171"/>
    <mergeCell ref="A154:A156"/>
    <mergeCell ref="A157:A159"/>
    <mergeCell ref="A160:A162"/>
    <mergeCell ref="A126:A128"/>
    <mergeCell ref="A108:A110"/>
    <mergeCell ref="A111:A113"/>
    <mergeCell ref="A114:A116"/>
    <mergeCell ref="A99:A101"/>
    <mergeCell ref="A102:A104"/>
    <mergeCell ref="A105:A107"/>
    <mergeCell ref="A123:A125"/>
    <mergeCell ref="A117:A119"/>
    <mergeCell ref="A120:A122"/>
    <mergeCell ref="A83:A85"/>
    <mergeCell ref="A93:A95"/>
    <mergeCell ref="A96:A98"/>
    <mergeCell ref="A71:A73"/>
    <mergeCell ref="A74:A76"/>
    <mergeCell ref="A77:A79"/>
    <mergeCell ref="A80:A82"/>
    <mergeCell ref="A62:A64"/>
    <mergeCell ref="A65:A67"/>
    <mergeCell ref="A68:A70"/>
    <mergeCell ref="A53:A55"/>
    <mergeCell ref="A56:A58"/>
    <mergeCell ref="A59:A61"/>
    <mergeCell ref="A34:A36"/>
    <mergeCell ref="A40:A42"/>
    <mergeCell ref="A50:A52"/>
    <mergeCell ref="A37:A39"/>
    <mergeCell ref="A25:A27"/>
    <mergeCell ref="A28:A30"/>
    <mergeCell ref="A31:A33"/>
    <mergeCell ref="A16:A18"/>
    <mergeCell ref="A19:A21"/>
    <mergeCell ref="A22:A24"/>
    <mergeCell ref="A7:A9"/>
    <mergeCell ref="A10:A12"/>
    <mergeCell ref="A13:A15"/>
  </mergeCells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N122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6.2" thickBot="1" x14ac:dyDescent="0.35">
      <c r="A1" s="8" t="s">
        <v>173</v>
      </c>
    </row>
    <row r="2" spans="1:14" ht="16.2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14</v>
      </c>
      <c r="G2" s="31" t="s">
        <v>15</v>
      </c>
      <c r="H2" s="31" t="s">
        <v>18</v>
      </c>
      <c r="I2" s="31" t="s">
        <v>20</v>
      </c>
      <c r="J2" s="31" t="s">
        <v>16</v>
      </c>
      <c r="K2" s="31" t="s">
        <v>21</v>
      </c>
      <c r="L2" s="31" t="s">
        <v>35</v>
      </c>
      <c r="M2" s="31" t="s">
        <v>22</v>
      </c>
      <c r="N2" s="8"/>
    </row>
    <row r="3" spans="1:14" ht="15.6" x14ac:dyDescent="0.3">
      <c r="B3" s="18" t="s">
        <v>114</v>
      </c>
      <c r="C3" s="32">
        <v>2</v>
      </c>
      <c r="D3" s="32">
        <v>3.6</v>
      </c>
      <c r="E3" s="32">
        <v>2.4</v>
      </c>
      <c r="F3" s="32">
        <v>5</v>
      </c>
      <c r="G3" s="32">
        <v>6</v>
      </c>
      <c r="H3" s="32">
        <v>10</v>
      </c>
      <c r="I3" s="32">
        <f>12*1.2</f>
        <v>14.399999999999999</v>
      </c>
      <c r="J3" s="32">
        <v>12</v>
      </c>
      <c r="K3" s="32">
        <f>32*0.6</f>
        <v>19.2</v>
      </c>
      <c r="L3" s="32">
        <f>32*1.2</f>
        <v>38.4</v>
      </c>
      <c r="M3" s="32">
        <f>64*0.6</f>
        <v>38.4</v>
      </c>
      <c r="N3" s="8"/>
    </row>
    <row r="4" spans="1:14" ht="15.6" x14ac:dyDescent="0.3">
      <c r="B4" s="18" t="s">
        <v>101</v>
      </c>
      <c r="C4" s="32" t="s">
        <v>13</v>
      </c>
      <c r="D4" s="32" t="s">
        <v>26</v>
      </c>
      <c r="E4" s="32" t="s">
        <v>31</v>
      </c>
      <c r="F4" s="32" t="s">
        <v>14</v>
      </c>
      <c r="G4" s="32" t="s">
        <v>16</v>
      </c>
      <c r="H4" s="32" t="s">
        <v>18</v>
      </c>
      <c r="I4" s="32" t="s">
        <v>20</v>
      </c>
      <c r="J4" s="32" t="s">
        <v>19</v>
      </c>
      <c r="K4" s="32" t="s">
        <v>22</v>
      </c>
      <c r="L4" s="32" t="s">
        <v>35</v>
      </c>
      <c r="M4" s="32" t="s">
        <v>40</v>
      </c>
      <c r="N4" s="8"/>
    </row>
    <row r="5" spans="1:14" ht="16.2" thickBot="1" x14ac:dyDescent="0.35">
      <c r="B5" s="33" t="s">
        <v>115</v>
      </c>
      <c r="C5" s="40"/>
      <c r="D5" s="40"/>
      <c r="E5" s="40" t="s">
        <v>121</v>
      </c>
      <c r="F5" s="40"/>
      <c r="G5" s="40" t="s">
        <v>121</v>
      </c>
      <c r="H5" s="40"/>
      <c r="I5" s="40"/>
      <c r="J5" s="40" t="s">
        <v>121</v>
      </c>
      <c r="K5" s="40" t="s">
        <v>121</v>
      </c>
      <c r="L5" s="40"/>
      <c r="M5" s="40" t="s">
        <v>121</v>
      </c>
      <c r="N5" s="8"/>
    </row>
    <row r="6" spans="1:14" ht="16.8" thickTop="1" thickBot="1" x14ac:dyDescent="0.35">
      <c r="A6" s="7" t="s">
        <v>6</v>
      </c>
      <c r="B6" s="35"/>
      <c r="C6" s="36"/>
      <c r="D6" s="36">
        <v>4.7</v>
      </c>
      <c r="E6" s="36"/>
      <c r="F6" s="36"/>
      <c r="G6" s="36"/>
      <c r="H6" s="36"/>
      <c r="I6" s="36"/>
      <c r="J6" s="36"/>
      <c r="K6" s="36"/>
      <c r="L6" s="36"/>
      <c r="M6" s="36"/>
      <c r="N6" s="8"/>
    </row>
    <row r="7" spans="1:14" ht="16.8" thickTop="1" thickBot="1" x14ac:dyDescent="0.35">
      <c r="A7" s="128">
        <v>70</v>
      </c>
      <c r="B7" s="30" t="s">
        <v>102</v>
      </c>
      <c r="C7" s="37">
        <v>2.9</v>
      </c>
      <c r="D7" s="37">
        <v>4.7</v>
      </c>
      <c r="E7" s="37">
        <v>5</v>
      </c>
      <c r="F7" s="37">
        <v>2.6</v>
      </c>
      <c r="G7" s="37">
        <v>3.4</v>
      </c>
      <c r="H7" s="37">
        <v>2.6</v>
      </c>
      <c r="I7" s="37">
        <v>3.3</v>
      </c>
      <c r="J7" s="37">
        <v>3.5</v>
      </c>
      <c r="K7" s="37">
        <v>3.3</v>
      </c>
      <c r="L7" s="37">
        <v>2.9</v>
      </c>
      <c r="M7" s="37">
        <v>2.8</v>
      </c>
      <c r="N7" s="8"/>
    </row>
    <row r="8" spans="1:14" ht="16.8" thickTop="1" thickBot="1" x14ac:dyDescent="0.35">
      <c r="A8" s="128"/>
      <c r="B8" s="20" t="s">
        <v>103</v>
      </c>
      <c r="C8" s="32">
        <v>3.3</v>
      </c>
      <c r="D8" s="32">
        <v>5.3</v>
      </c>
      <c r="E8" s="32">
        <v>5.6</v>
      </c>
      <c r="F8" s="32">
        <v>2.9</v>
      </c>
      <c r="G8" s="32">
        <v>3.9</v>
      </c>
      <c r="H8" s="32">
        <v>2.9</v>
      </c>
      <c r="I8" s="32">
        <v>3.8</v>
      </c>
      <c r="J8" s="32">
        <v>4</v>
      </c>
      <c r="K8" s="32">
        <v>3.7</v>
      </c>
      <c r="L8" s="32">
        <v>3.3</v>
      </c>
      <c r="M8" s="32">
        <v>3.2</v>
      </c>
      <c r="N8" s="8"/>
    </row>
    <row r="9" spans="1:14" ht="16.8" thickTop="1" thickBot="1" x14ac:dyDescent="0.35">
      <c r="A9" s="128"/>
      <c r="B9" s="38" t="s">
        <v>104</v>
      </c>
      <c r="C9" s="26">
        <f t="shared" ref="C9:M9" si="0">IF(OR(C7="",C8=""),"",C8/C7)</f>
        <v>1.1379310344827587</v>
      </c>
      <c r="D9" s="26">
        <f t="shared" si="0"/>
        <v>1.1276595744680851</v>
      </c>
      <c r="E9" s="26">
        <f t="shared" si="0"/>
        <v>1.1199999999999999</v>
      </c>
      <c r="F9" s="26">
        <f t="shared" si="0"/>
        <v>1.1153846153846154</v>
      </c>
      <c r="G9" s="26">
        <f t="shared" si="0"/>
        <v>1.1470588235294117</v>
      </c>
      <c r="H9" s="26">
        <f t="shared" si="0"/>
        <v>1.1153846153846154</v>
      </c>
      <c r="I9" s="26">
        <f t="shared" si="0"/>
        <v>1.1515151515151516</v>
      </c>
      <c r="J9" s="26">
        <f t="shared" si="0"/>
        <v>1.1428571428571428</v>
      </c>
      <c r="K9" s="26">
        <f t="shared" si="0"/>
        <v>1.1212121212121213</v>
      </c>
      <c r="L9" s="26">
        <f t="shared" si="0"/>
        <v>1.1379310344827587</v>
      </c>
      <c r="M9" s="26">
        <f t="shared" si="0"/>
        <v>1.142857142857143</v>
      </c>
      <c r="N9" s="39"/>
    </row>
    <row r="10" spans="1:14" ht="16.8" thickTop="1" thickBot="1" x14ac:dyDescent="0.35">
      <c r="A10" s="128">
        <v>80</v>
      </c>
      <c r="B10" s="30" t="s">
        <v>102</v>
      </c>
      <c r="C10" s="37">
        <v>4.5999999999999996</v>
      </c>
      <c r="D10" s="37">
        <v>7.4</v>
      </c>
      <c r="E10" s="37">
        <v>7.9</v>
      </c>
      <c r="F10" s="37">
        <v>4.0999999999999996</v>
      </c>
      <c r="G10" s="37">
        <v>5.4</v>
      </c>
      <c r="H10" s="37">
        <v>4.0999999999999996</v>
      </c>
      <c r="I10" s="37">
        <v>5.3</v>
      </c>
      <c r="J10" s="37">
        <v>5.6</v>
      </c>
      <c r="K10" s="37">
        <v>5.2</v>
      </c>
      <c r="L10" s="37">
        <v>4.5999999999999996</v>
      </c>
      <c r="M10" s="37">
        <v>4.5</v>
      </c>
      <c r="N10" s="8"/>
    </row>
    <row r="11" spans="1:14" ht="16.8" thickTop="1" thickBot="1" x14ac:dyDescent="0.35">
      <c r="A11" s="128"/>
      <c r="B11" s="20" t="s">
        <v>103</v>
      </c>
      <c r="C11" s="32">
        <v>5</v>
      </c>
      <c r="D11" s="32">
        <v>8.1999999999999993</v>
      </c>
      <c r="E11" s="32">
        <v>8.6</v>
      </c>
      <c r="F11" s="32">
        <v>4.5</v>
      </c>
      <c r="G11" s="32">
        <v>6</v>
      </c>
      <c r="H11" s="32">
        <v>4.5</v>
      </c>
      <c r="I11" s="32">
        <v>5.8</v>
      </c>
      <c r="J11" s="32">
        <v>6.1</v>
      </c>
      <c r="K11" s="32">
        <v>5.7</v>
      </c>
      <c r="L11" s="32">
        <v>5.0999999999999996</v>
      </c>
      <c r="M11" s="32">
        <v>5</v>
      </c>
      <c r="N11" s="8"/>
    </row>
    <row r="12" spans="1:14" ht="16.8" thickTop="1" thickBot="1" x14ac:dyDescent="0.35">
      <c r="A12" s="128"/>
      <c r="B12" s="38" t="s">
        <v>104</v>
      </c>
      <c r="C12" s="26">
        <f t="shared" ref="C12:M12" si="1">IF(OR(C10="",C11=""),"",C11/C10)</f>
        <v>1.0869565217391306</v>
      </c>
      <c r="D12" s="26">
        <f t="shared" si="1"/>
        <v>1.1081081081081079</v>
      </c>
      <c r="E12" s="26">
        <f t="shared" si="1"/>
        <v>1.0886075949367087</v>
      </c>
      <c r="F12" s="26">
        <f t="shared" si="1"/>
        <v>1.0975609756097562</v>
      </c>
      <c r="G12" s="26">
        <f t="shared" si="1"/>
        <v>1.1111111111111109</v>
      </c>
      <c r="H12" s="26">
        <f t="shared" si="1"/>
        <v>1.0975609756097562</v>
      </c>
      <c r="I12" s="26">
        <f t="shared" si="1"/>
        <v>1.0943396226415094</v>
      </c>
      <c r="J12" s="26">
        <f t="shared" si="1"/>
        <v>1.0892857142857142</v>
      </c>
      <c r="K12" s="26">
        <f t="shared" si="1"/>
        <v>1.0961538461538463</v>
      </c>
      <c r="L12" s="26">
        <f t="shared" si="1"/>
        <v>1.1086956521739131</v>
      </c>
      <c r="M12" s="26">
        <f t="shared" si="1"/>
        <v>1.1111111111111112</v>
      </c>
      <c r="N12" s="39"/>
    </row>
    <row r="13" spans="1:14" ht="16.8" thickTop="1" thickBot="1" x14ac:dyDescent="0.35">
      <c r="A13" s="128">
        <v>100</v>
      </c>
      <c r="B13" s="30" t="s">
        <v>102</v>
      </c>
      <c r="C13" s="37">
        <v>9.1999999999999993</v>
      </c>
      <c r="D13" s="37">
        <v>14.9</v>
      </c>
      <c r="E13" s="37">
        <v>15.8</v>
      </c>
      <c r="F13" s="37">
        <v>8.1999999999999993</v>
      </c>
      <c r="G13" s="37">
        <v>10.9</v>
      </c>
      <c r="H13" s="37">
        <v>8.1999999999999993</v>
      </c>
      <c r="I13" s="37">
        <v>10.6</v>
      </c>
      <c r="J13" s="37">
        <v>11.2</v>
      </c>
      <c r="K13" s="37">
        <v>10.4</v>
      </c>
      <c r="L13" s="37">
        <v>9.1999999999999993</v>
      </c>
      <c r="M13" s="37">
        <v>9.1</v>
      </c>
      <c r="N13" s="8"/>
    </row>
    <row r="14" spans="1:14" ht="16.8" thickTop="1" thickBot="1" x14ac:dyDescent="0.35">
      <c r="A14" s="128"/>
      <c r="B14" s="20" t="s">
        <v>103</v>
      </c>
      <c r="C14" s="32">
        <v>9.8000000000000007</v>
      </c>
      <c r="D14" s="32">
        <v>15.9</v>
      </c>
      <c r="E14" s="32">
        <v>16.8</v>
      </c>
      <c r="F14" s="32">
        <v>8.8000000000000007</v>
      </c>
      <c r="G14" s="32">
        <v>11.6</v>
      </c>
      <c r="H14" s="32">
        <v>8.8000000000000007</v>
      </c>
      <c r="I14" s="32">
        <v>11.3</v>
      </c>
      <c r="J14" s="32">
        <v>11.9</v>
      </c>
      <c r="K14" s="32">
        <v>11</v>
      </c>
      <c r="L14" s="32">
        <v>9.8000000000000007</v>
      </c>
      <c r="M14" s="32">
        <v>9.6</v>
      </c>
      <c r="N14" s="8"/>
    </row>
    <row r="15" spans="1:14" ht="16.8" thickTop="1" thickBot="1" x14ac:dyDescent="0.35">
      <c r="A15" s="128"/>
      <c r="B15" s="38" t="s">
        <v>104</v>
      </c>
      <c r="C15" s="26">
        <f t="shared" ref="C15:M15" si="2">IF(OR(C13="",C14=""),"",C14/C13)</f>
        <v>1.0652173913043479</v>
      </c>
      <c r="D15" s="26">
        <f t="shared" si="2"/>
        <v>1.0671140939597314</v>
      </c>
      <c r="E15" s="26">
        <f t="shared" si="2"/>
        <v>1.0632911392405062</v>
      </c>
      <c r="F15" s="26">
        <f t="shared" si="2"/>
        <v>1.0731707317073174</v>
      </c>
      <c r="G15" s="26">
        <f t="shared" si="2"/>
        <v>1.0642201834862384</v>
      </c>
      <c r="H15" s="26">
        <f t="shared" si="2"/>
        <v>1.0731707317073174</v>
      </c>
      <c r="I15" s="26">
        <f t="shared" si="2"/>
        <v>1.0660377358490567</v>
      </c>
      <c r="J15" s="26">
        <f t="shared" si="2"/>
        <v>1.0625</v>
      </c>
      <c r="K15" s="26">
        <f t="shared" si="2"/>
        <v>1.0576923076923077</v>
      </c>
      <c r="L15" s="26">
        <f t="shared" si="2"/>
        <v>1.0652173913043479</v>
      </c>
      <c r="M15" s="26">
        <f t="shared" si="2"/>
        <v>1.054945054945055</v>
      </c>
      <c r="N15" s="39"/>
    </row>
    <row r="16" spans="1:14" ht="16.8" thickTop="1" thickBot="1" x14ac:dyDescent="0.35">
      <c r="A16" s="128">
        <v>120</v>
      </c>
      <c r="B16" s="30" t="s">
        <v>102</v>
      </c>
      <c r="C16" s="37">
        <v>14.8</v>
      </c>
      <c r="D16" s="37">
        <v>23.9</v>
      </c>
      <c r="E16" s="37">
        <v>25.4</v>
      </c>
      <c r="F16" s="37">
        <v>13.3</v>
      </c>
      <c r="G16" s="37">
        <v>17.600000000000001</v>
      </c>
      <c r="H16" s="37">
        <v>13.3</v>
      </c>
      <c r="I16" s="37">
        <v>17</v>
      </c>
      <c r="J16" s="37">
        <v>17.899999999999999</v>
      </c>
      <c r="K16" s="37">
        <v>16.7</v>
      </c>
      <c r="L16" s="37">
        <v>14.8</v>
      </c>
      <c r="M16" s="37">
        <v>14.6</v>
      </c>
      <c r="N16" s="8"/>
    </row>
    <row r="17" spans="1:14" ht="16.8" thickTop="1" thickBot="1" x14ac:dyDescent="0.35">
      <c r="A17" s="128"/>
      <c r="B17" s="20" t="s">
        <v>103</v>
      </c>
      <c r="C17" s="32">
        <v>15.5</v>
      </c>
      <c r="D17" s="32">
        <v>25.1</v>
      </c>
      <c r="E17" s="32">
        <v>26.6</v>
      </c>
      <c r="F17" s="32">
        <v>13.9</v>
      </c>
      <c r="G17" s="32">
        <v>18.399999999999999</v>
      </c>
      <c r="H17" s="32">
        <v>13.9</v>
      </c>
      <c r="I17" s="32">
        <v>17.8</v>
      </c>
      <c r="J17" s="32">
        <v>18.8</v>
      </c>
      <c r="K17" s="32">
        <v>17.5</v>
      </c>
      <c r="L17" s="32">
        <v>15.6</v>
      </c>
      <c r="M17" s="32">
        <v>15.3</v>
      </c>
      <c r="N17" s="8"/>
    </row>
    <row r="18" spans="1:14" ht="16.8" thickTop="1" thickBot="1" x14ac:dyDescent="0.35">
      <c r="A18" s="128"/>
      <c r="B18" s="38" t="s">
        <v>104</v>
      </c>
      <c r="C18" s="26">
        <f t="shared" ref="C18:M18" si="3">IF(OR(C16="",C17=""),"",C17/C16)</f>
        <v>1.0472972972972971</v>
      </c>
      <c r="D18" s="26">
        <f t="shared" si="3"/>
        <v>1.0502092050209206</v>
      </c>
      <c r="E18" s="26">
        <f t="shared" si="3"/>
        <v>1.0472440944881891</v>
      </c>
      <c r="F18" s="26">
        <f t="shared" si="3"/>
        <v>1.0451127819548871</v>
      </c>
      <c r="G18" s="26">
        <f t="shared" si="3"/>
        <v>1.0454545454545452</v>
      </c>
      <c r="H18" s="26">
        <f t="shared" si="3"/>
        <v>1.0451127819548871</v>
      </c>
      <c r="I18" s="26">
        <f t="shared" si="3"/>
        <v>1.0470588235294118</v>
      </c>
      <c r="J18" s="26">
        <f t="shared" si="3"/>
        <v>1.0502793296089388</v>
      </c>
      <c r="K18" s="26">
        <f t="shared" si="3"/>
        <v>1.0479041916167664</v>
      </c>
      <c r="L18" s="26">
        <f t="shared" si="3"/>
        <v>1.0540540540540539</v>
      </c>
      <c r="M18" s="26">
        <f t="shared" si="3"/>
        <v>1.047945205479452</v>
      </c>
      <c r="N18" s="39"/>
    </row>
    <row r="19" spans="1:14" ht="16.8" thickTop="1" thickBot="1" x14ac:dyDescent="0.35">
      <c r="A19" s="128">
        <v>140</v>
      </c>
      <c r="B19" s="30" t="s">
        <v>102</v>
      </c>
      <c r="C19" s="37">
        <v>22</v>
      </c>
      <c r="D19" s="37">
        <v>35.6</v>
      </c>
      <c r="E19" s="37">
        <v>37.799999999999997</v>
      </c>
      <c r="F19" s="37">
        <v>19.7</v>
      </c>
      <c r="G19" s="37">
        <v>26.2</v>
      </c>
      <c r="H19" s="37">
        <v>19.7</v>
      </c>
      <c r="I19" s="37">
        <v>25.3</v>
      </c>
      <c r="J19" s="37">
        <v>26.7</v>
      </c>
      <c r="K19" s="37">
        <v>24.9</v>
      </c>
      <c r="L19" s="37">
        <v>22.1</v>
      </c>
      <c r="M19" s="37">
        <v>21.8</v>
      </c>
      <c r="N19" s="8"/>
    </row>
    <row r="20" spans="1:14" ht="16.8" thickTop="1" thickBot="1" x14ac:dyDescent="0.35">
      <c r="A20" s="128"/>
      <c r="B20" s="20" t="s">
        <v>103</v>
      </c>
      <c r="C20" s="32">
        <v>22.9</v>
      </c>
      <c r="D20" s="32">
        <v>37.1</v>
      </c>
      <c r="E20" s="32">
        <v>39.299999999999997</v>
      </c>
      <c r="F20" s="32">
        <v>20.5</v>
      </c>
      <c r="G20" s="32">
        <v>27.2</v>
      </c>
      <c r="H20" s="32">
        <v>20.5</v>
      </c>
      <c r="I20" s="32">
        <v>26.3</v>
      </c>
      <c r="J20" s="32">
        <v>27.8</v>
      </c>
      <c r="K20" s="32">
        <v>25.9</v>
      </c>
      <c r="L20" s="32">
        <v>23</v>
      </c>
      <c r="M20" s="32">
        <v>22.6</v>
      </c>
      <c r="N20" s="8"/>
    </row>
    <row r="21" spans="1:14" ht="16.8" thickTop="1" thickBot="1" x14ac:dyDescent="0.35">
      <c r="A21" s="128"/>
      <c r="B21" s="38" t="s">
        <v>104</v>
      </c>
      <c r="C21" s="26">
        <f t="shared" ref="C21:M21" si="4">IF(OR(C19="",C20=""),"",C20/C19)</f>
        <v>1.0409090909090908</v>
      </c>
      <c r="D21" s="26">
        <f t="shared" si="4"/>
        <v>1.0421348314606742</v>
      </c>
      <c r="E21" s="26">
        <f t="shared" si="4"/>
        <v>1.0396825396825398</v>
      </c>
      <c r="F21" s="26">
        <f t="shared" si="4"/>
        <v>1.0406091370558377</v>
      </c>
      <c r="G21" s="26">
        <f t="shared" si="4"/>
        <v>1.0381679389312977</v>
      </c>
      <c r="H21" s="26">
        <f t="shared" si="4"/>
        <v>1.0406091370558377</v>
      </c>
      <c r="I21" s="26">
        <f t="shared" si="4"/>
        <v>1.0395256916996047</v>
      </c>
      <c r="J21" s="26">
        <f t="shared" si="4"/>
        <v>1.0411985018726593</v>
      </c>
      <c r="K21" s="26">
        <f t="shared" si="4"/>
        <v>1.0401606425702812</v>
      </c>
      <c r="L21" s="26">
        <f t="shared" si="4"/>
        <v>1.0407239819004523</v>
      </c>
      <c r="M21" s="26">
        <f t="shared" si="4"/>
        <v>1.036697247706422</v>
      </c>
      <c r="N21" s="39"/>
    </row>
    <row r="22" spans="1:14" ht="15" customHeight="1" thickTop="1" thickBot="1" x14ac:dyDescent="0.35">
      <c r="A22" s="146" t="s">
        <v>152</v>
      </c>
      <c r="B22" s="30" t="s">
        <v>102</v>
      </c>
      <c r="C22" s="37">
        <v>6.6</v>
      </c>
      <c r="D22" s="37">
        <v>10.6</v>
      </c>
      <c r="E22" s="37">
        <v>11.3</v>
      </c>
      <c r="F22" s="37">
        <v>5.9</v>
      </c>
      <c r="G22" s="37">
        <v>7.8</v>
      </c>
      <c r="H22" s="37">
        <v>5.9</v>
      </c>
      <c r="I22" s="37">
        <v>7.5</v>
      </c>
      <c r="J22" s="37">
        <v>8</v>
      </c>
      <c r="K22" s="37">
        <v>7.4</v>
      </c>
      <c r="L22" s="37">
        <v>6.6</v>
      </c>
      <c r="M22" s="37">
        <v>6.5</v>
      </c>
      <c r="N22" s="8"/>
    </row>
    <row r="23" spans="1:14" ht="16.8" thickTop="1" thickBot="1" x14ac:dyDescent="0.35">
      <c r="A23" s="146"/>
      <c r="B23" s="20" t="s">
        <v>103</v>
      </c>
      <c r="C23" s="32">
        <v>6.6</v>
      </c>
      <c r="D23" s="32">
        <v>10.7</v>
      </c>
      <c r="E23" s="32">
        <v>11.4</v>
      </c>
      <c r="F23" s="32">
        <v>5.9</v>
      </c>
      <c r="G23" s="32">
        <v>7.9</v>
      </c>
      <c r="H23" s="32">
        <v>5.9</v>
      </c>
      <c r="I23" s="32">
        <v>7.6</v>
      </c>
      <c r="J23" s="32">
        <v>8</v>
      </c>
      <c r="K23" s="32">
        <v>7.5</v>
      </c>
      <c r="L23" s="32">
        <v>6.6</v>
      </c>
      <c r="M23" s="32">
        <v>6.5</v>
      </c>
      <c r="N23" s="8"/>
    </row>
    <row r="24" spans="1:14" ht="16.8" thickTop="1" thickBot="1" x14ac:dyDescent="0.35">
      <c r="A24" s="146"/>
      <c r="B24" s="38" t="s">
        <v>104</v>
      </c>
      <c r="C24" s="26">
        <f t="shared" ref="C24:M24" si="5">IF(OR(C22="",C23=""),"",C23/C22)</f>
        <v>1</v>
      </c>
      <c r="D24" s="26">
        <f t="shared" si="5"/>
        <v>1.0094339622641508</v>
      </c>
      <c r="E24" s="26">
        <f t="shared" si="5"/>
        <v>1.0088495575221239</v>
      </c>
      <c r="F24" s="26">
        <f t="shared" si="5"/>
        <v>1</v>
      </c>
      <c r="G24" s="26">
        <f t="shared" si="5"/>
        <v>1.012820512820513</v>
      </c>
      <c r="H24" s="26">
        <f t="shared" si="5"/>
        <v>1</v>
      </c>
      <c r="I24" s="26">
        <f t="shared" si="5"/>
        <v>1.0133333333333332</v>
      </c>
      <c r="J24" s="26">
        <f t="shared" si="5"/>
        <v>1</v>
      </c>
      <c r="K24" s="26">
        <f t="shared" si="5"/>
        <v>1.0135135135135134</v>
      </c>
      <c r="L24" s="26">
        <f t="shared" si="5"/>
        <v>1</v>
      </c>
      <c r="M24" s="26">
        <f t="shared" si="5"/>
        <v>1</v>
      </c>
      <c r="N24" s="39"/>
    </row>
    <row r="25" spans="1:14" ht="15" customHeight="1" thickTop="1" x14ac:dyDescent="0.3"/>
    <row r="26" spans="1:14" ht="16.2" thickBot="1" x14ac:dyDescent="0.35">
      <c r="A26" s="8" t="s">
        <v>147</v>
      </c>
    </row>
    <row r="27" spans="1:14" ht="16.2" thickTop="1" x14ac:dyDescent="0.3">
      <c r="B27" s="15" t="s">
        <v>100</v>
      </c>
      <c r="C27" s="31" t="s">
        <v>13</v>
      </c>
      <c r="D27" s="31" t="s">
        <v>26</v>
      </c>
      <c r="E27" s="31" t="s">
        <v>34</v>
      </c>
      <c r="F27" s="31" t="s">
        <v>14</v>
      </c>
      <c r="G27" s="31" t="s">
        <v>15</v>
      </c>
      <c r="H27" s="31" t="s">
        <v>18</v>
      </c>
      <c r="I27" s="31" t="s">
        <v>20</v>
      </c>
      <c r="J27" s="31" t="s">
        <v>16</v>
      </c>
      <c r="K27" s="31" t="s">
        <v>21</v>
      </c>
      <c r="L27" s="31" t="s">
        <v>35</v>
      </c>
      <c r="M27" s="31" t="s">
        <v>22</v>
      </c>
      <c r="N27" s="8"/>
    </row>
    <row r="28" spans="1:14" ht="15.6" x14ac:dyDescent="0.3">
      <c r="B28" s="18" t="s">
        <v>114</v>
      </c>
      <c r="C28" s="32">
        <v>2</v>
      </c>
      <c r="D28" s="32">
        <v>3.6</v>
      </c>
      <c r="E28" s="32">
        <v>2.4</v>
      </c>
      <c r="F28" s="32">
        <v>5</v>
      </c>
      <c r="G28" s="32">
        <v>6</v>
      </c>
      <c r="H28" s="32">
        <v>10</v>
      </c>
      <c r="I28" s="32">
        <f>12*1.2</f>
        <v>14.399999999999999</v>
      </c>
      <c r="J28" s="32">
        <v>12</v>
      </c>
      <c r="K28" s="32">
        <f>32*0.6</f>
        <v>19.2</v>
      </c>
      <c r="L28" s="32">
        <f>32*1.2</f>
        <v>38.4</v>
      </c>
      <c r="M28" s="32">
        <f>64*0.6</f>
        <v>38.4</v>
      </c>
      <c r="N28" s="8"/>
    </row>
    <row r="29" spans="1:14" ht="15.6" x14ac:dyDescent="0.3">
      <c r="B29" s="18" t="s">
        <v>101</v>
      </c>
      <c r="C29" s="32" t="s">
        <v>13</v>
      </c>
      <c r="D29" s="32" t="s">
        <v>26</v>
      </c>
      <c r="E29" s="32" t="s">
        <v>31</v>
      </c>
      <c r="F29" s="32" t="s">
        <v>14</v>
      </c>
      <c r="G29" s="32" t="s">
        <v>16</v>
      </c>
      <c r="H29" s="32" t="s">
        <v>18</v>
      </c>
      <c r="I29" s="32" t="s">
        <v>20</v>
      </c>
      <c r="J29" s="32" t="s">
        <v>19</v>
      </c>
      <c r="K29" s="32" t="s">
        <v>22</v>
      </c>
      <c r="L29" s="32" t="s">
        <v>35</v>
      </c>
      <c r="M29" s="32" t="s">
        <v>40</v>
      </c>
      <c r="N29" s="8"/>
    </row>
    <row r="30" spans="1:14" ht="16.2" thickBot="1" x14ac:dyDescent="0.35">
      <c r="B30" s="33" t="s">
        <v>115</v>
      </c>
      <c r="C30" s="40"/>
      <c r="D30" s="40"/>
      <c r="E30" s="40" t="s">
        <v>121</v>
      </c>
      <c r="F30" s="40"/>
      <c r="G30" s="40" t="s">
        <v>121</v>
      </c>
      <c r="H30" s="40"/>
      <c r="I30" s="40"/>
      <c r="J30" s="40" t="s">
        <v>121</v>
      </c>
      <c r="K30" s="40" t="s">
        <v>121</v>
      </c>
      <c r="L30" s="40"/>
      <c r="M30" s="40" t="s">
        <v>121</v>
      </c>
      <c r="N30" s="8"/>
    </row>
    <row r="31" spans="1:14" ht="16.8" thickTop="1" thickBot="1" x14ac:dyDescent="0.35">
      <c r="A31" s="7" t="s">
        <v>6</v>
      </c>
      <c r="B31" s="35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8"/>
    </row>
    <row r="32" spans="1:14" ht="16.8" thickTop="1" thickBot="1" x14ac:dyDescent="0.35">
      <c r="A32" s="128">
        <v>70</v>
      </c>
      <c r="B32" s="30" t="s">
        <v>102</v>
      </c>
      <c r="C32" s="37">
        <v>2.2799999999999998</v>
      </c>
      <c r="D32" s="37">
        <v>3.8</v>
      </c>
      <c r="E32" s="37">
        <v>2.2000000000000002</v>
      </c>
      <c r="F32" s="37">
        <v>2.2000000000000002</v>
      </c>
      <c r="G32" s="37">
        <v>3.14</v>
      </c>
      <c r="H32" s="37">
        <v>2.48</v>
      </c>
      <c r="I32" s="37">
        <v>2.67</v>
      </c>
      <c r="J32" s="37">
        <v>3.03</v>
      </c>
      <c r="K32" s="37">
        <v>2.75</v>
      </c>
      <c r="L32" s="37">
        <v>2.61</v>
      </c>
      <c r="M32" s="37">
        <v>2.46</v>
      </c>
      <c r="N32" s="8"/>
    </row>
    <row r="33" spans="1:14" ht="16.8" thickTop="1" thickBot="1" x14ac:dyDescent="0.35">
      <c r="A33" s="128"/>
      <c r="B33" s="20" t="s">
        <v>103</v>
      </c>
      <c r="C33" s="32">
        <v>2.25</v>
      </c>
      <c r="D33" s="32">
        <v>3.76</v>
      </c>
      <c r="E33" s="32">
        <v>2.1800000000000002</v>
      </c>
      <c r="F33" s="32">
        <v>2.1800000000000002</v>
      </c>
      <c r="G33" s="32">
        <v>3.11</v>
      </c>
      <c r="H33" s="32">
        <v>2.46</v>
      </c>
      <c r="I33" s="32">
        <v>2.64</v>
      </c>
      <c r="J33" s="32">
        <v>3</v>
      </c>
      <c r="K33" s="32">
        <v>2.72</v>
      </c>
      <c r="L33" s="32">
        <v>2.58</v>
      </c>
      <c r="M33" s="32">
        <v>2.4300000000000002</v>
      </c>
      <c r="N33" s="8"/>
    </row>
    <row r="34" spans="1:14" ht="16.8" thickTop="1" thickBot="1" x14ac:dyDescent="0.35">
      <c r="A34" s="128"/>
      <c r="B34" s="38" t="s">
        <v>104</v>
      </c>
      <c r="C34" s="26">
        <f t="shared" ref="C34:M34" si="6">IF(OR(C32="",C33=""),"",C33/C32)</f>
        <v>0.98684210526315796</v>
      </c>
      <c r="D34" s="26">
        <f t="shared" si="6"/>
        <v>0.98947368421052628</v>
      </c>
      <c r="E34" s="26">
        <f t="shared" si="6"/>
        <v>0.99090909090909085</v>
      </c>
      <c r="F34" s="26">
        <f t="shared" si="6"/>
        <v>0.99090909090909085</v>
      </c>
      <c r="G34" s="26">
        <f t="shared" si="6"/>
        <v>0.99044585987261136</v>
      </c>
      <c r="H34" s="26">
        <f t="shared" si="6"/>
        <v>0.99193548387096775</v>
      </c>
      <c r="I34" s="26">
        <f t="shared" si="6"/>
        <v>0.98876404494382031</v>
      </c>
      <c r="J34" s="26">
        <f t="shared" si="6"/>
        <v>0.9900990099009902</v>
      </c>
      <c r="K34" s="26">
        <f t="shared" si="6"/>
        <v>0.98909090909090913</v>
      </c>
      <c r="L34" s="26">
        <f t="shared" si="6"/>
        <v>0.98850574712643691</v>
      </c>
      <c r="M34" s="26">
        <f t="shared" si="6"/>
        <v>0.98780487804878059</v>
      </c>
      <c r="N34" s="39"/>
    </row>
    <row r="35" spans="1:14" ht="16.8" thickTop="1" thickBot="1" x14ac:dyDescent="0.35">
      <c r="A35" s="128">
        <v>80</v>
      </c>
      <c r="B35" s="30" t="s">
        <v>102</v>
      </c>
      <c r="C35" s="37">
        <v>3.67</v>
      </c>
      <c r="D35" s="37">
        <v>6.12</v>
      </c>
      <c r="E35" s="37">
        <v>3.55</v>
      </c>
      <c r="F35" s="37">
        <v>3.55</v>
      </c>
      <c r="G35" s="37">
        <v>5.0599999999999996</v>
      </c>
      <c r="H35" s="37">
        <v>4</v>
      </c>
      <c r="I35" s="37">
        <v>4.29</v>
      </c>
      <c r="J35" s="37">
        <v>4.88</v>
      </c>
      <c r="K35" s="37">
        <v>4.43</v>
      </c>
      <c r="L35" s="37">
        <v>4.21</v>
      </c>
      <c r="M35" s="37">
        <v>3.96</v>
      </c>
      <c r="N35" s="8"/>
    </row>
    <row r="36" spans="1:14" ht="16.8" thickTop="1" thickBot="1" x14ac:dyDescent="0.35">
      <c r="A36" s="128"/>
      <c r="B36" s="20" t="s">
        <v>103</v>
      </c>
      <c r="C36" s="32">
        <v>3.6</v>
      </c>
      <c r="D36" s="32">
        <v>5.99</v>
      </c>
      <c r="E36" s="32">
        <v>3.48</v>
      </c>
      <c r="F36" s="32">
        <v>3.48</v>
      </c>
      <c r="G36" s="32">
        <v>4.96</v>
      </c>
      <c r="H36" s="32">
        <v>3.92</v>
      </c>
      <c r="I36" s="32">
        <v>4.21</v>
      </c>
      <c r="J36" s="32">
        <v>4.78</v>
      </c>
      <c r="K36" s="32">
        <v>4.34</v>
      </c>
      <c r="L36" s="32">
        <v>4.12</v>
      </c>
      <c r="M36" s="32">
        <v>3.88</v>
      </c>
      <c r="N36" s="8"/>
    </row>
    <row r="37" spans="1:14" ht="16.8" thickTop="1" thickBot="1" x14ac:dyDescent="0.35">
      <c r="A37" s="128"/>
      <c r="B37" s="38" t="s">
        <v>104</v>
      </c>
      <c r="C37" s="26">
        <f t="shared" ref="C37:M37" si="7">IF(OR(C35="",C36=""),"",C36/C35)</f>
        <v>0.98092643051771122</v>
      </c>
      <c r="D37" s="26">
        <f t="shared" si="7"/>
        <v>0.97875816993464049</v>
      </c>
      <c r="E37" s="26">
        <f t="shared" si="7"/>
        <v>0.9802816901408451</v>
      </c>
      <c r="F37" s="26">
        <f t="shared" si="7"/>
        <v>0.9802816901408451</v>
      </c>
      <c r="G37" s="26">
        <f t="shared" si="7"/>
        <v>0.98023715415019774</v>
      </c>
      <c r="H37" s="26">
        <f t="shared" si="7"/>
        <v>0.98</v>
      </c>
      <c r="I37" s="26">
        <f t="shared" si="7"/>
        <v>0.98135198135198132</v>
      </c>
      <c r="J37" s="26">
        <f t="shared" si="7"/>
        <v>0.97950819672131151</v>
      </c>
      <c r="K37" s="26">
        <f t="shared" si="7"/>
        <v>0.97968397291196396</v>
      </c>
      <c r="L37" s="26">
        <f t="shared" si="7"/>
        <v>0.97862232779097391</v>
      </c>
      <c r="M37" s="26">
        <f t="shared" si="7"/>
        <v>0.97979797979797978</v>
      </c>
      <c r="N37" s="39"/>
    </row>
    <row r="38" spans="1:14" ht="16.8" thickTop="1" thickBot="1" x14ac:dyDescent="0.35">
      <c r="A38" s="128">
        <v>100</v>
      </c>
      <c r="B38" s="30" t="s">
        <v>102</v>
      </c>
      <c r="C38" s="37">
        <v>5.43</v>
      </c>
      <c r="D38" s="37">
        <v>9.0500000000000007</v>
      </c>
      <c r="E38" s="37">
        <v>5.25</v>
      </c>
      <c r="F38" s="37">
        <v>52.25</v>
      </c>
      <c r="G38" s="37">
        <v>7.49</v>
      </c>
      <c r="H38" s="37">
        <v>5.92</v>
      </c>
      <c r="I38" s="37">
        <v>6.35</v>
      </c>
      <c r="J38" s="37">
        <v>7.23</v>
      </c>
      <c r="K38" s="37">
        <v>6.56</v>
      </c>
      <c r="L38" s="37">
        <v>6.22</v>
      </c>
      <c r="M38" s="37">
        <v>5.86</v>
      </c>
      <c r="N38" s="8"/>
    </row>
    <row r="39" spans="1:14" ht="16.8" thickTop="1" thickBot="1" x14ac:dyDescent="0.35">
      <c r="A39" s="128"/>
      <c r="B39" s="20" t="s">
        <v>103</v>
      </c>
      <c r="C39" s="32">
        <v>5.29</v>
      </c>
      <c r="D39" s="32">
        <v>8.82</v>
      </c>
      <c r="E39" s="32">
        <v>5.1100000000000003</v>
      </c>
      <c r="F39" s="32">
        <v>5.1100000000000003</v>
      </c>
      <c r="G39" s="32">
        <v>7.29</v>
      </c>
      <c r="H39" s="32">
        <v>5.76</v>
      </c>
      <c r="I39" s="32">
        <v>6.19</v>
      </c>
      <c r="J39" s="32">
        <v>7.04</v>
      </c>
      <c r="K39" s="32">
        <v>6.39</v>
      </c>
      <c r="L39" s="32">
        <v>6.06</v>
      </c>
      <c r="M39" s="32">
        <v>5.7</v>
      </c>
      <c r="N39" s="8"/>
    </row>
    <row r="40" spans="1:14" ht="16.8" thickTop="1" thickBot="1" x14ac:dyDescent="0.35">
      <c r="A40" s="128"/>
      <c r="B40" s="38" t="s">
        <v>104</v>
      </c>
      <c r="C40" s="26">
        <f t="shared" ref="C40:M40" si="8">IF(OR(C38="",C39=""),"",C39/C38)</f>
        <v>0.97421731123388589</v>
      </c>
      <c r="D40" s="26">
        <f t="shared" si="8"/>
        <v>0.97458563535911602</v>
      </c>
      <c r="E40" s="26">
        <f t="shared" si="8"/>
        <v>0.97333333333333338</v>
      </c>
      <c r="F40" s="26">
        <f t="shared" si="8"/>
        <v>9.7799043062200969E-2</v>
      </c>
      <c r="G40" s="26">
        <f t="shared" si="8"/>
        <v>0.97329773030707611</v>
      </c>
      <c r="H40" s="26">
        <f t="shared" si="8"/>
        <v>0.97297297297297292</v>
      </c>
      <c r="I40" s="26">
        <f t="shared" si="8"/>
        <v>0.97480314960629932</v>
      </c>
      <c r="J40" s="26">
        <f t="shared" si="8"/>
        <v>0.97372060857538034</v>
      </c>
      <c r="K40" s="26">
        <f t="shared" si="8"/>
        <v>0.97408536585365857</v>
      </c>
      <c r="L40" s="26">
        <f t="shared" si="8"/>
        <v>0.97427652733118963</v>
      </c>
      <c r="M40" s="26">
        <f t="shared" si="8"/>
        <v>0.97269624573378832</v>
      </c>
      <c r="N40" s="39"/>
    </row>
    <row r="41" spans="1:14" ht="16.8" thickTop="1" thickBot="1" x14ac:dyDescent="0.35">
      <c r="A41" s="128">
        <v>120</v>
      </c>
      <c r="B41" s="30" t="s">
        <v>102</v>
      </c>
      <c r="C41" s="37">
        <v>7.45</v>
      </c>
      <c r="D41" s="37">
        <v>12.43</v>
      </c>
      <c r="E41" s="37">
        <v>7.2</v>
      </c>
      <c r="F41" s="37">
        <v>7.2</v>
      </c>
      <c r="G41" s="37">
        <v>10.26</v>
      </c>
      <c r="H41" s="37">
        <v>8.1199999999999992</v>
      </c>
      <c r="I41" s="37">
        <v>8.7100000000000009</v>
      </c>
      <c r="J41" s="37">
        <v>9.91</v>
      </c>
      <c r="K41" s="37">
        <v>8.99</v>
      </c>
      <c r="L41" s="37">
        <v>8.5299999999999994</v>
      </c>
      <c r="M41" s="37">
        <v>8.0299999999999994</v>
      </c>
      <c r="N41" s="8"/>
    </row>
    <row r="42" spans="1:14" ht="16.8" thickTop="1" thickBot="1" x14ac:dyDescent="0.35">
      <c r="A42" s="128"/>
      <c r="B42" s="20" t="s">
        <v>103</v>
      </c>
      <c r="C42" s="32">
        <v>7.23</v>
      </c>
      <c r="D42" s="32">
        <v>12.04</v>
      </c>
      <c r="E42" s="32">
        <v>6.98</v>
      </c>
      <c r="F42" s="32">
        <v>6.98</v>
      </c>
      <c r="G42" s="32">
        <v>9.9600000000000009</v>
      </c>
      <c r="H42" s="32">
        <v>7.87</v>
      </c>
      <c r="I42" s="32">
        <v>8.4499999999999993</v>
      </c>
      <c r="J42" s="32">
        <v>9.61</v>
      </c>
      <c r="K42" s="32">
        <v>8.7200000000000006</v>
      </c>
      <c r="L42" s="32">
        <v>8.2799999999999994</v>
      </c>
      <c r="M42" s="32">
        <v>7.79</v>
      </c>
      <c r="N42" s="8"/>
    </row>
    <row r="43" spans="1:14" ht="16.8" thickTop="1" thickBot="1" x14ac:dyDescent="0.35">
      <c r="A43" s="128"/>
      <c r="B43" s="38" t="s">
        <v>104</v>
      </c>
      <c r="C43" s="26">
        <f t="shared" ref="C43:M43" si="9">IF(OR(C41="",C42=""),"",C42/C41)</f>
        <v>0.97046979865771821</v>
      </c>
      <c r="D43" s="26">
        <f t="shared" si="9"/>
        <v>0.96862429605792433</v>
      </c>
      <c r="E43" s="26">
        <f t="shared" si="9"/>
        <v>0.96944444444444444</v>
      </c>
      <c r="F43" s="26">
        <f t="shared" si="9"/>
        <v>0.96944444444444444</v>
      </c>
      <c r="G43" s="26">
        <f t="shared" si="9"/>
        <v>0.97076023391812871</v>
      </c>
      <c r="H43" s="26">
        <f t="shared" si="9"/>
        <v>0.96921182266009864</v>
      </c>
      <c r="I43" s="26">
        <f t="shared" si="9"/>
        <v>0.97014925373134309</v>
      </c>
      <c r="J43" s="26">
        <f t="shared" si="9"/>
        <v>0.96972754793138238</v>
      </c>
      <c r="K43" s="26">
        <f t="shared" si="9"/>
        <v>0.96996662958843161</v>
      </c>
      <c r="L43" s="26">
        <f t="shared" si="9"/>
        <v>0.97069167643610788</v>
      </c>
      <c r="M43" s="26">
        <f t="shared" si="9"/>
        <v>0.9701120797011209</v>
      </c>
      <c r="N43" s="39"/>
    </row>
    <row r="44" spans="1:14" ht="16.8" thickTop="1" thickBot="1" x14ac:dyDescent="0.35">
      <c r="A44" s="128">
        <v>140</v>
      </c>
      <c r="B44" s="30" t="s">
        <v>102</v>
      </c>
      <c r="C44" s="37">
        <v>9.66</v>
      </c>
      <c r="D44" s="37">
        <v>16.11</v>
      </c>
      <c r="E44" s="37">
        <v>9.34</v>
      </c>
      <c r="F44" s="37">
        <v>9.34</v>
      </c>
      <c r="G44" s="37">
        <v>13.32</v>
      </c>
      <c r="H44" s="37">
        <v>10.53</v>
      </c>
      <c r="I44" s="37">
        <v>11.31</v>
      </c>
      <c r="J44" s="37">
        <v>12.86</v>
      </c>
      <c r="K44" s="37">
        <v>11.67</v>
      </c>
      <c r="L44" s="37">
        <v>11.07</v>
      </c>
      <c r="M44" s="37">
        <v>10.42</v>
      </c>
      <c r="N44" s="8"/>
    </row>
    <row r="45" spans="1:14" ht="16.8" thickTop="1" thickBot="1" x14ac:dyDescent="0.35">
      <c r="A45" s="128"/>
      <c r="B45" s="20" t="s">
        <v>103</v>
      </c>
      <c r="C45" s="32">
        <v>9.3699999999999992</v>
      </c>
      <c r="D45" s="32">
        <v>15.62</v>
      </c>
      <c r="E45" s="32">
        <v>9.06</v>
      </c>
      <c r="F45" s="32">
        <v>9.06</v>
      </c>
      <c r="G45" s="32">
        <v>12.92</v>
      </c>
      <c r="H45" s="32">
        <v>10.220000000000001</v>
      </c>
      <c r="I45" s="32">
        <v>10.97</v>
      </c>
      <c r="J45" s="32">
        <v>12.47</v>
      </c>
      <c r="K45" s="32">
        <v>11.32</v>
      </c>
      <c r="L45" s="32">
        <v>10.74</v>
      </c>
      <c r="M45" s="32">
        <v>10.1</v>
      </c>
      <c r="N45" s="8"/>
    </row>
    <row r="46" spans="1:14" ht="16.8" thickTop="1" thickBot="1" x14ac:dyDescent="0.35">
      <c r="A46" s="128"/>
      <c r="B46" s="38" t="s">
        <v>104</v>
      </c>
      <c r="C46" s="26">
        <f t="shared" ref="C46:M46" si="10">IF(OR(C44="",C45=""),"",C45/C44)</f>
        <v>0.96997929606625244</v>
      </c>
      <c r="D46" s="26">
        <f t="shared" si="10"/>
        <v>0.96958410924891369</v>
      </c>
      <c r="E46" s="26">
        <f t="shared" si="10"/>
        <v>0.97002141327623137</v>
      </c>
      <c r="F46" s="26">
        <f t="shared" si="10"/>
        <v>0.97002141327623137</v>
      </c>
      <c r="G46" s="26">
        <f t="shared" si="10"/>
        <v>0.96996996996996998</v>
      </c>
      <c r="H46" s="26">
        <f t="shared" si="10"/>
        <v>0.97056030389363734</v>
      </c>
      <c r="I46" s="26">
        <f t="shared" si="10"/>
        <v>0.96993810786914236</v>
      </c>
      <c r="J46" s="26">
        <f t="shared" si="10"/>
        <v>0.96967340590979789</v>
      </c>
      <c r="K46" s="26">
        <f t="shared" si="10"/>
        <v>0.97000856898029142</v>
      </c>
      <c r="L46" s="26">
        <f t="shared" si="10"/>
        <v>0.97018970189701892</v>
      </c>
      <c r="M46" s="26">
        <f t="shared" si="10"/>
        <v>0.96928982725527824</v>
      </c>
      <c r="N46" s="39"/>
    </row>
    <row r="47" spans="1:14" ht="15" customHeight="1" thickTop="1" thickBot="1" x14ac:dyDescent="0.35">
      <c r="A47" s="146" t="s">
        <v>152</v>
      </c>
      <c r="B47" s="30" t="s">
        <v>102</v>
      </c>
      <c r="C47" s="37">
        <v>12.1</v>
      </c>
      <c r="D47" s="37">
        <v>20.16</v>
      </c>
      <c r="E47" s="37">
        <v>11.69</v>
      </c>
      <c r="F47" s="37">
        <v>11.69</v>
      </c>
      <c r="G47" s="37">
        <v>16.670000000000002</v>
      </c>
      <c r="H47" s="37">
        <v>13.18</v>
      </c>
      <c r="I47" s="37">
        <v>14.15</v>
      </c>
      <c r="J47" s="37">
        <v>16.09</v>
      </c>
      <c r="K47" s="37">
        <v>14.6</v>
      </c>
      <c r="L47" s="37">
        <v>13.86</v>
      </c>
      <c r="M47" s="37">
        <v>13.04</v>
      </c>
      <c r="N47" s="8"/>
    </row>
    <row r="48" spans="1:14" ht="16.8" thickTop="1" thickBot="1" x14ac:dyDescent="0.35">
      <c r="A48" s="146"/>
      <c r="B48" s="20" t="s">
        <v>103</v>
      </c>
      <c r="C48" s="32">
        <v>11.74</v>
      </c>
      <c r="D48" s="32">
        <v>19.57</v>
      </c>
      <c r="E48" s="32">
        <v>11.34</v>
      </c>
      <c r="F48" s="32">
        <v>11.34</v>
      </c>
      <c r="G48" s="32">
        <v>16.18</v>
      </c>
      <c r="H48" s="32">
        <v>12.79</v>
      </c>
      <c r="I48" s="32">
        <v>13.73</v>
      </c>
      <c r="J48" s="32">
        <v>15.62</v>
      </c>
      <c r="K48" s="32">
        <v>14.17</v>
      </c>
      <c r="L48" s="32">
        <v>13.45</v>
      </c>
      <c r="M48" s="32">
        <v>12.65</v>
      </c>
      <c r="N48" s="8"/>
    </row>
    <row r="49" spans="1:14" ht="16.8" thickTop="1" thickBot="1" x14ac:dyDescent="0.35">
      <c r="A49" s="146"/>
      <c r="B49" s="38" t="s">
        <v>104</v>
      </c>
      <c r="C49" s="26">
        <f t="shared" ref="C49:M49" si="11">IF(OR(C47="",C48=""),"",C48/C47)</f>
        <v>0.97024793388429753</v>
      </c>
      <c r="D49" s="26">
        <f t="shared" si="11"/>
        <v>0.97073412698412698</v>
      </c>
      <c r="E49" s="26">
        <f t="shared" si="11"/>
        <v>0.97005988023952094</v>
      </c>
      <c r="F49" s="26">
        <f t="shared" si="11"/>
        <v>0.97005988023952094</v>
      </c>
      <c r="G49" s="26">
        <f t="shared" si="11"/>
        <v>0.97060587882423499</v>
      </c>
      <c r="H49" s="26">
        <f t="shared" si="11"/>
        <v>0.97040971168437018</v>
      </c>
      <c r="I49" s="26">
        <f t="shared" si="11"/>
        <v>0.97031802120141342</v>
      </c>
      <c r="J49" s="26">
        <f t="shared" si="11"/>
        <v>0.97078931013051584</v>
      </c>
      <c r="K49" s="26">
        <f t="shared" si="11"/>
        <v>0.97054794520547949</v>
      </c>
      <c r="L49" s="26">
        <f t="shared" si="11"/>
        <v>0.9704184704184704</v>
      </c>
      <c r="M49" s="26">
        <f t="shared" si="11"/>
        <v>0.97009202453987742</v>
      </c>
      <c r="N49" s="39"/>
    </row>
    <row r="50" spans="1:14" ht="15" customHeight="1" thickTop="1" x14ac:dyDescent="0.3"/>
    <row r="51" spans="1:14" ht="16.2" thickBot="1" x14ac:dyDescent="0.35">
      <c r="A51" s="8" t="s">
        <v>153</v>
      </c>
    </row>
    <row r="52" spans="1:14" ht="16.2" thickTop="1" x14ac:dyDescent="0.3">
      <c r="B52" s="15" t="s">
        <v>100</v>
      </c>
      <c r="C52" s="31" t="s">
        <v>13</v>
      </c>
      <c r="D52" s="31" t="s">
        <v>26</v>
      </c>
      <c r="E52" s="31" t="s">
        <v>34</v>
      </c>
      <c r="F52" s="31" t="s">
        <v>14</v>
      </c>
      <c r="G52" s="31" t="s">
        <v>15</v>
      </c>
      <c r="H52" s="31" t="s">
        <v>18</v>
      </c>
      <c r="I52" s="31" t="s">
        <v>20</v>
      </c>
      <c r="J52" s="31" t="s">
        <v>16</v>
      </c>
      <c r="K52" s="31" t="s">
        <v>21</v>
      </c>
      <c r="L52" s="31" t="s">
        <v>35</v>
      </c>
      <c r="M52" s="31" t="s">
        <v>22</v>
      </c>
      <c r="N52" s="8"/>
    </row>
    <row r="53" spans="1:14" ht="15.6" x14ac:dyDescent="0.3">
      <c r="B53" s="18" t="s">
        <v>114</v>
      </c>
      <c r="C53" s="32">
        <v>2</v>
      </c>
      <c r="D53" s="32">
        <v>3.6</v>
      </c>
      <c r="E53" s="32">
        <v>2.4</v>
      </c>
      <c r="F53" s="32">
        <v>5</v>
      </c>
      <c r="G53" s="32">
        <v>6</v>
      </c>
      <c r="H53" s="32">
        <v>10</v>
      </c>
      <c r="I53" s="32">
        <f>12*1.2</f>
        <v>14.399999999999999</v>
      </c>
      <c r="J53" s="32">
        <v>12</v>
      </c>
      <c r="K53" s="32">
        <f>32*0.6</f>
        <v>19.2</v>
      </c>
      <c r="L53" s="32">
        <f>32*1.2</f>
        <v>38.4</v>
      </c>
      <c r="M53" s="32">
        <f>64*0.6</f>
        <v>38.4</v>
      </c>
      <c r="N53" s="8"/>
    </row>
    <row r="54" spans="1:14" ht="15.6" x14ac:dyDescent="0.3">
      <c r="B54" s="18" t="s">
        <v>101</v>
      </c>
      <c r="C54" s="32" t="s">
        <v>13</v>
      </c>
      <c r="D54" s="32" t="s">
        <v>26</v>
      </c>
      <c r="E54" s="32" t="s">
        <v>31</v>
      </c>
      <c r="F54" s="32" t="s">
        <v>14</v>
      </c>
      <c r="G54" s="32" t="s">
        <v>16</v>
      </c>
      <c r="H54" s="32" t="s">
        <v>18</v>
      </c>
      <c r="I54" s="32" t="s">
        <v>20</v>
      </c>
      <c r="J54" s="32" t="s">
        <v>19</v>
      </c>
      <c r="K54" s="32" t="s">
        <v>22</v>
      </c>
      <c r="L54" s="32" t="s">
        <v>35</v>
      </c>
      <c r="M54" s="32" t="s">
        <v>40</v>
      </c>
      <c r="N54" s="8"/>
    </row>
    <row r="55" spans="1:14" ht="16.2" thickBot="1" x14ac:dyDescent="0.35">
      <c r="B55" s="33" t="s">
        <v>115</v>
      </c>
      <c r="C55" s="40"/>
      <c r="D55" s="40"/>
      <c r="E55" s="40" t="s">
        <v>121</v>
      </c>
      <c r="F55" s="40"/>
      <c r="G55" s="40" t="s">
        <v>121</v>
      </c>
      <c r="H55" s="40"/>
      <c r="I55" s="40"/>
      <c r="J55" s="40" t="s">
        <v>121</v>
      </c>
      <c r="K55" s="40" t="s">
        <v>121</v>
      </c>
      <c r="L55" s="40"/>
      <c r="M55" s="40" t="s">
        <v>121</v>
      </c>
      <c r="N55" s="8"/>
    </row>
    <row r="56" spans="1:14" ht="16.8" thickTop="1" thickBot="1" x14ac:dyDescent="0.35">
      <c r="A56" s="7" t="s">
        <v>6</v>
      </c>
      <c r="B56" s="35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8"/>
    </row>
    <row r="57" spans="1:14" ht="16.8" thickTop="1" thickBot="1" x14ac:dyDescent="0.35">
      <c r="A57" s="128">
        <v>70</v>
      </c>
      <c r="B57" s="30" t="s">
        <v>102</v>
      </c>
      <c r="C57" s="37">
        <v>0.6</v>
      </c>
      <c r="D57" s="37">
        <v>1</v>
      </c>
      <c r="E57" s="37">
        <v>1.1000000000000001</v>
      </c>
      <c r="F57" s="37">
        <v>0.6</v>
      </c>
      <c r="G57" s="37">
        <v>0.8</v>
      </c>
      <c r="H57" s="37">
        <v>0.6</v>
      </c>
      <c r="I57" s="37">
        <v>0.7</v>
      </c>
      <c r="J57" s="37">
        <v>0.8</v>
      </c>
      <c r="K57" s="37">
        <v>0.7</v>
      </c>
      <c r="L57" s="37">
        <v>0.6</v>
      </c>
      <c r="M57" s="37">
        <v>0.6</v>
      </c>
      <c r="N57" s="8"/>
    </row>
    <row r="58" spans="1:14" ht="16.8" thickTop="1" thickBot="1" x14ac:dyDescent="0.35">
      <c r="A58" s="128"/>
      <c r="B58" s="20" t="s">
        <v>103</v>
      </c>
      <c r="C58" s="32">
        <v>1.3</v>
      </c>
      <c r="D58" s="32">
        <v>2.1</v>
      </c>
      <c r="E58" s="32">
        <v>2.2000000000000002</v>
      </c>
      <c r="F58" s="32">
        <v>1.1000000000000001</v>
      </c>
      <c r="G58" s="32">
        <v>1.5</v>
      </c>
      <c r="H58" s="32">
        <v>1.1000000000000001</v>
      </c>
      <c r="I58" s="32">
        <v>1.5</v>
      </c>
      <c r="J58" s="32">
        <v>1.5</v>
      </c>
      <c r="K58" s="32">
        <v>1.4</v>
      </c>
      <c r="L58" s="32">
        <v>1.3</v>
      </c>
      <c r="M58" s="32">
        <v>1.2</v>
      </c>
      <c r="N58" s="8"/>
    </row>
    <row r="59" spans="1:14" ht="16.8" thickTop="1" thickBot="1" x14ac:dyDescent="0.35">
      <c r="A59" s="128"/>
      <c r="B59" s="38" t="s">
        <v>104</v>
      </c>
      <c r="C59" s="26">
        <f t="shared" ref="C59:M59" si="12">IF(OR(C57="",C58=""),"",C58/C57)</f>
        <v>2.166666666666667</v>
      </c>
      <c r="D59" s="26">
        <f t="shared" si="12"/>
        <v>2.1</v>
      </c>
      <c r="E59" s="26">
        <f t="shared" si="12"/>
        <v>2</v>
      </c>
      <c r="F59" s="26">
        <f t="shared" si="12"/>
        <v>1.8333333333333335</v>
      </c>
      <c r="G59" s="26">
        <f t="shared" si="12"/>
        <v>1.875</v>
      </c>
      <c r="H59" s="26">
        <f t="shared" si="12"/>
        <v>1.8333333333333335</v>
      </c>
      <c r="I59" s="26">
        <f t="shared" si="12"/>
        <v>2.1428571428571428</v>
      </c>
      <c r="J59" s="26">
        <f t="shared" si="12"/>
        <v>1.875</v>
      </c>
      <c r="K59" s="26">
        <f t="shared" si="12"/>
        <v>2</v>
      </c>
      <c r="L59" s="26">
        <f t="shared" si="12"/>
        <v>2.166666666666667</v>
      </c>
      <c r="M59" s="26">
        <f t="shared" si="12"/>
        <v>2</v>
      </c>
      <c r="N59" s="39"/>
    </row>
    <row r="60" spans="1:14" ht="16.8" thickTop="1" thickBot="1" x14ac:dyDescent="0.35">
      <c r="A60" s="128">
        <v>80</v>
      </c>
      <c r="B60" s="30" t="s">
        <v>102</v>
      </c>
      <c r="C60" s="37">
        <v>1.1000000000000001</v>
      </c>
      <c r="D60" s="37">
        <v>1.8</v>
      </c>
      <c r="E60" s="37">
        <v>1.9</v>
      </c>
      <c r="F60" s="37">
        <v>1</v>
      </c>
      <c r="G60" s="37">
        <v>1.3</v>
      </c>
      <c r="H60" s="37">
        <v>1</v>
      </c>
      <c r="I60" s="37">
        <v>1.3</v>
      </c>
      <c r="J60" s="37">
        <v>1.3</v>
      </c>
      <c r="K60" s="37">
        <v>1.2</v>
      </c>
      <c r="L60" s="37">
        <v>1.1000000000000001</v>
      </c>
      <c r="M60" s="37">
        <v>1.1000000000000001</v>
      </c>
      <c r="N60" s="8"/>
    </row>
    <row r="61" spans="1:14" ht="16.8" thickTop="1" thickBot="1" x14ac:dyDescent="0.35">
      <c r="A61" s="128"/>
      <c r="B61" s="20" t="s">
        <v>103</v>
      </c>
      <c r="C61" s="32">
        <v>2</v>
      </c>
      <c r="D61" s="32">
        <v>3.2</v>
      </c>
      <c r="E61" s="32">
        <v>3.4</v>
      </c>
      <c r="F61" s="32">
        <v>1.8</v>
      </c>
      <c r="G61" s="32">
        <v>2.4</v>
      </c>
      <c r="H61" s="32">
        <v>1.8</v>
      </c>
      <c r="I61" s="32">
        <v>2.2999999999999998</v>
      </c>
      <c r="J61" s="32">
        <v>2.4</v>
      </c>
      <c r="K61" s="32">
        <v>2.2000000000000002</v>
      </c>
      <c r="L61" s="32">
        <v>2</v>
      </c>
      <c r="M61" s="32">
        <v>2</v>
      </c>
      <c r="N61" s="8"/>
    </row>
    <row r="62" spans="1:14" ht="16.8" thickTop="1" thickBot="1" x14ac:dyDescent="0.35">
      <c r="A62" s="128"/>
      <c r="B62" s="38" t="s">
        <v>104</v>
      </c>
      <c r="C62" s="26">
        <f t="shared" ref="C62:M62" si="13">IF(OR(C60="",C61=""),"",C61/C60)</f>
        <v>1.8181818181818181</v>
      </c>
      <c r="D62" s="26">
        <f t="shared" si="13"/>
        <v>1.7777777777777779</v>
      </c>
      <c r="E62" s="26">
        <f t="shared" si="13"/>
        <v>1.7894736842105263</v>
      </c>
      <c r="F62" s="26">
        <f t="shared" si="13"/>
        <v>1.8</v>
      </c>
      <c r="G62" s="26">
        <f t="shared" si="13"/>
        <v>1.846153846153846</v>
      </c>
      <c r="H62" s="26">
        <f t="shared" si="13"/>
        <v>1.8</v>
      </c>
      <c r="I62" s="26">
        <f t="shared" si="13"/>
        <v>1.7692307692307689</v>
      </c>
      <c r="J62" s="26">
        <f t="shared" si="13"/>
        <v>1.846153846153846</v>
      </c>
      <c r="K62" s="26">
        <f t="shared" si="13"/>
        <v>1.8333333333333335</v>
      </c>
      <c r="L62" s="26">
        <f t="shared" si="13"/>
        <v>1.8181818181818181</v>
      </c>
      <c r="M62" s="26">
        <f t="shared" si="13"/>
        <v>1.8181818181818181</v>
      </c>
      <c r="N62" s="39"/>
    </row>
    <row r="63" spans="1:14" ht="16.8" thickTop="1" thickBot="1" x14ac:dyDescent="0.35">
      <c r="A63" s="128">
        <v>100</v>
      </c>
      <c r="B63" s="30" t="s">
        <v>102</v>
      </c>
      <c r="C63" s="37">
        <v>2.5</v>
      </c>
      <c r="D63" s="37">
        <v>4.0999999999999996</v>
      </c>
      <c r="E63" s="37">
        <v>4.3</v>
      </c>
      <c r="F63" s="37">
        <v>2.2999999999999998</v>
      </c>
      <c r="G63" s="37">
        <v>3</v>
      </c>
      <c r="H63" s="37">
        <v>2.2999999999999998</v>
      </c>
      <c r="I63" s="37">
        <v>2.9</v>
      </c>
      <c r="J63" s="37">
        <v>3.1</v>
      </c>
      <c r="K63" s="37">
        <v>2.9</v>
      </c>
      <c r="L63" s="37">
        <v>2.5</v>
      </c>
      <c r="M63" s="37">
        <v>2.5</v>
      </c>
      <c r="N63" s="8"/>
    </row>
    <row r="64" spans="1:14" ht="16.8" thickTop="1" thickBot="1" x14ac:dyDescent="0.35">
      <c r="A64" s="128"/>
      <c r="B64" s="20" t="s">
        <v>103</v>
      </c>
      <c r="C64" s="32">
        <v>4.2</v>
      </c>
      <c r="D64" s="32">
        <v>6.8</v>
      </c>
      <c r="E64" s="32">
        <v>7.2</v>
      </c>
      <c r="F64" s="32">
        <v>3.8</v>
      </c>
      <c r="G64" s="32">
        <v>5</v>
      </c>
      <c r="H64" s="32">
        <v>3.8</v>
      </c>
      <c r="I64" s="32">
        <v>4.8</v>
      </c>
      <c r="J64" s="32">
        <v>5.0999999999999996</v>
      </c>
      <c r="K64" s="32">
        <v>4.7</v>
      </c>
      <c r="L64" s="32">
        <v>4.2</v>
      </c>
      <c r="M64" s="32">
        <v>4.0999999999999996</v>
      </c>
      <c r="N64" s="8"/>
    </row>
    <row r="65" spans="1:14" ht="16.8" thickTop="1" thickBot="1" x14ac:dyDescent="0.35">
      <c r="A65" s="128"/>
      <c r="B65" s="38" t="s">
        <v>104</v>
      </c>
      <c r="C65" s="26">
        <f t="shared" ref="C65:M65" si="14">IF(OR(C63="",C64=""),"",C64/C63)</f>
        <v>1.6800000000000002</v>
      </c>
      <c r="D65" s="26">
        <f t="shared" si="14"/>
        <v>1.6585365853658538</v>
      </c>
      <c r="E65" s="26">
        <f t="shared" si="14"/>
        <v>1.6744186046511629</v>
      </c>
      <c r="F65" s="26">
        <f t="shared" si="14"/>
        <v>1.6521739130434783</v>
      </c>
      <c r="G65" s="26">
        <f t="shared" si="14"/>
        <v>1.6666666666666667</v>
      </c>
      <c r="H65" s="26">
        <f t="shared" si="14"/>
        <v>1.6521739130434783</v>
      </c>
      <c r="I65" s="26">
        <f t="shared" si="14"/>
        <v>1.6551724137931034</v>
      </c>
      <c r="J65" s="26">
        <f t="shared" si="14"/>
        <v>1.6451612903225805</v>
      </c>
      <c r="K65" s="26">
        <f t="shared" si="14"/>
        <v>1.6206896551724139</v>
      </c>
      <c r="L65" s="26">
        <f t="shared" si="14"/>
        <v>1.6800000000000002</v>
      </c>
      <c r="M65" s="26">
        <f t="shared" si="14"/>
        <v>1.64</v>
      </c>
      <c r="N65" s="39"/>
    </row>
    <row r="66" spans="1:14" ht="16.8" thickTop="1" thickBot="1" x14ac:dyDescent="0.35">
      <c r="A66" s="128">
        <v>120</v>
      </c>
      <c r="B66" s="30" t="s">
        <v>102</v>
      </c>
      <c r="C66" s="37">
        <v>4.4000000000000004</v>
      </c>
      <c r="D66" s="37">
        <v>7.1</v>
      </c>
      <c r="E66" s="37">
        <v>7.5</v>
      </c>
      <c r="F66" s="37">
        <v>3.9</v>
      </c>
      <c r="G66" s="37">
        <v>5.2</v>
      </c>
      <c r="H66" s="37">
        <v>3.9</v>
      </c>
      <c r="I66" s="37">
        <v>5</v>
      </c>
      <c r="J66" s="37">
        <v>5.3</v>
      </c>
      <c r="K66" s="37">
        <v>4.9000000000000004</v>
      </c>
      <c r="L66" s="37">
        <v>4.4000000000000004</v>
      </c>
      <c r="M66" s="37">
        <v>4.3</v>
      </c>
      <c r="N66" s="8"/>
    </row>
    <row r="67" spans="1:14" ht="16.8" thickTop="1" thickBot="1" x14ac:dyDescent="0.35">
      <c r="A67" s="128"/>
      <c r="B67" s="20" t="s">
        <v>103</v>
      </c>
      <c r="C67" s="32">
        <v>6.9</v>
      </c>
      <c r="D67" s="32">
        <v>11.1</v>
      </c>
      <c r="E67" s="32">
        <v>11.7</v>
      </c>
      <c r="F67" s="32">
        <v>6.2</v>
      </c>
      <c r="G67" s="32">
        <v>8.1</v>
      </c>
      <c r="H67" s="32">
        <v>6.2</v>
      </c>
      <c r="I67" s="32">
        <v>7.9</v>
      </c>
      <c r="J67" s="32">
        <v>8.3000000000000007</v>
      </c>
      <c r="K67" s="32">
        <v>7.7</v>
      </c>
      <c r="L67" s="32">
        <v>6.9</v>
      </c>
      <c r="M67" s="32">
        <v>6.7</v>
      </c>
      <c r="N67" s="8"/>
    </row>
    <row r="68" spans="1:14" ht="16.8" thickTop="1" thickBot="1" x14ac:dyDescent="0.35">
      <c r="A68" s="128"/>
      <c r="B68" s="38" t="s">
        <v>104</v>
      </c>
      <c r="C68" s="26">
        <f t="shared" ref="C68:M68" si="15">IF(OR(C66="",C67=""),"",C67/C66)</f>
        <v>1.5681818181818181</v>
      </c>
      <c r="D68" s="26">
        <f t="shared" si="15"/>
        <v>1.563380281690141</v>
      </c>
      <c r="E68" s="26">
        <f t="shared" si="15"/>
        <v>1.5599999999999998</v>
      </c>
      <c r="F68" s="26">
        <f t="shared" si="15"/>
        <v>1.5897435897435899</v>
      </c>
      <c r="G68" s="26">
        <f t="shared" si="15"/>
        <v>1.5576923076923075</v>
      </c>
      <c r="H68" s="26">
        <f t="shared" si="15"/>
        <v>1.5897435897435899</v>
      </c>
      <c r="I68" s="26">
        <f t="shared" si="15"/>
        <v>1.58</v>
      </c>
      <c r="J68" s="26">
        <f t="shared" si="15"/>
        <v>1.5660377358490567</v>
      </c>
      <c r="K68" s="26">
        <f t="shared" si="15"/>
        <v>1.5714285714285714</v>
      </c>
      <c r="L68" s="26">
        <f t="shared" si="15"/>
        <v>1.5681818181818181</v>
      </c>
      <c r="M68" s="26">
        <f t="shared" si="15"/>
        <v>1.558139534883721</v>
      </c>
      <c r="N68" s="39"/>
    </row>
    <row r="69" spans="1:14" ht="16.8" thickTop="1" thickBot="1" x14ac:dyDescent="0.35">
      <c r="A69" s="128">
        <v>140</v>
      </c>
      <c r="B69" s="30" t="s">
        <v>102</v>
      </c>
      <c r="C69" s="37">
        <v>6.5</v>
      </c>
      <c r="D69" s="37">
        <v>10.6</v>
      </c>
      <c r="E69" s="37">
        <v>11.2</v>
      </c>
      <c r="F69" s="37">
        <v>5.9</v>
      </c>
      <c r="G69" s="37">
        <v>7.8</v>
      </c>
      <c r="H69" s="37">
        <v>5.9</v>
      </c>
      <c r="I69" s="37">
        <v>7.5</v>
      </c>
      <c r="J69" s="37">
        <v>7.9</v>
      </c>
      <c r="K69" s="37">
        <v>7.4</v>
      </c>
      <c r="L69" s="37">
        <v>6.6</v>
      </c>
      <c r="M69" s="37">
        <v>6.5</v>
      </c>
      <c r="N69" s="8"/>
    </row>
    <row r="70" spans="1:14" ht="16.8" thickTop="1" thickBot="1" x14ac:dyDescent="0.35">
      <c r="A70" s="128"/>
      <c r="B70" s="20" t="s">
        <v>103</v>
      </c>
      <c r="C70" s="32">
        <v>10</v>
      </c>
      <c r="D70" s="32">
        <v>16.2</v>
      </c>
      <c r="E70" s="32">
        <v>17.100000000000001</v>
      </c>
      <c r="F70" s="32">
        <v>9</v>
      </c>
      <c r="G70" s="32">
        <v>11.8</v>
      </c>
      <c r="H70" s="32">
        <v>9</v>
      </c>
      <c r="I70" s="32">
        <v>11.5</v>
      </c>
      <c r="J70" s="32">
        <v>12.1</v>
      </c>
      <c r="K70" s="32">
        <v>11.2</v>
      </c>
      <c r="L70" s="32">
        <v>10</v>
      </c>
      <c r="M70" s="32">
        <v>9.8000000000000007</v>
      </c>
      <c r="N70" s="8"/>
    </row>
    <row r="71" spans="1:14" ht="16.8" thickTop="1" thickBot="1" x14ac:dyDescent="0.35">
      <c r="A71" s="128"/>
      <c r="B71" s="38" t="s">
        <v>104</v>
      </c>
      <c r="C71" s="26">
        <f t="shared" ref="C71:M71" si="16">IF(OR(C69="",C70=""),"",C70/C69)</f>
        <v>1.5384615384615385</v>
      </c>
      <c r="D71" s="26">
        <f t="shared" si="16"/>
        <v>1.5283018867924527</v>
      </c>
      <c r="E71" s="26">
        <f t="shared" si="16"/>
        <v>1.5267857142857144</v>
      </c>
      <c r="F71" s="26">
        <f t="shared" si="16"/>
        <v>1.5254237288135593</v>
      </c>
      <c r="G71" s="26">
        <f t="shared" si="16"/>
        <v>1.512820512820513</v>
      </c>
      <c r="H71" s="26">
        <f t="shared" si="16"/>
        <v>1.5254237288135593</v>
      </c>
      <c r="I71" s="26">
        <f t="shared" si="16"/>
        <v>1.5333333333333334</v>
      </c>
      <c r="J71" s="26">
        <f t="shared" si="16"/>
        <v>1.5316455696202531</v>
      </c>
      <c r="K71" s="26">
        <f t="shared" si="16"/>
        <v>1.5135135135135134</v>
      </c>
      <c r="L71" s="26">
        <f t="shared" si="16"/>
        <v>1.5151515151515151</v>
      </c>
      <c r="M71" s="26">
        <f t="shared" si="16"/>
        <v>1.5076923076923079</v>
      </c>
      <c r="N71" s="39"/>
    </row>
    <row r="72" spans="1:14" ht="15" customHeight="1" thickTop="1" x14ac:dyDescent="0.3"/>
    <row r="73" spans="1:14" ht="16.2" thickBot="1" x14ac:dyDescent="0.35">
      <c r="A73" s="8" t="s">
        <v>175</v>
      </c>
    </row>
    <row r="74" spans="1:14" ht="16.2" thickTop="1" x14ac:dyDescent="0.3">
      <c r="B74" s="15" t="s">
        <v>100</v>
      </c>
      <c r="C74" s="31" t="s">
        <v>13</v>
      </c>
      <c r="D74" s="31" t="s">
        <v>26</v>
      </c>
      <c r="E74" s="31" t="s">
        <v>34</v>
      </c>
      <c r="F74" s="31" t="s">
        <v>14</v>
      </c>
      <c r="G74" s="31" t="s">
        <v>15</v>
      </c>
      <c r="H74" s="31" t="s">
        <v>18</v>
      </c>
      <c r="I74" s="31" t="s">
        <v>20</v>
      </c>
      <c r="J74" s="31" t="s">
        <v>16</v>
      </c>
      <c r="K74" s="31" t="s">
        <v>21</v>
      </c>
      <c r="L74" s="31" t="s">
        <v>35</v>
      </c>
      <c r="M74" s="31" t="s">
        <v>22</v>
      </c>
      <c r="N74" s="8"/>
    </row>
    <row r="75" spans="1:14" ht="15.6" x14ac:dyDescent="0.3">
      <c r="B75" s="18" t="s">
        <v>114</v>
      </c>
      <c r="C75" s="32">
        <v>2</v>
      </c>
      <c r="D75" s="32">
        <v>3.6</v>
      </c>
      <c r="E75" s="32">
        <v>2.4</v>
      </c>
      <c r="F75" s="32">
        <v>5</v>
      </c>
      <c r="G75" s="32">
        <v>6</v>
      </c>
      <c r="H75" s="32">
        <v>10</v>
      </c>
      <c r="I75" s="32">
        <f>12*1.2</f>
        <v>14.399999999999999</v>
      </c>
      <c r="J75" s="32">
        <v>12</v>
      </c>
      <c r="K75" s="32">
        <f>32*0.6</f>
        <v>19.2</v>
      </c>
      <c r="L75" s="32">
        <f>32*1.2</f>
        <v>38.4</v>
      </c>
      <c r="M75" s="32">
        <f>64*0.6</f>
        <v>38.4</v>
      </c>
      <c r="N75" s="8"/>
    </row>
    <row r="76" spans="1:14" ht="15.6" x14ac:dyDescent="0.3">
      <c r="B76" s="18" t="s">
        <v>101</v>
      </c>
      <c r="C76" s="32" t="s">
        <v>13</v>
      </c>
      <c r="D76" s="32" t="s">
        <v>26</v>
      </c>
      <c r="E76" s="32" t="s">
        <v>31</v>
      </c>
      <c r="F76" s="32" t="s">
        <v>14</v>
      </c>
      <c r="G76" s="32" t="s">
        <v>16</v>
      </c>
      <c r="H76" s="32" t="s">
        <v>18</v>
      </c>
      <c r="I76" s="32" t="s">
        <v>20</v>
      </c>
      <c r="J76" s="32" t="s">
        <v>19</v>
      </c>
      <c r="K76" s="32" t="s">
        <v>22</v>
      </c>
      <c r="L76" s="32" t="s">
        <v>35</v>
      </c>
      <c r="M76" s="32" t="s">
        <v>40</v>
      </c>
      <c r="N76" s="8"/>
    </row>
    <row r="77" spans="1:14" ht="16.2" thickBot="1" x14ac:dyDescent="0.35">
      <c r="B77" s="33" t="s">
        <v>115</v>
      </c>
      <c r="C77" s="40"/>
      <c r="D77" s="40"/>
      <c r="E77" s="40" t="s">
        <v>121</v>
      </c>
      <c r="F77" s="40"/>
      <c r="G77" s="40" t="s">
        <v>121</v>
      </c>
      <c r="H77" s="40"/>
      <c r="I77" s="40"/>
      <c r="J77" s="40" t="s">
        <v>121</v>
      </c>
      <c r="K77" s="40" t="s">
        <v>121</v>
      </c>
      <c r="L77" s="40"/>
      <c r="M77" s="40" t="s">
        <v>121</v>
      </c>
      <c r="N77" s="8"/>
    </row>
    <row r="78" spans="1:14" ht="16.8" thickTop="1" thickBot="1" x14ac:dyDescent="0.35">
      <c r="A78" s="7" t="s">
        <v>6</v>
      </c>
      <c r="B78" s="35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8"/>
    </row>
    <row r="79" spans="1:14" ht="16.8" thickTop="1" thickBot="1" x14ac:dyDescent="0.35">
      <c r="A79" s="128">
        <v>70</v>
      </c>
      <c r="B79" s="30" t="s">
        <v>102</v>
      </c>
      <c r="C79" s="37">
        <v>0.7</v>
      </c>
      <c r="D79" s="37">
        <v>1.2</v>
      </c>
      <c r="E79" s="37">
        <v>1.2</v>
      </c>
      <c r="F79" s="37">
        <v>0.6</v>
      </c>
      <c r="G79" s="37">
        <v>0.9</v>
      </c>
      <c r="H79" s="37">
        <v>0.6</v>
      </c>
      <c r="I79" s="37">
        <v>0.8</v>
      </c>
      <c r="J79" s="37">
        <v>0.9</v>
      </c>
      <c r="K79" s="37">
        <v>0.8</v>
      </c>
      <c r="L79" s="37">
        <v>0.7</v>
      </c>
      <c r="M79" s="37">
        <v>0.7</v>
      </c>
      <c r="N79" s="8"/>
    </row>
    <row r="80" spans="1:14" ht="16.8" thickTop="1" thickBot="1" x14ac:dyDescent="0.35">
      <c r="A80" s="128"/>
      <c r="B80" s="20" t="s">
        <v>103</v>
      </c>
      <c r="C80" s="32">
        <v>1.7</v>
      </c>
      <c r="D80" s="32">
        <v>2.7</v>
      </c>
      <c r="E80" s="32">
        <v>2.9</v>
      </c>
      <c r="F80" s="32">
        <v>1.5</v>
      </c>
      <c r="G80" s="32">
        <v>2</v>
      </c>
      <c r="H80" s="32">
        <v>1.5</v>
      </c>
      <c r="I80" s="32">
        <v>2</v>
      </c>
      <c r="J80" s="32">
        <v>2.1</v>
      </c>
      <c r="K80" s="32">
        <v>1.9</v>
      </c>
      <c r="L80" s="32">
        <v>1.7</v>
      </c>
      <c r="M80" s="32">
        <v>1.7</v>
      </c>
      <c r="N80" s="8"/>
    </row>
    <row r="81" spans="1:14" ht="16.8" thickTop="1" thickBot="1" x14ac:dyDescent="0.35">
      <c r="A81" s="128"/>
      <c r="B81" s="38" t="s">
        <v>104</v>
      </c>
      <c r="C81" s="26">
        <f t="shared" ref="C81:M81" si="17">IF(OR(C79="",C80=""),"",C80/C79)</f>
        <v>2.4285714285714288</v>
      </c>
      <c r="D81" s="26">
        <f t="shared" si="17"/>
        <v>2.2500000000000004</v>
      </c>
      <c r="E81" s="26">
        <f t="shared" si="17"/>
        <v>2.4166666666666665</v>
      </c>
      <c r="F81" s="26">
        <f t="shared" si="17"/>
        <v>2.5</v>
      </c>
      <c r="G81" s="26">
        <f t="shared" si="17"/>
        <v>2.2222222222222223</v>
      </c>
      <c r="H81" s="26">
        <f t="shared" si="17"/>
        <v>2.5</v>
      </c>
      <c r="I81" s="26">
        <f t="shared" si="17"/>
        <v>2.5</v>
      </c>
      <c r="J81" s="26">
        <f t="shared" si="17"/>
        <v>2.3333333333333335</v>
      </c>
      <c r="K81" s="26">
        <f t="shared" si="17"/>
        <v>2.3749999999999996</v>
      </c>
      <c r="L81" s="26">
        <f t="shared" si="17"/>
        <v>2.4285714285714288</v>
      </c>
      <c r="M81" s="26">
        <f t="shared" si="17"/>
        <v>2.4285714285714288</v>
      </c>
      <c r="N81" s="39"/>
    </row>
    <row r="82" spans="1:14" ht="16.8" thickTop="1" thickBot="1" x14ac:dyDescent="0.35">
      <c r="A82" s="128">
        <v>80</v>
      </c>
      <c r="B82" s="30" t="s">
        <v>102</v>
      </c>
      <c r="C82" s="37">
        <v>1.2</v>
      </c>
      <c r="D82" s="37">
        <v>2</v>
      </c>
      <c r="E82" s="37">
        <v>2.1</v>
      </c>
      <c r="F82" s="37">
        <v>1.1000000000000001</v>
      </c>
      <c r="G82" s="37">
        <v>1.5</v>
      </c>
      <c r="H82" s="37">
        <v>1.1000000000000001</v>
      </c>
      <c r="I82" s="37">
        <v>1.4</v>
      </c>
      <c r="J82" s="37">
        <v>1.5</v>
      </c>
      <c r="K82" s="37">
        <v>1.4</v>
      </c>
      <c r="L82" s="37">
        <v>1.2</v>
      </c>
      <c r="M82" s="37">
        <v>1.2</v>
      </c>
      <c r="N82" s="8"/>
    </row>
    <row r="83" spans="1:14" ht="16.8" thickTop="1" thickBot="1" x14ac:dyDescent="0.35">
      <c r="A83" s="128"/>
      <c r="B83" s="20" t="s">
        <v>103</v>
      </c>
      <c r="C83" s="32">
        <v>2.6</v>
      </c>
      <c r="D83" s="32">
        <v>4.3</v>
      </c>
      <c r="E83" s="32">
        <v>4.5</v>
      </c>
      <c r="F83" s="32">
        <v>2.4</v>
      </c>
      <c r="G83" s="32">
        <v>3.1</v>
      </c>
      <c r="H83" s="32">
        <v>2.4</v>
      </c>
      <c r="I83" s="32">
        <v>3</v>
      </c>
      <c r="J83" s="32">
        <v>3.2</v>
      </c>
      <c r="K83" s="32">
        <v>2.9</v>
      </c>
      <c r="L83" s="32">
        <v>2.6</v>
      </c>
      <c r="M83" s="32">
        <v>2.6</v>
      </c>
      <c r="N83" s="8"/>
    </row>
    <row r="84" spans="1:14" ht="16.8" thickTop="1" thickBot="1" x14ac:dyDescent="0.35">
      <c r="A84" s="128"/>
      <c r="B84" s="38" t="s">
        <v>104</v>
      </c>
      <c r="C84" s="26">
        <f t="shared" ref="C84:M84" si="18">IF(OR(C82="",C83=""),"",C83/C82)</f>
        <v>2.166666666666667</v>
      </c>
      <c r="D84" s="26">
        <f t="shared" si="18"/>
        <v>2.15</v>
      </c>
      <c r="E84" s="26">
        <f t="shared" si="18"/>
        <v>2.1428571428571428</v>
      </c>
      <c r="F84" s="26">
        <f t="shared" si="18"/>
        <v>2.1818181818181817</v>
      </c>
      <c r="G84" s="26">
        <f t="shared" si="18"/>
        <v>2.0666666666666669</v>
      </c>
      <c r="H84" s="26">
        <f t="shared" si="18"/>
        <v>2.1818181818181817</v>
      </c>
      <c r="I84" s="26">
        <f t="shared" si="18"/>
        <v>2.1428571428571428</v>
      </c>
      <c r="J84" s="26">
        <f t="shared" si="18"/>
        <v>2.1333333333333333</v>
      </c>
      <c r="K84" s="26">
        <f t="shared" si="18"/>
        <v>2.0714285714285716</v>
      </c>
      <c r="L84" s="26">
        <f t="shared" si="18"/>
        <v>2.166666666666667</v>
      </c>
      <c r="M84" s="26">
        <f t="shared" si="18"/>
        <v>2.166666666666667</v>
      </c>
      <c r="N84" s="39"/>
    </row>
    <row r="85" spans="1:14" ht="16.8" thickTop="1" thickBot="1" x14ac:dyDescent="0.35">
      <c r="A85" s="128">
        <v>100</v>
      </c>
      <c r="B85" s="30" t="s">
        <v>102</v>
      </c>
      <c r="C85" s="37">
        <v>2.7</v>
      </c>
      <c r="D85" s="37">
        <v>4.4000000000000004</v>
      </c>
      <c r="E85" s="37">
        <v>4.7</v>
      </c>
      <c r="F85" s="37">
        <v>2.5</v>
      </c>
      <c r="G85" s="37">
        <v>3.3</v>
      </c>
      <c r="H85" s="37">
        <v>2.5</v>
      </c>
      <c r="I85" s="37">
        <v>3.2</v>
      </c>
      <c r="J85" s="37">
        <v>3.3</v>
      </c>
      <c r="K85" s="37">
        <v>3.1</v>
      </c>
      <c r="L85" s="37">
        <v>2.8</v>
      </c>
      <c r="M85" s="37">
        <v>2.7</v>
      </c>
      <c r="N85" s="8"/>
    </row>
    <row r="86" spans="1:14" ht="16.8" thickTop="1" thickBot="1" x14ac:dyDescent="0.35">
      <c r="A86" s="128"/>
      <c r="B86" s="20" t="s">
        <v>103</v>
      </c>
      <c r="C86" s="32">
        <v>5.2</v>
      </c>
      <c r="D86" s="32">
        <v>8.4</v>
      </c>
      <c r="E86" s="32">
        <v>8.9</v>
      </c>
      <c r="F86" s="32">
        <v>4.5999999999999996</v>
      </c>
      <c r="G86" s="32">
        <v>6.1</v>
      </c>
      <c r="H86" s="32">
        <v>4.5999999999999996</v>
      </c>
      <c r="I86" s="32">
        <v>6</v>
      </c>
      <c r="J86" s="32">
        <v>6.3</v>
      </c>
      <c r="K86" s="32">
        <v>5.8</v>
      </c>
      <c r="L86" s="32">
        <v>5.2</v>
      </c>
      <c r="M86" s="32">
        <v>5.0999999999999996</v>
      </c>
      <c r="N86" s="8"/>
    </row>
    <row r="87" spans="1:14" ht="16.8" thickTop="1" thickBot="1" x14ac:dyDescent="0.35">
      <c r="A87" s="128"/>
      <c r="B87" s="38" t="s">
        <v>104</v>
      </c>
      <c r="C87" s="26">
        <f t="shared" ref="C87:M87" si="19">IF(OR(C85="",C86=""),"",C86/C85)</f>
        <v>1.9259259259259258</v>
      </c>
      <c r="D87" s="26">
        <f t="shared" si="19"/>
        <v>1.9090909090909089</v>
      </c>
      <c r="E87" s="26">
        <f t="shared" si="19"/>
        <v>1.8936170212765957</v>
      </c>
      <c r="F87" s="26">
        <f t="shared" si="19"/>
        <v>1.8399999999999999</v>
      </c>
      <c r="G87" s="26">
        <f t="shared" si="19"/>
        <v>1.8484848484848484</v>
      </c>
      <c r="H87" s="26">
        <f t="shared" si="19"/>
        <v>1.8399999999999999</v>
      </c>
      <c r="I87" s="26">
        <f t="shared" si="19"/>
        <v>1.875</v>
      </c>
      <c r="J87" s="26">
        <f t="shared" si="19"/>
        <v>1.9090909090909092</v>
      </c>
      <c r="K87" s="26">
        <f t="shared" si="19"/>
        <v>1.8709677419354838</v>
      </c>
      <c r="L87" s="26">
        <f t="shared" si="19"/>
        <v>1.8571428571428574</v>
      </c>
      <c r="M87" s="26">
        <f t="shared" si="19"/>
        <v>1.8888888888888886</v>
      </c>
      <c r="N87" s="39"/>
    </row>
    <row r="88" spans="1:14" ht="16.8" thickTop="1" thickBot="1" x14ac:dyDescent="0.35">
      <c r="A88" s="128">
        <v>120</v>
      </c>
      <c r="B88" s="30" t="s">
        <v>102</v>
      </c>
      <c r="C88" s="37">
        <v>4.7</v>
      </c>
      <c r="D88" s="37">
        <v>7.6</v>
      </c>
      <c r="E88" s="37">
        <v>8</v>
      </c>
      <c r="F88" s="37">
        <v>4.2</v>
      </c>
      <c r="G88" s="37">
        <v>5.6</v>
      </c>
      <c r="H88" s="37">
        <v>4.2</v>
      </c>
      <c r="I88" s="37">
        <v>5.4</v>
      </c>
      <c r="J88" s="37">
        <v>5.7</v>
      </c>
      <c r="K88" s="37">
        <v>5.3</v>
      </c>
      <c r="L88" s="37">
        <v>4.7</v>
      </c>
      <c r="M88" s="37">
        <v>4.5999999999999996</v>
      </c>
      <c r="N88" s="8"/>
    </row>
    <row r="89" spans="1:14" ht="16.8" thickTop="1" thickBot="1" x14ac:dyDescent="0.35">
      <c r="A89" s="128"/>
      <c r="B89" s="20" t="s">
        <v>103</v>
      </c>
      <c r="C89" s="32">
        <v>8.3000000000000007</v>
      </c>
      <c r="D89" s="32">
        <v>13.4</v>
      </c>
      <c r="E89" s="32">
        <v>14.2</v>
      </c>
      <c r="F89" s="32">
        <v>7.4</v>
      </c>
      <c r="G89" s="32">
        <v>9.9</v>
      </c>
      <c r="H89" s="32">
        <v>7.4</v>
      </c>
      <c r="I89" s="32">
        <v>9.6</v>
      </c>
      <c r="J89" s="32">
        <v>10</v>
      </c>
      <c r="K89" s="32">
        <v>9.4</v>
      </c>
      <c r="L89" s="32">
        <v>8.3000000000000007</v>
      </c>
      <c r="M89" s="32">
        <v>8.1999999999999993</v>
      </c>
      <c r="N89" s="8"/>
    </row>
    <row r="90" spans="1:14" ht="16.8" thickTop="1" thickBot="1" x14ac:dyDescent="0.35">
      <c r="A90" s="128"/>
      <c r="B90" s="38" t="s">
        <v>104</v>
      </c>
      <c r="C90" s="26">
        <f t="shared" ref="C90:M90" si="20">IF(OR(C88="",C89=""),"",C89/C88)</f>
        <v>1.7659574468085106</v>
      </c>
      <c r="D90" s="26">
        <f t="shared" si="20"/>
        <v>1.7631578947368423</v>
      </c>
      <c r="E90" s="26">
        <f t="shared" si="20"/>
        <v>1.7749999999999999</v>
      </c>
      <c r="F90" s="26">
        <f t="shared" si="20"/>
        <v>1.7619047619047619</v>
      </c>
      <c r="G90" s="26">
        <f t="shared" si="20"/>
        <v>1.767857142857143</v>
      </c>
      <c r="H90" s="26">
        <f t="shared" si="20"/>
        <v>1.7619047619047619</v>
      </c>
      <c r="I90" s="26">
        <f t="shared" si="20"/>
        <v>1.7777777777777777</v>
      </c>
      <c r="J90" s="26">
        <f t="shared" si="20"/>
        <v>1.7543859649122806</v>
      </c>
      <c r="K90" s="26">
        <f t="shared" si="20"/>
        <v>1.7735849056603774</v>
      </c>
      <c r="L90" s="26">
        <f t="shared" si="20"/>
        <v>1.7659574468085106</v>
      </c>
      <c r="M90" s="26">
        <f t="shared" si="20"/>
        <v>1.7826086956521738</v>
      </c>
      <c r="N90" s="39"/>
    </row>
    <row r="91" spans="1:14" ht="16.8" thickTop="1" thickBot="1" x14ac:dyDescent="0.35">
      <c r="A91" s="128">
        <v>140</v>
      </c>
      <c r="B91" s="30" t="s">
        <v>102</v>
      </c>
      <c r="C91" s="37">
        <v>7.3</v>
      </c>
      <c r="D91" s="37">
        <v>11.8</v>
      </c>
      <c r="E91" s="37">
        <v>12.6</v>
      </c>
      <c r="F91" s="37">
        <v>6.6</v>
      </c>
      <c r="G91" s="37">
        <v>8.6999999999999993</v>
      </c>
      <c r="H91" s="37">
        <v>6.6</v>
      </c>
      <c r="I91" s="37">
        <v>8.4</v>
      </c>
      <c r="J91" s="37">
        <v>8.9</v>
      </c>
      <c r="K91" s="37">
        <v>8.3000000000000007</v>
      </c>
      <c r="L91" s="37">
        <v>7.3</v>
      </c>
      <c r="M91" s="37">
        <v>7.2</v>
      </c>
      <c r="N91" s="8"/>
    </row>
    <row r="92" spans="1:14" ht="16.8" thickTop="1" thickBot="1" x14ac:dyDescent="0.35">
      <c r="A92" s="128"/>
      <c r="B92" s="20" t="s">
        <v>103</v>
      </c>
      <c r="C92" s="32">
        <v>12.4</v>
      </c>
      <c r="D92" s="32">
        <v>20.100000000000001</v>
      </c>
      <c r="E92" s="32">
        <v>21.2</v>
      </c>
      <c r="F92" s="32">
        <v>11.1</v>
      </c>
      <c r="G92" s="32">
        <v>14.7</v>
      </c>
      <c r="H92" s="32">
        <v>11.1</v>
      </c>
      <c r="I92" s="32">
        <v>14.3</v>
      </c>
      <c r="J92" s="32">
        <v>15</v>
      </c>
      <c r="K92" s="32">
        <v>14</v>
      </c>
      <c r="L92" s="32">
        <v>12.5</v>
      </c>
      <c r="M92" s="32">
        <v>12.2</v>
      </c>
      <c r="N92" s="8"/>
    </row>
    <row r="93" spans="1:14" ht="16.8" thickTop="1" thickBot="1" x14ac:dyDescent="0.35">
      <c r="A93" s="128"/>
      <c r="B93" s="38" t="s">
        <v>104</v>
      </c>
      <c r="C93" s="26">
        <f t="shared" ref="C93:M93" si="21">IF(OR(C91="",C92=""),"",C92/C91)</f>
        <v>1.6986301369863015</v>
      </c>
      <c r="D93" s="26">
        <f t="shared" si="21"/>
        <v>1.7033898305084747</v>
      </c>
      <c r="E93" s="26">
        <f t="shared" si="21"/>
        <v>1.6825396825396826</v>
      </c>
      <c r="F93" s="26">
        <f t="shared" si="21"/>
        <v>1.6818181818181819</v>
      </c>
      <c r="G93" s="26">
        <f t="shared" si="21"/>
        <v>1.6896551724137931</v>
      </c>
      <c r="H93" s="26">
        <f t="shared" si="21"/>
        <v>1.6818181818181819</v>
      </c>
      <c r="I93" s="26">
        <f t="shared" si="21"/>
        <v>1.7023809523809523</v>
      </c>
      <c r="J93" s="26">
        <f t="shared" si="21"/>
        <v>1.6853932584269662</v>
      </c>
      <c r="K93" s="26">
        <f t="shared" si="21"/>
        <v>1.6867469879518071</v>
      </c>
      <c r="L93" s="26">
        <f t="shared" si="21"/>
        <v>1.7123287671232876</v>
      </c>
      <c r="M93" s="26">
        <f t="shared" si="21"/>
        <v>1.6944444444444442</v>
      </c>
      <c r="N93" s="39"/>
    </row>
    <row r="94" spans="1:14" ht="15" customHeight="1" thickTop="1" thickBot="1" x14ac:dyDescent="0.35">
      <c r="A94" s="146" t="s">
        <v>152</v>
      </c>
      <c r="B94" s="30" t="s">
        <v>102</v>
      </c>
      <c r="C94" s="37">
        <v>2.5</v>
      </c>
      <c r="D94" s="37">
        <v>4.0999999999999996</v>
      </c>
      <c r="E94" s="37">
        <v>4.3</v>
      </c>
      <c r="F94" s="37">
        <v>2.2999999999999998</v>
      </c>
      <c r="G94" s="37">
        <v>3</v>
      </c>
      <c r="H94" s="37">
        <v>2.2999999999999998</v>
      </c>
      <c r="I94" s="37">
        <v>2.9</v>
      </c>
      <c r="J94" s="37">
        <v>3.1</v>
      </c>
      <c r="K94" s="37">
        <v>2.8</v>
      </c>
      <c r="L94" s="37">
        <v>2.5</v>
      </c>
      <c r="M94" s="37">
        <v>2.5</v>
      </c>
      <c r="N94" s="8"/>
    </row>
    <row r="95" spans="1:14" ht="16.8" thickTop="1" thickBot="1" x14ac:dyDescent="0.35">
      <c r="A95" s="146"/>
      <c r="B95" s="20" t="s">
        <v>103</v>
      </c>
      <c r="C95" s="32">
        <v>3.7</v>
      </c>
      <c r="D95" s="32">
        <v>6</v>
      </c>
      <c r="E95" s="32">
        <v>6.3</v>
      </c>
      <c r="F95" s="32">
        <v>3.3</v>
      </c>
      <c r="G95" s="32">
        <v>4.4000000000000004</v>
      </c>
      <c r="H95" s="32">
        <v>3.3</v>
      </c>
      <c r="I95" s="32">
        <v>4.2</v>
      </c>
      <c r="J95" s="32">
        <v>4.5</v>
      </c>
      <c r="K95" s="32">
        <v>4.0999999999999996</v>
      </c>
      <c r="L95" s="32">
        <v>3.7</v>
      </c>
      <c r="M95" s="32">
        <v>3.6</v>
      </c>
      <c r="N95" s="8"/>
    </row>
    <row r="96" spans="1:14" ht="16.8" thickTop="1" thickBot="1" x14ac:dyDescent="0.35">
      <c r="A96" s="146"/>
      <c r="B96" s="38" t="s">
        <v>104</v>
      </c>
      <c r="C96" s="26">
        <f t="shared" ref="C96:M96" si="22">IF(OR(C94="",C95=""),"",C95/C94)</f>
        <v>1.48</v>
      </c>
      <c r="D96" s="26">
        <f t="shared" si="22"/>
        <v>1.4634146341463417</v>
      </c>
      <c r="E96" s="26">
        <f t="shared" si="22"/>
        <v>1.4651162790697674</v>
      </c>
      <c r="F96" s="26">
        <f t="shared" si="22"/>
        <v>1.4347826086956521</v>
      </c>
      <c r="G96" s="26">
        <f t="shared" si="22"/>
        <v>1.4666666666666668</v>
      </c>
      <c r="H96" s="26">
        <f t="shared" si="22"/>
        <v>1.4347826086956521</v>
      </c>
      <c r="I96" s="26">
        <f t="shared" si="22"/>
        <v>1.4482758620689655</v>
      </c>
      <c r="J96" s="26">
        <f t="shared" si="22"/>
        <v>1.4516129032258065</v>
      </c>
      <c r="K96" s="26">
        <f t="shared" si="22"/>
        <v>1.4642857142857142</v>
      </c>
      <c r="L96" s="26">
        <f t="shared" si="22"/>
        <v>1.48</v>
      </c>
      <c r="M96" s="26">
        <f t="shared" si="22"/>
        <v>1.44</v>
      </c>
      <c r="N96" s="39"/>
    </row>
    <row r="97" spans="1:14" ht="15" customHeight="1" thickTop="1" x14ac:dyDescent="0.3"/>
    <row r="98" spans="1:14" ht="16.2" thickBot="1" x14ac:dyDescent="0.35">
      <c r="A98" s="8" t="s">
        <v>148</v>
      </c>
    </row>
    <row r="99" spans="1:14" ht="16.2" thickTop="1" x14ac:dyDescent="0.3">
      <c r="B99" s="15" t="s">
        <v>100</v>
      </c>
      <c r="C99" s="31" t="s">
        <v>13</v>
      </c>
      <c r="D99" s="31" t="s">
        <v>26</v>
      </c>
      <c r="E99" s="31" t="s">
        <v>34</v>
      </c>
      <c r="F99" s="31" t="s">
        <v>14</v>
      </c>
      <c r="G99" s="31" t="s">
        <v>15</v>
      </c>
      <c r="H99" s="31" t="s">
        <v>18</v>
      </c>
      <c r="I99" s="31" t="s">
        <v>20</v>
      </c>
      <c r="J99" s="31" t="s">
        <v>16</v>
      </c>
      <c r="K99" s="31" t="s">
        <v>21</v>
      </c>
      <c r="L99" s="31" t="s">
        <v>35</v>
      </c>
      <c r="M99" s="31" t="s">
        <v>22</v>
      </c>
      <c r="N99" s="8"/>
    </row>
    <row r="100" spans="1:14" ht="15.6" x14ac:dyDescent="0.3">
      <c r="B100" s="18" t="s">
        <v>114</v>
      </c>
      <c r="C100" s="32">
        <v>2</v>
      </c>
      <c r="D100" s="32">
        <v>3.6</v>
      </c>
      <c r="E100" s="32">
        <v>2.4</v>
      </c>
      <c r="F100" s="32">
        <v>5</v>
      </c>
      <c r="G100" s="32">
        <v>6</v>
      </c>
      <c r="H100" s="32">
        <v>10</v>
      </c>
      <c r="I100" s="32">
        <f>12*1.2</f>
        <v>14.399999999999999</v>
      </c>
      <c r="J100" s="32">
        <v>12</v>
      </c>
      <c r="K100" s="32">
        <f>32*0.6</f>
        <v>19.2</v>
      </c>
      <c r="L100" s="32">
        <f>32*1.2</f>
        <v>38.4</v>
      </c>
      <c r="M100" s="32">
        <f>64*0.6</f>
        <v>38.4</v>
      </c>
      <c r="N100" s="8"/>
    </row>
    <row r="101" spans="1:14" ht="15.6" x14ac:dyDescent="0.3">
      <c r="B101" s="18" t="s">
        <v>101</v>
      </c>
      <c r="C101" s="32" t="s">
        <v>13</v>
      </c>
      <c r="D101" s="32" t="s">
        <v>26</v>
      </c>
      <c r="E101" s="32" t="s">
        <v>31</v>
      </c>
      <c r="F101" s="32" t="s">
        <v>14</v>
      </c>
      <c r="G101" s="32" t="s">
        <v>16</v>
      </c>
      <c r="H101" s="32" t="s">
        <v>18</v>
      </c>
      <c r="I101" s="32" t="s">
        <v>20</v>
      </c>
      <c r="J101" s="32" t="s">
        <v>19</v>
      </c>
      <c r="K101" s="32" t="s">
        <v>22</v>
      </c>
      <c r="L101" s="32" t="s">
        <v>35</v>
      </c>
      <c r="M101" s="32" t="s">
        <v>40</v>
      </c>
      <c r="N101" s="8"/>
    </row>
    <row r="102" spans="1:14" ht="16.2" thickBot="1" x14ac:dyDescent="0.35">
      <c r="B102" s="33" t="s">
        <v>115</v>
      </c>
      <c r="C102" s="40"/>
      <c r="D102" s="40"/>
      <c r="E102" s="40" t="s">
        <v>121</v>
      </c>
      <c r="F102" s="40"/>
      <c r="G102" s="40" t="s">
        <v>121</v>
      </c>
      <c r="H102" s="40"/>
      <c r="I102" s="40"/>
      <c r="J102" s="40" t="s">
        <v>121</v>
      </c>
      <c r="K102" s="40" t="s">
        <v>121</v>
      </c>
      <c r="L102" s="40"/>
      <c r="M102" s="40" t="s">
        <v>121</v>
      </c>
      <c r="N102" s="8"/>
    </row>
    <row r="103" spans="1:14" ht="16.8" thickTop="1" thickBot="1" x14ac:dyDescent="0.35">
      <c r="A103" s="7" t="s">
        <v>6</v>
      </c>
      <c r="B103" s="35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8"/>
    </row>
    <row r="104" spans="1:14" ht="16.8" thickTop="1" thickBot="1" x14ac:dyDescent="0.35">
      <c r="A104" s="128">
        <v>70</v>
      </c>
      <c r="B104" s="30" t="s">
        <v>102</v>
      </c>
      <c r="C104" s="37">
        <v>0.6</v>
      </c>
      <c r="D104" s="37">
        <v>0.9</v>
      </c>
      <c r="E104" s="37">
        <v>1</v>
      </c>
      <c r="F104" s="37">
        <v>0.5</v>
      </c>
      <c r="G104" s="37">
        <v>0.7</v>
      </c>
      <c r="H104" s="37">
        <v>0.5</v>
      </c>
      <c r="I104" s="37">
        <v>0.6</v>
      </c>
      <c r="J104" s="37">
        <v>0.7</v>
      </c>
      <c r="K104" s="37">
        <v>0.6</v>
      </c>
      <c r="L104" s="37">
        <v>0.6</v>
      </c>
      <c r="M104" s="37">
        <v>0.6</v>
      </c>
      <c r="N104" s="8"/>
    </row>
    <row r="105" spans="1:14" ht="16.8" thickTop="1" thickBot="1" x14ac:dyDescent="0.35">
      <c r="A105" s="128"/>
      <c r="B105" s="20" t="s">
        <v>103</v>
      </c>
      <c r="C105" s="32">
        <v>1</v>
      </c>
      <c r="D105" s="32">
        <v>1.6</v>
      </c>
      <c r="E105" s="32">
        <v>1.7</v>
      </c>
      <c r="F105" s="32">
        <v>0.9</v>
      </c>
      <c r="G105" s="32">
        <v>1.2</v>
      </c>
      <c r="H105" s="32">
        <v>0.9</v>
      </c>
      <c r="I105" s="32">
        <v>1.1000000000000001</v>
      </c>
      <c r="J105" s="32">
        <v>1.2</v>
      </c>
      <c r="K105" s="32">
        <v>1.1000000000000001</v>
      </c>
      <c r="L105" s="32">
        <v>1</v>
      </c>
      <c r="M105" s="32">
        <v>1</v>
      </c>
      <c r="N105" s="8"/>
    </row>
    <row r="106" spans="1:14" ht="16.8" thickTop="1" thickBot="1" x14ac:dyDescent="0.35">
      <c r="A106" s="128"/>
      <c r="B106" s="38" t="s">
        <v>104</v>
      </c>
      <c r="C106" s="26">
        <f t="shared" ref="C106:M106" si="23">IF(OR(C104="",C105=""),"",C105/C104)</f>
        <v>1.6666666666666667</v>
      </c>
      <c r="D106" s="26">
        <f t="shared" si="23"/>
        <v>1.7777777777777779</v>
      </c>
      <c r="E106" s="26">
        <f t="shared" si="23"/>
        <v>1.7</v>
      </c>
      <c r="F106" s="26">
        <f t="shared" si="23"/>
        <v>1.8</v>
      </c>
      <c r="G106" s="26">
        <f t="shared" si="23"/>
        <v>1.7142857142857144</v>
      </c>
      <c r="H106" s="26">
        <f t="shared" si="23"/>
        <v>1.8</v>
      </c>
      <c r="I106" s="26">
        <f t="shared" si="23"/>
        <v>1.8333333333333335</v>
      </c>
      <c r="J106" s="26">
        <f t="shared" si="23"/>
        <v>1.7142857142857144</v>
      </c>
      <c r="K106" s="26">
        <f t="shared" si="23"/>
        <v>1.8333333333333335</v>
      </c>
      <c r="L106" s="26">
        <f t="shared" si="23"/>
        <v>1.6666666666666667</v>
      </c>
      <c r="M106" s="26">
        <f t="shared" si="23"/>
        <v>1.6666666666666667</v>
      </c>
      <c r="N106" s="39"/>
    </row>
    <row r="107" spans="1:14" ht="16.8" thickTop="1" thickBot="1" x14ac:dyDescent="0.35">
      <c r="A107" s="128">
        <v>80</v>
      </c>
      <c r="B107" s="30" t="s">
        <v>102</v>
      </c>
      <c r="C107" s="37">
        <v>1</v>
      </c>
      <c r="D107" s="37">
        <v>1.6</v>
      </c>
      <c r="E107" s="37">
        <v>1.7</v>
      </c>
      <c r="F107" s="37">
        <v>0.9</v>
      </c>
      <c r="G107" s="37">
        <v>1.2</v>
      </c>
      <c r="H107" s="37">
        <v>0.9</v>
      </c>
      <c r="I107" s="37">
        <v>1.1000000000000001</v>
      </c>
      <c r="J107" s="37">
        <v>1.2</v>
      </c>
      <c r="K107" s="37">
        <v>1.1000000000000001</v>
      </c>
      <c r="L107" s="37">
        <v>1</v>
      </c>
      <c r="M107" s="37">
        <v>1</v>
      </c>
      <c r="N107" s="8"/>
    </row>
    <row r="108" spans="1:14" ht="16.8" thickTop="1" thickBot="1" x14ac:dyDescent="0.35">
      <c r="A108" s="128"/>
      <c r="B108" s="20" t="s">
        <v>103</v>
      </c>
      <c r="C108" s="32">
        <v>1.6</v>
      </c>
      <c r="D108" s="32">
        <v>2.6</v>
      </c>
      <c r="E108" s="32">
        <v>2.7</v>
      </c>
      <c r="F108" s="32">
        <v>1.4</v>
      </c>
      <c r="G108" s="32">
        <v>1.9</v>
      </c>
      <c r="H108" s="32">
        <v>1.4</v>
      </c>
      <c r="I108" s="32">
        <v>1.9</v>
      </c>
      <c r="J108" s="32">
        <v>1.9</v>
      </c>
      <c r="K108" s="32">
        <v>1.8</v>
      </c>
      <c r="L108" s="32">
        <v>1.6</v>
      </c>
      <c r="M108" s="32">
        <v>1.6</v>
      </c>
      <c r="N108" s="8"/>
    </row>
    <row r="109" spans="1:14" ht="16.8" thickTop="1" thickBot="1" x14ac:dyDescent="0.35">
      <c r="A109" s="128"/>
      <c r="B109" s="38" t="s">
        <v>104</v>
      </c>
      <c r="C109" s="26">
        <f t="shared" ref="C109:M109" si="24">IF(OR(C107="",C108=""),"",C108/C107)</f>
        <v>1.6</v>
      </c>
      <c r="D109" s="26">
        <f t="shared" si="24"/>
        <v>1.625</v>
      </c>
      <c r="E109" s="26">
        <f t="shared" si="24"/>
        <v>1.5882352941176472</v>
      </c>
      <c r="F109" s="26">
        <f t="shared" si="24"/>
        <v>1.5555555555555554</v>
      </c>
      <c r="G109" s="26">
        <f t="shared" si="24"/>
        <v>1.5833333333333333</v>
      </c>
      <c r="H109" s="26">
        <f t="shared" si="24"/>
        <v>1.5555555555555554</v>
      </c>
      <c r="I109" s="26">
        <f t="shared" si="24"/>
        <v>1.7272727272727271</v>
      </c>
      <c r="J109" s="26">
        <f t="shared" si="24"/>
        <v>1.5833333333333333</v>
      </c>
      <c r="K109" s="26">
        <f t="shared" si="24"/>
        <v>1.6363636363636362</v>
      </c>
      <c r="L109" s="26">
        <f t="shared" si="24"/>
        <v>1.6</v>
      </c>
      <c r="M109" s="26">
        <f t="shared" si="24"/>
        <v>1.6</v>
      </c>
      <c r="N109" s="39"/>
    </row>
    <row r="110" spans="1:14" ht="16.8" thickTop="1" thickBot="1" x14ac:dyDescent="0.35">
      <c r="A110" s="128">
        <v>100</v>
      </c>
      <c r="B110" s="30" t="s">
        <v>102</v>
      </c>
      <c r="C110" s="37">
        <v>2.2000000000000002</v>
      </c>
      <c r="D110" s="37">
        <v>3.6</v>
      </c>
      <c r="E110" s="37">
        <v>3.8</v>
      </c>
      <c r="F110" s="37">
        <v>2</v>
      </c>
      <c r="G110" s="37">
        <v>2.6</v>
      </c>
      <c r="H110" s="37">
        <v>2</v>
      </c>
      <c r="I110" s="37">
        <v>2.6</v>
      </c>
      <c r="J110" s="37">
        <v>2.7</v>
      </c>
      <c r="K110" s="37">
        <v>2.5</v>
      </c>
      <c r="L110" s="37">
        <v>2.2000000000000002</v>
      </c>
      <c r="M110" s="37">
        <v>2.2000000000000002</v>
      </c>
      <c r="N110" s="8"/>
    </row>
    <row r="111" spans="1:14" ht="16.8" thickTop="1" thickBot="1" x14ac:dyDescent="0.35">
      <c r="A111" s="128"/>
      <c r="B111" s="20" t="s">
        <v>103</v>
      </c>
      <c r="C111" s="32">
        <v>3.4</v>
      </c>
      <c r="D111" s="32">
        <v>5.5</v>
      </c>
      <c r="E111" s="32">
        <v>5.8</v>
      </c>
      <c r="F111" s="32">
        <v>3</v>
      </c>
      <c r="G111" s="32">
        <v>4</v>
      </c>
      <c r="H111" s="32">
        <v>3</v>
      </c>
      <c r="I111" s="32">
        <v>3.9</v>
      </c>
      <c r="J111" s="32">
        <v>4.0999999999999996</v>
      </c>
      <c r="K111" s="32">
        <v>3.8</v>
      </c>
      <c r="L111" s="32">
        <v>3.4</v>
      </c>
      <c r="M111" s="32">
        <v>3.3</v>
      </c>
      <c r="N111" s="8"/>
    </row>
    <row r="112" spans="1:14" ht="16.8" thickTop="1" thickBot="1" x14ac:dyDescent="0.35">
      <c r="A112" s="128"/>
      <c r="B112" s="38" t="s">
        <v>104</v>
      </c>
      <c r="C112" s="26">
        <f t="shared" ref="C112:M112" si="25">IF(OR(C110="",C111=""),"",C111/C110)</f>
        <v>1.5454545454545452</v>
      </c>
      <c r="D112" s="26">
        <f t="shared" si="25"/>
        <v>1.5277777777777777</v>
      </c>
      <c r="E112" s="26">
        <f t="shared" si="25"/>
        <v>1.5263157894736843</v>
      </c>
      <c r="F112" s="26">
        <f t="shared" si="25"/>
        <v>1.5</v>
      </c>
      <c r="G112" s="26">
        <f t="shared" si="25"/>
        <v>1.5384615384615383</v>
      </c>
      <c r="H112" s="26">
        <f t="shared" si="25"/>
        <v>1.5</v>
      </c>
      <c r="I112" s="26">
        <f t="shared" si="25"/>
        <v>1.5</v>
      </c>
      <c r="J112" s="26">
        <f t="shared" si="25"/>
        <v>1.5185185185185184</v>
      </c>
      <c r="K112" s="26">
        <f t="shared" si="25"/>
        <v>1.52</v>
      </c>
      <c r="L112" s="26">
        <f t="shared" si="25"/>
        <v>1.5454545454545452</v>
      </c>
      <c r="M112" s="26">
        <f t="shared" si="25"/>
        <v>1.4999999999999998</v>
      </c>
      <c r="N112" s="39"/>
    </row>
    <row r="113" spans="1:14" ht="16.8" thickTop="1" thickBot="1" x14ac:dyDescent="0.35">
      <c r="A113" s="128">
        <v>120</v>
      </c>
      <c r="B113" s="30" t="s">
        <v>102</v>
      </c>
      <c r="C113" s="37">
        <v>3.9</v>
      </c>
      <c r="D113" s="37">
        <v>6.3</v>
      </c>
      <c r="E113" s="37">
        <v>6.7</v>
      </c>
      <c r="F113" s="37">
        <v>3.5</v>
      </c>
      <c r="G113" s="37">
        <v>4.5999999999999996</v>
      </c>
      <c r="H113" s="37">
        <v>3.5</v>
      </c>
      <c r="I113" s="37">
        <v>4.5</v>
      </c>
      <c r="J113" s="37">
        <v>4.7</v>
      </c>
      <c r="K113" s="37">
        <v>4.4000000000000004</v>
      </c>
      <c r="L113" s="37">
        <v>3.9</v>
      </c>
      <c r="M113" s="37">
        <v>3.8</v>
      </c>
      <c r="N113" s="8"/>
    </row>
    <row r="114" spans="1:14" ht="16.8" thickTop="1" thickBot="1" x14ac:dyDescent="0.35">
      <c r="A114" s="128"/>
      <c r="B114" s="20" t="s">
        <v>103</v>
      </c>
      <c r="C114" s="32">
        <v>5.6</v>
      </c>
      <c r="D114" s="32">
        <v>9.1</v>
      </c>
      <c r="E114" s="32">
        <v>9.6</v>
      </c>
      <c r="F114" s="32">
        <v>5.0999999999999996</v>
      </c>
      <c r="G114" s="32">
        <v>6.7</v>
      </c>
      <c r="H114" s="32">
        <v>5.0999999999999996</v>
      </c>
      <c r="I114" s="32">
        <v>6.5</v>
      </c>
      <c r="J114" s="32">
        <v>6.8</v>
      </c>
      <c r="K114" s="32">
        <v>6.3</v>
      </c>
      <c r="L114" s="32">
        <v>5.7</v>
      </c>
      <c r="M114" s="32">
        <v>5.5</v>
      </c>
      <c r="N114" s="8"/>
    </row>
    <row r="115" spans="1:14" ht="16.8" thickTop="1" thickBot="1" x14ac:dyDescent="0.35">
      <c r="A115" s="128"/>
      <c r="B115" s="38" t="s">
        <v>104</v>
      </c>
      <c r="C115" s="26">
        <f t="shared" ref="C115:M115" si="26">IF(OR(C113="",C114=""),"",C114/C113)</f>
        <v>1.4358974358974359</v>
      </c>
      <c r="D115" s="26">
        <f t="shared" si="26"/>
        <v>1.4444444444444444</v>
      </c>
      <c r="E115" s="26">
        <f t="shared" si="26"/>
        <v>1.4328358208955223</v>
      </c>
      <c r="F115" s="26">
        <f t="shared" si="26"/>
        <v>1.4571428571428571</v>
      </c>
      <c r="G115" s="26">
        <f t="shared" si="26"/>
        <v>1.456521739130435</v>
      </c>
      <c r="H115" s="26">
        <f t="shared" si="26"/>
        <v>1.4571428571428571</v>
      </c>
      <c r="I115" s="26">
        <f t="shared" si="26"/>
        <v>1.4444444444444444</v>
      </c>
      <c r="J115" s="26">
        <f t="shared" si="26"/>
        <v>1.4468085106382977</v>
      </c>
      <c r="K115" s="26">
        <f t="shared" si="26"/>
        <v>1.4318181818181817</v>
      </c>
      <c r="L115" s="26">
        <f t="shared" si="26"/>
        <v>1.4615384615384617</v>
      </c>
      <c r="M115" s="26">
        <f t="shared" si="26"/>
        <v>1.4473684210526316</v>
      </c>
      <c r="N115" s="39"/>
    </row>
    <row r="116" spans="1:14" ht="16.8" thickTop="1" thickBot="1" x14ac:dyDescent="0.35">
      <c r="A116" s="128">
        <v>140</v>
      </c>
      <c r="B116" s="30" t="s">
        <v>102</v>
      </c>
      <c r="C116" s="37">
        <v>6.1</v>
      </c>
      <c r="D116" s="37">
        <v>9.9</v>
      </c>
      <c r="E116" s="37">
        <v>10.5</v>
      </c>
      <c r="F116" s="37">
        <v>5.5</v>
      </c>
      <c r="G116" s="37">
        <v>7.3</v>
      </c>
      <c r="H116" s="37">
        <v>5.5</v>
      </c>
      <c r="I116" s="37">
        <v>7.1</v>
      </c>
      <c r="J116" s="37">
        <v>7.4</v>
      </c>
      <c r="K116" s="37">
        <v>6.9</v>
      </c>
      <c r="L116" s="37">
        <v>6.2</v>
      </c>
      <c r="M116" s="37">
        <v>6</v>
      </c>
      <c r="N116" s="8"/>
    </row>
    <row r="117" spans="1:14" ht="16.8" thickTop="1" thickBot="1" x14ac:dyDescent="0.35">
      <c r="A117" s="128"/>
      <c r="B117" s="20" t="s">
        <v>103</v>
      </c>
      <c r="C117" s="32">
        <v>8.6999999999999993</v>
      </c>
      <c r="D117" s="32">
        <v>14.1</v>
      </c>
      <c r="E117" s="32">
        <v>14.8</v>
      </c>
      <c r="F117" s="32">
        <v>7.8</v>
      </c>
      <c r="G117" s="32">
        <v>10.3</v>
      </c>
      <c r="H117" s="32">
        <v>7.8</v>
      </c>
      <c r="I117" s="32">
        <v>10</v>
      </c>
      <c r="J117" s="32">
        <v>10.5</v>
      </c>
      <c r="K117" s="32">
        <v>9.6999999999999993</v>
      </c>
      <c r="L117" s="32">
        <v>8.6999999999999993</v>
      </c>
      <c r="M117" s="32">
        <v>8.5</v>
      </c>
      <c r="N117" s="8"/>
    </row>
    <row r="118" spans="1:14" ht="16.8" thickTop="1" thickBot="1" x14ac:dyDescent="0.35">
      <c r="A118" s="128"/>
      <c r="B118" s="38" t="s">
        <v>104</v>
      </c>
      <c r="C118" s="26">
        <f t="shared" ref="C118:M118" si="27">IF(OR(C116="",C117=""),"",C117/C116)</f>
        <v>1.4262295081967213</v>
      </c>
      <c r="D118" s="26">
        <f t="shared" si="27"/>
        <v>1.4242424242424241</v>
      </c>
      <c r="E118" s="26">
        <f t="shared" si="27"/>
        <v>1.4095238095238096</v>
      </c>
      <c r="F118" s="26">
        <f t="shared" si="27"/>
        <v>1.4181818181818182</v>
      </c>
      <c r="G118" s="26">
        <f t="shared" si="27"/>
        <v>1.4109589041095891</v>
      </c>
      <c r="H118" s="26">
        <f t="shared" si="27"/>
        <v>1.4181818181818182</v>
      </c>
      <c r="I118" s="26">
        <f t="shared" si="27"/>
        <v>1.4084507042253522</v>
      </c>
      <c r="J118" s="26">
        <f t="shared" si="27"/>
        <v>1.4189189189189189</v>
      </c>
      <c r="K118" s="26">
        <f t="shared" si="27"/>
        <v>1.4057971014492752</v>
      </c>
      <c r="L118" s="26">
        <f t="shared" si="27"/>
        <v>1.4032258064516128</v>
      </c>
      <c r="M118" s="26">
        <f t="shared" si="27"/>
        <v>1.4166666666666667</v>
      </c>
      <c r="N118" s="39"/>
    </row>
    <row r="119" spans="1:14" ht="15" customHeight="1" thickTop="1" thickBot="1" x14ac:dyDescent="0.35">
      <c r="A119" s="146" t="s">
        <v>152</v>
      </c>
      <c r="B119" s="30" t="s">
        <v>102</v>
      </c>
      <c r="C119" s="37">
        <v>2.2000000000000002</v>
      </c>
      <c r="D119" s="37">
        <v>3.6</v>
      </c>
      <c r="E119" s="37">
        <v>3.8</v>
      </c>
      <c r="F119" s="37">
        <v>2</v>
      </c>
      <c r="G119" s="37">
        <v>2.6</v>
      </c>
      <c r="H119" s="37">
        <v>2</v>
      </c>
      <c r="I119" s="37">
        <v>2.5</v>
      </c>
      <c r="J119" s="37">
        <v>2.7</v>
      </c>
      <c r="K119" s="37">
        <v>2.5</v>
      </c>
      <c r="L119" s="37">
        <v>2.2000000000000002</v>
      </c>
      <c r="M119" s="37">
        <v>2.2000000000000002</v>
      </c>
      <c r="N119" s="8"/>
    </row>
    <row r="120" spans="1:14" ht="16.8" thickTop="1" thickBot="1" x14ac:dyDescent="0.35">
      <c r="A120" s="146"/>
      <c r="B120" s="20" t="s">
        <v>103</v>
      </c>
      <c r="C120" s="32">
        <v>2.9</v>
      </c>
      <c r="D120" s="32">
        <v>4.5999999999999996</v>
      </c>
      <c r="E120" s="32">
        <v>4.9000000000000004</v>
      </c>
      <c r="F120" s="32">
        <v>2.6</v>
      </c>
      <c r="G120" s="32">
        <v>3.4</v>
      </c>
      <c r="H120" s="32">
        <v>2.6</v>
      </c>
      <c r="I120" s="32">
        <v>3.3</v>
      </c>
      <c r="J120" s="32">
        <v>3.5</v>
      </c>
      <c r="K120" s="32">
        <v>3.2</v>
      </c>
      <c r="L120" s="32">
        <v>2.9</v>
      </c>
      <c r="M120" s="32">
        <v>2.8</v>
      </c>
      <c r="N120" s="8"/>
    </row>
    <row r="121" spans="1:14" ht="16.8" thickTop="1" thickBot="1" x14ac:dyDescent="0.35">
      <c r="A121" s="146"/>
      <c r="B121" s="38" t="s">
        <v>104</v>
      </c>
      <c r="C121" s="26">
        <f t="shared" ref="C121:M121" si="28">IF(OR(C119="",C120=""),"",C120/C119)</f>
        <v>1.3181818181818181</v>
      </c>
      <c r="D121" s="26">
        <f t="shared" si="28"/>
        <v>1.2777777777777777</v>
      </c>
      <c r="E121" s="26">
        <f t="shared" si="28"/>
        <v>1.2894736842105265</v>
      </c>
      <c r="F121" s="26">
        <f t="shared" si="28"/>
        <v>1.3</v>
      </c>
      <c r="G121" s="26">
        <f t="shared" si="28"/>
        <v>1.3076923076923077</v>
      </c>
      <c r="H121" s="26">
        <f t="shared" si="28"/>
        <v>1.3</v>
      </c>
      <c r="I121" s="26">
        <f t="shared" si="28"/>
        <v>1.3199999999999998</v>
      </c>
      <c r="J121" s="26">
        <f t="shared" si="28"/>
        <v>1.2962962962962963</v>
      </c>
      <c r="K121" s="26">
        <f t="shared" si="28"/>
        <v>1.28</v>
      </c>
      <c r="L121" s="26">
        <f t="shared" si="28"/>
        <v>1.3181818181818181</v>
      </c>
      <c r="M121" s="26">
        <f t="shared" si="28"/>
        <v>1.2727272727272725</v>
      </c>
      <c r="N121" s="39"/>
    </row>
    <row r="122" spans="1:14" ht="15" customHeight="1" thickTop="1" x14ac:dyDescent="0.3"/>
  </sheetData>
  <mergeCells count="29">
    <mergeCell ref="A116:A118"/>
    <mergeCell ref="A119:A121"/>
    <mergeCell ref="A107:A109"/>
    <mergeCell ref="A110:A112"/>
    <mergeCell ref="A113:A115"/>
    <mergeCell ref="A91:A93"/>
    <mergeCell ref="A94:A96"/>
    <mergeCell ref="A104:A106"/>
    <mergeCell ref="A82:A84"/>
    <mergeCell ref="A85:A87"/>
    <mergeCell ref="A88:A90"/>
    <mergeCell ref="A66:A68"/>
    <mergeCell ref="A69:A71"/>
    <mergeCell ref="A79:A81"/>
    <mergeCell ref="A57:A59"/>
    <mergeCell ref="A60:A62"/>
    <mergeCell ref="A63:A65"/>
    <mergeCell ref="A41:A43"/>
    <mergeCell ref="A44:A46"/>
    <mergeCell ref="A47:A49"/>
    <mergeCell ref="A32:A34"/>
    <mergeCell ref="A35:A37"/>
    <mergeCell ref="A38:A40"/>
    <mergeCell ref="A16:A18"/>
    <mergeCell ref="A19:A21"/>
    <mergeCell ref="A22:A24"/>
    <mergeCell ref="A7:A9"/>
    <mergeCell ref="A10:A12"/>
    <mergeCell ref="A13:A15"/>
  </mergeCells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N156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x14ac:dyDescent="0.3">
      <c r="A1" s="8" t="s">
        <v>97</v>
      </c>
    </row>
    <row r="2" spans="1:14" ht="15" customHeight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x14ac:dyDescent="0.3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x14ac:dyDescent="0.3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x14ac:dyDescent="0.3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x14ac:dyDescent="0.3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x14ac:dyDescent="0.3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x14ac:dyDescent="0.3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x14ac:dyDescent="0.3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x14ac:dyDescent="0.3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x14ac:dyDescent="0.3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x14ac:dyDescent="0.3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x14ac:dyDescent="0.3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x14ac:dyDescent="0.3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x14ac:dyDescent="0.3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x14ac:dyDescent="0.3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x14ac:dyDescent="0.3">
      <c r="A32" s="8" t="s">
        <v>122</v>
      </c>
    </row>
    <row r="33" spans="1:14" ht="15" customHeight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x14ac:dyDescent="0.3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x14ac:dyDescent="0.3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x14ac:dyDescent="0.3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5.6" x14ac:dyDescent="0.3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5.6" x14ac:dyDescent="0.3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5.6" x14ac:dyDescent="0.3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5.6" x14ac:dyDescent="0.3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5.6" x14ac:dyDescent="0.3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5.6" x14ac:dyDescent="0.3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5.6" x14ac:dyDescent="0.3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5.6" x14ac:dyDescent="0.3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5.6" x14ac:dyDescent="0.3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5.6" x14ac:dyDescent="0.3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5.6" x14ac:dyDescent="0.3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5.6" x14ac:dyDescent="0.3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5.6" x14ac:dyDescent="0.3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5.6" x14ac:dyDescent="0.3">
      <c r="A63" s="8" t="s">
        <v>124</v>
      </c>
    </row>
    <row r="64" spans="1:14" ht="15.6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5.6" x14ac:dyDescent="0.3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5.6" x14ac:dyDescent="0.3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5.6" x14ac:dyDescent="0.3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5.6" x14ac:dyDescent="0.3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5.6" x14ac:dyDescent="0.3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5.6" x14ac:dyDescent="0.3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5.6" x14ac:dyDescent="0.3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5.6" x14ac:dyDescent="0.3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5.6" x14ac:dyDescent="0.3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5.6" x14ac:dyDescent="0.3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5.6" x14ac:dyDescent="0.3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5.6" x14ac:dyDescent="0.3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5.6" x14ac:dyDescent="0.3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5.6" x14ac:dyDescent="0.3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5.6" x14ac:dyDescent="0.3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5.6" x14ac:dyDescent="0.3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5.6" x14ac:dyDescent="0.3">
      <c r="A94" s="8" t="s">
        <v>125</v>
      </c>
    </row>
    <row r="95" spans="1:14" ht="15.6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5.6" x14ac:dyDescent="0.3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5.6" x14ac:dyDescent="0.3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5.6" x14ac:dyDescent="0.3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5.6" x14ac:dyDescent="0.3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5.6" x14ac:dyDescent="0.3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5.6" x14ac:dyDescent="0.3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5.6" x14ac:dyDescent="0.3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5.6" x14ac:dyDescent="0.3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5.6" x14ac:dyDescent="0.3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5.6" x14ac:dyDescent="0.3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5.6" x14ac:dyDescent="0.3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5.6" x14ac:dyDescent="0.3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5.6" x14ac:dyDescent="0.3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5.6" x14ac:dyDescent="0.3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5.6" x14ac:dyDescent="0.3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5.6" x14ac:dyDescent="0.3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  <row r="125" spans="1:14" ht="15" customHeight="1" thickBot="1" x14ac:dyDescent="0.35">
      <c r="A125" t="s">
        <v>178</v>
      </c>
    </row>
    <row r="126" spans="1:14" ht="15" customHeight="1" thickTop="1" x14ac:dyDescent="0.3">
      <c r="B126" s="15" t="s">
        <v>100</v>
      </c>
      <c r="C126" s="31" t="s">
        <v>18</v>
      </c>
      <c r="D126" s="31" t="s">
        <v>22</v>
      </c>
    </row>
    <row r="127" spans="1:14" ht="15" customHeight="1" thickBot="1" x14ac:dyDescent="0.35">
      <c r="B127" s="18" t="s">
        <v>114</v>
      </c>
      <c r="C127" s="32">
        <v>10</v>
      </c>
      <c r="D127" s="32">
        <v>38.4</v>
      </c>
    </row>
    <row r="128" spans="1:14" ht="15" customHeight="1" thickTop="1" thickBot="1" x14ac:dyDescent="0.35">
      <c r="A128" s="7" t="s">
        <v>6</v>
      </c>
      <c r="B128" s="35"/>
      <c r="C128" s="36"/>
      <c r="D128" s="36"/>
    </row>
    <row r="129" spans="1:4" ht="15" customHeight="1" thickTop="1" thickBot="1" x14ac:dyDescent="0.35">
      <c r="A129" s="128">
        <v>120</v>
      </c>
      <c r="B129" s="30" t="s">
        <v>102</v>
      </c>
      <c r="C129" s="37">
        <v>3.68</v>
      </c>
      <c r="D129" s="37">
        <v>4.28</v>
      </c>
    </row>
    <row r="130" spans="1:4" ht="15" customHeight="1" thickTop="1" thickBot="1" x14ac:dyDescent="0.35">
      <c r="A130" s="128"/>
      <c r="B130" s="20" t="s">
        <v>103</v>
      </c>
      <c r="C130" s="32">
        <v>3.7</v>
      </c>
      <c r="D130" s="32">
        <v>4.29</v>
      </c>
    </row>
    <row r="131" spans="1:4" ht="15" customHeight="1" thickTop="1" thickBot="1" x14ac:dyDescent="0.35">
      <c r="A131" s="128"/>
      <c r="B131" s="38" t="s">
        <v>104</v>
      </c>
      <c r="C131" s="26">
        <f t="shared" ref="C131:D131" si="32">IF(OR(C129="",C130=""),"",C130/C129)</f>
        <v>1.0054347826086956</v>
      </c>
      <c r="D131" s="26">
        <f t="shared" si="32"/>
        <v>1.0023364485981308</v>
      </c>
    </row>
    <row r="132" spans="1:4" ht="15" customHeight="1" thickTop="1" x14ac:dyDescent="0.3"/>
    <row r="133" spans="1:4" ht="15" customHeight="1" thickBot="1" x14ac:dyDescent="0.35">
      <c r="A133" t="s">
        <v>179</v>
      </c>
    </row>
    <row r="134" spans="1:4" ht="15" customHeight="1" thickTop="1" x14ac:dyDescent="0.3">
      <c r="B134" s="15" t="s">
        <v>100</v>
      </c>
      <c r="C134" s="31" t="s">
        <v>18</v>
      </c>
      <c r="D134" s="31" t="s">
        <v>22</v>
      </c>
    </row>
    <row r="135" spans="1:4" ht="15" customHeight="1" thickBot="1" x14ac:dyDescent="0.35">
      <c r="B135" s="18" t="s">
        <v>114</v>
      </c>
      <c r="C135" s="32">
        <v>10</v>
      </c>
      <c r="D135" s="32">
        <v>38.4</v>
      </c>
    </row>
    <row r="136" spans="1:4" ht="15" customHeight="1" thickTop="1" thickBot="1" x14ac:dyDescent="0.35">
      <c r="A136" s="7" t="s">
        <v>6</v>
      </c>
      <c r="B136" s="35"/>
      <c r="C136" s="36"/>
      <c r="D136" s="36"/>
    </row>
    <row r="137" spans="1:4" ht="15" customHeight="1" thickTop="1" thickBot="1" x14ac:dyDescent="0.35">
      <c r="A137" s="128">
        <v>120</v>
      </c>
      <c r="B137" s="30" t="s">
        <v>102</v>
      </c>
      <c r="C137" s="37">
        <v>3.44</v>
      </c>
      <c r="D137" s="37">
        <v>3.99</v>
      </c>
    </row>
    <row r="138" spans="1:4" ht="15" customHeight="1" thickTop="1" thickBot="1" x14ac:dyDescent="0.35">
      <c r="A138" s="128"/>
      <c r="B138" s="20" t="s">
        <v>103</v>
      </c>
      <c r="C138" s="32">
        <v>3.35</v>
      </c>
      <c r="D138" s="32">
        <v>3.89</v>
      </c>
    </row>
    <row r="139" spans="1:4" ht="15" customHeight="1" thickTop="1" thickBot="1" x14ac:dyDescent="0.35">
      <c r="A139" s="128"/>
      <c r="B139" s="38" t="s">
        <v>104</v>
      </c>
      <c r="C139" s="26">
        <f t="shared" ref="C139:D139" si="33">IF(OR(C137="",C138=""),"",C138/C137)</f>
        <v>0.97383720930232565</v>
      </c>
      <c r="D139" s="26">
        <f t="shared" si="33"/>
        <v>0.97493734335839599</v>
      </c>
    </row>
    <row r="140" spans="1:4" ht="15" customHeight="1" thickTop="1" x14ac:dyDescent="0.3"/>
    <row r="141" spans="1:4" ht="15" customHeight="1" thickBot="1" x14ac:dyDescent="0.35">
      <c r="A141" t="s">
        <v>180</v>
      </c>
    </row>
    <row r="142" spans="1:4" ht="15" customHeight="1" thickTop="1" x14ac:dyDescent="0.3">
      <c r="B142" s="15" t="s">
        <v>100</v>
      </c>
      <c r="C142" s="31" t="s">
        <v>18</v>
      </c>
      <c r="D142" s="31" t="s">
        <v>22</v>
      </c>
    </row>
    <row r="143" spans="1:4" ht="15" customHeight="1" thickBot="1" x14ac:dyDescent="0.35">
      <c r="B143" s="18" t="s">
        <v>114</v>
      </c>
      <c r="C143" s="32">
        <v>10</v>
      </c>
      <c r="D143" s="32">
        <v>38.4</v>
      </c>
    </row>
    <row r="144" spans="1:4" ht="15" customHeight="1" thickTop="1" thickBot="1" x14ac:dyDescent="0.35">
      <c r="A144" s="7" t="s">
        <v>6</v>
      </c>
      <c r="B144" s="35"/>
      <c r="C144" s="36"/>
      <c r="D144" s="36"/>
    </row>
    <row r="145" spans="1:4" ht="15" customHeight="1" thickTop="1" thickBot="1" x14ac:dyDescent="0.35">
      <c r="A145" s="128">
        <v>120</v>
      </c>
      <c r="B145" s="30" t="s">
        <v>102</v>
      </c>
      <c r="C145" s="37">
        <v>1.25</v>
      </c>
      <c r="D145" s="37">
        <v>1.45</v>
      </c>
    </row>
    <row r="146" spans="1:4" ht="15" customHeight="1" thickTop="1" thickBot="1" x14ac:dyDescent="0.35">
      <c r="A146" s="128"/>
      <c r="B146" s="20" t="s">
        <v>103</v>
      </c>
      <c r="C146" s="32">
        <v>1.84</v>
      </c>
      <c r="D146" s="32">
        <v>2.13</v>
      </c>
    </row>
    <row r="147" spans="1:4" ht="15" customHeight="1" thickTop="1" thickBot="1" x14ac:dyDescent="0.35">
      <c r="A147" s="128"/>
      <c r="B147" s="38" t="s">
        <v>104</v>
      </c>
      <c r="C147" s="26">
        <f t="shared" ref="C147:D147" si="34">IF(OR(C145="",C146=""),"",C146/C145)</f>
        <v>1.472</v>
      </c>
      <c r="D147" s="26">
        <f t="shared" si="34"/>
        <v>1.4689655172413794</v>
      </c>
    </row>
    <row r="148" spans="1:4" ht="15" customHeight="1" thickTop="1" x14ac:dyDescent="0.3"/>
    <row r="149" spans="1:4" ht="15" customHeight="1" thickBot="1" x14ac:dyDescent="0.35">
      <c r="A149" t="s">
        <v>181</v>
      </c>
    </row>
    <row r="150" spans="1:4" ht="15" customHeight="1" thickTop="1" x14ac:dyDescent="0.3">
      <c r="B150" s="15" t="s">
        <v>100</v>
      </c>
      <c r="C150" s="31" t="s">
        <v>18</v>
      </c>
      <c r="D150" s="31" t="s">
        <v>22</v>
      </c>
    </row>
    <row r="151" spans="1:4" ht="15" customHeight="1" thickBot="1" x14ac:dyDescent="0.35">
      <c r="B151" s="18" t="s">
        <v>114</v>
      </c>
      <c r="C151" s="32">
        <v>10</v>
      </c>
      <c r="D151" s="32">
        <v>38.4</v>
      </c>
    </row>
    <row r="152" spans="1:4" ht="15" customHeight="1" thickTop="1" thickBot="1" x14ac:dyDescent="0.35">
      <c r="A152" s="7" t="s">
        <v>6</v>
      </c>
      <c r="B152" s="35"/>
      <c r="C152" s="36"/>
      <c r="D152" s="36"/>
    </row>
    <row r="153" spans="1:4" ht="15" customHeight="1" thickTop="1" thickBot="1" x14ac:dyDescent="0.35">
      <c r="A153" s="128">
        <v>120</v>
      </c>
      <c r="B153" s="30" t="s">
        <v>102</v>
      </c>
      <c r="C153" s="37">
        <v>1.1200000000000001</v>
      </c>
      <c r="D153" s="37">
        <v>1.3</v>
      </c>
    </row>
    <row r="154" spans="1:4" ht="15" customHeight="1" thickTop="1" thickBot="1" x14ac:dyDescent="0.35">
      <c r="A154" s="128"/>
      <c r="B154" s="20" t="s">
        <v>103</v>
      </c>
      <c r="C154" s="32">
        <v>1.5</v>
      </c>
      <c r="D154" s="32">
        <v>1.74</v>
      </c>
    </row>
    <row r="155" spans="1:4" ht="15" customHeight="1" thickTop="1" thickBot="1" x14ac:dyDescent="0.35">
      <c r="A155" s="128"/>
      <c r="B155" s="38" t="s">
        <v>104</v>
      </c>
      <c r="C155" s="26">
        <f t="shared" ref="C155:D155" si="35">IF(OR(C153="",C154=""),"",C154/C153)</f>
        <v>1.3392857142857142</v>
      </c>
      <c r="D155" s="26">
        <f t="shared" si="35"/>
        <v>1.3384615384615384</v>
      </c>
    </row>
    <row r="156" spans="1:4" ht="15" customHeight="1" thickTop="1" x14ac:dyDescent="0.3"/>
  </sheetData>
  <mergeCells count="36">
    <mergeCell ref="A7:A9"/>
    <mergeCell ref="A10:A12"/>
    <mergeCell ref="A13:A15"/>
    <mergeCell ref="A16:A18"/>
    <mergeCell ref="A19:A21"/>
    <mergeCell ref="A22:A24"/>
    <mergeCell ref="A25:A27"/>
    <mergeCell ref="A28:A30"/>
    <mergeCell ref="A53:A55"/>
    <mergeCell ref="A56:A58"/>
    <mergeCell ref="A38:A40"/>
    <mergeCell ref="A41:A43"/>
    <mergeCell ref="A44:A46"/>
    <mergeCell ref="A47:A49"/>
    <mergeCell ref="A50:A52"/>
    <mergeCell ref="A59:A61"/>
    <mergeCell ref="A84:A86"/>
    <mergeCell ref="A87:A89"/>
    <mergeCell ref="A90:A92"/>
    <mergeCell ref="A115:A117"/>
    <mergeCell ref="A69:A71"/>
    <mergeCell ref="A72:A74"/>
    <mergeCell ref="A75:A77"/>
    <mergeCell ref="A78:A80"/>
    <mergeCell ref="A81:A83"/>
    <mergeCell ref="A100:A102"/>
    <mergeCell ref="A103:A105"/>
    <mergeCell ref="A106:A108"/>
    <mergeCell ref="A109:A111"/>
    <mergeCell ref="A112:A114"/>
    <mergeCell ref="A145:A147"/>
    <mergeCell ref="A153:A155"/>
    <mergeCell ref="A118:A120"/>
    <mergeCell ref="A121:A123"/>
    <mergeCell ref="A129:A131"/>
    <mergeCell ref="A137:A139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5898-F8C0-4E67-B527-C88EB10216D8}">
  <sheetPr>
    <outlinePr summaryBelow="0"/>
  </sheetPr>
  <dimension ref="A1:N124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thickBot="1" x14ac:dyDescent="0.35">
      <c r="A1" s="8" t="s">
        <v>97</v>
      </c>
    </row>
    <row r="2" spans="1:14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thickBot="1" x14ac:dyDescent="0.35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thickTop="1" thickBot="1" x14ac:dyDescent="0.35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thickTop="1" thickBot="1" x14ac:dyDescent="0.35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thickTop="1" thickBot="1" x14ac:dyDescent="0.35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thickTop="1" thickBot="1" x14ac:dyDescent="0.35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thickTop="1" thickBot="1" x14ac:dyDescent="0.35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thickTop="1" thickBot="1" x14ac:dyDescent="0.35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thickTop="1" thickBot="1" x14ac:dyDescent="0.35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thickTop="1" thickBot="1" x14ac:dyDescent="0.35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thickTop="1" thickBot="1" x14ac:dyDescent="0.35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thickTop="1" thickBot="1" x14ac:dyDescent="0.35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thickTop="1" thickBot="1" x14ac:dyDescent="0.35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thickTop="1" thickBot="1" x14ac:dyDescent="0.35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thickBot="1" x14ac:dyDescent="0.35">
      <c r="A32" s="8" t="s">
        <v>122</v>
      </c>
    </row>
    <row r="33" spans="1:14" ht="15" customHeight="1" thickTop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thickBot="1" x14ac:dyDescent="0.35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thickTop="1" thickBot="1" x14ac:dyDescent="0.35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thickTop="1" thickBot="1" x14ac:dyDescent="0.35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6.8" thickTop="1" thickBot="1" x14ac:dyDescent="0.35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6.8" thickTop="1" thickBot="1" x14ac:dyDescent="0.35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6.8" thickTop="1" thickBot="1" x14ac:dyDescent="0.35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6.8" thickTop="1" thickBot="1" x14ac:dyDescent="0.35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6.8" thickTop="1" thickBot="1" x14ac:dyDescent="0.35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6.8" thickTop="1" thickBot="1" x14ac:dyDescent="0.35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6.8" thickTop="1" thickBot="1" x14ac:dyDescent="0.35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6.8" thickTop="1" thickBot="1" x14ac:dyDescent="0.35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6.8" thickTop="1" thickBot="1" x14ac:dyDescent="0.35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6.8" thickTop="1" thickBot="1" x14ac:dyDescent="0.35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6.8" thickTop="1" thickBot="1" x14ac:dyDescent="0.35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6.8" thickTop="1" thickBot="1" x14ac:dyDescent="0.35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6.8" thickTop="1" thickBot="1" x14ac:dyDescent="0.35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6.2" thickBot="1" x14ac:dyDescent="0.35">
      <c r="A63" s="8" t="s">
        <v>124</v>
      </c>
    </row>
    <row r="64" spans="1:14" ht="16.2" thickTop="1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6.2" thickBot="1" x14ac:dyDescent="0.35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6.8" thickTop="1" thickBot="1" x14ac:dyDescent="0.35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6.8" thickTop="1" thickBot="1" x14ac:dyDescent="0.35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6.8" thickTop="1" thickBot="1" x14ac:dyDescent="0.35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6.8" thickTop="1" thickBot="1" x14ac:dyDescent="0.35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6.8" thickTop="1" thickBot="1" x14ac:dyDescent="0.35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6.8" thickTop="1" thickBot="1" x14ac:dyDescent="0.35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6.8" thickTop="1" thickBot="1" x14ac:dyDescent="0.35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6.8" thickTop="1" thickBot="1" x14ac:dyDescent="0.35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6.8" thickTop="1" thickBot="1" x14ac:dyDescent="0.35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6.8" thickTop="1" thickBot="1" x14ac:dyDescent="0.35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6.8" thickTop="1" thickBot="1" x14ac:dyDescent="0.35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6.8" thickTop="1" thickBot="1" x14ac:dyDescent="0.35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6.8" thickTop="1" thickBot="1" x14ac:dyDescent="0.35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6.8" thickTop="1" thickBot="1" x14ac:dyDescent="0.35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6.8" thickTop="1" thickBot="1" x14ac:dyDescent="0.35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6.2" thickBot="1" x14ac:dyDescent="0.35">
      <c r="A94" s="8" t="s">
        <v>125</v>
      </c>
    </row>
    <row r="95" spans="1:14" ht="16.2" thickTop="1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6.2" thickBot="1" x14ac:dyDescent="0.35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6.8" thickTop="1" thickBot="1" x14ac:dyDescent="0.35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6.8" thickTop="1" thickBot="1" x14ac:dyDescent="0.35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6.8" thickTop="1" thickBot="1" x14ac:dyDescent="0.35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6.8" thickTop="1" thickBot="1" x14ac:dyDescent="0.35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6.8" thickTop="1" thickBot="1" x14ac:dyDescent="0.35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6.8" thickTop="1" thickBot="1" x14ac:dyDescent="0.35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6.8" thickTop="1" thickBot="1" x14ac:dyDescent="0.35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6.8" thickTop="1" thickBot="1" x14ac:dyDescent="0.35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6.8" thickTop="1" thickBot="1" x14ac:dyDescent="0.35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6.8" thickTop="1" thickBot="1" x14ac:dyDescent="0.35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6.8" thickTop="1" thickBot="1" x14ac:dyDescent="0.35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6.8" thickTop="1" thickBot="1" x14ac:dyDescent="0.35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6.8" thickTop="1" thickBot="1" x14ac:dyDescent="0.35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6.8" thickTop="1" thickBot="1" x14ac:dyDescent="0.35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6.8" thickTop="1" thickBot="1" x14ac:dyDescent="0.35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</sheetData>
  <mergeCells count="32">
    <mergeCell ref="A47:A49"/>
    <mergeCell ref="A7:A9"/>
    <mergeCell ref="A10:A12"/>
    <mergeCell ref="A13:A15"/>
    <mergeCell ref="A16:A18"/>
    <mergeCell ref="A19:A21"/>
    <mergeCell ref="A22:A24"/>
    <mergeCell ref="A25:A27"/>
    <mergeCell ref="A28:A30"/>
    <mergeCell ref="A38:A40"/>
    <mergeCell ref="A41:A43"/>
    <mergeCell ref="A44:A46"/>
    <mergeCell ref="A90:A92"/>
    <mergeCell ref="A50:A52"/>
    <mergeCell ref="A53:A55"/>
    <mergeCell ref="A56:A58"/>
    <mergeCell ref="A59:A61"/>
    <mergeCell ref="A69:A71"/>
    <mergeCell ref="A72:A74"/>
    <mergeCell ref="A75:A77"/>
    <mergeCell ref="A78:A80"/>
    <mergeCell ref="A81:A83"/>
    <mergeCell ref="A84:A86"/>
    <mergeCell ref="A87:A89"/>
    <mergeCell ref="A118:A120"/>
    <mergeCell ref="A121:A123"/>
    <mergeCell ref="A100:A102"/>
    <mergeCell ref="A103:A105"/>
    <mergeCell ref="A106:A108"/>
    <mergeCell ref="A109:A111"/>
    <mergeCell ref="A112:A114"/>
    <mergeCell ref="A115:A11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DA5D0-7AE6-4200-8057-78E1CAF81941}">
  <sheetPr>
    <outlinePr summaryBelow="0"/>
  </sheetPr>
  <dimension ref="A1:N156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thickBot="1" x14ac:dyDescent="0.35">
      <c r="A1" s="8" t="s">
        <v>97</v>
      </c>
    </row>
    <row r="2" spans="1:14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thickBot="1" x14ac:dyDescent="0.35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thickTop="1" thickBot="1" x14ac:dyDescent="0.35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thickTop="1" thickBot="1" x14ac:dyDescent="0.35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thickTop="1" thickBot="1" x14ac:dyDescent="0.35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thickTop="1" thickBot="1" x14ac:dyDescent="0.35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thickTop="1" thickBot="1" x14ac:dyDescent="0.35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thickTop="1" thickBot="1" x14ac:dyDescent="0.35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thickTop="1" thickBot="1" x14ac:dyDescent="0.35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thickTop="1" thickBot="1" x14ac:dyDescent="0.35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thickTop="1" thickBot="1" x14ac:dyDescent="0.35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thickTop="1" thickBot="1" x14ac:dyDescent="0.35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thickTop="1" thickBot="1" x14ac:dyDescent="0.35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thickTop="1" thickBot="1" x14ac:dyDescent="0.35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thickBot="1" x14ac:dyDescent="0.35">
      <c r="A32" s="8" t="s">
        <v>122</v>
      </c>
    </row>
    <row r="33" spans="1:14" ht="15" customHeight="1" thickTop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thickBot="1" x14ac:dyDescent="0.35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thickTop="1" thickBot="1" x14ac:dyDescent="0.35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thickTop="1" thickBot="1" x14ac:dyDescent="0.35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6.8" thickTop="1" thickBot="1" x14ac:dyDescent="0.35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6.8" thickTop="1" thickBot="1" x14ac:dyDescent="0.35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6.8" thickTop="1" thickBot="1" x14ac:dyDescent="0.35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6.8" thickTop="1" thickBot="1" x14ac:dyDescent="0.35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6.8" thickTop="1" thickBot="1" x14ac:dyDescent="0.35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6.8" thickTop="1" thickBot="1" x14ac:dyDescent="0.35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6.8" thickTop="1" thickBot="1" x14ac:dyDescent="0.35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6.8" thickTop="1" thickBot="1" x14ac:dyDescent="0.35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6.8" thickTop="1" thickBot="1" x14ac:dyDescent="0.35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6.8" thickTop="1" thickBot="1" x14ac:dyDescent="0.35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6.8" thickTop="1" thickBot="1" x14ac:dyDescent="0.35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6.8" thickTop="1" thickBot="1" x14ac:dyDescent="0.35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6.8" thickTop="1" thickBot="1" x14ac:dyDescent="0.35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6.2" thickBot="1" x14ac:dyDescent="0.35">
      <c r="A63" s="8" t="s">
        <v>124</v>
      </c>
    </row>
    <row r="64" spans="1:14" ht="16.2" thickTop="1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6.2" thickBot="1" x14ac:dyDescent="0.35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6.8" thickTop="1" thickBot="1" x14ac:dyDescent="0.35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6.8" thickTop="1" thickBot="1" x14ac:dyDescent="0.35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6.8" thickTop="1" thickBot="1" x14ac:dyDescent="0.35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6.8" thickTop="1" thickBot="1" x14ac:dyDescent="0.35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6.8" thickTop="1" thickBot="1" x14ac:dyDescent="0.35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6.8" thickTop="1" thickBot="1" x14ac:dyDescent="0.35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6.8" thickTop="1" thickBot="1" x14ac:dyDescent="0.35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6.8" thickTop="1" thickBot="1" x14ac:dyDescent="0.35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6.8" thickTop="1" thickBot="1" x14ac:dyDescent="0.35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6.8" thickTop="1" thickBot="1" x14ac:dyDescent="0.35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6.8" thickTop="1" thickBot="1" x14ac:dyDescent="0.35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6.8" thickTop="1" thickBot="1" x14ac:dyDescent="0.35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6.8" thickTop="1" thickBot="1" x14ac:dyDescent="0.35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6.8" thickTop="1" thickBot="1" x14ac:dyDescent="0.35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6.8" thickTop="1" thickBot="1" x14ac:dyDescent="0.35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6.2" thickBot="1" x14ac:dyDescent="0.35">
      <c r="A94" s="8" t="s">
        <v>125</v>
      </c>
    </row>
    <row r="95" spans="1:14" ht="16.2" thickTop="1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6.2" thickBot="1" x14ac:dyDescent="0.35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6.8" thickTop="1" thickBot="1" x14ac:dyDescent="0.35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6.8" thickTop="1" thickBot="1" x14ac:dyDescent="0.35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6.8" thickTop="1" thickBot="1" x14ac:dyDescent="0.35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6.8" thickTop="1" thickBot="1" x14ac:dyDescent="0.35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6.8" thickTop="1" thickBot="1" x14ac:dyDescent="0.35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6.8" thickTop="1" thickBot="1" x14ac:dyDescent="0.35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6.8" thickTop="1" thickBot="1" x14ac:dyDescent="0.35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6.8" thickTop="1" thickBot="1" x14ac:dyDescent="0.35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6.8" thickTop="1" thickBot="1" x14ac:dyDescent="0.35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6.8" thickTop="1" thickBot="1" x14ac:dyDescent="0.35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6.8" thickTop="1" thickBot="1" x14ac:dyDescent="0.35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6.8" thickTop="1" thickBot="1" x14ac:dyDescent="0.35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6.8" thickTop="1" thickBot="1" x14ac:dyDescent="0.35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6.8" thickTop="1" thickBot="1" x14ac:dyDescent="0.35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6.8" thickTop="1" thickBot="1" x14ac:dyDescent="0.35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  <row r="125" spans="1:14" ht="15" customHeight="1" thickBot="1" x14ac:dyDescent="0.35">
      <c r="A125" t="s">
        <v>178</v>
      </c>
    </row>
    <row r="126" spans="1:14" ht="15" customHeight="1" thickTop="1" x14ac:dyDescent="0.3">
      <c r="B126" s="15" t="s">
        <v>100</v>
      </c>
      <c r="C126" s="31" t="s">
        <v>18</v>
      </c>
      <c r="D126" s="31" t="s">
        <v>22</v>
      </c>
    </row>
    <row r="127" spans="1:14" ht="15" customHeight="1" thickBot="1" x14ac:dyDescent="0.35">
      <c r="B127" s="18" t="s">
        <v>114</v>
      </c>
      <c r="C127" s="32">
        <v>10</v>
      </c>
      <c r="D127" s="32">
        <v>38.4</v>
      </c>
    </row>
    <row r="128" spans="1:14" ht="15" customHeight="1" thickTop="1" thickBot="1" x14ac:dyDescent="0.35">
      <c r="A128" s="7" t="s">
        <v>6</v>
      </c>
      <c r="B128" s="35"/>
      <c r="C128" s="36"/>
      <c r="D128" s="36"/>
    </row>
    <row r="129" spans="1:4" ht="15" customHeight="1" thickTop="1" thickBot="1" x14ac:dyDescent="0.35">
      <c r="A129" s="128">
        <v>120</v>
      </c>
      <c r="B129" s="30" t="s">
        <v>102</v>
      </c>
      <c r="C129" s="37">
        <v>3.68</v>
      </c>
      <c r="D129" s="37">
        <v>4.28</v>
      </c>
    </row>
    <row r="130" spans="1:4" ht="15" customHeight="1" thickTop="1" thickBot="1" x14ac:dyDescent="0.35">
      <c r="A130" s="128"/>
      <c r="B130" s="20" t="s">
        <v>103</v>
      </c>
      <c r="C130" s="32">
        <v>3.7</v>
      </c>
      <c r="D130" s="32">
        <v>4.29</v>
      </c>
    </row>
    <row r="131" spans="1:4" ht="15" customHeight="1" thickTop="1" thickBot="1" x14ac:dyDescent="0.35">
      <c r="A131" s="128"/>
      <c r="B131" s="38" t="s">
        <v>104</v>
      </c>
      <c r="C131" s="26">
        <f t="shared" ref="C131:D131" si="32">IF(OR(C129="",C130=""),"",C130/C129)</f>
        <v>1.0054347826086956</v>
      </c>
      <c r="D131" s="26">
        <f t="shared" si="32"/>
        <v>1.0023364485981308</v>
      </c>
    </row>
    <row r="132" spans="1:4" ht="15" customHeight="1" thickTop="1" x14ac:dyDescent="0.3"/>
    <row r="133" spans="1:4" ht="15" customHeight="1" thickBot="1" x14ac:dyDescent="0.35">
      <c r="A133" t="s">
        <v>179</v>
      </c>
    </row>
    <row r="134" spans="1:4" ht="15" customHeight="1" thickTop="1" x14ac:dyDescent="0.3">
      <c r="B134" s="15" t="s">
        <v>100</v>
      </c>
      <c r="C134" s="31" t="s">
        <v>18</v>
      </c>
      <c r="D134" s="31" t="s">
        <v>22</v>
      </c>
    </row>
    <row r="135" spans="1:4" ht="15" customHeight="1" thickBot="1" x14ac:dyDescent="0.35">
      <c r="B135" s="18" t="s">
        <v>114</v>
      </c>
      <c r="C135" s="32">
        <v>10</v>
      </c>
      <c r="D135" s="32">
        <v>38.4</v>
      </c>
    </row>
    <row r="136" spans="1:4" ht="15" customHeight="1" thickTop="1" thickBot="1" x14ac:dyDescent="0.35">
      <c r="A136" s="7" t="s">
        <v>6</v>
      </c>
      <c r="B136" s="35"/>
      <c r="C136" s="36"/>
      <c r="D136" s="36"/>
    </row>
    <row r="137" spans="1:4" ht="15" customHeight="1" thickTop="1" thickBot="1" x14ac:dyDescent="0.35">
      <c r="A137" s="128">
        <v>120</v>
      </c>
      <c r="B137" s="30" t="s">
        <v>102</v>
      </c>
      <c r="C137" s="37">
        <v>3.44</v>
      </c>
      <c r="D137" s="37">
        <v>3.99</v>
      </c>
    </row>
    <row r="138" spans="1:4" ht="15" customHeight="1" thickTop="1" thickBot="1" x14ac:dyDescent="0.35">
      <c r="A138" s="128"/>
      <c r="B138" s="20" t="s">
        <v>103</v>
      </c>
      <c r="C138" s="32">
        <v>3.35</v>
      </c>
      <c r="D138" s="32">
        <v>3.89</v>
      </c>
    </row>
    <row r="139" spans="1:4" ht="15" customHeight="1" thickTop="1" thickBot="1" x14ac:dyDescent="0.35">
      <c r="A139" s="128"/>
      <c r="B139" s="38" t="s">
        <v>104</v>
      </c>
      <c r="C139" s="26">
        <f t="shared" ref="C139:D139" si="33">IF(OR(C137="",C138=""),"",C138/C137)</f>
        <v>0.97383720930232565</v>
      </c>
      <c r="D139" s="26">
        <f t="shared" si="33"/>
        <v>0.97493734335839599</v>
      </c>
    </row>
    <row r="140" spans="1:4" ht="15" customHeight="1" thickTop="1" x14ac:dyDescent="0.3"/>
    <row r="141" spans="1:4" ht="15" customHeight="1" thickBot="1" x14ac:dyDescent="0.35">
      <c r="A141" t="s">
        <v>180</v>
      </c>
    </row>
    <row r="142" spans="1:4" ht="15" customHeight="1" thickTop="1" x14ac:dyDescent="0.3">
      <c r="B142" s="15" t="s">
        <v>100</v>
      </c>
      <c r="C142" s="31" t="s">
        <v>18</v>
      </c>
      <c r="D142" s="31" t="s">
        <v>22</v>
      </c>
    </row>
    <row r="143" spans="1:4" ht="15" customHeight="1" thickBot="1" x14ac:dyDescent="0.35">
      <c r="B143" s="18" t="s">
        <v>114</v>
      </c>
      <c r="C143" s="32">
        <v>10</v>
      </c>
      <c r="D143" s="32">
        <v>38.4</v>
      </c>
    </row>
    <row r="144" spans="1:4" ht="15" customHeight="1" thickTop="1" thickBot="1" x14ac:dyDescent="0.35">
      <c r="A144" s="7" t="s">
        <v>6</v>
      </c>
      <c r="B144" s="35"/>
      <c r="C144" s="36"/>
      <c r="D144" s="36"/>
    </row>
    <row r="145" spans="1:4" ht="15" customHeight="1" thickTop="1" thickBot="1" x14ac:dyDescent="0.35">
      <c r="A145" s="128">
        <v>120</v>
      </c>
      <c r="B145" s="30" t="s">
        <v>102</v>
      </c>
      <c r="C145" s="37">
        <v>1.25</v>
      </c>
      <c r="D145" s="37">
        <v>1.45</v>
      </c>
    </row>
    <row r="146" spans="1:4" ht="15" customHeight="1" thickTop="1" thickBot="1" x14ac:dyDescent="0.35">
      <c r="A146" s="128"/>
      <c r="B146" s="20" t="s">
        <v>103</v>
      </c>
      <c r="C146" s="32">
        <v>1.84</v>
      </c>
      <c r="D146" s="32">
        <v>2.13</v>
      </c>
    </row>
    <row r="147" spans="1:4" ht="15" customHeight="1" thickTop="1" thickBot="1" x14ac:dyDescent="0.35">
      <c r="A147" s="128"/>
      <c r="B147" s="38" t="s">
        <v>104</v>
      </c>
      <c r="C147" s="26">
        <f t="shared" ref="C147:D147" si="34">IF(OR(C145="",C146=""),"",C146/C145)</f>
        <v>1.472</v>
      </c>
      <c r="D147" s="26">
        <f t="shared" si="34"/>
        <v>1.4689655172413794</v>
      </c>
    </row>
    <row r="148" spans="1:4" ht="15" customHeight="1" thickTop="1" x14ac:dyDescent="0.3"/>
    <row r="149" spans="1:4" ht="15" customHeight="1" thickBot="1" x14ac:dyDescent="0.35">
      <c r="A149" t="s">
        <v>181</v>
      </c>
    </row>
    <row r="150" spans="1:4" ht="15" customHeight="1" thickTop="1" x14ac:dyDescent="0.3">
      <c r="B150" s="15" t="s">
        <v>100</v>
      </c>
      <c r="C150" s="31" t="s">
        <v>18</v>
      </c>
      <c r="D150" s="31" t="s">
        <v>22</v>
      </c>
    </row>
    <row r="151" spans="1:4" ht="15" customHeight="1" thickBot="1" x14ac:dyDescent="0.35">
      <c r="B151" s="18" t="s">
        <v>114</v>
      </c>
      <c r="C151" s="32">
        <v>10</v>
      </c>
      <c r="D151" s="32">
        <v>38.4</v>
      </c>
    </row>
    <row r="152" spans="1:4" ht="15" customHeight="1" thickTop="1" thickBot="1" x14ac:dyDescent="0.35">
      <c r="A152" s="7" t="s">
        <v>6</v>
      </c>
      <c r="B152" s="35"/>
      <c r="C152" s="36"/>
      <c r="D152" s="36"/>
    </row>
    <row r="153" spans="1:4" ht="15" customHeight="1" thickTop="1" thickBot="1" x14ac:dyDescent="0.35">
      <c r="A153" s="128">
        <v>120</v>
      </c>
      <c r="B153" s="30" t="s">
        <v>102</v>
      </c>
      <c r="C153" s="37">
        <v>1.1200000000000001</v>
      </c>
      <c r="D153" s="37">
        <v>1.3</v>
      </c>
    </row>
    <row r="154" spans="1:4" ht="15" customHeight="1" thickTop="1" thickBot="1" x14ac:dyDescent="0.35">
      <c r="A154" s="128"/>
      <c r="B154" s="20" t="s">
        <v>103</v>
      </c>
      <c r="C154" s="32">
        <v>1.5</v>
      </c>
      <c r="D154" s="32">
        <v>1.74</v>
      </c>
    </row>
    <row r="155" spans="1:4" ht="15" customHeight="1" thickTop="1" thickBot="1" x14ac:dyDescent="0.35">
      <c r="A155" s="128"/>
      <c r="B155" s="38" t="s">
        <v>104</v>
      </c>
      <c r="C155" s="26">
        <f t="shared" ref="C155:D155" si="35">IF(OR(C153="",C154=""),"",C154/C153)</f>
        <v>1.3392857142857142</v>
      </c>
      <c r="D155" s="26">
        <f t="shared" si="35"/>
        <v>1.3384615384615384</v>
      </c>
    </row>
    <row r="156" spans="1:4" ht="15" customHeight="1" thickTop="1" x14ac:dyDescent="0.3"/>
  </sheetData>
  <mergeCells count="36">
    <mergeCell ref="A47:A49"/>
    <mergeCell ref="A7:A9"/>
    <mergeCell ref="A10:A12"/>
    <mergeCell ref="A13:A15"/>
    <mergeCell ref="A16:A18"/>
    <mergeCell ref="A19:A21"/>
    <mergeCell ref="A22:A24"/>
    <mergeCell ref="A25:A27"/>
    <mergeCell ref="A28:A30"/>
    <mergeCell ref="A38:A40"/>
    <mergeCell ref="A41:A43"/>
    <mergeCell ref="A44:A46"/>
    <mergeCell ref="A90:A92"/>
    <mergeCell ref="A50:A52"/>
    <mergeCell ref="A53:A55"/>
    <mergeCell ref="A56:A58"/>
    <mergeCell ref="A59:A61"/>
    <mergeCell ref="A69:A71"/>
    <mergeCell ref="A72:A74"/>
    <mergeCell ref="A75:A77"/>
    <mergeCell ref="A78:A80"/>
    <mergeCell ref="A81:A83"/>
    <mergeCell ref="A84:A86"/>
    <mergeCell ref="A87:A89"/>
    <mergeCell ref="A153:A155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9:A131"/>
    <mergeCell ref="A137:A139"/>
    <mergeCell ref="A145:A1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74EC-5DD2-4207-ADFF-DDC63DF696A1}">
  <sheetPr>
    <outlinePr summaryBelow="0"/>
  </sheetPr>
  <dimension ref="A1:N156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thickBot="1" x14ac:dyDescent="0.35">
      <c r="A1" s="8" t="s">
        <v>97</v>
      </c>
    </row>
    <row r="2" spans="1:14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thickBot="1" x14ac:dyDescent="0.35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thickTop="1" thickBot="1" x14ac:dyDescent="0.35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thickTop="1" thickBot="1" x14ac:dyDescent="0.35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thickTop="1" thickBot="1" x14ac:dyDescent="0.35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thickTop="1" thickBot="1" x14ac:dyDescent="0.35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thickTop="1" thickBot="1" x14ac:dyDescent="0.35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thickTop="1" thickBot="1" x14ac:dyDescent="0.35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thickTop="1" thickBot="1" x14ac:dyDescent="0.35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thickTop="1" thickBot="1" x14ac:dyDescent="0.35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thickTop="1" thickBot="1" x14ac:dyDescent="0.35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thickTop="1" thickBot="1" x14ac:dyDescent="0.35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thickTop="1" thickBot="1" x14ac:dyDescent="0.35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thickTop="1" thickBot="1" x14ac:dyDescent="0.35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thickBot="1" x14ac:dyDescent="0.35">
      <c r="A32" s="8" t="s">
        <v>122</v>
      </c>
    </row>
    <row r="33" spans="1:14" ht="15" customHeight="1" thickTop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thickBot="1" x14ac:dyDescent="0.35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thickTop="1" thickBot="1" x14ac:dyDescent="0.35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thickTop="1" thickBot="1" x14ac:dyDescent="0.35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6.8" thickTop="1" thickBot="1" x14ac:dyDescent="0.35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6.8" thickTop="1" thickBot="1" x14ac:dyDescent="0.35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6.8" thickTop="1" thickBot="1" x14ac:dyDescent="0.35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6.8" thickTop="1" thickBot="1" x14ac:dyDescent="0.35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6.8" thickTop="1" thickBot="1" x14ac:dyDescent="0.35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6.8" thickTop="1" thickBot="1" x14ac:dyDescent="0.35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6.8" thickTop="1" thickBot="1" x14ac:dyDescent="0.35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6.8" thickTop="1" thickBot="1" x14ac:dyDescent="0.35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6.8" thickTop="1" thickBot="1" x14ac:dyDescent="0.35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6.8" thickTop="1" thickBot="1" x14ac:dyDescent="0.35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6.8" thickTop="1" thickBot="1" x14ac:dyDescent="0.35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6.8" thickTop="1" thickBot="1" x14ac:dyDescent="0.35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6.8" thickTop="1" thickBot="1" x14ac:dyDescent="0.35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6.2" thickBot="1" x14ac:dyDescent="0.35">
      <c r="A63" s="8" t="s">
        <v>124</v>
      </c>
    </row>
    <row r="64" spans="1:14" ht="16.2" thickTop="1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6.2" thickBot="1" x14ac:dyDescent="0.35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6.8" thickTop="1" thickBot="1" x14ac:dyDescent="0.35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6.8" thickTop="1" thickBot="1" x14ac:dyDescent="0.35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6.8" thickTop="1" thickBot="1" x14ac:dyDescent="0.35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6.8" thickTop="1" thickBot="1" x14ac:dyDescent="0.35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6.8" thickTop="1" thickBot="1" x14ac:dyDescent="0.35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6.8" thickTop="1" thickBot="1" x14ac:dyDescent="0.35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6.8" thickTop="1" thickBot="1" x14ac:dyDescent="0.35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6.8" thickTop="1" thickBot="1" x14ac:dyDescent="0.35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6.8" thickTop="1" thickBot="1" x14ac:dyDescent="0.35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6.8" thickTop="1" thickBot="1" x14ac:dyDescent="0.35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6.8" thickTop="1" thickBot="1" x14ac:dyDescent="0.35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6.8" thickTop="1" thickBot="1" x14ac:dyDescent="0.35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6.8" thickTop="1" thickBot="1" x14ac:dyDescent="0.35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6.8" thickTop="1" thickBot="1" x14ac:dyDescent="0.35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6.8" thickTop="1" thickBot="1" x14ac:dyDescent="0.35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6.2" thickBot="1" x14ac:dyDescent="0.35">
      <c r="A94" s="8" t="s">
        <v>125</v>
      </c>
    </row>
    <row r="95" spans="1:14" ht="16.2" thickTop="1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6.2" thickBot="1" x14ac:dyDescent="0.35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6.8" thickTop="1" thickBot="1" x14ac:dyDescent="0.35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6.8" thickTop="1" thickBot="1" x14ac:dyDescent="0.35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6.8" thickTop="1" thickBot="1" x14ac:dyDescent="0.35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6.8" thickTop="1" thickBot="1" x14ac:dyDescent="0.35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6.8" thickTop="1" thickBot="1" x14ac:dyDescent="0.35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6.8" thickTop="1" thickBot="1" x14ac:dyDescent="0.35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6.8" thickTop="1" thickBot="1" x14ac:dyDescent="0.35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6.8" thickTop="1" thickBot="1" x14ac:dyDescent="0.35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6.8" thickTop="1" thickBot="1" x14ac:dyDescent="0.35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6.8" thickTop="1" thickBot="1" x14ac:dyDescent="0.35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6.8" thickTop="1" thickBot="1" x14ac:dyDescent="0.35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6.8" thickTop="1" thickBot="1" x14ac:dyDescent="0.35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6.8" thickTop="1" thickBot="1" x14ac:dyDescent="0.35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6.8" thickTop="1" thickBot="1" x14ac:dyDescent="0.35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6.8" thickTop="1" thickBot="1" x14ac:dyDescent="0.35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  <row r="125" spans="1:14" ht="15" customHeight="1" thickBot="1" x14ac:dyDescent="0.35">
      <c r="A125" t="s">
        <v>178</v>
      </c>
    </row>
    <row r="126" spans="1:14" ht="15" customHeight="1" thickTop="1" x14ac:dyDescent="0.3">
      <c r="B126" s="15" t="s">
        <v>100</v>
      </c>
      <c r="C126" s="31" t="s">
        <v>18</v>
      </c>
      <c r="D126" s="31" t="s">
        <v>22</v>
      </c>
    </row>
    <row r="127" spans="1:14" ht="15" customHeight="1" thickBot="1" x14ac:dyDescent="0.35">
      <c r="B127" s="18" t="s">
        <v>114</v>
      </c>
      <c r="C127" s="32">
        <v>10</v>
      </c>
      <c r="D127" s="32">
        <v>38.4</v>
      </c>
    </row>
    <row r="128" spans="1:14" ht="15" customHeight="1" thickTop="1" thickBot="1" x14ac:dyDescent="0.35">
      <c r="A128" s="7" t="s">
        <v>6</v>
      </c>
      <c r="B128" s="35"/>
      <c r="C128" s="36"/>
      <c r="D128" s="36"/>
    </row>
    <row r="129" spans="1:4" ht="15" customHeight="1" thickTop="1" thickBot="1" x14ac:dyDescent="0.35">
      <c r="A129" s="128">
        <v>120</v>
      </c>
      <c r="B129" s="30" t="s">
        <v>102</v>
      </c>
      <c r="C129" s="37">
        <v>3.68</v>
      </c>
      <c r="D129" s="37">
        <v>4.28</v>
      </c>
    </row>
    <row r="130" spans="1:4" ht="15" customHeight="1" thickTop="1" thickBot="1" x14ac:dyDescent="0.35">
      <c r="A130" s="128"/>
      <c r="B130" s="20" t="s">
        <v>103</v>
      </c>
      <c r="C130" s="32">
        <v>3.7</v>
      </c>
      <c r="D130" s="32">
        <v>4.29</v>
      </c>
    </row>
    <row r="131" spans="1:4" ht="15" customHeight="1" thickTop="1" thickBot="1" x14ac:dyDescent="0.35">
      <c r="A131" s="128"/>
      <c r="B131" s="38" t="s">
        <v>104</v>
      </c>
      <c r="C131" s="26">
        <f t="shared" ref="C131:D131" si="32">IF(OR(C129="",C130=""),"",C130/C129)</f>
        <v>1.0054347826086956</v>
      </c>
      <c r="D131" s="26">
        <f t="shared" si="32"/>
        <v>1.0023364485981308</v>
      </c>
    </row>
    <row r="132" spans="1:4" ht="15" customHeight="1" thickTop="1" x14ac:dyDescent="0.3"/>
    <row r="133" spans="1:4" ht="15" customHeight="1" thickBot="1" x14ac:dyDescent="0.35">
      <c r="A133" t="s">
        <v>179</v>
      </c>
    </row>
    <row r="134" spans="1:4" ht="15" customHeight="1" thickTop="1" x14ac:dyDescent="0.3">
      <c r="B134" s="15" t="s">
        <v>100</v>
      </c>
      <c r="C134" s="31" t="s">
        <v>18</v>
      </c>
      <c r="D134" s="31" t="s">
        <v>22</v>
      </c>
    </row>
    <row r="135" spans="1:4" ht="15" customHeight="1" thickBot="1" x14ac:dyDescent="0.35">
      <c r="B135" s="18" t="s">
        <v>114</v>
      </c>
      <c r="C135" s="32">
        <v>10</v>
      </c>
      <c r="D135" s="32">
        <v>38.4</v>
      </c>
    </row>
    <row r="136" spans="1:4" ht="15" customHeight="1" thickTop="1" thickBot="1" x14ac:dyDescent="0.35">
      <c r="A136" s="7" t="s">
        <v>6</v>
      </c>
      <c r="B136" s="35"/>
      <c r="C136" s="36"/>
      <c r="D136" s="36"/>
    </row>
    <row r="137" spans="1:4" ht="15" customHeight="1" thickTop="1" thickBot="1" x14ac:dyDescent="0.35">
      <c r="A137" s="128">
        <v>120</v>
      </c>
      <c r="B137" s="30" t="s">
        <v>102</v>
      </c>
      <c r="C137" s="37">
        <v>3.44</v>
      </c>
      <c r="D137" s="37">
        <v>3.99</v>
      </c>
    </row>
    <row r="138" spans="1:4" ht="15" customHeight="1" thickTop="1" thickBot="1" x14ac:dyDescent="0.35">
      <c r="A138" s="128"/>
      <c r="B138" s="20" t="s">
        <v>103</v>
      </c>
      <c r="C138" s="32">
        <v>3.35</v>
      </c>
      <c r="D138" s="32">
        <v>3.89</v>
      </c>
    </row>
    <row r="139" spans="1:4" ht="15" customHeight="1" thickTop="1" thickBot="1" x14ac:dyDescent="0.35">
      <c r="A139" s="128"/>
      <c r="B139" s="38" t="s">
        <v>104</v>
      </c>
      <c r="C139" s="26">
        <f t="shared" ref="C139:D139" si="33">IF(OR(C137="",C138=""),"",C138/C137)</f>
        <v>0.97383720930232565</v>
      </c>
      <c r="D139" s="26">
        <f t="shared" si="33"/>
        <v>0.97493734335839599</v>
      </c>
    </row>
    <row r="140" spans="1:4" ht="15" customHeight="1" thickTop="1" x14ac:dyDescent="0.3"/>
    <row r="141" spans="1:4" ht="15" customHeight="1" thickBot="1" x14ac:dyDescent="0.35">
      <c r="A141" t="s">
        <v>180</v>
      </c>
    </row>
    <row r="142" spans="1:4" ht="15" customHeight="1" thickTop="1" x14ac:dyDescent="0.3">
      <c r="B142" s="15" t="s">
        <v>100</v>
      </c>
      <c r="C142" s="31" t="s">
        <v>18</v>
      </c>
      <c r="D142" s="31" t="s">
        <v>22</v>
      </c>
    </row>
    <row r="143" spans="1:4" ht="15" customHeight="1" thickBot="1" x14ac:dyDescent="0.35">
      <c r="B143" s="18" t="s">
        <v>114</v>
      </c>
      <c r="C143" s="32">
        <v>10</v>
      </c>
      <c r="D143" s="32">
        <v>38.4</v>
      </c>
    </row>
    <row r="144" spans="1:4" ht="15" customHeight="1" thickTop="1" thickBot="1" x14ac:dyDescent="0.35">
      <c r="A144" s="7" t="s">
        <v>6</v>
      </c>
      <c r="B144" s="35"/>
      <c r="C144" s="36"/>
      <c r="D144" s="36"/>
    </row>
    <row r="145" spans="1:4" ht="15" customHeight="1" thickTop="1" thickBot="1" x14ac:dyDescent="0.35">
      <c r="A145" s="128">
        <v>120</v>
      </c>
      <c r="B145" s="30" t="s">
        <v>102</v>
      </c>
      <c r="C145" s="37">
        <v>1.25</v>
      </c>
      <c r="D145" s="37">
        <v>1.45</v>
      </c>
    </row>
    <row r="146" spans="1:4" ht="15" customHeight="1" thickTop="1" thickBot="1" x14ac:dyDescent="0.35">
      <c r="A146" s="128"/>
      <c r="B146" s="20" t="s">
        <v>103</v>
      </c>
      <c r="C146" s="32">
        <v>1.84</v>
      </c>
      <c r="D146" s="32">
        <v>2.13</v>
      </c>
    </row>
    <row r="147" spans="1:4" ht="15" customHeight="1" thickTop="1" thickBot="1" x14ac:dyDescent="0.35">
      <c r="A147" s="128"/>
      <c r="B147" s="38" t="s">
        <v>104</v>
      </c>
      <c r="C147" s="26">
        <f t="shared" ref="C147:D147" si="34">IF(OR(C145="",C146=""),"",C146/C145)</f>
        <v>1.472</v>
      </c>
      <c r="D147" s="26">
        <f t="shared" si="34"/>
        <v>1.4689655172413794</v>
      </c>
    </row>
    <row r="148" spans="1:4" ht="15" customHeight="1" thickTop="1" x14ac:dyDescent="0.3"/>
    <row r="149" spans="1:4" ht="15" customHeight="1" thickBot="1" x14ac:dyDescent="0.35">
      <c r="A149" t="s">
        <v>181</v>
      </c>
    </row>
    <row r="150" spans="1:4" ht="15" customHeight="1" thickTop="1" x14ac:dyDescent="0.3">
      <c r="B150" s="15" t="s">
        <v>100</v>
      </c>
      <c r="C150" s="31" t="s">
        <v>18</v>
      </c>
      <c r="D150" s="31" t="s">
        <v>22</v>
      </c>
    </row>
    <row r="151" spans="1:4" ht="15" customHeight="1" thickBot="1" x14ac:dyDescent="0.35">
      <c r="B151" s="18" t="s">
        <v>114</v>
      </c>
      <c r="C151" s="32">
        <v>10</v>
      </c>
      <c r="D151" s="32">
        <v>38.4</v>
      </c>
    </row>
    <row r="152" spans="1:4" ht="15" customHeight="1" thickTop="1" thickBot="1" x14ac:dyDescent="0.35">
      <c r="A152" s="7" t="s">
        <v>6</v>
      </c>
      <c r="B152" s="35"/>
      <c r="C152" s="36"/>
      <c r="D152" s="36"/>
    </row>
    <row r="153" spans="1:4" ht="15" customHeight="1" thickTop="1" thickBot="1" x14ac:dyDescent="0.35">
      <c r="A153" s="128">
        <v>120</v>
      </c>
      <c r="B153" s="30" t="s">
        <v>102</v>
      </c>
      <c r="C153" s="37">
        <v>1.1200000000000001</v>
      </c>
      <c r="D153" s="37">
        <v>1.3</v>
      </c>
    </row>
    <row r="154" spans="1:4" ht="15" customHeight="1" thickTop="1" thickBot="1" x14ac:dyDescent="0.35">
      <c r="A154" s="128"/>
      <c r="B154" s="20" t="s">
        <v>103</v>
      </c>
      <c r="C154" s="32">
        <v>1.5</v>
      </c>
      <c r="D154" s="32">
        <v>1.74</v>
      </c>
    </row>
    <row r="155" spans="1:4" ht="15" customHeight="1" thickTop="1" thickBot="1" x14ac:dyDescent="0.35">
      <c r="A155" s="128"/>
      <c r="B155" s="38" t="s">
        <v>104</v>
      </c>
      <c r="C155" s="26">
        <f t="shared" ref="C155:D155" si="35">IF(OR(C153="",C154=""),"",C154/C153)</f>
        <v>1.3392857142857142</v>
      </c>
      <c r="D155" s="26">
        <f t="shared" si="35"/>
        <v>1.3384615384615384</v>
      </c>
    </row>
    <row r="156" spans="1:4" ht="15" customHeight="1" thickTop="1" x14ac:dyDescent="0.3"/>
  </sheetData>
  <mergeCells count="36">
    <mergeCell ref="A47:A49"/>
    <mergeCell ref="A7:A9"/>
    <mergeCell ref="A10:A12"/>
    <mergeCell ref="A13:A15"/>
    <mergeCell ref="A16:A18"/>
    <mergeCell ref="A19:A21"/>
    <mergeCell ref="A22:A24"/>
    <mergeCell ref="A25:A27"/>
    <mergeCell ref="A28:A30"/>
    <mergeCell ref="A38:A40"/>
    <mergeCell ref="A41:A43"/>
    <mergeCell ref="A44:A46"/>
    <mergeCell ref="A90:A92"/>
    <mergeCell ref="A50:A52"/>
    <mergeCell ref="A53:A55"/>
    <mergeCell ref="A56:A58"/>
    <mergeCell ref="A59:A61"/>
    <mergeCell ref="A69:A71"/>
    <mergeCell ref="A72:A74"/>
    <mergeCell ref="A75:A77"/>
    <mergeCell ref="A78:A80"/>
    <mergeCell ref="A81:A83"/>
    <mergeCell ref="A84:A86"/>
    <mergeCell ref="A87:A89"/>
    <mergeCell ref="A153:A155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9:A131"/>
    <mergeCell ref="A137:A139"/>
    <mergeCell ref="A145:A1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CC90-4676-4037-AB07-C74BA67C52BC}">
  <sheetPr>
    <outlinePr summaryBelow="0"/>
  </sheetPr>
  <dimension ref="A1:N156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thickBot="1" x14ac:dyDescent="0.35">
      <c r="A1" s="8" t="s">
        <v>97</v>
      </c>
    </row>
    <row r="2" spans="1:14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thickBot="1" x14ac:dyDescent="0.35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thickTop="1" thickBot="1" x14ac:dyDescent="0.35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thickTop="1" thickBot="1" x14ac:dyDescent="0.35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thickTop="1" thickBot="1" x14ac:dyDescent="0.35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thickTop="1" thickBot="1" x14ac:dyDescent="0.35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thickTop="1" thickBot="1" x14ac:dyDescent="0.35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thickTop="1" thickBot="1" x14ac:dyDescent="0.35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thickTop="1" thickBot="1" x14ac:dyDescent="0.35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thickTop="1" thickBot="1" x14ac:dyDescent="0.35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thickTop="1" thickBot="1" x14ac:dyDescent="0.35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thickTop="1" thickBot="1" x14ac:dyDescent="0.35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thickTop="1" thickBot="1" x14ac:dyDescent="0.35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thickTop="1" thickBot="1" x14ac:dyDescent="0.35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thickBot="1" x14ac:dyDescent="0.35">
      <c r="A32" s="8" t="s">
        <v>122</v>
      </c>
    </row>
    <row r="33" spans="1:14" ht="15" customHeight="1" thickTop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thickBot="1" x14ac:dyDescent="0.35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thickTop="1" thickBot="1" x14ac:dyDescent="0.35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thickTop="1" thickBot="1" x14ac:dyDescent="0.35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6.8" thickTop="1" thickBot="1" x14ac:dyDescent="0.35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6.8" thickTop="1" thickBot="1" x14ac:dyDescent="0.35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6.8" thickTop="1" thickBot="1" x14ac:dyDescent="0.35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6.8" thickTop="1" thickBot="1" x14ac:dyDescent="0.35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6.8" thickTop="1" thickBot="1" x14ac:dyDescent="0.35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6.8" thickTop="1" thickBot="1" x14ac:dyDescent="0.35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6.8" thickTop="1" thickBot="1" x14ac:dyDescent="0.35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6.8" thickTop="1" thickBot="1" x14ac:dyDescent="0.35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6.8" thickTop="1" thickBot="1" x14ac:dyDescent="0.35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6.8" thickTop="1" thickBot="1" x14ac:dyDescent="0.35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6.8" thickTop="1" thickBot="1" x14ac:dyDescent="0.35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6.8" thickTop="1" thickBot="1" x14ac:dyDescent="0.35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6.8" thickTop="1" thickBot="1" x14ac:dyDescent="0.35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6.2" thickBot="1" x14ac:dyDescent="0.35">
      <c r="A63" s="8" t="s">
        <v>124</v>
      </c>
    </row>
    <row r="64" spans="1:14" ht="16.2" thickTop="1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6.2" thickBot="1" x14ac:dyDescent="0.35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6.8" thickTop="1" thickBot="1" x14ac:dyDescent="0.35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6.8" thickTop="1" thickBot="1" x14ac:dyDescent="0.35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6.8" thickTop="1" thickBot="1" x14ac:dyDescent="0.35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6.8" thickTop="1" thickBot="1" x14ac:dyDescent="0.35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6.8" thickTop="1" thickBot="1" x14ac:dyDescent="0.35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6.8" thickTop="1" thickBot="1" x14ac:dyDescent="0.35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6.8" thickTop="1" thickBot="1" x14ac:dyDescent="0.35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6.8" thickTop="1" thickBot="1" x14ac:dyDescent="0.35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6.8" thickTop="1" thickBot="1" x14ac:dyDescent="0.35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6.8" thickTop="1" thickBot="1" x14ac:dyDescent="0.35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6.8" thickTop="1" thickBot="1" x14ac:dyDescent="0.35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6.8" thickTop="1" thickBot="1" x14ac:dyDescent="0.35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6.8" thickTop="1" thickBot="1" x14ac:dyDescent="0.35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6.8" thickTop="1" thickBot="1" x14ac:dyDescent="0.35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6.8" thickTop="1" thickBot="1" x14ac:dyDescent="0.35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6.2" thickBot="1" x14ac:dyDescent="0.35">
      <c r="A94" s="8" t="s">
        <v>125</v>
      </c>
    </row>
    <row r="95" spans="1:14" ht="16.2" thickTop="1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6.2" thickBot="1" x14ac:dyDescent="0.35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6.8" thickTop="1" thickBot="1" x14ac:dyDescent="0.35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6.8" thickTop="1" thickBot="1" x14ac:dyDescent="0.35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6.8" thickTop="1" thickBot="1" x14ac:dyDescent="0.35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6.8" thickTop="1" thickBot="1" x14ac:dyDescent="0.35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6.8" thickTop="1" thickBot="1" x14ac:dyDescent="0.35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6.8" thickTop="1" thickBot="1" x14ac:dyDescent="0.35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6.8" thickTop="1" thickBot="1" x14ac:dyDescent="0.35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6.8" thickTop="1" thickBot="1" x14ac:dyDescent="0.35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6.8" thickTop="1" thickBot="1" x14ac:dyDescent="0.35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6.8" thickTop="1" thickBot="1" x14ac:dyDescent="0.35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6.8" thickTop="1" thickBot="1" x14ac:dyDescent="0.35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6.8" thickTop="1" thickBot="1" x14ac:dyDescent="0.35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6.8" thickTop="1" thickBot="1" x14ac:dyDescent="0.35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6.8" thickTop="1" thickBot="1" x14ac:dyDescent="0.35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6.8" thickTop="1" thickBot="1" x14ac:dyDescent="0.35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  <row r="125" spans="1:14" ht="15" customHeight="1" thickBot="1" x14ac:dyDescent="0.35">
      <c r="A125" t="s">
        <v>178</v>
      </c>
    </row>
    <row r="126" spans="1:14" ht="15" customHeight="1" thickTop="1" x14ac:dyDescent="0.3">
      <c r="B126" s="15" t="s">
        <v>100</v>
      </c>
      <c r="C126" s="31" t="s">
        <v>18</v>
      </c>
      <c r="D126" s="31" t="s">
        <v>22</v>
      </c>
    </row>
    <row r="127" spans="1:14" ht="15" customHeight="1" thickBot="1" x14ac:dyDescent="0.35">
      <c r="B127" s="18" t="s">
        <v>114</v>
      </c>
      <c r="C127" s="32">
        <v>10</v>
      </c>
      <c r="D127" s="32">
        <v>38.4</v>
      </c>
    </row>
    <row r="128" spans="1:14" ht="15" customHeight="1" thickTop="1" thickBot="1" x14ac:dyDescent="0.35">
      <c r="A128" s="7" t="s">
        <v>6</v>
      </c>
      <c r="B128" s="35"/>
      <c r="C128" s="36"/>
      <c r="D128" s="36"/>
    </row>
    <row r="129" spans="1:4" ht="15" customHeight="1" thickTop="1" thickBot="1" x14ac:dyDescent="0.35">
      <c r="A129" s="128">
        <v>120</v>
      </c>
      <c r="B129" s="30" t="s">
        <v>102</v>
      </c>
      <c r="C129" s="37">
        <v>3.68</v>
      </c>
      <c r="D129" s="37">
        <v>4.28</v>
      </c>
    </row>
    <row r="130" spans="1:4" ht="15" customHeight="1" thickTop="1" thickBot="1" x14ac:dyDescent="0.35">
      <c r="A130" s="128"/>
      <c r="B130" s="20" t="s">
        <v>103</v>
      </c>
      <c r="C130" s="32">
        <v>3.7</v>
      </c>
      <c r="D130" s="32">
        <v>4.29</v>
      </c>
    </row>
    <row r="131" spans="1:4" ht="15" customHeight="1" thickTop="1" thickBot="1" x14ac:dyDescent="0.35">
      <c r="A131" s="128"/>
      <c r="B131" s="38" t="s">
        <v>104</v>
      </c>
      <c r="C131" s="26">
        <f t="shared" ref="C131:D131" si="32">IF(OR(C129="",C130=""),"",C130/C129)</f>
        <v>1.0054347826086956</v>
      </c>
      <c r="D131" s="26">
        <f t="shared" si="32"/>
        <v>1.0023364485981308</v>
      </c>
    </row>
    <row r="132" spans="1:4" ht="15" customHeight="1" thickTop="1" x14ac:dyDescent="0.3"/>
    <row r="133" spans="1:4" ht="15" customHeight="1" thickBot="1" x14ac:dyDescent="0.35">
      <c r="A133" t="s">
        <v>179</v>
      </c>
    </row>
    <row r="134" spans="1:4" ht="15" customHeight="1" thickTop="1" x14ac:dyDescent="0.3">
      <c r="B134" s="15" t="s">
        <v>100</v>
      </c>
      <c r="C134" s="31" t="s">
        <v>18</v>
      </c>
      <c r="D134" s="31" t="s">
        <v>22</v>
      </c>
    </row>
    <row r="135" spans="1:4" ht="15" customHeight="1" thickBot="1" x14ac:dyDescent="0.35">
      <c r="B135" s="18" t="s">
        <v>114</v>
      </c>
      <c r="C135" s="32">
        <v>10</v>
      </c>
      <c r="D135" s="32">
        <v>38.4</v>
      </c>
    </row>
    <row r="136" spans="1:4" ht="15" customHeight="1" thickTop="1" thickBot="1" x14ac:dyDescent="0.35">
      <c r="A136" s="7" t="s">
        <v>6</v>
      </c>
      <c r="B136" s="35"/>
      <c r="C136" s="36"/>
      <c r="D136" s="36"/>
    </row>
    <row r="137" spans="1:4" ht="15" customHeight="1" thickTop="1" thickBot="1" x14ac:dyDescent="0.35">
      <c r="A137" s="128">
        <v>120</v>
      </c>
      <c r="B137" s="30" t="s">
        <v>102</v>
      </c>
      <c r="C137" s="37">
        <v>3.44</v>
      </c>
      <c r="D137" s="37">
        <v>3.99</v>
      </c>
    </row>
    <row r="138" spans="1:4" ht="15" customHeight="1" thickTop="1" thickBot="1" x14ac:dyDescent="0.35">
      <c r="A138" s="128"/>
      <c r="B138" s="20" t="s">
        <v>103</v>
      </c>
      <c r="C138" s="32">
        <v>3.35</v>
      </c>
      <c r="D138" s="32">
        <v>3.89</v>
      </c>
    </row>
    <row r="139" spans="1:4" ht="15" customHeight="1" thickTop="1" thickBot="1" x14ac:dyDescent="0.35">
      <c r="A139" s="128"/>
      <c r="B139" s="38" t="s">
        <v>104</v>
      </c>
      <c r="C139" s="26">
        <f t="shared" ref="C139:D139" si="33">IF(OR(C137="",C138=""),"",C138/C137)</f>
        <v>0.97383720930232565</v>
      </c>
      <c r="D139" s="26">
        <f t="shared" si="33"/>
        <v>0.97493734335839599</v>
      </c>
    </row>
    <row r="140" spans="1:4" ht="15" customHeight="1" thickTop="1" x14ac:dyDescent="0.3"/>
    <row r="141" spans="1:4" ht="15" customHeight="1" thickBot="1" x14ac:dyDescent="0.35">
      <c r="A141" t="s">
        <v>180</v>
      </c>
    </row>
    <row r="142" spans="1:4" ht="15" customHeight="1" thickTop="1" x14ac:dyDescent="0.3">
      <c r="B142" s="15" t="s">
        <v>100</v>
      </c>
      <c r="C142" s="31" t="s">
        <v>18</v>
      </c>
      <c r="D142" s="31" t="s">
        <v>22</v>
      </c>
    </row>
    <row r="143" spans="1:4" ht="15" customHeight="1" thickBot="1" x14ac:dyDescent="0.35">
      <c r="B143" s="18" t="s">
        <v>114</v>
      </c>
      <c r="C143" s="32">
        <v>10</v>
      </c>
      <c r="D143" s="32">
        <v>38.4</v>
      </c>
    </row>
    <row r="144" spans="1:4" ht="15" customHeight="1" thickTop="1" thickBot="1" x14ac:dyDescent="0.35">
      <c r="A144" s="7" t="s">
        <v>6</v>
      </c>
      <c r="B144" s="35"/>
      <c r="C144" s="36"/>
      <c r="D144" s="36"/>
    </row>
    <row r="145" spans="1:4" ht="15" customHeight="1" thickTop="1" thickBot="1" x14ac:dyDescent="0.35">
      <c r="A145" s="128">
        <v>120</v>
      </c>
      <c r="B145" s="30" t="s">
        <v>102</v>
      </c>
      <c r="C145" s="37">
        <v>1.25</v>
      </c>
      <c r="D145" s="37">
        <v>1.45</v>
      </c>
    </row>
    <row r="146" spans="1:4" ht="15" customHeight="1" thickTop="1" thickBot="1" x14ac:dyDescent="0.35">
      <c r="A146" s="128"/>
      <c r="B146" s="20" t="s">
        <v>103</v>
      </c>
      <c r="C146" s="32">
        <v>1.84</v>
      </c>
      <c r="D146" s="32">
        <v>2.13</v>
      </c>
    </row>
    <row r="147" spans="1:4" ht="15" customHeight="1" thickTop="1" thickBot="1" x14ac:dyDescent="0.35">
      <c r="A147" s="128"/>
      <c r="B147" s="38" t="s">
        <v>104</v>
      </c>
      <c r="C147" s="26">
        <f t="shared" ref="C147:D147" si="34">IF(OR(C145="",C146=""),"",C146/C145)</f>
        <v>1.472</v>
      </c>
      <c r="D147" s="26">
        <f t="shared" si="34"/>
        <v>1.4689655172413794</v>
      </c>
    </row>
    <row r="148" spans="1:4" ht="15" customHeight="1" thickTop="1" x14ac:dyDescent="0.3"/>
    <row r="149" spans="1:4" ht="15" customHeight="1" thickBot="1" x14ac:dyDescent="0.35">
      <c r="A149" t="s">
        <v>181</v>
      </c>
    </row>
    <row r="150" spans="1:4" ht="15" customHeight="1" thickTop="1" x14ac:dyDescent="0.3">
      <c r="B150" s="15" t="s">
        <v>100</v>
      </c>
      <c r="C150" s="31" t="s">
        <v>18</v>
      </c>
      <c r="D150" s="31" t="s">
        <v>22</v>
      </c>
    </row>
    <row r="151" spans="1:4" ht="15" customHeight="1" thickBot="1" x14ac:dyDescent="0.35">
      <c r="B151" s="18" t="s">
        <v>114</v>
      </c>
      <c r="C151" s="32">
        <v>10</v>
      </c>
      <c r="D151" s="32">
        <v>38.4</v>
      </c>
    </row>
    <row r="152" spans="1:4" ht="15" customHeight="1" thickTop="1" thickBot="1" x14ac:dyDescent="0.35">
      <c r="A152" s="7" t="s">
        <v>6</v>
      </c>
      <c r="B152" s="35"/>
      <c r="C152" s="36"/>
      <c r="D152" s="36"/>
    </row>
    <row r="153" spans="1:4" ht="15" customHeight="1" thickTop="1" thickBot="1" x14ac:dyDescent="0.35">
      <c r="A153" s="128">
        <v>120</v>
      </c>
      <c r="B153" s="30" t="s">
        <v>102</v>
      </c>
      <c r="C153" s="37">
        <v>1.1200000000000001</v>
      </c>
      <c r="D153" s="37">
        <v>1.3</v>
      </c>
    </row>
    <row r="154" spans="1:4" ht="15" customHeight="1" thickTop="1" thickBot="1" x14ac:dyDescent="0.35">
      <c r="A154" s="128"/>
      <c r="B154" s="20" t="s">
        <v>103</v>
      </c>
      <c r="C154" s="32">
        <v>1.5</v>
      </c>
      <c r="D154" s="32">
        <v>1.74</v>
      </c>
    </row>
    <row r="155" spans="1:4" ht="15" customHeight="1" thickTop="1" thickBot="1" x14ac:dyDescent="0.35">
      <c r="A155" s="128"/>
      <c r="B155" s="38" t="s">
        <v>104</v>
      </c>
      <c r="C155" s="26">
        <f t="shared" ref="C155:D155" si="35">IF(OR(C153="",C154=""),"",C154/C153)</f>
        <v>1.3392857142857142</v>
      </c>
      <c r="D155" s="26">
        <f t="shared" si="35"/>
        <v>1.3384615384615384</v>
      </c>
    </row>
    <row r="156" spans="1:4" ht="15" customHeight="1" thickTop="1" x14ac:dyDescent="0.3"/>
  </sheetData>
  <mergeCells count="36">
    <mergeCell ref="A47:A49"/>
    <mergeCell ref="A7:A9"/>
    <mergeCell ref="A10:A12"/>
    <mergeCell ref="A13:A15"/>
    <mergeCell ref="A16:A18"/>
    <mergeCell ref="A19:A21"/>
    <mergeCell ref="A22:A24"/>
    <mergeCell ref="A25:A27"/>
    <mergeCell ref="A28:A30"/>
    <mergeCell ref="A38:A40"/>
    <mergeCell ref="A41:A43"/>
    <mergeCell ref="A44:A46"/>
    <mergeCell ref="A90:A92"/>
    <mergeCell ref="A50:A52"/>
    <mergeCell ref="A53:A55"/>
    <mergeCell ref="A56:A58"/>
    <mergeCell ref="A59:A61"/>
    <mergeCell ref="A69:A71"/>
    <mergeCell ref="A72:A74"/>
    <mergeCell ref="A75:A77"/>
    <mergeCell ref="A78:A80"/>
    <mergeCell ref="A81:A83"/>
    <mergeCell ref="A84:A86"/>
    <mergeCell ref="A87:A89"/>
    <mergeCell ref="A153:A155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9:A131"/>
    <mergeCell ref="A137:A139"/>
    <mergeCell ref="A145:A1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F185-8B8D-43F4-88D4-CC7A4A7CB7A3}">
  <sheetPr>
    <outlinePr summaryBelow="0"/>
  </sheetPr>
  <dimension ref="A1:N156"/>
  <sheetViews>
    <sheetView zoomScaleNormal="100" workbookViewId="0">
      <selection activeCellId="1" sqref="D93:D181 A1"/>
    </sheetView>
  </sheetViews>
  <sheetFormatPr defaultColWidth="11.19921875" defaultRowHeight="15" customHeight="1" x14ac:dyDescent="0.3"/>
  <sheetData>
    <row r="1" spans="1:14" ht="15" customHeight="1" thickBot="1" x14ac:dyDescent="0.35">
      <c r="A1" s="8" t="s">
        <v>97</v>
      </c>
    </row>
    <row r="2" spans="1:14" ht="15" customHeight="1" thickTop="1" x14ac:dyDescent="0.3">
      <c r="B2" s="15" t="s">
        <v>100</v>
      </c>
      <c r="C2" s="31" t="s">
        <v>13</v>
      </c>
      <c r="D2" s="31" t="s">
        <v>26</v>
      </c>
      <c r="E2" s="31" t="s">
        <v>34</v>
      </c>
      <c r="F2" s="31" t="s">
        <v>34</v>
      </c>
      <c r="G2" s="31" t="s">
        <v>14</v>
      </c>
      <c r="H2" s="31" t="s">
        <v>15</v>
      </c>
      <c r="I2" s="31" t="s">
        <v>17</v>
      </c>
      <c r="J2" s="31" t="s">
        <v>18</v>
      </c>
      <c r="K2" s="31" t="s">
        <v>16</v>
      </c>
      <c r="L2" s="31" t="s">
        <v>20</v>
      </c>
      <c r="M2" s="31" t="s">
        <v>21</v>
      </c>
      <c r="N2" s="31" t="s">
        <v>22</v>
      </c>
    </row>
    <row r="3" spans="1:14" ht="15" customHeight="1" x14ac:dyDescent="0.3">
      <c r="B3" s="18" t="s">
        <v>114</v>
      </c>
      <c r="C3" s="32">
        <v>2</v>
      </c>
      <c r="D3" s="32">
        <v>3.6</v>
      </c>
      <c r="E3" s="32">
        <v>4.8</v>
      </c>
      <c r="F3" s="32">
        <v>4.8</v>
      </c>
      <c r="G3" s="32">
        <v>5</v>
      </c>
      <c r="H3" s="32">
        <v>6</v>
      </c>
      <c r="I3" s="32">
        <v>7.2</v>
      </c>
      <c r="J3" s="32">
        <v>10</v>
      </c>
      <c r="K3" s="32">
        <v>12</v>
      </c>
      <c r="L3" s="32">
        <v>14.4</v>
      </c>
      <c r="M3" s="32">
        <v>38.4</v>
      </c>
      <c r="N3" s="32">
        <v>38.4</v>
      </c>
    </row>
    <row r="4" spans="1:14" ht="15" customHeight="1" x14ac:dyDescent="0.3">
      <c r="B4" s="18" t="s">
        <v>101</v>
      </c>
      <c r="C4" s="32" t="s">
        <v>13</v>
      </c>
      <c r="D4" s="32" t="s">
        <v>26</v>
      </c>
      <c r="E4" s="32" t="s">
        <v>34</v>
      </c>
      <c r="F4" s="32" t="s">
        <v>31</v>
      </c>
      <c r="G4" s="32" t="s">
        <v>14</v>
      </c>
      <c r="H4" s="32" t="s">
        <v>16</v>
      </c>
      <c r="I4" s="32" t="s">
        <v>17</v>
      </c>
      <c r="J4" s="32" t="s">
        <v>18</v>
      </c>
      <c r="K4" s="32" t="s">
        <v>19</v>
      </c>
      <c r="L4" s="32" t="s">
        <v>20</v>
      </c>
      <c r="M4" s="32" t="s">
        <v>35</v>
      </c>
      <c r="N4" s="32" t="s">
        <v>40</v>
      </c>
    </row>
    <row r="5" spans="1:14" ht="15" customHeight="1" thickBot="1" x14ac:dyDescent="0.35">
      <c r="B5" s="33"/>
      <c r="C5" s="40"/>
      <c r="D5" s="40" t="s">
        <v>118</v>
      </c>
      <c r="E5" s="40" t="s">
        <v>119</v>
      </c>
      <c r="F5" s="40" t="s">
        <v>120</v>
      </c>
      <c r="G5" s="40"/>
      <c r="H5" s="40" t="s">
        <v>121</v>
      </c>
      <c r="I5" s="40"/>
      <c r="J5" s="40"/>
      <c r="K5" s="40" t="s">
        <v>121</v>
      </c>
      <c r="L5" s="40"/>
      <c r="M5" s="40"/>
      <c r="N5" s="40" t="s">
        <v>121</v>
      </c>
    </row>
    <row r="6" spans="1:14" ht="15" customHeight="1" thickTop="1" thickBot="1" x14ac:dyDescent="0.35">
      <c r="A6" s="7" t="s">
        <v>6</v>
      </c>
      <c r="B6" s="35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4" ht="15" customHeight="1" thickTop="1" thickBot="1" x14ac:dyDescent="0.35">
      <c r="A7" s="128">
        <v>70</v>
      </c>
      <c r="B7" s="30" t="s">
        <v>102</v>
      </c>
      <c r="C7" s="37">
        <v>2.6</v>
      </c>
      <c r="D7" s="37">
        <v>4.22</v>
      </c>
      <c r="E7" s="37">
        <v>3.88</v>
      </c>
      <c r="F7" s="37">
        <v>4.58</v>
      </c>
      <c r="G7" s="37">
        <v>2.34</v>
      </c>
      <c r="H7" s="37">
        <v>3.17</v>
      </c>
      <c r="I7" s="37">
        <v>3.3</v>
      </c>
      <c r="J7" s="37">
        <v>2.34</v>
      </c>
      <c r="K7" s="37">
        <v>3.23</v>
      </c>
      <c r="L7" s="37">
        <v>3</v>
      </c>
      <c r="M7" s="37">
        <v>3.01</v>
      </c>
      <c r="N7" s="37">
        <v>2.87</v>
      </c>
    </row>
    <row r="8" spans="1:14" ht="15" customHeight="1" thickTop="1" thickBot="1" x14ac:dyDescent="0.35">
      <c r="A8" s="128"/>
      <c r="B8" s="20" t="s">
        <v>103</v>
      </c>
      <c r="C8" s="32">
        <v>2.74</v>
      </c>
      <c r="D8" s="32">
        <v>4.43</v>
      </c>
      <c r="E8" s="32">
        <v>4.07</v>
      </c>
      <c r="F8" s="32">
        <v>4.78</v>
      </c>
      <c r="G8" s="32">
        <v>2.46</v>
      </c>
      <c r="H8" s="32">
        <v>3.31</v>
      </c>
      <c r="I8" s="32">
        <v>3.35</v>
      </c>
      <c r="J8" s="32">
        <v>2.46</v>
      </c>
      <c r="K8" s="32">
        <v>3.38</v>
      </c>
      <c r="L8" s="32">
        <v>3.15</v>
      </c>
      <c r="M8" s="32">
        <v>3.15</v>
      </c>
      <c r="N8" s="32">
        <v>3.01</v>
      </c>
    </row>
    <row r="9" spans="1:14" ht="15" customHeight="1" thickTop="1" thickBot="1" x14ac:dyDescent="0.35">
      <c r="A9" s="128"/>
      <c r="B9" s="38" t="s">
        <v>104</v>
      </c>
      <c r="C9" s="26">
        <f t="shared" ref="C9:N9" si="0">IF(OR(C7="",C8=""),"",C8/C7)</f>
        <v>1.0538461538461539</v>
      </c>
      <c r="D9" s="26">
        <f t="shared" si="0"/>
        <v>1.0497630331753554</v>
      </c>
      <c r="E9" s="26">
        <f t="shared" si="0"/>
        <v>1.0489690721649485</v>
      </c>
      <c r="F9" s="26">
        <f t="shared" si="0"/>
        <v>1.0436681222707425</v>
      </c>
      <c r="G9" s="26">
        <f t="shared" si="0"/>
        <v>1.0512820512820513</v>
      </c>
      <c r="H9" s="26">
        <f t="shared" si="0"/>
        <v>1.0441640378548895</v>
      </c>
      <c r="I9" s="26">
        <f t="shared" si="0"/>
        <v>1.0151515151515151</v>
      </c>
      <c r="J9" s="26">
        <f t="shared" si="0"/>
        <v>1.0512820512820513</v>
      </c>
      <c r="K9" s="26">
        <f t="shared" si="0"/>
        <v>1.046439628482972</v>
      </c>
      <c r="L9" s="26">
        <f t="shared" si="0"/>
        <v>1.05</v>
      </c>
      <c r="M9" s="26">
        <f t="shared" si="0"/>
        <v>1.0465116279069768</v>
      </c>
      <c r="N9" s="26">
        <f t="shared" si="0"/>
        <v>1.0487804878048779</v>
      </c>
    </row>
    <row r="10" spans="1:14" ht="15" customHeight="1" thickTop="1" thickBot="1" x14ac:dyDescent="0.35">
      <c r="A10" s="128">
        <v>80</v>
      </c>
      <c r="B10" s="30" t="s">
        <v>102</v>
      </c>
      <c r="C10" s="37">
        <v>4.18</v>
      </c>
      <c r="D10" s="37">
        <v>6.76</v>
      </c>
      <c r="E10" s="37">
        <v>6.22</v>
      </c>
      <c r="F10" s="37">
        <v>7.24</v>
      </c>
      <c r="G10" s="37">
        <v>3.75</v>
      </c>
      <c r="H10" s="37">
        <v>5.0199999999999996</v>
      </c>
      <c r="I10" s="37">
        <v>5.39</v>
      </c>
      <c r="J10" s="37">
        <v>3.75</v>
      </c>
      <c r="K10" s="37">
        <v>5.12</v>
      </c>
      <c r="L10" s="37">
        <v>4.8099999999999996</v>
      </c>
      <c r="M10" s="37">
        <v>4.7699999999999996</v>
      </c>
      <c r="N10" s="37">
        <v>4.5999999999999996</v>
      </c>
    </row>
    <row r="11" spans="1:14" ht="15" customHeight="1" thickTop="1" thickBot="1" x14ac:dyDescent="0.35">
      <c r="A11" s="128"/>
      <c r="B11" s="20" t="s">
        <v>103</v>
      </c>
      <c r="C11" s="32">
        <v>4.3600000000000003</v>
      </c>
      <c r="D11" s="32">
        <v>7.06</v>
      </c>
      <c r="E11" s="32">
        <v>6.49</v>
      </c>
      <c r="F11" s="32">
        <v>7.46</v>
      </c>
      <c r="G11" s="32">
        <v>3.91</v>
      </c>
      <c r="H11" s="32">
        <v>5.17</v>
      </c>
      <c r="I11" s="32">
        <v>5.62</v>
      </c>
      <c r="J11" s="32">
        <v>3.91</v>
      </c>
      <c r="K11" s="32">
        <v>5.27</v>
      </c>
      <c r="L11" s="32">
        <v>5.0199999999999996</v>
      </c>
      <c r="M11" s="32">
        <v>4.91</v>
      </c>
      <c r="N11" s="32">
        <v>4.8</v>
      </c>
    </row>
    <row r="12" spans="1:14" ht="15" customHeight="1" thickTop="1" thickBot="1" x14ac:dyDescent="0.35">
      <c r="A12" s="128"/>
      <c r="B12" s="38" t="s">
        <v>104</v>
      </c>
      <c r="C12" s="26">
        <f t="shared" ref="C12:N12" si="1">IF(OR(C10="",C11=""),"",C11/C10)</f>
        <v>1.0430622009569379</v>
      </c>
      <c r="D12" s="26">
        <f t="shared" si="1"/>
        <v>1.044378698224852</v>
      </c>
      <c r="E12" s="26">
        <f t="shared" si="1"/>
        <v>1.0434083601286175</v>
      </c>
      <c r="F12" s="26">
        <f t="shared" si="1"/>
        <v>1.0303867403314917</v>
      </c>
      <c r="G12" s="26">
        <f t="shared" si="1"/>
        <v>1.0426666666666666</v>
      </c>
      <c r="H12" s="26">
        <f t="shared" si="1"/>
        <v>1.0298804780876494</v>
      </c>
      <c r="I12" s="26">
        <f t="shared" si="1"/>
        <v>1.0426716141001857</v>
      </c>
      <c r="J12" s="26">
        <f t="shared" si="1"/>
        <v>1.0426666666666666</v>
      </c>
      <c r="K12" s="26">
        <f t="shared" si="1"/>
        <v>1.029296875</v>
      </c>
      <c r="L12" s="26">
        <f t="shared" si="1"/>
        <v>1.0436590436590436</v>
      </c>
      <c r="M12" s="26">
        <f t="shared" si="1"/>
        <v>1.029350104821803</v>
      </c>
      <c r="N12" s="26">
        <f t="shared" si="1"/>
        <v>1.0434782608695652</v>
      </c>
    </row>
    <row r="13" spans="1:14" ht="15" customHeight="1" thickTop="1" thickBot="1" x14ac:dyDescent="0.35">
      <c r="A13" s="128">
        <v>100</v>
      </c>
      <c r="B13" s="30" t="s">
        <v>102</v>
      </c>
      <c r="C13" s="37">
        <v>8.44</v>
      </c>
      <c r="D13" s="37">
        <v>13.67</v>
      </c>
      <c r="E13" s="37">
        <v>12.56</v>
      </c>
      <c r="F13" s="37">
        <v>14.69</v>
      </c>
      <c r="G13" s="37">
        <v>7.57</v>
      </c>
      <c r="H13" s="37">
        <v>10.19</v>
      </c>
      <c r="I13" s="37">
        <v>10.89</v>
      </c>
      <c r="J13" s="37">
        <v>7.57</v>
      </c>
      <c r="K13" s="37">
        <v>10.38</v>
      </c>
      <c r="L13" s="37">
        <v>9.7100000000000009</v>
      </c>
      <c r="M13" s="37">
        <v>8.48</v>
      </c>
      <c r="N13" s="37">
        <v>8.57</v>
      </c>
    </row>
    <row r="14" spans="1:14" ht="15" customHeight="1" thickTop="1" thickBot="1" x14ac:dyDescent="0.35">
      <c r="A14" s="128"/>
      <c r="B14" s="20" t="s">
        <v>103</v>
      </c>
      <c r="C14" s="32">
        <v>8.65</v>
      </c>
      <c r="D14" s="32">
        <v>14.01</v>
      </c>
      <c r="E14" s="32">
        <v>12.88</v>
      </c>
      <c r="F14" s="32">
        <v>14.93</v>
      </c>
      <c r="G14" s="32">
        <v>7.76</v>
      </c>
      <c r="H14" s="32">
        <v>10.35</v>
      </c>
      <c r="I14" s="32">
        <v>11.16</v>
      </c>
      <c r="J14" s="32">
        <v>7.76</v>
      </c>
      <c r="K14" s="32">
        <v>10.55</v>
      </c>
      <c r="L14" s="32">
        <v>9.9600000000000009</v>
      </c>
      <c r="M14" s="32">
        <v>8.69</v>
      </c>
      <c r="N14" s="32">
        <v>8.7100000000000009</v>
      </c>
    </row>
    <row r="15" spans="1:14" ht="15" customHeight="1" thickTop="1" thickBot="1" x14ac:dyDescent="0.35">
      <c r="A15" s="128"/>
      <c r="B15" s="38" t="s">
        <v>104</v>
      </c>
      <c r="C15" s="26">
        <f t="shared" ref="C15:N15" si="2">IF(OR(C13="",C14=""),"",C14/C13)</f>
        <v>1.0248815165876779</v>
      </c>
      <c r="D15" s="26">
        <f t="shared" si="2"/>
        <v>1.0248719824433066</v>
      </c>
      <c r="E15" s="26">
        <f t="shared" si="2"/>
        <v>1.0254777070063694</v>
      </c>
      <c r="F15" s="26">
        <f t="shared" si="2"/>
        <v>1.0163376446562287</v>
      </c>
      <c r="G15" s="26">
        <f t="shared" si="2"/>
        <v>1.0250990752972258</v>
      </c>
      <c r="H15" s="26">
        <f t="shared" si="2"/>
        <v>1.0157016683022571</v>
      </c>
      <c r="I15" s="26">
        <f t="shared" si="2"/>
        <v>1.024793388429752</v>
      </c>
      <c r="J15" s="26">
        <f t="shared" si="2"/>
        <v>1.0250990752972258</v>
      </c>
      <c r="K15" s="26">
        <f t="shared" si="2"/>
        <v>1.0163776493256262</v>
      </c>
      <c r="L15" s="26">
        <f t="shared" si="2"/>
        <v>1.0257466529351185</v>
      </c>
      <c r="M15" s="26">
        <f t="shared" si="2"/>
        <v>1.024764150943396</v>
      </c>
      <c r="N15" s="26">
        <f t="shared" si="2"/>
        <v>1.0163360560093349</v>
      </c>
    </row>
    <row r="16" spans="1:14" ht="15" customHeight="1" thickTop="1" thickBot="1" x14ac:dyDescent="0.35">
      <c r="A16" s="128">
        <v>120</v>
      </c>
      <c r="B16" s="30" t="s">
        <v>102</v>
      </c>
      <c r="C16" s="37">
        <v>13.85</v>
      </c>
      <c r="D16" s="37">
        <v>22.42</v>
      </c>
      <c r="E16" s="37">
        <v>20.6</v>
      </c>
      <c r="F16" s="37">
        <v>24.33</v>
      </c>
      <c r="G16" s="37">
        <v>12.42</v>
      </c>
      <c r="H16" s="37">
        <v>16.87</v>
      </c>
      <c r="I16" s="37">
        <v>17.86</v>
      </c>
      <c r="J16" s="37">
        <v>12.42</v>
      </c>
      <c r="K16" s="37">
        <v>17.190000000000001</v>
      </c>
      <c r="L16" s="37">
        <v>15.93</v>
      </c>
      <c r="M16" s="37">
        <v>13.91</v>
      </c>
      <c r="N16" s="37">
        <v>14.19</v>
      </c>
    </row>
    <row r="17" spans="1:14" ht="15" customHeight="1" thickTop="1" thickBot="1" x14ac:dyDescent="0.35">
      <c r="A17" s="128"/>
      <c r="B17" s="20" t="s">
        <v>103</v>
      </c>
      <c r="C17" s="32">
        <v>14.11</v>
      </c>
      <c r="D17" s="32">
        <v>22.85</v>
      </c>
      <c r="E17" s="32">
        <v>21</v>
      </c>
      <c r="F17" s="32">
        <v>24.63</v>
      </c>
      <c r="G17" s="32">
        <v>12.66</v>
      </c>
      <c r="H17" s="32">
        <v>17.079999999999998</v>
      </c>
      <c r="I17" s="32">
        <v>18.2</v>
      </c>
      <c r="J17" s="32">
        <v>12.66</v>
      </c>
      <c r="K17" s="32">
        <v>17.41</v>
      </c>
      <c r="L17" s="32">
        <v>16.239999999999998</v>
      </c>
      <c r="M17" s="32">
        <v>14.17</v>
      </c>
      <c r="N17" s="32">
        <v>14.37</v>
      </c>
    </row>
    <row r="18" spans="1:14" ht="15" customHeight="1" thickTop="1" thickBot="1" x14ac:dyDescent="0.35">
      <c r="A18" s="128"/>
      <c r="B18" s="38" t="s">
        <v>104</v>
      </c>
      <c r="C18" s="26">
        <f t="shared" ref="C18:N18" si="3">IF(OR(C16="",C17=""),"",C17/C16)</f>
        <v>1.0187725631768954</v>
      </c>
      <c r="D18" s="26">
        <f t="shared" si="3"/>
        <v>1.0191793041926851</v>
      </c>
      <c r="E18" s="26">
        <f t="shared" si="3"/>
        <v>1.0194174757281553</v>
      </c>
      <c r="F18" s="26">
        <f t="shared" si="3"/>
        <v>1.0123304562268804</v>
      </c>
      <c r="G18" s="26">
        <f t="shared" si="3"/>
        <v>1.0193236714975846</v>
      </c>
      <c r="H18" s="26">
        <f t="shared" si="3"/>
        <v>1.0124481327800827</v>
      </c>
      <c r="I18" s="26">
        <f t="shared" si="3"/>
        <v>1.0190369540873461</v>
      </c>
      <c r="J18" s="26">
        <f t="shared" si="3"/>
        <v>1.0193236714975846</v>
      </c>
      <c r="K18" s="26">
        <f t="shared" si="3"/>
        <v>1.0127981384525886</v>
      </c>
      <c r="L18" s="26">
        <f t="shared" si="3"/>
        <v>1.0194601381042059</v>
      </c>
      <c r="M18" s="26">
        <f t="shared" si="3"/>
        <v>1.0186915887850467</v>
      </c>
      <c r="N18" s="26">
        <f t="shared" si="3"/>
        <v>1.0126849894291754</v>
      </c>
    </row>
    <row r="19" spans="1:14" ht="15" customHeight="1" thickTop="1" thickBot="1" x14ac:dyDescent="0.35">
      <c r="A19" s="128">
        <v>140</v>
      </c>
      <c r="B19" s="30" t="s">
        <v>102</v>
      </c>
      <c r="C19" s="37">
        <v>20.239999999999998</v>
      </c>
      <c r="D19" s="37">
        <v>32.770000000000003</v>
      </c>
      <c r="E19" s="37">
        <v>30.12</v>
      </c>
      <c r="F19" s="37">
        <v>36.159999999999997</v>
      </c>
      <c r="G19" s="37">
        <v>18.16</v>
      </c>
      <c r="H19" s="37">
        <v>25.07</v>
      </c>
      <c r="I19" s="37">
        <v>26.11</v>
      </c>
      <c r="J19" s="37">
        <v>18.16</v>
      </c>
      <c r="K19" s="37">
        <v>25.55</v>
      </c>
      <c r="L19" s="37">
        <v>23.3</v>
      </c>
      <c r="M19" s="37">
        <v>20.329999999999998</v>
      </c>
      <c r="N19" s="37">
        <v>21.09</v>
      </c>
    </row>
    <row r="20" spans="1:14" ht="15" customHeight="1" thickTop="1" thickBot="1" x14ac:dyDescent="0.35">
      <c r="A20" s="128"/>
      <c r="B20" s="20" t="s">
        <v>103</v>
      </c>
      <c r="C20" s="32">
        <v>20.6</v>
      </c>
      <c r="D20" s="32">
        <v>33.35</v>
      </c>
      <c r="E20" s="32">
        <v>30.65</v>
      </c>
      <c r="F20" s="32">
        <v>36.6</v>
      </c>
      <c r="G20" s="32">
        <v>18.48</v>
      </c>
      <c r="H20" s="32">
        <v>25.4</v>
      </c>
      <c r="I20" s="32">
        <v>26.56</v>
      </c>
      <c r="J20" s="32">
        <v>18.48</v>
      </c>
      <c r="K20" s="32">
        <v>25.89</v>
      </c>
      <c r="L20" s="32">
        <v>23.7</v>
      </c>
      <c r="M20" s="32">
        <v>20.69</v>
      </c>
      <c r="N20" s="32">
        <v>21.37</v>
      </c>
    </row>
    <row r="21" spans="1:14" ht="15" customHeight="1" thickTop="1" thickBot="1" x14ac:dyDescent="0.35">
      <c r="A21" s="128"/>
      <c r="B21" s="38" t="s">
        <v>104</v>
      </c>
      <c r="C21" s="26">
        <f t="shared" ref="C21:N21" si="4">IF(OR(C19="",C20=""),"",C20/C19)</f>
        <v>1.0177865612648223</v>
      </c>
      <c r="D21" s="26">
        <f t="shared" si="4"/>
        <v>1.0176991150442478</v>
      </c>
      <c r="E21" s="26">
        <f t="shared" si="4"/>
        <v>1.0175962815405046</v>
      </c>
      <c r="F21" s="26">
        <f t="shared" si="4"/>
        <v>1.0121681415929205</v>
      </c>
      <c r="G21" s="26">
        <f t="shared" si="4"/>
        <v>1.0176211453744493</v>
      </c>
      <c r="H21" s="26">
        <f t="shared" si="4"/>
        <v>1.0131631431990427</v>
      </c>
      <c r="I21" s="26">
        <f t="shared" si="4"/>
        <v>1.0172347759479126</v>
      </c>
      <c r="J21" s="26">
        <f t="shared" si="4"/>
        <v>1.0176211453744493</v>
      </c>
      <c r="K21" s="26">
        <f t="shared" si="4"/>
        <v>1.013307240704501</v>
      </c>
      <c r="L21" s="26">
        <f t="shared" si="4"/>
        <v>1.0171673819742488</v>
      </c>
      <c r="M21" s="26">
        <f t="shared" si="4"/>
        <v>1.0177078209542549</v>
      </c>
      <c r="N21" s="26">
        <f t="shared" si="4"/>
        <v>1.0132764343290659</v>
      </c>
    </row>
    <row r="22" spans="1:14" ht="15" customHeight="1" thickTop="1" thickBot="1" x14ac:dyDescent="0.35">
      <c r="A22" s="128" t="s">
        <v>105</v>
      </c>
      <c r="B22" s="30" t="s">
        <v>102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</row>
    <row r="23" spans="1:14" ht="15" customHeight="1" thickTop="1" thickBot="1" x14ac:dyDescent="0.35">
      <c r="A23" s="128"/>
      <c r="B23" s="20" t="s">
        <v>103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</row>
    <row r="24" spans="1:14" ht="15" customHeight="1" thickTop="1" thickBot="1" x14ac:dyDescent="0.35">
      <c r="A24" s="128"/>
      <c r="B24" s="38" t="s">
        <v>104</v>
      </c>
      <c r="C24" s="26" t="str">
        <f t="shared" ref="C24:N24" si="5">IF(OR(C22="",C23=""),"",C23/C22)</f>
        <v/>
      </c>
      <c r="D24" s="26" t="str">
        <f t="shared" si="5"/>
        <v/>
      </c>
      <c r="E24" s="26" t="str">
        <f t="shared" si="5"/>
        <v/>
      </c>
      <c r="F24" s="26" t="str">
        <f t="shared" si="5"/>
        <v/>
      </c>
      <c r="G24" s="26" t="str">
        <f t="shared" si="5"/>
        <v/>
      </c>
      <c r="H24" s="26" t="str">
        <f t="shared" si="5"/>
        <v/>
      </c>
      <c r="I24" s="26" t="str">
        <f t="shared" si="5"/>
        <v/>
      </c>
      <c r="J24" s="26" t="str">
        <f t="shared" si="5"/>
        <v/>
      </c>
      <c r="K24" s="26" t="str">
        <f t="shared" si="5"/>
        <v/>
      </c>
      <c r="L24" s="26" t="str">
        <f t="shared" si="5"/>
        <v/>
      </c>
      <c r="M24" s="26" t="str">
        <f t="shared" si="5"/>
        <v/>
      </c>
      <c r="N24" s="26" t="str">
        <f t="shared" si="5"/>
        <v/>
      </c>
    </row>
    <row r="25" spans="1:14" ht="15" customHeight="1" thickTop="1" thickBot="1" x14ac:dyDescent="0.35">
      <c r="A25" s="128" t="s">
        <v>107</v>
      </c>
      <c r="B25" s="30" t="s">
        <v>102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</row>
    <row r="26" spans="1:14" ht="15" customHeight="1" thickTop="1" thickBot="1" x14ac:dyDescent="0.35">
      <c r="A26" s="128"/>
      <c r="B26" s="20" t="s">
        <v>103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" customHeight="1" thickTop="1" thickBot="1" x14ac:dyDescent="0.35">
      <c r="A27" s="128"/>
      <c r="B27" s="38" t="s">
        <v>104</v>
      </c>
      <c r="C27" s="26" t="str">
        <f t="shared" ref="C27:N27" si="6">IF(OR(C25="",C26=""),"",C26/C25)</f>
        <v/>
      </c>
      <c r="D27" s="26" t="str">
        <f t="shared" si="6"/>
        <v/>
      </c>
      <c r="E27" s="26" t="str">
        <f t="shared" si="6"/>
        <v/>
      </c>
      <c r="F27" s="26" t="str">
        <f t="shared" si="6"/>
        <v/>
      </c>
      <c r="G27" s="26" t="str">
        <f t="shared" si="6"/>
        <v/>
      </c>
      <c r="H27" s="26" t="str">
        <f t="shared" si="6"/>
        <v/>
      </c>
      <c r="I27" s="26" t="str">
        <f t="shared" si="6"/>
        <v/>
      </c>
      <c r="J27" s="26" t="str">
        <f t="shared" si="6"/>
        <v/>
      </c>
      <c r="K27" s="26" t="str">
        <f t="shared" si="6"/>
        <v/>
      </c>
      <c r="L27" s="26" t="str">
        <f t="shared" si="6"/>
        <v/>
      </c>
      <c r="M27" s="26" t="str">
        <f t="shared" si="6"/>
        <v/>
      </c>
      <c r="N27" s="26" t="str">
        <f t="shared" si="6"/>
        <v/>
      </c>
    </row>
    <row r="28" spans="1:14" ht="15" customHeight="1" thickTop="1" thickBot="1" x14ac:dyDescent="0.35">
      <c r="A28" s="128" t="s">
        <v>109</v>
      </c>
      <c r="B28" s="30" t="s">
        <v>102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1:14" ht="15" customHeight="1" thickTop="1" thickBot="1" x14ac:dyDescent="0.35">
      <c r="A29" s="128"/>
      <c r="B29" s="20" t="s">
        <v>103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 ht="15" customHeight="1" thickTop="1" thickBot="1" x14ac:dyDescent="0.35">
      <c r="A30" s="128"/>
      <c r="B30" s="38" t="s">
        <v>104</v>
      </c>
      <c r="C30" s="26" t="str">
        <f t="shared" ref="C30:N30" si="7">IF(OR(C28="",C29=""),"",C29/C28)</f>
        <v/>
      </c>
      <c r="D30" s="26" t="str">
        <f t="shared" si="7"/>
        <v/>
      </c>
      <c r="E30" s="26" t="str">
        <f t="shared" si="7"/>
        <v/>
      </c>
      <c r="F30" s="26" t="str">
        <f t="shared" si="7"/>
        <v/>
      </c>
      <c r="G30" s="26" t="str">
        <f t="shared" si="7"/>
        <v/>
      </c>
      <c r="H30" s="26" t="str">
        <f t="shared" si="7"/>
        <v/>
      </c>
      <c r="I30" s="26" t="str">
        <f t="shared" si="7"/>
        <v/>
      </c>
      <c r="J30" s="26" t="str">
        <f t="shared" si="7"/>
        <v/>
      </c>
      <c r="K30" s="26" t="str">
        <f t="shared" si="7"/>
        <v/>
      </c>
      <c r="L30" s="26" t="str">
        <f t="shared" si="7"/>
        <v/>
      </c>
      <c r="M30" s="26" t="str">
        <f t="shared" si="7"/>
        <v/>
      </c>
      <c r="N30" s="26" t="str">
        <f t="shared" si="7"/>
        <v/>
      </c>
    </row>
    <row r="31" spans="1:14" ht="15" customHeight="1" thickTop="1" x14ac:dyDescent="0.3"/>
    <row r="32" spans="1:14" ht="15" customHeight="1" thickBot="1" x14ac:dyDescent="0.35">
      <c r="A32" s="8" t="s">
        <v>122</v>
      </c>
    </row>
    <row r="33" spans="1:14" ht="15" customHeight="1" thickTop="1" x14ac:dyDescent="0.3">
      <c r="B33" s="15" t="s">
        <v>100</v>
      </c>
      <c r="C33" s="31" t="s">
        <v>13</v>
      </c>
      <c r="D33" s="31" t="s">
        <v>26</v>
      </c>
      <c r="E33" s="31" t="s">
        <v>34</v>
      </c>
      <c r="F33" s="31" t="s">
        <v>34</v>
      </c>
      <c r="G33" s="31" t="s">
        <v>14</v>
      </c>
      <c r="H33" s="31" t="s">
        <v>15</v>
      </c>
      <c r="I33" s="31" t="s">
        <v>17</v>
      </c>
      <c r="J33" s="31" t="s">
        <v>18</v>
      </c>
      <c r="K33" s="31" t="s">
        <v>16</v>
      </c>
      <c r="L33" s="31" t="s">
        <v>20</v>
      </c>
      <c r="M33" s="31" t="s">
        <v>21</v>
      </c>
      <c r="N33" s="31" t="s">
        <v>22</v>
      </c>
    </row>
    <row r="34" spans="1:14" ht="15" customHeight="1" x14ac:dyDescent="0.3">
      <c r="B34" s="18" t="s">
        <v>114</v>
      </c>
      <c r="C34" s="32">
        <v>2</v>
      </c>
      <c r="D34" s="32">
        <v>3.6</v>
      </c>
      <c r="E34" s="32">
        <v>4.8</v>
      </c>
      <c r="F34" s="32">
        <v>4.8</v>
      </c>
      <c r="G34" s="32">
        <v>5</v>
      </c>
      <c r="H34" s="32">
        <v>6</v>
      </c>
      <c r="I34" s="32">
        <v>7.2</v>
      </c>
      <c r="J34" s="32">
        <v>10</v>
      </c>
      <c r="K34" s="32">
        <v>12</v>
      </c>
      <c r="L34" s="32">
        <v>14.4</v>
      </c>
      <c r="M34" s="32">
        <v>38.4</v>
      </c>
      <c r="N34" s="32">
        <v>38.4</v>
      </c>
    </row>
    <row r="35" spans="1:14" ht="15" customHeight="1" x14ac:dyDescent="0.3">
      <c r="B35" s="18" t="s">
        <v>101</v>
      </c>
      <c r="C35" s="32" t="s">
        <v>13</v>
      </c>
      <c r="D35" s="32" t="s">
        <v>26</v>
      </c>
      <c r="E35" s="32" t="s">
        <v>34</v>
      </c>
      <c r="F35" s="32" t="s">
        <v>31</v>
      </c>
      <c r="G35" s="32" t="s">
        <v>14</v>
      </c>
      <c r="H35" s="32" t="s">
        <v>16</v>
      </c>
      <c r="I35" s="32" t="s">
        <v>17</v>
      </c>
      <c r="J35" s="32" t="s">
        <v>18</v>
      </c>
      <c r="K35" s="32" t="s">
        <v>19</v>
      </c>
      <c r="L35" s="32" t="s">
        <v>20</v>
      </c>
      <c r="M35" s="32" t="s">
        <v>35</v>
      </c>
      <c r="N35" s="32" t="s">
        <v>123</v>
      </c>
    </row>
    <row r="36" spans="1:14" ht="15" customHeight="1" thickBot="1" x14ac:dyDescent="0.35">
      <c r="B36" s="33" t="s">
        <v>115</v>
      </c>
      <c r="C36" s="40"/>
      <c r="D36" s="40"/>
      <c r="E36" s="40"/>
      <c r="F36" s="40" t="s">
        <v>121</v>
      </c>
      <c r="G36" s="40"/>
      <c r="H36" s="40" t="s">
        <v>121</v>
      </c>
      <c r="I36" s="40"/>
      <c r="J36" s="40"/>
      <c r="K36" s="40" t="s">
        <v>121</v>
      </c>
      <c r="L36" s="40"/>
      <c r="M36" s="40"/>
      <c r="N36" s="40" t="s">
        <v>121</v>
      </c>
    </row>
    <row r="37" spans="1:14" ht="15" customHeight="1" thickTop="1" thickBot="1" x14ac:dyDescent="0.35">
      <c r="A37" s="7" t="s">
        <v>6</v>
      </c>
      <c r="B37" s="35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</row>
    <row r="38" spans="1:14" ht="15" customHeight="1" thickTop="1" thickBot="1" x14ac:dyDescent="0.35">
      <c r="A38" s="128">
        <v>70</v>
      </c>
      <c r="B38" s="30" t="s">
        <v>102</v>
      </c>
      <c r="C38" s="37">
        <v>2.36</v>
      </c>
      <c r="D38" s="37">
        <v>3.83</v>
      </c>
      <c r="E38" s="37">
        <v>3.52</v>
      </c>
      <c r="F38" s="37">
        <v>4.12</v>
      </c>
      <c r="G38" s="37">
        <v>2.12</v>
      </c>
      <c r="H38" s="37">
        <v>2.86</v>
      </c>
      <c r="I38" s="37">
        <v>3.05</v>
      </c>
      <c r="J38" s="37">
        <v>2.12</v>
      </c>
      <c r="K38" s="37">
        <v>2.91</v>
      </c>
      <c r="L38" s="37">
        <v>2.72</v>
      </c>
      <c r="M38" s="37">
        <v>2.38</v>
      </c>
      <c r="N38" s="37">
        <v>2.4</v>
      </c>
    </row>
    <row r="39" spans="1:14" ht="16.8" thickTop="1" thickBot="1" x14ac:dyDescent="0.35">
      <c r="A39" s="128"/>
      <c r="B39" s="20" t="s">
        <v>103</v>
      </c>
      <c r="C39" s="32">
        <v>2.36</v>
      </c>
      <c r="D39" s="32">
        <v>3.81</v>
      </c>
      <c r="E39" s="32">
        <v>3.51</v>
      </c>
      <c r="F39" s="32">
        <v>4.07</v>
      </c>
      <c r="G39" s="32">
        <v>2.11</v>
      </c>
      <c r="H39" s="32">
        <v>2.82</v>
      </c>
      <c r="I39" s="32">
        <v>3.04</v>
      </c>
      <c r="J39" s="32">
        <v>2.11</v>
      </c>
      <c r="K39" s="32">
        <v>2.88</v>
      </c>
      <c r="L39" s="32">
        <v>2.71</v>
      </c>
      <c r="M39" s="32">
        <v>2.37</v>
      </c>
      <c r="N39" s="32">
        <v>2.37</v>
      </c>
    </row>
    <row r="40" spans="1:14" ht="16.8" thickTop="1" thickBot="1" x14ac:dyDescent="0.35">
      <c r="A40" s="128"/>
      <c r="B40" s="38" t="s">
        <v>104</v>
      </c>
      <c r="C40" s="26">
        <f t="shared" ref="C40:N40" si="8">IF(OR(C38="",C39=""),"",C39/C38)</f>
        <v>1</v>
      </c>
      <c r="D40" s="26">
        <f t="shared" si="8"/>
        <v>0.99477806788511747</v>
      </c>
      <c r="E40" s="26">
        <f t="shared" si="8"/>
        <v>0.99715909090909083</v>
      </c>
      <c r="F40" s="26">
        <f t="shared" si="8"/>
        <v>0.98786407766990292</v>
      </c>
      <c r="G40" s="26">
        <f t="shared" si="8"/>
        <v>0.99528301886792447</v>
      </c>
      <c r="H40" s="26">
        <f t="shared" si="8"/>
        <v>0.98601398601398604</v>
      </c>
      <c r="I40" s="26">
        <f t="shared" si="8"/>
        <v>0.99672131147540988</v>
      </c>
      <c r="J40" s="26">
        <f t="shared" si="8"/>
        <v>0.99528301886792447</v>
      </c>
      <c r="K40" s="26">
        <f t="shared" si="8"/>
        <v>0.98969072164948446</v>
      </c>
      <c r="L40" s="26">
        <f t="shared" si="8"/>
        <v>0.99632352941176461</v>
      </c>
      <c r="M40" s="26">
        <f t="shared" si="8"/>
        <v>0.99579831932773122</v>
      </c>
      <c r="N40" s="26">
        <f t="shared" si="8"/>
        <v>0.98750000000000004</v>
      </c>
    </row>
    <row r="41" spans="1:14" ht="16.8" thickTop="1" thickBot="1" x14ac:dyDescent="0.35">
      <c r="A41" s="128">
        <v>80</v>
      </c>
      <c r="B41" s="30" t="s">
        <v>102</v>
      </c>
      <c r="C41" s="37">
        <v>3.81</v>
      </c>
      <c r="D41" s="37">
        <v>6.17</v>
      </c>
      <c r="E41" s="37">
        <v>5.67</v>
      </c>
      <c r="F41" s="37">
        <v>6.58</v>
      </c>
      <c r="G41" s="37">
        <v>3.42</v>
      </c>
      <c r="H41" s="37">
        <v>4.5599999999999996</v>
      </c>
      <c r="I41" s="37">
        <v>4.92</v>
      </c>
      <c r="J41" s="37">
        <v>3.42</v>
      </c>
      <c r="K41" s="37">
        <v>4.6500000000000004</v>
      </c>
      <c r="L41" s="37">
        <v>4.3899999999999997</v>
      </c>
      <c r="M41" s="37">
        <v>3.83</v>
      </c>
      <c r="N41" s="37">
        <v>3.84</v>
      </c>
    </row>
    <row r="42" spans="1:14" ht="16.8" thickTop="1" thickBot="1" x14ac:dyDescent="0.35">
      <c r="A42" s="128"/>
      <c r="B42" s="20" t="s">
        <v>103</v>
      </c>
      <c r="C42" s="32">
        <v>3.78</v>
      </c>
      <c r="D42" s="32">
        <v>6.12</v>
      </c>
      <c r="E42" s="32">
        <v>5.63</v>
      </c>
      <c r="F42" s="32">
        <v>6.44</v>
      </c>
      <c r="G42" s="32">
        <v>3.39</v>
      </c>
      <c r="H42" s="32">
        <v>4.47</v>
      </c>
      <c r="I42" s="32">
        <v>4.88</v>
      </c>
      <c r="J42" s="32">
        <v>3.39</v>
      </c>
      <c r="K42" s="32">
        <v>4.55</v>
      </c>
      <c r="L42" s="32">
        <v>4.3499999999999996</v>
      </c>
      <c r="M42" s="32">
        <v>3.8</v>
      </c>
      <c r="N42" s="32">
        <v>3.76</v>
      </c>
    </row>
    <row r="43" spans="1:14" ht="16.8" thickTop="1" thickBot="1" x14ac:dyDescent="0.35">
      <c r="A43" s="128"/>
      <c r="B43" s="38" t="s">
        <v>104</v>
      </c>
      <c r="C43" s="26">
        <f t="shared" ref="C43:N43" si="9">IF(OR(C41="",C42=""),"",C42/C41)</f>
        <v>0.99212598425196841</v>
      </c>
      <c r="D43" s="26">
        <f t="shared" si="9"/>
        <v>0.99189627228525123</v>
      </c>
      <c r="E43" s="26">
        <f t="shared" si="9"/>
        <v>0.99294532627865961</v>
      </c>
      <c r="F43" s="26">
        <f t="shared" si="9"/>
        <v>0.97872340425531923</v>
      </c>
      <c r="G43" s="26">
        <f t="shared" si="9"/>
        <v>0.99122807017543868</v>
      </c>
      <c r="H43" s="26">
        <f t="shared" si="9"/>
        <v>0.98026315789473684</v>
      </c>
      <c r="I43" s="26">
        <f t="shared" si="9"/>
        <v>0.99186991869918695</v>
      </c>
      <c r="J43" s="26">
        <f t="shared" si="9"/>
        <v>0.99122807017543868</v>
      </c>
      <c r="K43" s="26">
        <f t="shared" si="9"/>
        <v>0.97849462365591389</v>
      </c>
      <c r="L43" s="26">
        <f t="shared" si="9"/>
        <v>0.99088838268792712</v>
      </c>
      <c r="M43" s="26">
        <f t="shared" si="9"/>
        <v>0.9921671018276762</v>
      </c>
      <c r="N43" s="26">
        <f t="shared" si="9"/>
        <v>0.97916666666666663</v>
      </c>
    </row>
    <row r="44" spans="1:14" ht="16.8" thickTop="1" thickBot="1" x14ac:dyDescent="0.35">
      <c r="A44" s="128">
        <v>100</v>
      </c>
      <c r="B44" s="30" t="s">
        <v>102</v>
      </c>
      <c r="C44" s="37">
        <v>7.81</v>
      </c>
      <c r="D44" s="37">
        <v>12.65</v>
      </c>
      <c r="E44" s="37">
        <v>11.63</v>
      </c>
      <c r="F44" s="37">
        <v>13.53</v>
      </c>
      <c r="G44" s="37">
        <v>7.01</v>
      </c>
      <c r="H44" s="37">
        <v>9.3800000000000008</v>
      </c>
      <c r="I44" s="37">
        <v>10.08</v>
      </c>
      <c r="J44" s="37">
        <v>7.01</v>
      </c>
      <c r="K44" s="37">
        <v>9.56</v>
      </c>
      <c r="L44" s="37">
        <v>8.99</v>
      </c>
      <c r="M44" s="37">
        <v>7.85</v>
      </c>
      <c r="N44" s="37">
        <v>7.89</v>
      </c>
    </row>
    <row r="45" spans="1:14" ht="16.8" thickTop="1" thickBot="1" x14ac:dyDescent="0.35">
      <c r="A45" s="128"/>
      <c r="B45" s="20" t="s">
        <v>103</v>
      </c>
      <c r="C45" s="32">
        <v>7.69</v>
      </c>
      <c r="D45" s="32">
        <v>12.45</v>
      </c>
      <c r="E45" s="32">
        <v>11.44</v>
      </c>
      <c r="F45" s="32">
        <v>13.14</v>
      </c>
      <c r="G45" s="32">
        <v>6.9</v>
      </c>
      <c r="H45" s="32">
        <v>9.11</v>
      </c>
      <c r="I45" s="32">
        <v>9.92</v>
      </c>
      <c r="J45" s="32">
        <v>6.9</v>
      </c>
      <c r="K45" s="32">
        <v>9.2899999999999991</v>
      </c>
      <c r="L45" s="32">
        <v>8.85</v>
      </c>
      <c r="M45" s="32">
        <v>7.72</v>
      </c>
      <c r="N45" s="32">
        <v>7.67</v>
      </c>
    </row>
    <row r="46" spans="1:14" ht="16.8" thickTop="1" thickBot="1" x14ac:dyDescent="0.35">
      <c r="A46" s="128"/>
      <c r="B46" s="38" t="s">
        <v>104</v>
      </c>
      <c r="C46" s="26">
        <f t="shared" ref="C46:N46" si="10">IF(OR(C44="",C45=""),"",C45/C44)</f>
        <v>0.98463508322663262</v>
      </c>
      <c r="D46" s="26">
        <f t="shared" si="10"/>
        <v>0.98418972332015797</v>
      </c>
      <c r="E46" s="26">
        <f t="shared" si="10"/>
        <v>0.98366294067067916</v>
      </c>
      <c r="F46" s="26">
        <f t="shared" si="10"/>
        <v>0.97117516629711764</v>
      </c>
      <c r="G46" s="26">
        <f t="shared" si="10"/>
        <v>0.98430813124108429</v>
      </c>
      <c r="H46" s="26">
        <f t="shared" si="10"/>
        <v>0.97121535181236662</v>
      </c>
      <c r="I46" s="26">
        <f t="shared" si="10"/>
        <v>0.98412698412698407</v>
      </c>
      <c r="J46" s="26">
        <f t="shared" si="10"/>
        <v>0.98430813124108429</v>
      </c>
      <c r="K46" s="26">
        <f t="shared" si="10"/>
        <v>0.97175732217573207</v>
      </c>
      <c r="L46" s="26">
        <f t="shared" si="10"/>
        <v>0.98442714126807562</v>
      </c>
      <c r="M46" s="26">
        <f t="shared" si="10"/>
        <v>0.98343949044585988</v>
      </c>
      <c r="N46" s="26">
        <f t="shared" si="10"/>
        <v>0.97211660329531058</v>
      </c>
    </row>
    <row r="47" spans="1:14" ht="16.8" thickTop="1" thickBot="1" x14ac:dyDescent="0.35">
      <c r="A47" s="128">
        <v>120</v>
      </c>
      <c r="B47" s="30" t="s">
        <v>102</v>
      </c>
      <c r="C47" s="37">
        <v>12.93</v>
      </c>
      <c r="D47" s="37">
        <v>20.93</v>
      </c>
      <c r="E47" s="37">
        <v>19.23</v>
      </c>
      <c r="F47" s="37">
        <v>22.53</v>
      </c>
      <c r="G47" s="37">
        <v>11.6</v>
      </c>
      <c r="H47" s="37">
        <v>15.62</v>
      </c>
      <c r="I47" s="37">
        <v>16.670000000000002</v>
      </c>
      <c r="J47" s="37">
        <v>11.6</v>
      </c>
      <c r="K47" s="37">
        <v>15.92</v>
      </c>
      <c r="L47" s="37">
        <v>14.87</v>
      </c>
      <c r="M47" s="37">
        <v>12.98</v>
      </c>
      <c r="N47" s="37">
        <v>13.14</v>
      </c>
    </row>
    <row r="48" spans="1:14" ht="16.8" thickTop="1" thickBot="1" x14ac:dyDescent="0.35">
      <c r="A48" s="128"/>
      <c r="B48" s="20" t="s">
        <v>103</v>
      </c>
      <c r="C48" s="32">
        <v>12.68</v>
      </c>
      <c r="D48" s="32">
        <v>20.52</v>
      </c>
      <c r="E48" s="32">
        <v>18.86</v>
      </c>
      <c r="F48" s="32">
        <v>21.91</v>
      </c>
      <c r="G48" s="32">
        <v>11.37</v>
      </c>
      <c r="H48" s="32">
        <v>15.19</v>
      </c>
      <c r="I48" s="32">
        <v>16.350000000000001</v>
      </c>
      <c r="J48" s="32">
        <v>11.37</v>
      </c>
      <c r="K48" s="32">
        <v>15.48</v>
      </c>
      <c r="L48" s="32">
        <v>14.59</v>
      </c>
      <c r="M48" s="32">
        <v>12.73</v>
      </c>
      <c r="N48" s="32">
        <v>12.78</v>
      </c>
    </row>
    <row r="49" spans="1:14" ht="16.8" thickTop="1" thickBot="1" x14ac:dyDescent="0.35">
      <c r="A49" s="128"/>
      <c r="B49" s="38" t="s">
        <v>104</v>
      </c>
      <c r="C49" s="26">
        <f t="shared" ref="C49:N49" si="11">IF(OR(C47="",C48=""),"",C48/C47)</f>
        <v>0.98066511987625682</v>
      </c>
      <c r="D49" s="26">
        <f t="shared" si="11"/>
        <v>0.98041089345437171</v>
      </c>
      <c r="E49" s="26">
        <f t="shared" si="11"/>
        <v>0.98075923036921475</v>
      </c>
      <c r="F49" s="26">
        <f t="shared" si="11"/>
        <v>0.97248113626276067</v>
      </c>
      <c r="G49" s="26">
        <f t="shared" si="11"/>
        <v>0.98017241379310338</v>
      </c>
      <c r="H49" s="26">
        <f t="shared" si="11"/>
        <v>0.97247119078104993</v>
      </c>
      <c r="I49" s="26">
        <f t="shared" si="11"/>
        <v>0.98080383923215353</v>
      </c>
      <c r="J49" s="26">
        <f t="shared" si="11"/>
        <v>0.98017241379310338</v>
      </c>
      <c r="K49" s="26">
        <f t="shared" si="11"/>
        <v>0.97236180904522618</v>
      </c>
      <c r="L49" s="26">
        <f t="shared" si="11"/>
        <v>0.98117014122394086</v>
      </c>
      <c r="M49" s="26">
        <f t="shared" si="11"/>
        <v>0.98073959938366717</v>
      </c>
      <c r="N49" s="26">
        <f t="shared" si="11"/>
        <v>0.97260273972602729</v>
      </c>
    </row>
    <row r="50" spans="1:14" ht="16.8" thickTop="1" thickBot="1" x14ac:dyDescent="0.35">
      <c r="A50" s="128">
        <v>140</v>
      </c>
      <c r="B50" s="30" t="s">
        <v>102</v>
      </c>
      <c r="C50" s="37">
        <v>18.829999999999998</v>
      </c>
      <c r="D50" s="37">
        <v>30.49</v>
      </c>
      <c r="E50" s="37">
        <v>28.02</v>
      </c>
      <c r="F50" s="37">
        <v>33.71</v>
      </c>
      <c r="G50" s="37">
        <v>16.89</v>
      </c>
      <c r="H50" s="37">
        <v>23.38</v>
      </c>
      <c r="I50" s="37">
        <v>24.29</v>
      </c>
      <c r="J50" s="37">
        <v>16.89</v>
      </c>
      <c r="K50" s="37">
        <v>23.82</v>
      </c>
      <c r="L50" s="37">
        <v>21.67</v>
      </c>
      <c r="M50" s="37">
        <v>18.91</v>
      </c>
      <c r="N50" s="37">
        <v>19.670000000000002</v>
      </c>
    </row>
    <row r="51" spans="1:14" ht="16.8" thickTop="1" thickBot="1" x14ac:dyDescent="0.35">
      <c r="A51" s="128"/>
      <c r="B51" s="20" t="s">
        <v>103</v>
      </c>
      <c r="C51" s="32">
        <v>18.5</v>
      </c>
      <c r="D51" s="32">
        <v>29.95</v>
      </c>
      <c r="E51" s="32">
        <v>27.53</v>
      </c>
      <c r="F51" s="32">
        <v>32.85</v>
      </c>
      <c r="G51" s="32">
        <v>16.600000000000001</v>
      </c>
      <c r="H51" s="32">
        <v>22.77</v>
      </c>
      <c r="I51" s="32">
        <v>23.86</v>
      </c>
      <c r="J51" s="32">
        <v>16.600000000000001</v>
      </c>
      <c r="K51" s="32">
        <v>23.21</v>
      </c>
      <c r="L51" s="32">
        <v>21.29</v>
      </c>
      <c r="M51" s="32">
        <v>18.579999999999998</v>
      </c>
      <c r="N51" s="32">
        <v>19.16</v>
      </c>
    </row>
    <row r="52" spans="1:14" ht="16.8" thickTop="1" thickBot="1" x14ac:dyDescent="0.35">
      <c r="A52" s="128"/>
      <c r="B52" s="38" t="s">
        <v>104</v>
      </c>
      <c r="C52" s="26">
        <f t="shared" ref="C52:N52" si="12">IF(OR(C50="",C51=""),"",C51/C50)</f>
        <v>0.98247477429633567</v>
      </c>
      <c r="D52" s="26">
        <f t="shared" si="12"/>
        <v>0.98228927517218767</v>
      </c>
      <c r="E52" s="26">
        <f t="shared" si="12"/>
        <v>0.98251249107780159</v>
      </c>
      <c r="F52" s="26">
        <f t="shared" si="12"/>
        <v>0.97448828240878083</v>
      </c>
      <c r="G52" s="26">
        <f t="shared" si="12"/>
        <v>0.98283007696862057</v>
      </c>
      <c r="H52" s="26">
        <f t="shared" si="12"/>
        <v>0.97390932420872545</v>
      </c>
      <c r="I52" s="26">
        <f t="shared" si="12"/>
        <v>0.98229724166323595</v>
      </c>
      <c r="J52" s="26">
        <f t="shared" si="12"/>
        <v>0.98283007696862057</v>
      </c>
      <c r="K52" s="26">
        <f t="shared" si="12"/>
        <v>0.97439126784214947</v>
      </c>
      <c r="L52" s="26">
        <f t="shared" si="12"/>
        <v>0.98246423627134272</v>
      </c>
      <c r="M52" s="26">
        <f t="shared" si="12"/>
        <v>0.98254891591750382</v>
      </c>
      <c r="N52" s="26">
        <f t="shared" si="12"/>
        <v>0.97407219115404164</v>
      </c>
    </row>
    <row r="53" spans="1:14" ht="15" customHeight="1" thickTop="1" thickBot="1" x14ac:dyDescent="0.35">
      <c r="A53" s="128" t="s">
        <v>105</v>
      </c>
      <c r="B53" s="30" t="s">
        <v>102</v>
      </c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</row>
    <row r="54" spans="1:14" ht="15" customHeight="1" thickTop="1" thickBot="1" x14ac:dyDescent="0.35">
      <c r="A54" s="128"/>
      <c r="B54" s="20" t="s">
        <v>103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 ht="15" customHeight="1" thickTop="1" thickBot="1" x14ac:dyDescent="0.35">
      <c r="A55" s="128"/>
      <c r="B55" s="38" t="s">
        <v>104</v>
      </c>
      <c r="C55" s="26" t="str">
        <f t="shared" ref="C55:N55" si="13">IF(OR(C53="",C54=""),"",C54/C53)</f>
        <v/>
      </c>
      <c r="D55" s="26" t="str">
        <f t="shared" si="13"/>
        <v/>
      </c>
      <c r="E55" s="26" t="str">
        <f t="shared" si="13"/>
        <v/>
      </c>
      <c r="F55" s="26" t="str">
        <f t="shared" si="13"/>
        <v/>
      </c>
      <c r="G55" s="26" t="str">
        <f t="shared" si="13"/>
        <v/>
      </c>
      <c r="H55" s="26" t="str">
        <f t="shared" si="13"/>
        <v/>
      </c>
      <c r="I55" s="26" t="str">
        <f t="shared" si="13"/>
        <v/>
      </c>
      <c r="J55" s="26" t="str">
        <f t="shared" si="13"/>
        <v/>
      </c>
      <c r="K55" s="26" t="str">
        <f t="shared" si="13"/>
        <v/>
      </c>
      <c r="L55" s="26" t="str">
        <f t="shared" si="13"/>
        <v/>
      </c>
      <c r="M55" s="26" t="str">
        <f t="shared" si="13"/>
        <v/>
      </c>
      <c r="N55" s="26" t="str">
        <f t="shared" si="13"/>
        <v/>
      </c>
    </row>
    <row r="56" spans="1:14" ht="15" customHeight="1" thickTop="1" thickBot="1" x14ac:dyDescent="0.35">
      <c r="A56" s="128" t="s">
        <v>107</v>
      </c>
      <c r="B56" s="30" t="s">
        <v>102</v>
      </c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</row>
    <row r="57" spans="1:14" ht="15" customHeight="1" thickTop="1" thickBot="1" x14ac:dyDescent="0.35">
      <c r="A57" s="128"/>
      <c r="B57" s="20" t="s">
        <v>103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 ht="15" customHeight="1" thickTop="1" thickBot="1" x14ac:dyDescent="0.35">
      <c r="A58" s="128"/>
      <c r="B58" s="38" t="s">
        <v>104</v>
      </c>
      <c r="C58" s="26" t="str">
        <f t="shared" ref="C58:N58" si="14">IF(OR(C56="",C57=""),"",C57/C56)</f>
        <v/>
      </c>
      <c r="D58" s="26" t="str">
        <f t="shared" si="14"/>
        <v/>
      </c>
      <c r="E58" s="26" t="str">
        <f t="shared" si="14"/>
        <v/>
      </c>
      <c r="F58" s="26" t="str">
        <f t="shared" si="14"/>
        <v/>
      </c>
      <c r="G58" s="26" t="str">
        <f t="shared" si="14"/>
        <v/>
      </c>
      <c r="H58" s="26" t="str">
        <f t="shared" si="14"/>
        <v/>
      </c>
      <c r="I58" s="26" t="str">
        <f t="shared" si="14"/>
        <v/>
      </c>
      <c r="J58" s="26" t="str">
        <f t="shared" si="14"/>
        <v/>
      </c>
      <c r="K58" s="26" t="str">
        <f t="shared" si="14"/>
        <v/>
      </c>
      <c r="L58" s="26" t="str">
        <f t="shared" si="14"/>
        <v/>
      </c>
      <c r="M58" s="26" t="str">
        <f t="shared" si="14"/>
        <v/>
      </c>
      <c r="N58" s="26" t="str">
        <f t="shared" si="14"/>
        <v/>
      </c>
    </row>
    <row r="59" spans="1:14" ht="15" customHeight="1" thickTop="1" thickBot="1" x14ac:dyDescent="0.35">
      <c r="A59" s="128" t="s">
        <v>109</v>
      </c>
      <c r="B59" s="30" t="s">
        <v>102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</row>
    <row r="60" spans="1:14" ht="15" customHeight="1" thickTop="1" thickBot="1" x14ac:dyDescent="0.35">
      <c r="A60" s="128"/>
      <c r="B60" s="20" t="s">
        <v>103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 ht="15" customHeight="1" thickTop="1" thickBot="1" x14ac:dyDescent="0.35">
      <c r="A61" s="128"/>
      <c r="B61" s="38" t="s">
        <v>104</v>
      </c>
      <c r="C61" s="26" t="str">
        <f t="shared" ref="C61:N61" si="15">IF(OR(C59="",C60=""),"",C60/C59)</f>
        <v/>
      </c>
      <c r="D61" s="26" t="str">
        <f t="shared" si="15"/>
        <v/>
      </c>
      <c r="E61" s="26" t="str">
        <f t="shared" si="15"/>
        <v/>
      </c>
      <c r="F61" s="26" t="str">
        <f t="shared" si="15"/>
        <v/>
      </c>
      <c r="G61" s="26" t="str">
        <f t="shared" si="15"/>
        <v/>
      </c>
      <c r="H61" s="26" t="str">
        <f t="shared" si="15"/>
        <v/>
      </c>
      <c r="I61" s="26" t="str">
        <f t="shared" si="15"/>
        <v/>
      </c>
      <c r="J61" s="26" t="str">
        <f t="shared" si="15"/>
        <v/>
      </c>
      <c r="K61" s="26" t="str">
        <f t="shared" si="15"/>
        <v/>
      </c>
      <c r="L61" s="26" t="str">
        <f t="shared" si="15"/>
        <v/>
      </c>
      <c r="M61" s="26" t="str">
        <f t="shared" si="15"/>
        <v/>
      </c>
      <c r="N61" s="26" t="str">
        <f t="shared" si="15"/>
        <v/>
      </c>
    </row>
    <row r="62" spans="1:14" ht="15" customHeight="1" thickTop="1" x14ac:dyDescent="0.3"/>
    <row r="63" spans="1:14" ht="16.2" thickBot="1" x14ac:dyDescent="0.35">
      <c r="A63" s="8" t="s">
        <v>124</v>
      </c>
    </row>
    <row r="64" spans="1:14" ht="16.2" thickTop="1" x14ac:dyDescent="0.3">
      <c r="B64" s="15" t="s">
        <v>100</v>
      </c>
      <c r="C64" s="31" t="s">
        <v>13</v>
      </c>
      <c r="D64" s="31" t="s">
        <v>26</v>
      </c>
      <c r="E64" s="31" t="s">
        <v>34</v>
      </c>
      <c r="F64" s="31" t="s">
        <v>34</v>
      </c>
      <c r="G64" s="31" t="s">
        <v>14</v>
      </c>
      <c r="H64" s="31" t="s">
        <v>15</v>
      </c>
      <c r="I64" s="31" t="s">
        <v>17</v>
      </c>
      <c r="J64" s="31" t="s">
        <v>18</v>
      </c>
      <c r="K64" s="31" t="s">
        <v>16</v>
      </c>
      <c r="L64" s="31" t="s">
        <v>20</v>
      </c>
      <c r="M64" s="31" t="s">
        <v>21</v>
      </c>
      <c r="N64" s="31" t="s">
        <v>22</v>
      </c>
    </row>
    <row r="65" spans="1:14" ht="15.6" x14ac:dyDescent="0.3">
      <c r="B65" s="18" t="s">
        <v>114</v>
      </c>
      <c r="C65" s="32">
        <v>2</v>
      </c>
      <c r="D65" s="32">
        <v>3.6</v>
      </c>
      <c r="E65" s="32">
        <v>4.8</v>
      </c>
      <c r="F65" s="32">
        <v>4.8</v>
      </c>
      <c r="G65" s="32">
        <v>5</v>
      </c>
      <c r="H65" s="32">
        <v>6</v>
      </c>
      <c r="I65" s="32">
        <v>7.2</v>
      </c>
      <c r="J65" s="32">
        <v>10</v>
      </c>
      <c r="K65" s="32">
        <v>12</v>
      </c>
      <c r="L65" s="32">
        <v>14.4</v>
      </c>
      <c r="M65" s="32">
        <v>38.4</v>
      </c>
      <c r="N65" s="32">
        <v>38.4</v>
      </c>
    </row>
    <row r="66" spans="1:14" ht="15.6" x14ac:dyDescent="0.3">
      <c r="B66" s="18" t="s">
        <v>101</v>
      </c>
      <c r="C66" s="32" t="s">
        <v>13</v>
      </c>
      <c r="D66" s="32" t="s">
        <v>26</v>
      </c>
      <c r="E66" s="32" t="s">
        <v>34</v>
      </c>
      <c r="F66" s="32" t="s">
        <v>31</v>
      </c>
      <c r="G66" s="32" t="s">
        <v>14</v>
      </c>
      <c r="H66" s="32" t="s">
        <v>16</v>
      </c>
      <c r="I66" s="32" t="s">
        <v>17</v>
      </c>
      <c r="J66" s="32" t="s">
        <v>18</v>
      </c>
      <c r="K66" s="32" t="s">
        <v>19</v>
      </c>
      <c r="L66" s="32" t="s">
        <v>20</v>
      </c>
      <c r="M66" s="32" t="s">
        <v>35</v>
      </c>
      <c r="N66" s="32" t="s">
        <v>123</v>
      </c>
    </row>
    <row r="67" spans="1:14" ht="16.2" thickBot="1" x14ac:dyDescent="0.35">
      <c r="B67" s="33" t="s">
        <v>115</v>
      </c>
      <c r="C67" s="40"/>
      <c r="D67" s="40"/>
      <c r="E67" s="40"/>
      <c r="F67" s="40" t="s">
        <v>121</v>
      </c>
      <c r="G67" s="40"/>
      <c r="H67" s="40" t="s">
        <v>121</v>
      </c>
      <c r="I67" s="40"/>
      <c r="J67" s="40"/>
      <c r="K67" s="40" t="s">
        <v>121</v>
      </c>
      <c r="L67" s="40"/>
      <c r="M67" s="40"/>
      <c r="N67" s="40" t="s">
        <v>121</v>
      </c>
    </row>
    <row r="68" spans="1:14" ht="16.8" thickTop="1" thickBot="1" x14ac:dyDescent="0.35">
      <c r="A68" s="7" t="s">
        <v>6</v>
      </c>
      <c r="B68" s="35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</row>
    <row r="69" spans="1:14" ht="16.8" thickTop="1" thickBot="1" x14ac:dyDescent="0.35">
      <c r="A69" s="128">
        <v>70</v>
      </c>
      <c r="B69" s="30" t="s">
        <v>102</v>
      </c>
      <c r="C69" s="37">
        <v>0.61</v>
      </c>
      <c r="D69" s="37">
        <v>0.99</v>
      </c>
      <c r="E69" s="37">
        <v>0.91</v>
      </c>
      <c r="F69" s="37">
        <v>1.07</v>
      </c>
      <c r="G69" s="37">
        <v>0.55000000000000004</v>
      </c>
      <c r="H69" s="37">
        <v>0.74</v>
      </c>
      <c r="I69" s="37">
        <v>0.79</v>
      </c>
      <c r="J69" s="37">
        <v>0.55000000000000004</v>
      </c>
      <c r="K69" s="37">
        <v>0.75</v>
      </c>
      <c r="L69" s="37">
        <v>0.7</v>
      </c>
      <c r="M69" s="37">
        <v>0.61</v>
      </c>
      <c r="N69" s="37">
        <v>0.62</v>
      </c>
    </row>
    <row r="70" spans="1:14" ht="16.8" thickTop="1" thickBot="1" x14ac:dyDescent="0.35">
      <c r="A70" s="128"/>
      <c r="B70" s="20" t="s">
        <v>103</v>
      </c>
      <c r="C70" s="32">
        <v>1.1299999999999999</v>
      </c>
      <c r="D70" s="32">
        <v>1.83</v>
      </c>
      <c r="E70" s="32">
        <v>1.68</v>
      </c>
      <c r="F70" s="32">
        <v>1.97</v>
      </c>
      <c r="G70" s="32">
        <v>1.01</v>
      </c>
      <c r="H70" s="32">
        <v>1.37</v>
      </c>
      <c r="I70" s="32">
        <v>1.46</v>
      </c>
      <c r="J70" s="32">
        <v>1.01</v>
      </c>
      <c r="K70" s="32">
        <v>1.4</v>
      </c>
      <c r="L70" s="32">
        <v>1.3</v>
      </c>
      <c r="M70" s="32">
        <v>1.1399999999999999</v>
      </c>
      <c r="N70" s="32">
        <v>1.1499999999999999</v>
      </c>
    </row>
    <row r="71" spans="1:14" ht="16.8" thickTop="1" thickBot="1" x14ac:dyDescent="0.35">
      <c r="A71" s="128"/>
      <c r="B71" s="38" t="s">
        <v>104</v>
      </c>
      <c r="C71" s="26">
        <f t="shared" ref="C71:N71" si="16">IF(OR(C69="",C70=""),"",C70/C69)</f>
        <v>1.8524590163934425</v>
      </c>
      <c r="D71" s="26">
        <f t="shared" si="16"/>
        <v>1.8484848484848486</v>
      </c>
      <c r="E71" s="26">
        <f t="shared" si="16"/>
        <v>1.846153846153846</v>
      </c>
      <c r="F71" s="26">
        <f t="shared" si="16"/>
        <v>1.8411214953271027</v>
      </c>
      <c r="G71" s="26">
        <f t="shared" si="16"/>
        <v>1.8363636363636362</v>
      </c>
      <c r="H71" s="26">
        <f t="shared" si="16"/>
        <v>1.8513513513513515</v>
      </c>
      <c r="I71" s="26">
        <f t="shared" si="16"/>
        <v>1.8481012658227847</v>
      </c>
      <c r="J71" s="26">
        <f t="shared" si="16"/>
        <v>1.8363636363636362</v>
      </c>
      <c r="K71" s="26">
        <f t="shared" si="16"/>
        <v>1.8666666666666665</v>
      </c>
      <c r="L71" s="26">
        <f t="shared" si="16"/>
        <v>1.8571428571428574</v>
      </c>
      <c r="M71" s="26">
        <f t="shared" si="16"/>
        <v>1.8688524590163933</v>
      </c>
      <c r="N71" s="26">
        <f t="shared" si="16"/>
        <v>1.8548387096774193</v>
      </c>
    </row>
    <row r="72" spans="1:14" ht="16.8" thickTop="1" thickBot="1" x14ac:dyDescent="0.35">
      <c r="A72" s="128">
        <v>80</v>
      </c>
      <c r="B72" s="30" t="s">
        <v>102</v>
      </c>
      <c r="C72" s="37">
        <v>1.07</v>
      </c>
      <c r="D72" s="37">
        <v>1.73</v>
      </c>
      <c r="E72" s="37">
        <v>1.59</v>
      </c>
      <c r="F72" s="37">
        <v>1.83</v>
      </c>
      <c r="G72" s="37">
        <v>0.96</v>
      </c>
      <c r="H72" s="37">
        <v>1.27</v>
      </c>
      <c r="I72" s="37">
        <v>1.38</v>
      </c>
      <c r="J72" s="37">
        <v>0.96</v>
      </c>
      <c r="K72" s="37">
        <v>1.29</v>
      </c>
      <c r="L72" s="37">
        <v>1.23</v>
      </c>
      <c r="M72" s="37">
        <v>1.08</v>
      </c>
      <c r="N72" s="37">
        <v>1.07</v>
      </c>
    </row>
    <row r="73" spans="1:14" ht="16.8" thickTop="1" thickBot="1" x14ac:dyDescent="0.35">
      <c r="A73" s="128"/>
      <c r="B73" s="20" t="s">
        <v>103</v>
      </c>
      <c r="C73" s="32">
        <v>1.86</v>
      </c>
      <c r="D73" s="32">
        <v>3.01</v>
      </c>
      <c r="E73" s="32">
        <v>2.77</v>
      </c>
      <c r="F73" s="32">
        <v>3.18</v>
      </c>
      <c r="G73" s="32">
        <v>1.67</v>
      </c>
      <c r="H73" s="32">
        <v>2.21</v>
      </c>
      <c r="I73" s="32">
        <v>2.4</v>
      </c>
      <c r="J73" s="32">
        <v>1.67</v>
      </c>
      <c r="K73" s="32">
        <v>2.25</v>
      </c>
      <c r="L73" s="32">
        <v>2.14</v>
      </c>
      <c r="M73" s="32">
        <v>1.87</v>
      </c>
      <c r="N73" s="32">
        <v>1.86</v>
      </c>
    </row>
    <row r="74" spans="1:14" ht="16.8" thickTop="1" thickBot="1" x14ac:dyDescent="0.35">
      <c r="A74" s="128"/>
      <c r="B74" s="38" t="s">
        <v>104</v>
      </c>
      <c r="C74" s="26">
        <f t="shared" ref="C74:N74" si="17">IF(OR(C72="",C73=""),"",C73/C72)</f>
        <v>1.7383177570093458</v>
      </c>
      <c r="D74" s="26">
        <f t="shared" si="17"/>
        <v>1.7398843930635837</v>
      </c>
      <c r="E74" s="26">
        <f t="shared" si="17"/>
        <v>1.742138364779874</v>
      </c>
      <c r="F74" s="26">
        <f t="shared" si="17"/>
        <v>1.7377049180327868</v>
      </c>
      <c r="G74" s="26">
        <f t="shared" si="17"/>
        <v>1.7395833333333333</v>
      </c>
      <c r="H74" s="26">
        <f t="shared" si="17"/>
        <v>1.7401574803149606</v>
      </c>
      <c r="I74" s="26">
        <f t="shared" si="17"/>
        <v>1.7391304347826089</v>
      </c>
      <c r="J74" s="26">
        <f t="shared" si="17"/>
        <v>1.7395833333333333</v>
      </c>
      <c r="K74" s="26">
        <f t="shared" si="17"/>
        <v>1.7441860465116279</v>
      </c>
      <c r="L74" s="26">
        <f t="shared" si="17"/>
        <v>1.7398373983739839</v>
      </c>
      <c r="M74" s="26">
        <f t="shared" si="17"/>
        <v>1.7314814814814814</v>
      </c>
      <c r="N74" s="26">
        <f t="shared" si="17"/>
        <v>1.7383177570093458</v>
      </c>
    </row>
    <row r="75" spans="1:14" ht="16.8" thickTop="1" thickBot="1" x14ac:dyDescent="0.35">
      <c r="A75" s="128">
        <v>100</v>
      </c>
      <c r="B75" s="30" t="s">
        <v>102</v>
      </c>
      <c r="C75" s="37">
        <v>2.4300000000000002</v>
      </c>
      <c r="D75" s="37">
        <v>3.94</v>
      </c>
      <c r="E75" s="37">
        <v>3.62</v>
      </c>
      <c r="F75" s="37">
        <v>4.1900000000000004</v>
      </c>
      <c r="G75" s="37">
        <v>2.1800000000000002</v>
      </c>
      <c r="H75" s="37">
        <v>2.91</v>
      </c>
      <c r="I75" s="37">
        <v>3.14</v>
      </c>
      <c r="J75" s="37">
        <v>2.1800000000000002</v>
      </c>
      <c r="K75" s="37">
        <v>2.96</v>
      </c>
      <c r="L75" s="37">
        <v>2.8</v>
      </c>
      <c r="M75" s="37">
        <v>2.44</v>
      </c>
      <c r="N75" s="37">
        <v>2.4500000000000002</v>
      </c>
    </row>
    <row r="76" spans="1:14" ht="16.8" thickTop="1" thickBot="1" x14ac:dyDescent="0.35">
      <c r="A76" s="128"/>
      <c r="B76" s="20" t="s">
        <v>103</v>
      </c>
      <c r="C76" s="32">
        <v>3.9</v>
      </c>
      <c r="D76" s="32">
        <v>6.32</v>
      </c>
      <c r="E76" s="32">
        <v>5.81</v>
      </c>
      <c r="F76" s="32">
        <v>6.75</v>
      </c>
      <c r="G76" s="32">
        <v>3.5</v>
      </c>
      <c r="H76" s="32">
        <v>4.68</v>
      </c>
      <c r="I76" s="32">
        <v>5.03</v>
      </c>
      <c r="J76" s="32">
        <v>3.5</v>
      </c>
      <c r="K76" s="32">
        <v>4.7699999999999996</v>
      </c>
      <c r="L76" s="32">
        <v>4.49</v>
      </c>
      <c r="M76" s="32">
        <v>3.92</v>
      </c>
      <c r="N76" s="32">
        <v>3.94</v>
      </c>
    </row>
    <row r="77" spans="1:14" ht="16.8" thickTop="1" thickBot="1" x14ac:dyDescent="0.35">
      <c r="A77" s="128"/>
      <c r="B77" s="38" t="s">
        <v>104</v>
      </c>
      <c r="C77" s="26">
        <f t="shared" ref="C77:N77" si="18">IF(OR(C75="",C76=""),"",C76/C75)</f>
        <v>1.6049382716049381</v>
      </c>
      <c r="D77" s="26">
        <f t="shared" si="18"/>
        <v>1.6040609137055839</v>
      </c>
      <c r="E77" s="26">
        <f t="shared" si="18"/>
        <v>1.6049723756906076</v>
      </c>
      <c r="F77" s="26">
        <f t="shared" si="18"/>
        <v>1.610978520286396</v>
      </c>
      <c r="G77" s="26">
        <f t="shared" si="18"/>
        <v>1.6055045871559632</v>
      </c>
      <c r="H77" s="26">
        <f t="shared" si="18"/>
        <v>1.6082474226804122</v>
      </c>
      <c r="I77" s="26">
        <f t="shared" si="18"/>
        <v>1.6019108280254777</v>
      </c>
      <c r="J77" s="26">
        <f t="shared" si="18"/>
        <v>1.6055045871559632</v>
      </c>
      <c r="K77" s="26">
        <f t="shared" si="18"/>
        <v>1.6114864864864864</v>
      </c>
      <c r="L77" s="26">
        <f t="shared" si="18"/>
        <v>1.6035714285714286</v>
      </c>
      <c r="M77" s="26">
        <f t="shared" si="18"/>
        <v>1.6065573770491803</v>
      </c>
      <c r="N77" s="26">
        <f t="shared" si="18"/>
        <v>1.6081632653061224</v>
      </c>
    </row>
    <row r="78" spans="1:14" ht="16.8" thickTop="1" thickBot="1" x14ac:dyDescent="0.35">
      <c r="A78" s="128">
        <v>120</v>
      </c>
      <c r="B78" s="30" t="s">
        <v>102</v>
      </c>
      <c r="C78" s="37">
        <v>4.28</v>
      </c>
      <c r="D78" s="37">
        <v>6.93</v>
      </c>
      <c r="E78" s="37">
        <v>6.37</v>
      </c>
      <c r="F78" s="37">
        <v>7.5</v>
      </c>
      <c r="G78" s="37">
        <v>3.84</v>
      </c>
      <c r="H78" s="37">
        <v>5</v>
      </c>
      <c r="I78" s="37">
        <v>5.52</v>
      </c>
      <c r="J78" s="37">
        <v>3.84</v>
      </c>
      <c r="K78" s="37">
        <v>5.3</v>
      </c>
      <c r="L78" s="37">
        <v>4.93</v>
      </c>
      <c r="M78" s="37">
        <v>4.3</v>
      </c>
      <c r="N78" s="37">
        <v>4.37</v>
      </c>
    </row>
    <row r="79" spans="1:14" ht="16.8" thickTop="1" thickBot="1" x14ac:dyDescent="0.35">
      <c r="A79" s="128"/>
      <c r="B79" s="20" t="s">
        <v>103</v>
      </c>
      <c r="C79" s="32">
        <v>6.61</v>
      </c>
      <c r="D79" s="32">
        <v>10.7</v>
      </c>
      <c r="E79" s="32">
        <v>9.84</v>
      </c>
      <c r="F79" s="32">
        <v>11.55</v>
      </c>
      <c r="G79" s="32">
        <v>5.93</v>
      </c>
      <c r="H79" s="32">
        <v>8.01</v>
      </c>
      <c r="I79" s="32">
        <v>8.5299999999999994</v>
      </c>
      <c r="J79" s="32">
        <v>5.93</v>
      </c>
      <c r="K79" s="32">
        <v>8.16</v>
      </c>
      <c r="L79" s="32">
        <v>7.61</v>
      </c>
      <c r="M79" s="32">
        <v>6.64</v>
      </c>
      <c r="N79" s="32">
        <v>6.74</v>
      </c>
    </row>
    <row r="80" spans="1:14" ht="16.8" thickTop="1" thickBot="1" x14ac:dyDescent="0.35">
      <c r="A80" s="128"/>
      <c r="B80" s="38" t="s">
        <v>104</v>
      </c>
      <c r="C80" s="26">
        <f t="shared" ref="C80:N80" si="19">IF(OR(C78="",C79=""),"",C79/C78)</f>
        <v>1.544392523364486</v>
      </c>
      <c r="D80" s="26">
        <f t="shared" si="19"/>
        <v>1.5440115440115441</v>
      </c>
      <c r="E80" s="26">
        <f t="shared" si="19"/>
        <v>1.5447409733124018</v>
      </c>
      <c r="F80" s="26">
        <f t="shared" si="19"/>
        <v>1.54</v>
      </c>
      <c r="G80" s="26">
        <f t="shared" si="19"/>
        <v>1.5442708333333333</v>
      </c>
      <c r="H80" s="26">
        <f t="shared" si="19"/>
        <v>1.6019999999999999</v>
      </c>
      <c r="I80" s="26">
        <f t="shared" si="19"/>
        <v>1.5452898550724639</v>
      </c>
      <c r="J80" s="26">
        <f t="shared" si="19"/>
        <v>1.5442708333333333</v>
      </c>
      <c r="K80" s="26">
        <f t="shared" si="19"/>
        <v>1.5396226415094341</v>
      </c>
      <c r="L80" s="26">
        <f t="shared" si="19"/>
        <v>1.543610547667343</v>
      </c>
      <c r="M80" s="26">
        <f t="shared" si="19"/>
        <v>1.5441860465116279</v>
      </c>
      <c r="N80" s="26">
        <f t="shared" si="19"/>
        <v>1.5423340961098397</v>
      </c>
    </row>
    <row r="81" spans="1:14" ht="16.8" thickTop="1" thickBot="1" x14ac:dyDescent="0.35">
      <c r="A81" s="128">
        <v>140</v>
      </c>
      <c r="B81" s="30" t="s">
        <v>102</v>
      </c>
      <c r="C81" s="37">
        <v>6.57</v>
      </c>
      <c r="D81" s="37">
        <v>10.64</v>
      </c>
      <c r="E81" s="37">
        <v>9.7799999999999994</v>
      </c>
      <c r="F81" s="37">
        <v>11.59</v>
      </c>
      <c r="G81" s="37">
        <v>5.89</v>
      </c>
      <c r="H81" s="37">
        <v>8.0299999999999994</v>
      </c>
      <c r="I81" s="37">
        <v>8.4700000000000006</v>
      </c>
      <c r="J81" s="37">
        <v>5.89</v>
      </c>
      <c r="K81" s="37">
        <v>8.19</v>
      </c>
      <c r="L81" s="37">
        <v>7.56</v>
      </c>
      <c r="M81" s="37">
        <v>6.6</v>
      </c>
      <c r="N81" s="37">
        <v>6.76</v>
      </c>
    </row>
    <row r="82" spans="1:14" ht="16.8" thickTop="1" thickBot="1" x14ac:dyDescent="0.35">
      <c r="A82" s="128"/>
      <c r="B82" s="20" t="s">
        <v>103</v>
      </c>
      <c r="C82" s="32">
        <v>9.94</v>
      </c>
      <c r="D82" s="32">
        <v>16.09</v>
      </c>
      <c r="E82" s="32">
        <v>14.79</v>
      </c>
      <c r="F82" s="32">
        <v>17.62</v>
      </c>
      <c r="G82" s="32">
        <v>8.91</v>
      </c>
      <c r="H82" s="32">
        <v>12.22</v>
      </c>
      <c r="I82" s="32">
        <v>12.81</v>
      </c>
      <c r="J82" s="32">
        <v>8.91</v>
      </c>
      <c r="K82" s="32">
        <v>12.45</v>
      </c>
      <c r="L82" s="32">
        <v>11.43</v>
      </c>
      <c r="M82" s="32">
        <v>9.98</v>
      </c>
      <c r="N82" s="32">
        <v>10.28</v>
      </c>
    </row>
    <row r="83" spans="1:14" ht="16.8" thickTop="1" thickBot="1" x14ac:dyDescent="0.35">
      <c r="A83" s="128"/>
      <c r="B83" s="38" t="s">
        <v>104</v>
      </c>
      <c r="C83" s="26">
        <f t="shared" ref="C83:N83" si="20">IF(OR(C81="",C82=""),"",C82/C81)</f>
        <v>1.5129375951293758</v>
      </c>
      <c r="D83" s="26">
        <f t="shared" si="20"/>
        <v>1.5122180451127818</v>
      </c>
      <c r="E83" s="26">
        <f t="shared" si="20"/>
        <v>1.5122699386503067</v>
      </c>
      <c r="F83" s="26">
        <f t="shared" si="20"/>
        <v>1.5202761000862814</v>
      </c>
      <c r="G83" s="26">
        <f t="shared" si="20"/>
        <v>1.5127334465195248</v>
      </c>
      <c r="H83" s="26">
        <f t="shared" si="20"/>
        <v>1.5217932752179331</v>
      </c>
      <c r="I83" s="26">
        <f t="shared" si="20"/>
        <v>1.5123966942148759</v>
      </c>
      <c r="J83" s="26">
        <f t="shared" si="20"/>
        <v>1.5127334465195248</v>
      </c>
      <c r="K83" s="26">
        <f t="shared" si="20"/>
        <v>1.5201465201465201</v>
      </c>
      <c r="L83" s="26">
        <f t="shared" si="20"/>
        <v>1.5119047619047619</v>
      </c>
      <c r="M83" s="26">
        <f t="shared" si="20"/>
        <v>1.5121212121212122</v>
      </c>
      <c r="N83" s="26">
        <f t="shared" si="20"/>
        <v>1.5207100591715976</v>
      </c>
    </row>
    <row r="84" spans="1:14" ht="15" customHeight="1" thickTop="1" thickBot="1" x14ac:dyDescent="0.35">
      <c r="A84" s="128" t="s">
        <v>105</v>
      </c>
      <c r="B84" s="30" t="s">
        <v>102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</row>
    <row r="85" spans="1:14" ht="15" customHeight="1" thickTop="1" thickBot="1" x14ac:dyDescent="0.35">
      <c r="A85" s="128"/>
      <c r="B85" s="20" t="s">
        <v>103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 ht="15" customHeight="1" thickTop="1" thickBot="1" x14ac:dyDescent="0.35">
      <c r="A86" s="128"/>
      <c r="B86" s="38" t="s">
        <v>104</v>
      </c>
      <c r="C86" s="26" t="str">
        <f t="shared" ref="C86:N86" si="21">IF(OR(C84="",C85=""),"",C85/C84)</f>
        <v/>
      </c>
      <c r="D86" s="26" t="str">
        <f t="shared" si="21"/>
        <v/>
      </c>
      <c r="E86" s="26" t="str">
        <f t="shared" si="21"/>
        <v/>
      </c>
      <c r="F86" s="26" t="str">
        <f t="shared" si="21"/>
        <v/>
      </c>
      <c r="G86" s="26" t="str">
        <f t="shared" si="21"/>
        <v/>
      </c>
      <c r="H86" s="26" t="str">
        <f t="shared" si="21"/>
        <v/>
      </c>
      <c r="I86" s="26" t="str">
        <f t="shared" si="21"/>
        <v/>
      </c>
      <c r="J86" s="26" t="str">
        <f t="shared" si="21"/>
        <v/>
      </c>
      <c r="K86" s="26" t="str">
        <f t="shared" si="21"/>
        <v/>
      </c>
      <c r="L86" s="26" t="str">
        <f t="shared" si="21"/>
        <v/>
      </c>
      <c r="M86" s="26" t="str">
        <f t="shared" si="21"/>
        <v/>
      </c>
      <c r="N86" s="26" t="str">
        <f t="shared" si="21"/>
        <v/>
      </c>
    </row>
    <row r="87" spans="1:14" ht="15" customHeight="1" thickTop="1" thickBot="1" x14ac:dyDescent="0.35">
      <c r="A87" s="128" t="s">
        <v>107</v>
      </c>
      <c r="B87" s="30" t="s">
        <v>102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</row>
    <row r="88" spans="1:14" ht="15" customHeight="1" thickTop="1" thickBot="1" x14ac:dyDescent="0.35">
      <c r="A88" s="128"/>
      <c r="B88" s="20" t="s">
        <v>103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</row>
    <row r="89" spans="1:14" ht="15" customHeight="1" thickTop="1" thickBot="1" x14ac:dyDescent="0.35">
      <c r="A89" s="128"/>
      <c r="B89" s="38" t="s">
        <v>104</v>
      </c>
      <c r="C89" s="26" t="str">
        <f t="shared" ref="C89:N89" si="22">IF(OR(C87="",C88=""),"",C88/C87)</f>
        <v/>
      </c>
      <c r="D89" s="26" t="str">
        <f t="shared" si="22"/>
        <v/>
      </c>
      <c r="E89" s="26" t="str">
        <f t="shared" si="22"/>
        <v/>
      </c>
      <c r="F89" s="26" t="str">
        <f t="shared" si="22"/>
        <v/>
      </c>
      <c r="G89" s="26" t="str">
        <f t="shared" si="22"/>
        <v/>
      </c>
      <c r="H89" s="26" t="str">
        <f t="shared" si="22"/>
        <v/>
      </c>
      <c r="I89" s="26" t="str">
        <f t="shared" si="22"/>
        <v/>
      </c>
      <c r="J89" s="26" t="str">
        <f t="shared" si="22"/>
        <v/>
      </c>
      <c r="K89" s="26" t="str">
        <f t="shared" si="22"/>
        <v/>
      </c>
      <c r="L89" s="26" t="str">
        <f t="shared" si="22"/>
        <v/>
      </c>
      <c r="M89" s="26" t="str">
        <f t="shared" si="22"/>
        <v/>
      </c>
      <c r="N89" s="26" t="str">
        <f t="shared" si="22"/>
        <v/>
      </c>
    </row>
    <row r="90" spans="1:14" ht="15" customHeight="1" thickTop="1" thickBot="1" x14ac:dyDescent="0.35">
      <c r="A90" s="128" t="s">
        <v>109</v>
      </c>
      <c r="B90" s="30" t="s">
        <v>102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</row>
    <row r="91" spans="1:14" ht="15" customHeight="1" thickTop="1" thickBot="1" x14ac:dyDescent="0.35">
      <c r="A91" s="128"/>
      <c r="B91" s="20" t="s">
        <v>103</v>
      </c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</row>
    <row r="92" spans="1:14" ht="15" customHeight="1" thickTop="1" thickBot="1" x14ac:dyDescent="0.35">
      <c r="A92" s="128"/>
      <c r="B92" s="38" t="s">
        <v>104</v>
      </c>
      <c r="C92" s="26" t="str">
        <f t="shared" ref="C92:N92" si="23">IF(OR(C90="",C91=""),"",C91/C90)</f>
        <v/>
      </c>
      <c r="D92" s="26" t="str">
        <f t="shared" si="23"/>
        <v/>
      </c>
      <c r="E92" s="26" t="str">
        <f t="shared" si="23"/>
        <v/>
      </c>
      <c r="F92" s="26" t="str">
        <f t="shared" si="23"/>
        <v/>
      </c>
      <c r="G92" s="26" t="str">
        <f t="shared" si="23"/>
        <v/>
      </c>
      <c r="H92" s="26" t="str">
        <f t="shared" si="23"/>
        <v/>
      </c>
      <c r="I92" s="26" t="str">
        <f t="shared" si="23"/>
        <v/>
      </c>
      <c r="J92" s="26" t="str">
        <f t="shared" si="23"/>
        <v/>
      </c>
      <c r="K92" s="26" t="str">
        <f t="shared" si="23"/>
        <v/>
      </c>
      <c r="L92" s="26" t="str">
        <f t="shared" si="23"/>
        <v/>
      </c>
      <c r="M92" s="26" t="str">
        <f t="shared" si="23"/>
        <v/>
      </c>
      <c r="N92" s="26" t="str">
        <f t="shared" si="23"/>
        <v/>
      </c>
    </row>
    <row r="93" spans="1:14" ht="15" customHeight="1" thickTop="1" x14ac:dyDescent="0.3"/>
    <row r="94" spans="1:14" ht="16.2" thickBot="1" x14ac:dyDescent="0.35">
      <c r="A94" s="8" t="s">
        <v>125</v>
      </c>
    </row>
    <row r="95" spans="1:14" ht="16.2" thickTop="1" x14ac:dyDescent="0.3">
      <c r="B95" s="15" t="s">
        <v>100</v>
      </c>
      <c r="C95" s="31" t="s">
        <v>13</v>
      </c>
      <c r="D95" s="31" t="s">
        <v>26</v>
      </c>
      <c r="E95" s="31" t="s">
        <v>34</v>
      </c>
      <c r="F95" s="31" t="s">
        <v>34</v>
      </c>
      <c r="G95" s="31" t="s">
        <v>14</v>
      </c>
      <c r="H95" s="31" t="s">
        <v>15</v>
      </c>
      <c r="I95" s="31" t="s">
        <v>17</v>
      </c>
      <c r="J95" s="31" t="s">
        <v>18</v>
      </c>
      <c r="K95" s="31" t="s">
        <v>16</v>
      </c>
      <c r="L95" s="31" t="s">
        <v>20</v>
      </c>
      <c r="M95" s="31" t="s">
        <v>21</v>
      </c>
      <c r="N95" s="31" t="s">
        <v>22</v>
      </c>
    </row>
    <row r="96" spans="1:14" ht="15.6" x14ac:dyDescent="0.3">
      <c r="B96" s="18" t="s">
        <v>114</v>
      </c>
      <c r="C96" s="32">
        <v>2</v>
      </c>
      <c r="D96" s="32">
        <v>3.6</v>
      </c>
      <c r="E96" s="32">
        <v>4.8</v>
      </c>
      <c r="F96" s="32">
        <v>4.8</v>
      </c>
      <c r="G96" s="32">
        <v>5</v>
      </c>
      <c r="H96" s="32">
        <v>6</v>
      </c>
      <c r="I96" s="32">
        <v>7.2</v>
      </c>
      <c r="J96" s="32">
        <v>10</v>
      </c>
      <c r="K96" s="32">
        <v>12</v>
      </c>
      <c r="L96" s="32">
        <v>14.4</v>
      </c>
      <c r="M96" s="32">
        <v>38.4</v>
      </c>
      <c r="N96" s="32">
        <v>38.4</v>
      </c>
    </row>
    <row r="97" spans="1:14" ht="15.6" x14ac:dyDescent="0.3">
      <c r="B97" s="18" t="s">
        <v>101</v>
      </c>
      <c r="C97" s="32" t="s">
        <v>13</v>
      </c>
      <c r="D97" s="32" t="s">
        <v>26</v>
      </c>
      <c r="E97" s="32" t="s">
        <v>34</v>
      </c>
      <c r="F97" s="32" t="s">
        <v>31</v>
      </c>
      <c r="G97" s="32" t="s">
        <v>14</v>
      </c>
      <c r="H97" s="32" t="s">
        <v>16</v>
      </c>
      <c r="I97" s="32" t="s">
        <v>17</v>
      </c>
      <c r="J97" s="32" t="s">
        <v>18</v>
      </c>
      <c r="K97" s="32" t="s">
        <v>19</v>
      </c>
      <c r="L97" s="32" t="s">
        <v>20</v>
      </c>
      <c r="M97" s="32" t="s">
        <v>35</v>
      </c>
      <c r="N97" s="32" t="s">
        <v>123</v>
      </c>
    </row>
    <row r="98" spans="1:14" ht="16.2" thickBot="1" x14ac:dyDescent="0.35">
      <c r="B98" s="33" t="s">
        <v>115</v>
      </c>
      <c r="C98" s="40"/>
      <c r="D98" s="40"/>
      <c r="E98" s="40"/>
      <c r="F98" s="40" t="s">
        <v>121</v>
      </c>
      <c r="G98" s="40"/>
      <c r="H98" s="40" t="s">
        <v>121</v>
      </c>
      <c r="I98" s="40"/>
      <c r="J98" s="40"/>
      <c r="K98" s="40" t="s">
        <v>121</v>
      </c>
      <c r="L98" s="40"/>
      <c r="M98" s="40"/>
      <c r="N98" s="40" t="s">
        <v>121</v>
      </c>
    </row>
    <row r="99" spans="1:14" ht="16.8" thickTop="1" thickBot="1" x14ac:dyDescent="0.35">
      <c r="A99" s="7" t="s">
        <v>6</v>
      </c>
      <c r="B99" s="35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</row>
    <row r="100" spans="1:14" ht="16.8" thickTop="1" thickBot="1" x14ac:dyDescent="0.35">
      <c r="A100" s="128">
        <v>70</v>
      </c>
      <c r="B100" s="30" t="s">
        <v>102</v>
      </c>
      <c r="C100" s="37">
        <v>0.54</v>
      </c>
      <c r="D100" s="37">
        <v>0.87</v>
      </c>
      <c r="E100" s="37">
        <v>0.8</v>
      </c>
      <c r="F100" s="37">
        <v>0.93</v>
      </c>
      <c r="G100" s="37">
        <v>0.48</v>
      </c>
      <c r="H100" s="37">
        <v>0.65</v>
      </c>
      <c r="I100" s="37">
        <v>0.69</v>
      </c>
      <c r="J100" s="37">
        <v>0.48</v>
      </c>
      <c r="K100" s="37">
        <v>0.66</v>
      </c>
      <c r="L100" s="37">
        <v>0.62</v>
      </c>
      <c r="M100" s="37">
        <v>0.54</v>
      </c>
      <c r="N100" s="37">
        <v>0.55000000000000004</v>
      </c>
    </row>
    <row r="101" spans="1:14" ht="16.8" thickTop="1" thickBot="1" x14ac:dyDescent="0.35">
      <c r="A101" s="128"/>
      <c r="B101" s="20" t="s">
        <v>103</v>
      </c>
      <c r="C101" s="32">
        <v>0.9</v>
      </c>
      <c r="D101" s="32">
        <v>1.45</v>
      </c>
      <c r="E101" s="32">
        <v>1.33</v>
      </c>
      <c r="F101" s="32">
        <v>1.54</v>
      </c>
      <c r="G101" s="32">
        <v>0.8</v>
      </c>
      <c r="H101" s="32">
        <v>1.07</v>
      </c>
      <c r="I101" s="32">
        <v>1.1599999999999999</v>
      </c>
      <c r="J101" s="32">
        <v>0.8</v>
      </c>
      <c r="K101" s="32">
        <v>1.0900000000000001</v>
      </c>
      <c r="L101" s="32">
        <v>1.03</v>
      </c>
      <c r="M101" s="32">
        <v>0.9</v>
      </c>
      <c r="N101" s="32">
        <v>0.9</v>
      </c>
    </row>
    <row r="102" spans="1:14" ht="16.8" thickTop="1" thickBot="1" x14ac:dyDescent="0.35">
      <c r="A102" s="128"/>
      <c r="B102" s="38" t="s">
        <v>104</v>
      </c>
      <c r="C102" s="26">
        <f t="shared" ref="C102:N102" si="24">IF(OR(C100="",C101=""),"",C101/C100)</f>
        <v>1.6666666666666665</v>
      </c>
      <c r="D102" s="26">
        <f t="shared" si="24"/>
        <v>1.6666666666666665</v>
      </c>
      <c r="E102" s="26">
        <f t="shared" si="24"/>
        <v>1.6625000000000001</v>
      </c>
      <c r="F102" s="26">
        <f t="shared" si="24"/>
        <v>1.6559139784946235</v>
      </c>
      <c r="G102" s="26">
        <f t="shared" si="24"/>
        <v>1.6666666666666667</v>
      </c>
      <c r="H102" s="26">
        <f t="shared" si="24"/>
        <v>1.6461538461538463</v>
      </c>
      <c r="I102" s="26">
        <f t="shared" si="24"/>
        <v>1.681159420289855</v>
      </c>
      <c r="J102" s="26">
        <f t="shared" si="24"/>
        <v>1.6666666666666667</v>
      </c>
      <c r="K102" s="26">
        <f t="shared" si="24"/>
        <v>1.6515151515151516</v>
      </c>
      <c r="L102" s="26">
        <f t="shared" si="24"/>
        <v>1.6612903225806452</v>
      </c>
      <c r="M102" s="26">
        <f t="shared" si="24"/>
        <v>1.6666666666666665</v>
      </c>
      <c r="N102" s="26">
        <f t="shared" si="24"/>
        <v>1.6363636363636362</v>
      </c>
    </row>
    <row r="103" spans="1:14" ht="16.8" thickTop="1" thickBot="1" x14ac:dyDescent="0.35">
      <c r="A103" s="128">
        <v>80</v>
      </c>
      <c r="B103" s="30" t="s">
        <v>102</v>
      </c>
      <c r="C103" s="37">
        <v>0.94</v>
      </c>
      <c r="D103" s="37">
        <v>1.52</v>
      </c>
      <c r="E103" s="37">
        <v>1.39</v>
      </c>
      <c r="F103" s="37">
        <v>1.62</v>
      </c>
      <c r="G103" s="37">
        <v>0.84</v>
      </c>
      <c r="H103" s="37">
        <v>1.1200000000000001</v>
      </c>
      <c r="I103" s="37">
        <v>1.21</v>
      </c>
      <c r="J103" s="37">
        <v>0.84</v>
      </c>
      <c r="K103" s="37">
        <v>1.1499999999999999</v>
      </c>
      <c r="L103" s="37">
        <v>1.08</v>
      </c>
      <c r="M103" s="37">
        <v>0.94</v>
      </c>
      <c r="N103" s="37">
        <v>0.95</v>
      </c>
    </row>
    <row r="104" spans="1:14" ht="16.8" thickTop="1" thickBot="1" x14ac:dyDescent="0.35">
      <c r="A104" s="128"/>
      <c r="B104" s="20" t="s">
        <v>103</v>
      </c>
      <c r="C104" s="32">
        <v>1.46</v>
      </c>
      <c r="D104" s="32">
        <v>2.36</v>
      </c>
      <c r="E104" s="32">
        <v>2.17</v>
      </c>
      <c r="F104" s="32">
        <v>2.48</v>
      </c>
      <c r="G104" s="32">
        <v>1.31</v>
      </c>
      <c r="H104" s="32">
        <v>1.72</v>
      </c>
      <c r="I104" s="32">
        <v>1.88</v>
      </c>
      <c r="J104" s="32">
        <v>1.31</v>
      </c>
      <c r="K104" s="32">
        <v>1.76</v>
      </c>
      <c r="L104" s="32">
        <v>1.68</v>
      </c>
      <c r="M104" s="32">
        <v>1.47</v>
      </c>
      <c r="N104" s="32">
        <v>1.45</v>
      </c>
    </row>
    <row r="105" spans="1:14" ht="16.8" thickTop="1" thickBot="1" x14ac:dyDescent="0.35">
      <c r="A105" s="128"/>
      <c r="B105" s="38" t="s">
        <v>104</v>
      </c>
      <c r="C105" s="26">
        <f t="shared" ref="C105:N105" si="25">IF(OR(C103="",C104=""),"",C104/C103)</f>
        <v>1.5531914893617023</v>
      </c>
      <c r="D105" s="26">
        <f t="shared" si="25"/>
        <v>1.5526315789473684</v>
      </c>
      <c r="E105" s="26">
        <f t="shared" si="25"/>
        <v>1.5611510791366907</v>
      </c>
      <c r="F105" s="26">
        <f t="shared" si="25"/>
        <v>1.5308641975308641</v>
      </c>
      <c r="G105" s="26">
        <f t="shared" si="25"/>
        <v>1.5595238095238095</v>
      </c>
      <c r="H105" s="26">
        <f t="shared" si="25"/>
        <v>1.5357142857142856</v>
      </c>
      <c r="I105" s="26">
        <f t="shared" si="25"/>
        <v>1.5537190082644627</v>
      </c>
      <c r="J105" s="26">
        <f t="shared" si="25"/>
        <v>1.5595238095238095</v>
      </c>
      <c r="K105" s="26">
        <f t="shared" si="25"/>
        <v>1.5304347826086957</v>
      </c>
      <c r="L105" s="26">
        <f t="shared" si="25"/>
        <v>1.5555555555555554</v>
      </c>
      <c r="M105" s="26">
        <f t="shared" si="25"/>
        <v>1.5638297872340425</v>
      </c>
      <c r="N105" s="26">
        <f t="shared" si="25"/>
        <v>1.5263157894736843</v>
      </c>
    </row>
    <row r="106" spans="1:14" ht="16.8" thickTop="1" thickBot="1" x14ac:dyDescent="0.35">
      <c r="A106" s="128">
        <v>100</v>
      </c>
      <c r="B106" s="30" t="s">
        <v>102</v>
      </c>
      <c r="C106" s="37">
        <v>2.17</v>
      </c>
      <c r="D106" s="37">
        <v>3.51</v>
      </c>
      <c r="E106" s="37">
        <v>3.22</v>
      </c>
      <c r="F106" s="37">
        <v>3.75</v>
      </c>
      <c r="G106" s="37">
        <v>1.94</v>
      </c>
      <c r="H106" s="37">
        <v>2.6</v>
      </c>
      <c r="I106" s="37">
        <v>2.79</v>
      </c>
      <c r="J106" s="37">
        <v>1.94</v>
      </c>
      <c r="K106" s="37">
        <v>2.65</v>
      </c>
      <c r="L106" s="37">
        <v>2.4900000000000002</v>
      </c>
      <c r="M106" s="37">
        <v>2.17</v>
      </c>
      <c r="N106" s="37">
        <v>2.19</v>
      </c>
    </row>
    <row r="107" spans="1:14" ht="16.8" thickTop="1" thickBot="1" x14ac:dyDescent="0.35">
      <c r="A107" s="128"/>
      <c r="B107" s="20" t="s">
        <v>103</v>
      </c>
      <c r="C107" s="32">
        <v>3.12</v>
      </c>
      <c r="D107" s="32">
        <v>5.0599999999999996</v>
      </c>
      <c r="E107" s="32">
        <v>4.6500000000000004</v>
      </c>
      <c r="F107" s="32">
        <v>5.34</v>
      </c>
      <c r="G107" s="32">
        <v>2.8</v>
      </c>
      <c r="H107" s="32">
        <v>3.7</v>
      </c>
      <c r="I107" s="32">
        <v>4.03</v>
      </c>
      <c r="J107" s="32">
        <v>2.8</v>
      </c>
      <c r="K107" s="32">
        <v>3.78</v>
      </c>
      <c r="L107" s="32">
        <v>3.59</v>
      </c>
      <c r="M107" s="32">
        <v>3.14</v>
      </c>
      <c r="N107" s="32">
        <v>3.12</v>
      </c>
    </row>
    <row r="108" spans="1:14" ht="16.8" thickTop="1" thickBot="1" x14ac:dyDescent="0.35">
      <c r="A108" s="128"/>
      <c r="B108" s="38" t="s">
        <v>104</v>
      </c>
      <c r="C108" s="26">
        <f t="shared" ref="C108:N108" si="26">IF(OR(C106="",C107=""),"",C107/C106)</f>
        <v>1.4377880184331797</v>
      </c>
      <c r="D108" s="26">
        <f t="shared" si="26"/>
        <v>1.4415954415954415</v>
      </c>
      <c r="E108" s="26">
        <f t="shared" si="26"/>
        <v>1.4440993788819876</v>
      </c>
      <c r="F108" s="26">
        <f t="shared" si="26"/>
        <v>1.4239999999999999</v>
      </c>
      <c r="G108" s="26">
        <f t="shared" si="26"/>
        <v>1.4432989690721649</v>
      </c>
      <c r="H108" s="26">
        <f t="shared" si="26"/>
        <v>1.4230769230769231</v>
      </c>
      <c r="I108" s="26">
        <f t="shared" si="26"/>
        <v>1.4444444444444444</v>
      </c>
      <c r="J108" s="26">
        <f t="shared" si="26"/>
        <v>1.4432989690721649</v>
      </c>
      <c r="K108" s="26">
        <f t="shared" si="26"/>
        <v>1.4264150943396225</v>
      </c>
      <c r="L108" s="26">
        <f t="shared" si="26"/>
        <v>1.4417670682730921</v>
      </c>
      <c r="M108" s="26">
        <f t="shared" si="26"/>
        <v>1.447004608294931</v>
      </c>
      <c r="N108" s="26">
        <f t="shared" si="26"/>
        <v>1.4246575342465755</v>
      </c>
    </row>
    <row r="109" spans="1:14" ht="16.8" thickTop="1" thickBot="1" x14ac:dyDescent="0.35">
      <c r="A109" s="128">
        <v>120</v>
      </c>
      <c r="B109" s="30" t="s">
        <v>102</v>
      </c>
      <c r="C109" s="37">
        <v>3.84</v>
      </c>
      <c r="D109" s="37">
        <v>6.22</v>
      </c>
      <c r="E109" s="37">
        <v>5.72</v>
      </c>
      <c r="F109" s="37">
        <v>6.67</v>
      </c>
      <c r="G109" s="37">
        <v>3.45</v>
      </c>
      <c r="H109" s="37">
        <v>4.62</v>
      </c>
      <c r="I109" s="37">
        <v>4.95</v>
      </c>
      <c r="J109" s="37">
        <v>3.45</v>
      </c>
      <c r="K109" s="37">
        <v>4.71</v>
      </c>
      <c r="L109" s="37">
        <v>4.42</v>
      </c>
      <c r="M109" s="37">
        <v>3.86</v>
      </c>
      <c r="N109" s="37">
        <v>3.89</v>
      </c>
    </row>
    <row r="110" spans="1:14" ht="16.8" thickTop="1" thickBot="1" x14ac:dyDescent="0.35">
      <c r="A110" s="128"/>
      <c r="B110" s="20" t="s">
        <v>103</v>
      </c>
      <c r="C110" s="32">
        <v>5.36</v>
      </c>
      <c r="D110" s="32">
        <v>8.68</v>
      </c>
      <c r="E110" s="32">
        <v>7.98</v>
      </c>
      <c r="F110" s="32">
        <v>9.2100000000000009</v>
      </c>
      <c r="G110" s="32">
        <v>4.8099999999999996</v>
      </c>
      <c r="H110" s="32">
        <v>6.39</v>
      </c>
      <c r="I110" s="32">
        <v>6.91</v>
      </c>
      <c r="J110" s="32">
        <v>4.8099999999999996</v>
      </c>
      <c r="K110" s="32">
        <v>6.51</v>
      </c>
      <c r="L110" s="32">
        <v>6.17</v>
      </c>
      <c r="M110" s="32">
        <v>5.39</v>
      </c>
      <c r="N110" s="32">
        <v>5.38</v>
      </c>
    </row>
    <row r="111" spans="1:14" ht="16.8" thickTop="1" thickBot="1" x14ac:dyDescent="0.35">
      <c r="A111" s="128"/>
      <c r="B111" s="38" t="s">
        <v>104</v>
      </c>
      <c r="C111" s="26">
        <f t="shared" ref="C111:N111" si="27">IF(OR(C109="",C110=""),"",C110/C109)</f>
        <v>1.3958333333333335</v>
      </c>
      <c r="D111" s="26">
        <f t="shared" si="27"/>
        <v>1.3954983922829582</v>
      </c>
      <c r="E111" s="26">
        <f t="shared" si="27"/>
        <v>1.3951048951048952</v>
      </c>
      <c r="F111" s="26">
        <f t="shared" si="27"/>
        <v>1.3808095952023989</v>
      </c>
      <c r="G111" s="26">
        <f t="shared" si="27"/>
        <v>1.3942028985507244</v>
      </c>
      <c r="H111" s="26">
        <f t="shared" si="27"/>
        <v>1.383116883116883</v>
      </c>
      <c r="I111" s="26">
        <f t="shared" si="27"/>
        <v>1.3959595959595958</v>
      </c>
      <c r="J111" s="26">
        <f t="shared" si="27"/>
        <v>1.3942028985507244</v>
      </c>
      <c r="K111" s="26">
        <f t="shared" si="27"/>
        <v>1.3821656050955413</v>
      </c>
      <c r="L111" s="26">
        <f t="shared" si="27"/>
        <v>1.3959276018099547</v>
      </c>
      <c r="M111" s="26">
        <f t="shared" si="27"/>
        <v>1.3963730569948185</v>
      </c>
      <c r="N111" s="26">
        <f t="shared" si="27"/>
        <v>1.3830334190231361</v>
      </c>
    </row>
    <row r="112" spans="1:14" ht="16.8" thickTop="1" thickBot="1" x14ac:dyDescent="0.35">
      <c r="A112" s="128">
        <v>140</v>
      </c>
      <c r="B112" s="30" t="s">
        <v>102</v>
      </c>
      <c r="C112" s="37">
        <v>5.89</v>
      </c>
      <c r="D112" s="37">
        <v>9.5299999999999994</v>
      </c>
      <c r="E112" s="37">
        <v>8.76</v>
      </c>
      <c r="F112" s="37">
        <v>10.45</v>
      </c>
      <c r="G112" s="37">
        <v>5.28</v>
      </c>
      <c r="H112" s="37">
        <v>7.25</v>
      </c>
      <c r="I112" s="37">
        <v>7.59</v>
      </c>
      <c r="J112" s="37">
        <v>5.28</v>
      </c>
      <c r="K112" s="37">
        <v>7.38</v>
      </c>
      <c r="L112" s="37">
        <v>6.77</v>
      </c>
      <c r="M112" s="37">
        <v>5.91</v>
      </c>
      <c r="N112" s="37">
        <v>6.1</v>
      </c>
    </row>
    <row r="113" spans="1:14" ht="16.8" thickTop="1" thickBot="1" x14ac:dyDescent="0.35">
      <c r="A113" s="128"/>
      <c r="B113" s="20" t="s">
        <v>103</v>
      </c>
      <c r="C113" s="32">
        <v>8.0299999999999994</v>
      </c>
      <c r="D113" s="32">
        <v>13</v>
      </c>
      <c r="E113" s="32">
        <v>11.95</v>
      </c>
      <c r="F113" s="32">
        <v>14.2</v>
      </c>
      <c r="G113" s="32">
        <v>7.2</v>
      </c>
      <c r="H113" s="32">
        <v>9.84</v>
      </c>
      <c r="I113" s="32">
        <v>10.36</v>
      </c>
      <c r="J113" s="32">
        <v>7.2</v>
      </c>
      <c r="K113" s="32">
        <v>10.029999999999999</v>
      </c>
      <c r="L113" s="32">
        <v>9.24</v>
      </c>
      <c r="M113" s="32">
        <v>8.07</v>
      </c>
      <c r="N113" s="32">
        <v>8.2799999999999994</v>
      </c>
    </row>
    <row r="114" spans="1:14" ht="16.8" thickTop="1" thickBot="1" x14ac:dyDescent="0.35">
      <c r="A114" s="128"/>
      <c r="B114" s="38" t="s">
        <v>104</v>
      </c>
      <c r="C114" s="26">
        <f t="shared" ref="C114:N114" si="28">IF(OR(C112="",C113=""),"",C113/C112)</f>
        <v>1.363327674023769</v>
      </c>
      <c r="D114" s="26">
        <f t="shared" si="28"/>
        <v>1.3641133263378804</v>
      </c>
      <c r="E114" s="26">
        <f t="shared" si="28"/>
        <v>1.3641552511415524</v>
      </c>
      <c r="F114" s="26">
        <f t="shared" si="28"/>
        <v>1.3588516746411483</v>
      </c>
      <c r="G114" s="26">
        <f t="shared" si="28"/>
        <v>1.3636363636363635</v>
      </c>
      <c r="H114" s="26">
        <f t="shared" si="28"/>
        <v>1.3572413793103448</v>
      </c>
      <c r="I114" s="26">
        <f t="shared" si="28"/>
        <v>1.3649538866930171</v>
      </c>
      <c r="J114" s="26">
        <f t="shared" si="28"/>
        <v>1.3636363636363635</v>
      </c>
      <c r="K114" s="26">
        <f t="shared" si="28"/>
        <v>1.3590785907859078</v>
      </c>
      <c r="L114" s="26">
        <f t="shared" si="28"/>
        <v>1.3648449039881834</v>
      </c>
      <c r="M114" s="26">
        <f t="shared" si="28"/>
        <v>1.3654822335025381</v>
      </c>
      <c r="N114" s="26">
        <f t="shared" si="28"/>
        <v>1.3573770491803279</v>
      </c>
    </row>
    <row r="115" spans="1:14" ht="15" customHeight="1" thickTop="1" thickBot="1" x14ac:dyDescent="0.35">
      <c r="A115" s="128" t="s">
        <v>105</v>
      </c>
      <c r="B115" s="30" t="s">
        <v>102</v>
      </c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</row>
    <row r="116" spans="1:14" ht="15" customHeight="1" thickTop="1" thickBot="1" x14ac:dyDescent="0.35">
      <c r="A116" s="128"/>
      <c r="B116" s="20" t="s">
        <v>103</v>
      </c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</row>
    <row r="117" spans="1:14" ht="15" customHeight="1" thickTop="1" thickBot="1" x14ac:dyDescent="0.35">
      <c r="A117" s="128"/>
      <c r="B117" s="38" t="s">
        <v>104</v>
      </c>
      <c r="C117" s="26" t="str">
        <f t="shared" ref="C117:N117" si="29">IF(OR(C115="",C116=""),"",C116/C115)</f>
        <v/>
      </c>
      <c r="D117" s="26" t="str">
        <f t="shared" si="29"/>
        <v/>
      </c>
      <c r="E117" s="26" t="str">
        <f t="shared" si="29"/>
        <v/>
      </c>
      <c r="F117" s="26" t="str">
        <f t="shared" si="29"/>
        <v/>
      </c>
      <c r="G117" s="26" t="str">
        <f t="shared" si="29"/>
        <v/>
      </c>
      <c r="H117" s="26" t="str">
        <f t="shared" si="29"/>
        <v/>
      </c>
      <c r="I117" s="26" t="str">
        <f t="shared" si="29"/>
        <v/>
      </c>
      <c r="J117" s="26" t="str">
        <f t="shared" si="29"/>
        <v/>
      </c>
      <c r="K117" s="26" t="str">
        <f t="shared" si="29"/>
        <v/>
      </c>
      <c r="L117" s="26" t="str">
        <f t="shared" si="29"/>
        <v/>
      </c>
      <c r="M117" s="26" t="str">
        <f t="shared" si="29"/>
        <v/>
      </c>
      <c r="N117" s="26" t="str">
        <f t="shared" si="29"/>
        <v/>
      </c>
    </row>
    <row r="118" spans="1:14" ht="15" customHeight="1" thickTop="1" thickBot="1" x14ac:dyDescent="0.35">
      <c r="A118" s="128" t="s">
        <v>107</v>
      </c>
      <c r="B118" s="30" t="s">
        <v>102</v>
      </c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</row>
    <row r="119" spans="1:14" ht="15" customHeight="1" thickTop="1" thickBot="1" x14ac:dyDescent="0.35">
      <c r="A119" s="128"/>
      <c r="B119" s="20" t="s">
        <v>103</v>
      </c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4" ht="15" customHeight="1" thickTop="1" thickBot="1" x14ac:dyDescent="0.35">
      <c r="A120" s="128"/>
      <c r="B120" s="38" t="s">
        <v>104</v>
      </c>
      <c r="C120" s="26" t="str">
        <f t="shared" ref="C120:N120" si="30">IF(OR(C118="",C119=""),"",C119/C118)</f>
        <v/>
      </c>
      <c r="D120" s="26" t="str">
        <f t="shared" si="30"/>
        <v/>
      </c>
      <c r="E120" s="26" t="str">
        <f t="shared" si="30"/>
        <v/>
      </c>
      <c r="F120" s="26" t="str">
        <f t="shared" si="30"/>
        <v/>
      </c>
      <c r="G120" s="26" t="str">
        <f t="shared" si="30"/>
        <v/>
      </c>
      <c r="H120" s="26" t="str">
        <f t="shared" si="30"/>
        <v/>
      </c>
      <c r="I120" s="26" t="str">
        <f t="shared" si="30"/>
        <v/>
      </c>
      <c r="J120" s="26" t="str">
        <f t="shared" si="30"/>
        <v/>
      </c>
      <c r="K120" s="26" t="str">
        <f t="shared" si="30"/>
        <v/>
      </c>
      <c r="L120" s="26" t="str">
        <f t="shared" si="30"/>
        <v/>
      </c>
      <c r="M120" s="26" t="str">
        <f t="shared" si="30"/>
        <v/>
      </c>
      <c r="N120" s="26" t="str">
        <f t="shared" si="30"/>
        <v/>
      </c>
    </row>
    <row r="121" spans="1:14" ht="15" customHeight="1" thickTop="1" thickBot="1" x14ac:dyDescent="0.35">
      <c r="A121" s="128" t="s">
        <v>109</v>
      </c>
      <c r="B121" s="30" t="s">
        <v>102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</row>
    <row r="122" spans="1:14" ht="15" customHeight="1" thickTop="1" thickBot="1" x14ac:dyDescent="0.35">
      <c r="A122" s="128"/>
      <c r="B122" s="20" t="s">
        <v>103</v>
      </c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4" ht="15" customHeight="1" thickTop="1" thickBot="1" x14ac:dyDescent="0.35">
      <c r="A123" s="128"/>
      <c r="B123" s="38" t="s">
        <v>104</v>
      </c>
      <c r="C123" s="26" t="str">
        <f t="shared" ref="C123:N123" si="31">IF(OR(C121="",C122=""),"",C122/C121)</f>
        <v/>
      </c>
      <c r="D123" s="26" t="str">
        <f t="shared" si="31"/>
        <v/>
      </c>
      <c r="E123" s="26" t="str">
        <f t="shared" si="31"/>
        <v/>
      </c>
      <c r="F123" s="26" t="str">
        <f t="shared" si="31"/>
        <v/>
      </c>
      <c r="G123" s="26" t="str">
        <f t="shared" si="31"/>
        <v/>
      </c>
      <c r="H123" s="26" t="str">
        <f t="shared" si="31"/>
        <v/>
      </c>
      <c r="I123" s="26" t="str">
        <f t="shared" si="31"/>
        <v/>
      </c>
      <c r="J123" s="26" t="str">
        <f t="shared" si="31"/>
        <v/>
      </c>
      <c r="K123" s="26" t="str">
        <f t="shared" si="31"/>
        <v/>
      </c>
      <c r="L123" s="26" t="str">
        <f t="shared" si="31"/>
        <v/>
      </c>
      <c r="M123" s="26" t="str">
        <f t="shared" si="31"/>
        <v/>
      </c>
      <c r="N123" s="26" t="str">
        <f t="shared" si="31"/>
        <v/>
      </c>
    </row>
    <row r="124" spans="1:14" ht="15" customHeight="1" thickTop="1" x14ac:dyDescent="0.3"/>
    <row r="125" spans="1:14" ht="15" customHeight="1" thickBot="1" x14ac:dyDescent="0.35">
      <c r="A125" t="s">
        <v>178</v>
      </c>
    </row>
    <row r="126" spans="1:14" ht="15" customHeight="1" thickTop="1" x14ac:dyDescent="0.3">
      <c r="B126" s="15" t="s">
        <v>100</v>
      </c>
      <c r="C126" s="31" t="s">
        <v>18</v>
      </c>
      <c r="D126" s="31" t="s">
        <v>22</v>
      </c>
    </row>
    <row r="127" spans="1:14" ht="15" customHeight="1" thickBot="1" x14ac:dyDescent="0.35">
      <c r="B127" s="18" t="s">
        <v>114</v>
      </c>
      <c r="C127" s="32">
        <v>10</v>
      </c>
      <c r="D127" s="32">
        <v>38.4</v>
      </c>
    </row>
    <row r="128" spans="1:14" ht="15" customHeight="1" thickTop="1" thickBot="1" x14ac:dyDescent="0.35">
      <c r="A128" s="7" t="s">
        <v>6</v>
      </c>
      <c r="B128" s="35"/>
      <c r="C128" s="36"/>
      <c r="D128" s="36"/>
    </row>
    <row r="129" spans="1:4" ht="15" customHeight="1" thickTop="1" thickBot="1" x14ac:dyDescent="0.35">
      <c r="A129" s="128">
        <v>120</v>
      </c>
      <c r="B129" s="30" t="s">
        <v>102</v>
      </c>
      <c r="C129" s="37">
        <v>3.68</v>
      </c>
      <c r="D129" s="37">
        <v>4.28</v>
      </c>
    </row>
    <row r="130" spans="1:4" ht="15" customHeight="1" thickTop="1" thickBot="1" x14ac:dyDescent="0.35">
      <c r="A130" s="128"/>
      <c r="B130" s="20" t="s">
        <v>103</v>
      </c>
      <c r="C130" s="32">
        <v>3.7</v>
      </c>
      <c r="D130" s="32">
        <v>4.29</v>
      </c>
    </row>
    <row r="131" spans="1:4" ht="15" customHeight="1" thickTop="1" thickBot="1" x14ac:dyDescent="0.35">
      <c r="A131" s="128"/>
      <c r="B131" s="38" t="s">
        <v>104</v>
      </c>
      <c r="C131" s="26">
        <f t="shared" ref="C131:D131" si="32">IF(OR(C129="",C130=""),"",C130/C129)</f>
        <v>1.0054347826086956</v>
      </c>
      <c r="D131" s="26">
        <f t="shared" si="32"/>
        <v>1.0023364485981308</v>
      </c>
    </row>
    <row r="132" spans="1:4" ht="15" customHeight="1" thickTop="1" x14ac:dyDescent="0.3"/>
    <row r="133" spans="1:4" ht="15" customHeight="1" thickBot="1" x14ac:dyDescent="0.35">
      <c r="A133" t="s">
        <v>179</v>
      </c>
    </row>
    <row r="134" spans="1:4" ht="15" customHeight="1" thickTop="1" x14ac:dyDescent="0.3">
      <c r="B134" s="15" t="s">
        <v>100</v>
      </c>
      <c r="C134" s="31" t="s">
        <v>18</v>
      </c>
      <c r="D134" s="31" t="s">
        <v>22</v>
      </c>
    </row>
    <row r="135" spans="1:4" ht="15" customHeight="1" thickBot="1" x14ac:dyDescent="0.35">
      <c r="B135" s="18" t="s">
        <v>114</v>
      </c>
      <c r="C135" s="32">
        <v>10</v>
      </c>
      <c r="D135" s="32">
        <v>38.4</v>
      </c>
    </row>
    <row r="136" spans="1:4" ht="15" customHeight="1" thickTop="1" thickBot="1" x14ac:dyDescent="0.35">
      <c r="A136" s="7" t="s">
        <v>6</v>
      </c>
      <c r="B136" s="35"/>
      <c r="C136" s="36"/>
      <c r="D136" s="36"/>
    </row>
    <row r="137" spans="1:4" ht="15" customHeight="1" thickTop="1" thickBot="1" x14ac:dyDescent="0.35">
      <c r="A137" s="128">
        <v>120</v>
      </c>
      <c r="B137" s="30" t="s">
        <v>102</v>
      </c>
      <c r="C137" s="37">
        <v>3.44</v>
      </c>
      <c r="D137" s="37">
        <v>3.99</v>
      </c>
    </row>
    <row r="138" spans="1:4" ht="15" customHeight="1" thickTop="1" thickBot="1" x14ac:dyDescent="0.35">
      <c r="A138" s="128"/>
      <c r="B138" s="20" t="s">
        <v>103</v>
      </c>
      <c r="C138" s="32">
        <v>3.35</v>
      </c>
      <c r="D138" s="32">
        <v>3.89</v>
      </c>
    </row>
    <row r="139" spans="1:4" ht="15" customHeight="1" thickTop="1" thickBot="1" x14ac:dyDescent="0.35">
      <c r="A139" s="128"/>
      <c r="B139" s="38" t="s">
        <v>104</v>
      </c>
      <c r="C139" s="26">
        <f t="shared" ref="C139:D139" si="33">IF(OR(C137="",C138=""),"",C138/C137)</f>
        <v>0.97383720930232565</v>
      </c>
      <c r="D139" s="26">
        <f t="shared" si="33"/>
        <v>0.97493734335839599</v>
      </c>
    </row>
    <row r="140" spans="1:4" ht="15" customHeight="1" thickTop="1" x14ac:dyDescent="0.3"/>
    <row r="141" spans="1:4" ht="15" customHeight="1" thickBot="1" x14ac:dyDescent="0.35">
      <c r="A141" t="s">
        <v>180</v>
      </c>
    </row>
    <row r="142" spans="1:4" ht="15" customHeight="1" thickTop="1" x14ac:dyDescent="0.3">
      <c r="B142" s="15" t="s">
        <v>100</v>
      </c>
      <c r="C142" s="31" t="s">
        <v>18</v>
      </c>
      <c r="D142" s="31" t="s">
        <v>22</v>
      </c>
    </row>
    <row r="143" spans="1:4" ht="15" customHeight="1" thickBot="1" x14ac:dyDescent="0.35">
      <c r="B143" s="18" t="s">
        <v>114</v>
      </c>
      <c r="C143" s="32">
        <v>10</v>
      </c>
      <c r="D143" s="32">
        <v>38.4</v>
      </c>
    </row>
    <row r="144" spans="1:4" ht="15" customHeight="1" thickTop="1" thickBot="1" x14ac:dyDescent="0.35">
      <c r="A144" s="7" t="s">
        <v>6</v>
      </c>
      <c r="B144" s="35"/>
      <c r="C144" s="36"/>
      <c r="D144" s="36"/>
    </row>
    <row r="145" spans="1:4" ht="15" customHeight="1" thickTop="1" thickBot="1" x14ac:dyDescent="0.35">
      <c r="A145" s="128">
        <v>120</v>
      </c>
      <c r="B145" s="30" t="s">
        <v>102</v>
      </c>
      <c r="C145" s="37">
        <v>1.25</v>
      </c>
      <c r="D145" s="37">
        <v>1.45</v>
      </c>
    </row>
    <row r="146" spans="1:4" ht="15" customHeight="1" thickTop="1" thickBot="1" x14ac:dyDescent="0.35">
      <c r="A146" s="128"/>
      <c r="B146" s="20" t="s">
        <v>103</v>
      </c>
      <c r="C146" s="32">
        <v>1.84</v>
      </c>
      <c r="D146" s="32">
        <v>2.13</v>
      </c>
    </row>
    <row r="147" spans="1:4" ht="15" customHeight="1" thickTop="1" thickBot="1" x14ac:dyDescent="0.35">
      <c r="A147" s="128"/>
      <c r="B147" s="38" t="s">
        <v>104</v>
      </c>
      <c r="C147" s="26">
        <f t="shared" ref="C147:D147" si="34">IF(OR(C145="",C146=""),"",C146/C145)</f>
        <v>1.472</v>
      </c>
      <c r="D147" s="26">
        <f t="shared" si="34"/>
        <v>1.4689655172413794</v>
      </c>
    </row>
    <row r="148" spans="1:4" ht="15" customHeight="1" thickTop="1" x14ac:dyDescent="0.3"/>
    <row r="149" spans="1:4" ht="15" customHeight="1" thickBot="1" x14ac:dyDescent="0.35">
      <c r="A149" t="s">
        <v>181</v>
      </c>
    </row>
    <row r="150" spans="1:4" ht="15" customHeight="1" thickTop="1" x14ac:dyDescent="0.3">
      <c r="B150" s="15" t="s">
        <v>100</v>
      </c>
      <c r="C150" s="31" t="s">
        <v>18</v>
      </c>
      <c r="D150" s="31" t="s">
        <v>22</v>
      </c>
    </row>
    <row r="151" spans="1:4" ht="15" customHeight="1" thickBot="1" x14ac:dyDescent="0.35">
      <c r="B151" s="18" t="s">
        <v>114</v>
      </c>
      <c r="C151" s="32">
        <v>10</v>
      </c>
      <c r="D151" s="32">
        <v>38.4</v>
      </c>
    </row>
    <row r="152" spans="1:4" ht="15" customHeight="1" thickTop="1" thickBot="1" x14ac:dyDescent="0.35">
      <c r="A152" s="7" t="s">
        <v>6</v>
      </c>
      <c r="B152" s="35"/>
      <c r="C152" s="36"/>
      <c r="D152" s="36"/>
    </row>
    <row r="153" spans="1:4" ht="15" customHeight="1" thickTop="1" thickBot="1" x14ac:dyDescent="0.35">
      <c r="A153" s="128">
        <v>120</v>
      </c>
      <c r="B153" s="30" t="s">
        <v>102</v>
      </c>
      <c r="C153" s="37">
        <v>1.1200000000000001</v>
      </c>
      <c r="D153" s="37">
        <v>1.3</v>
      </c>
    </row>
    <row r="154" spans="1:4" ht="15" customHeight="1" thickTop="1" thickBot="1" x14ac:dyDescent="0.35">
      <c r="A154" s="128"/>
      <c r="B154" s="20" t="s">
        <v>103</v>
      </c>
      <c r="C154" s="32">
        <v>1.5</v>
      </c>
      <c r="D154" s="32">
        <v>1.74</v>
      </c>
    </row>
    <row r="155" spans="1:4" ht="15" customHeight="1" thickTop="1" thickBot="1" x14ac:dyDescent="0.35">
      <c r="A155" s="128"/>
      <c r="B155" s="38" t="s">
        <v>104</v>
      </c>
      <c r="C155" s="26">
        <f t="shared" ref="C155:D155" si="35">IF(OR(C153="",C154=""),"",C154/C153)</f>
        <v>1.3392857142857142</v>
      </c>
      <c r="D155" s="26">
        <f t="shared" si="35"/>
        <v>1.3384615384615384</v>
      </c>
    </row>
    <row r="156" spans="1:4" ht="15" customHeight="1" thickTop="1" x14ac:dyDescent="0.3"/>
  </sheetData>
  <mergeCells count="36">
    <mergeCell ref="A47:A49"/>
    <mergeCell ref="A7:A9"/>
    <mergeCell ref="A10:A12"/>
    <mergeCell ref="A13:A15"/>
    <mergeCell ref="A16:A18"/>
    <mergeCell ref="A19:A21"/>
    <mergeCell ref="A22:A24"/>
    <mergeCell ref="A25:A27"/>
    <mergeCell ref="A28:A30"/>
    <mergeCell ref="A38:A40"/>
    <mergeCell ref="A41:A43"/>
    <mergeCell ref="A44:A46"/>
    <mergeCell ref="A90:A92"/>
    <mergeCell ref="A50:A52"/>
    <mergeCell ref="A53:A55"/>
    <mergeCell ref="A56:A58"/>
    <mergeCell ref="A59:A61"/>
    <mergeCell ref="A69:A71"/>
    <mergeCell ref="A72:A74"/>
    <mergeCell ref="A75:A77"/>
    <mergeCell ref="A78:A80"/>
    <mergeCell ref="A81:A83"/>
    <mergeCell ref="A84:A86"/>
    <mergeCell ref="A87:A89"/>
    <mergeCell ref="A153:A155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9:A131"/>
    <mergeCell ref="A137:A139"/>
    <mergeCell ref="A145:A147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N111"/>
  <sheetViews>
    <sheetView zoomScaleNormal="100" workbookViewId="0">
      <selection activeCellId="1" sqref="D93:D181 A1"/>
    </sheetView>
  </sheetViews>
  <sheetFormatPr defaultColWidth="11.19921875" defaultRowHeight="15" customHeight="1" x14ac:dyDescent="0.3"/>
  <cols>
    <col min="1" max="14" width="8.59765625" customWidth="1"/>
  </cols>
  <sheetData>
    <row r="1" spans="1:14" ht="15.6" x14ac:dyDescent="0.3">
      <c r="A1" s="8" t="s">
        <v>97</v>
      </c>
    </row>
    <row r="2" spans="1:14" ht="15.6" x14ac:dyDescent="0.3">
      <c r="C2" s="15" t="s">
        <v>100</v>
      </c>
      <c r="D2" s="4" t="s">
        <v>14</v>
      </c>
      <c r="E2" s="16" t="s">
        <v>57</v>
      </c>
      <c r="F2" s="4" t="s">
        <v>68</v>
      </c>
      <c r="G2" s="16" t="s">
        <v>27</v>
      </c>
      <c r="H2" s="4" t="s">
        <v>58</v>
      </c>
      <c r="I2" s="16" t="s">
        <v>59</v>
      </c>
      <c r="J2" s="62" t="s">
        <v>154</v>
      </c>
      <c r="K2" s="4" t="s">
        <v>60</v>
      </c>
      <c r="L2" s="16" t="s">
        <v>61</v>
      </c>
      <c r="M2" s="4" t="s">
        <v>62</v>
      </c>
      <c r="N2" s="17" t="s">
        <v>63</v>
      </c>
    </row>
    <row r="3" spans="1:14" ht="15.6" x14ac:dyDescent="0.3">
      <c r="C3" s="18" t="s">
        <v>114</v>
      </c>
      <c r="D3" s="2">
        <v>5</v>
      </c>
      <c r="E3" s="19">
        <v>7.2</v>
      </c>
      <c r="F3" s="2">
        <v>9</v>
      </c>
      <c r="G3" s="19">
        <v>15</v>
      </c>
      <c r="H3" s="2">
        <v>14.4</v>
      </c>
      <c r="I3" s="19">
        <v>19.2</v>
      </c>
      <c r="J3" s="63">
        <v>19.2</v>
      </c>
      <c r="K3" s="2">
        <v>24</v>
      </c>
      <c r="L3" s="19">
        <v>28.8</v>
      </c>
      <c r="M3" s="2">
        <v>38.4</v>
      </c>
      <c r="N3" s="20">
        <v>57.6</v>
      </c>
    </row>
    <row r="4" spans="1:14" ht="15.6" x14ac:dyDescent="0.3">
      <c r="A4" s="115"/>
      <c r="C4" s="116"/>
      <c r="D4" s="117">
        <v>6.5</v>
      </c>
      <c r="E4" s="118">
        <v>7.5</v>
      </c>
      <c r="F4" s="117">
        <v>14.2</v>
      </c>
      <c r="G4" s="118">
        <v>20.2</v>
      </c>
      <c r="H4" s="117"/>
      <c r="I4" s="118">
        <v>29</v>
      </c>
      <c r="J4" s="119">
        <v>23.3</v>
      </c>
      <c r="K4" s="117">
        <v>29.2</v>
      </c>
      <c r="L4" s="118"/>
      <c r="M4" s="117">
        <v>49</v>
      </c>
      <c r="N4" s="120">
        <v>69</v>
      </c>
    </row>
    <row r="5" spans="1:14" ht="15" customHeight="1" x14ac:dyDescent="0.3">
      <c r="A5" s="147" t="s">
        <v>155</v>
      </c>
      <c r="C5" s="41" t="s">
        <v>101</v>
      </c>
      <c r="D5" s="42" t="s">
        <v>14</v>
      </c>
      <c r="E5" s="43" t="s">
        <v>57</v>
      </c>
      <c r="F5" s="42" t="s">
        <v>68</v>
      </c>
      <c r="G5" s="43" t="s">
        <v>27</v>
      </c>
      <c r="H5" s="42" t="s">
        <v>58</v>
      </c>
      <c r="I5" s="43" t="s">
        <v>59</v>
      </c>
      <c r="J5" s="111" t="s">
        <v>154</v>
      </c>
      <c r="K5" s="42" t="s">
        <v>60</v>
      </c>
      <c r="L5" s="43" t="s">
        <v>61</v>
      </c>
      <c r="M5" s="42" t="s">
        <v>62</v>
      </c>
      <c r="N5" s="44" t="s">
        <v>63</v>
      </c>
    </row>
    <row r="6" spans="1:14" ht="15.6" x14ac:dyDescent="0.3">
      <c r="A6" s="147"/>
      <c r="B6" s="7" t="s">
        <v>6</v>
      </c>
      <c r="C6" s="121"/>
      <c r="D6" s="22"/>
      <c r="E6" s="23"/>
      <c r="F6" s="22"/>
      <c r="G6" s="23"/>
      <c r="H6" s="22"/>
      <c r="I6" s="23"/>
      <c r="J6" s="122"/>
      <c r="K6" s="22"/>
      <c r="L6" s="23"/>
      <c r="M6" s="22"/>
      <c r="N6" s="24"/>
    </row>
    <row r="7" spans="1:14" ht="15.6" x14ac:dyDescent="0.3">
      <c r="A7" s="126" t="s">
        <v>156</v>
      </c>
      <c r="B7" s="148">
        <v>70</v>
      </c>
      <c r="C7" s="2" t="s">
        <v>102</v>
      </c>
      <c r="D7" s="2">
        <v>3.21</v>
      </c>
      <c r="E7" s="19">
        <v>2.69</v>
      </c>
      <c r="F7" s="2">
        <v>4.08</v>
      </c>
      <c r="G7" s="19">
        <v>3.88</v>
      </c>
      <c r="H7" s="2"/>
      <c r="I7" s="19">
        <v>4.09</v>
      </c>
      <c r="J7" s="63">
        <v>3.64</v>
      </c>
      <c r="K7" s="2">
        <v>3.56</v>
      </c>
      <c r="L7" s="19">
        <v>3.93</v>
      </c>
      <c r="M7" s="2">
        <v>3.72</v>
      </c>
      <c r="N7" s="20">
        <v>3.51</v>
      </c>
    </row>
    <row r="8" spans="1:14" ht="15.6" x14ac:dyDescent="0.3">
      <c r="A8" s="126"/>
      <c r="B8" s="148"/>
      <c r="C8" s="2" t="s">
        <v>103</v>
      </c>
      <c r="D8" s="2">
        <v>3.45</v>
      </c>
      <c r="E8" s="19">
        <v>2.9</v>
      </c>
      <c r="F8" s="2">
        <v>4.3899999999999997</v>
      </c>
      <c r="G8" s="19">
        <v>4.17</v>
      </c>
      <c r="H8" s="2"/>
      <c r="I8" s="19">
        <v>4.4000000000000004</v>
      </c>
      <c r="J8" s="63">
        <v>3.92</v>
      </c>
      <c r="K8" s="2">
        <v>3.83</v>
      </c>
      <c r="L8" s="19">
        <v>4.2300000000000004</v>
      </c>
      <c r="M8" s="2">
        <v>4</v>
      </c>
      <c r="N8" s="20">
        <v>3.77</v>
      </c>
    </row>
    <row r="9" spans="1:14" ht="15.6" x14ac:dyDescent="0.3">
      <c r="A9" s="126"/>
      <c r="B9" s="148"/>
      <c r="C9" s="25" t="s">
        <v>104</v>
      </c>
      <c r="D9" s="26">
        <f t="shared" ref="D9:N9" si="0">IF(OR(D7="",D8=""),"",D8/D7)</f>
        <v>1.0747663551401869</v>
      </c>
      <c r="E9" s="27">
        <f t="shared" si="0"/>
        <v>1.0780669144981412</v>
      </c>
      <c r="F9" s="26">
        <f t="shared" si="0"/>
        <v>1.0759803921568627</v>
      </c>
      <c r="G9" s="27">
        <f t="shared" si="0"/>
        <v>1.0747422680412371</v>
      </c>
      <c r="H9" s="26" t="str">
        <f t="shared" si="0"/>
        <v/>
      </c>
      <c r="I9" s="27">
        <f t="shared" si="0"/>
        <v>1.0757946210268949</v>
      </c>
      <c r="J9" s="123">
        <f t="shared" si="0"/>
        <v>1.0769230769230769</v>
      </c>
      <c r="K9" s="26">
        <f t="shared" si="0"/>
        <v>1.0758426966292134</v>
      </c>
      <c r="L9" s="27">
        <f t="shared" si="0"/>
        <v>1.0763358778625955</v>
      </c>
      <c r="M9" s="26">
        <f t="shared" si="0"/>
        <v>1.075268817204301</v>
      </c>
      <c r="N9" s="28">
        <f t="shared" si="0"/>
        <v>1.0740740740740742</v>
      </c>
    </row>
    <row r="10" spans="1:14" ht="15.6" x14ac:dyDescent="0.3">
      <c r="A10" s="126"/>
      <c r="B10" s="148">
        <v>90</v>
      </c>
      <c r="C10" s="2" t="s">
        <v>102</v>
      </c>
      <c r="D10" s="2">
        <v>7.13</v>
      </c>
      <c r="E10" s="19">
        <v>5.99</v>
      </c>
      <c r="F10" s="2">
        <v>9.08</v>
      </c>
      <c r="G10" s="19">
        <v>8.6300000000000008</v>
      </c>
      <c r="H10" s="2">
        <v>9.85</v>
      </c>
      <c r="I10" s="19">
        <v>9.11</v>
      </c>
      <c r="J10" s="63">
        <v>8.1</v>
      </c>
      <c r="K10" s="2">
        <v>7.92</v>
      </c>
      <c r="L10" s="19">
        <v>8.73</v>
      </c>
      <c r="M10" s="2">
        <v>8.27</v>
      </c>
      <c r="N10" s="20">
        <v>7.8</v>
      </c>
    </row>
    <row r="11" spans="1:14" ht="15.6" x14ac:dyDescent="0.3">
      <c r="A11" s="126"/>
      <c r="B11" s="148"/>
      <c r="C11" s="2" t="s">
        <v>103</v>
      </c>
      <c r="D11" s="2">
        <v>7.44</v>
      </c>
      <c r="E11" s="19">
        <v>6.25</v>
      </c>
      <c r="F11" s="2">
        <v>9.48</v>
      </c>
      <c r="G11" s="19">
        <v>9</v>
      </c>
      <c r="H11" s="2">
        <v>10.28</v>
      </c>
      <c r="I11" s="19">
        <v>9.5</v>
      </c>
      <c r="J11" s="63">
        <v>8.4499999999999993</v>
      </c>
      <c r="K11" s="2">
        <v>8.26</v>
      </c>
      <c r="L11" s="19">
        <v>9.1199999999999992</v>
      </c>
      <c r="M11" s="2">
        <v>8.6300000000000008</v>
      </c>
      <c r="N11" s="20">
        <v>8.14</v>
      </c>
    </row>
    <row r="12" spans="1:14" ht="15.6" x14ac:dyDescent="0.3">
      <c r="A12" s="126"/>
      <c r="B12" s="148"/>
      <c r="C12" s="25" t="s">
        <v>104</v>
      </c>
      <c r="D12" s="26">
        <f t="shared" ref="D12:N12" si="1">IF(OR(D10="",D11=""),"",D11/D10)</f>
        <v>1.0434782608695652</v>
      </c>
      <c r="E12" s="27">
        <f t="shared" si="1"/>
        <v>1.0434056761268782</v>
      </c>
      <c r="F12" s="26">
        <f t="shared" si="1"/>
        <v>1.0440528634361235</v>
      </c>
      <c r="G12" s="27">
        <f t="shared" si="1"/>
        <v>1.0428736964078793</v>
      </c>
      <c r="H12" s="26">
        <f t="shared" si="1"/>
        <v>1.0436548223350253</v>
      </c>
      <c r="I12" s="27">
        <f t="shared" si="1"/>
        <v>1.0428100987925357</v>
      </c>
      <c r="J12" s="123">
        <f t="shared" si="1"/>
        <v>1.0432098765432098</v>
      </c>
      <c r="K12" s="26">
        <f t="shared" si="1"/>
        <v>1.0429292929292928</v>
      </c>
      <c r="L12" s="27">
        <f t="shared" si="1"/>
        <v>1.0446735395189002</v>
      </c>
      <c r="M12" s="26">
        <f t="shared" si="1"/>
        <v>1.0435308343409917</v>
      </c>
      <c r="N12" s="28">
        <f t="shared" si="1"/>
        <v>1.0435897435897437</v>
      </c>
    </row>
    <row r="13" spans="1:14" ht="15.6" x14ac:dyDescent="0.3">
      <c r="A13" s="126"/>
      <c r="B13" s="148">
        <v>120</v>
      </c>
      <c r="C13" s="6" t="s">
        <v>102</v>
      </c>
      <c r="D13" s="6">
        <v>15.04</v>
      </c>
      <c r="E13" s="29">
        <v>12.64</v>
      </c>
      <c r="F13" s="6">
        <v>19.16</v>
      </c>
      <c r="G13" s="29">
        <v>18.2</v>
      </c>
      <c r="H13" s="6">
        <v>20.79</v>
      </c>
      <c r="I13" s="29">
        <v>19.21</v>
      </c>
      <c r="J13" s="5">
        <v>17.09</v>
      </c>
      <c r="K13" s="6">
        <v>16.7</v>
      </c>
      <c r="L13" s="29">
        <v>18.420000000000002</v>
      </c>
      <c r="M13" s="6">
        <v>17.43</v>
      </c>
      <c r="N13" s="30">
        <v>16.45</v>
      </c>
    </row>
    <row r="14" spans="1:14" ht="15.6" x14ac:dyDescent="0.3">
      <c r="A14" s="126"/>
      <c r="B14" s="148"/>
      <c r="C14" s="2" t="s">
        <v>103</v>
      </c>
      <c r="D14" s="2">
        <v>15.46</v>
      </c>
      <c r="E14" s="19">
        <v>12.99</v>
      </c>
      <c r="F14" s="2">
        <v>19.690000000000001</v>
      </c>
      <c r="G14" s="19">
        <v>18.7</v>
      </c>
      <c r="H14" s="2">
        <v>21.36</v>
      </c>
      <c r="I14" s="19">
        <v>19.739999999999998</v>
      </c>
      <c r="J14" s="63">
        <v>17.559999999999999</v>
      </c>
      <c r="K14" s="2">
        <v>17.170000000000002</v>
      </c>
      <c r="L14" s="19">
        <v>18.940000000000001</v>
      </c>
      <c r="M14" s="2">
        <v>17.920000000000002</v>
      </c>
      <c r="N14" s="20">
        <v>16.899999999999999</v>
      </c>
    </row>
    <row r="15" spans="1:14" ht="15.6" x14ac:dyDescent="0.3">
      <c r="A15" s="126"/>
      <c r="B15" s="148"/>
      <c r="C15" s="25" t="s">
        <v>104</v>
      </c>
      <c r="D15" s="26">
        <f t="shared" ref="D15:N15" si="2">IF(OR(D13="",D14=""),"",D14/D13)</f>
        <v>1.0279255319148937</v>
      </c>
      <c r="E15" s="27">
        <f t="shared" si="2"/>
        <v>1.0276898734177216</v>
      </c>
      <c r="F15" s="26">
        <f t="shared" si="2"/>
        <v>1.0276617954070981</v>
      </c>
      <c r="G15" s="27">
        <f t="shared" si="2"/>
        <v>1.0274725274725274</v>
      </c>
      <c r="H15" s="26">
        <f t="shared" si="2"/>
        <v>1.0274170274170273</v>
      </c>
      <c r="I15" s="27">
        <f t="shared" si="2"/>
        <v>1.027589796980739</v>
      </c>
      <c r="J15" s="123">
        <f t="shared" si="2"/>
        <v>1.0275014628437682</v>
      </c>
      <c r="K15" s="26">
        <f t="shared" si="2"/>
        <v>1.0281437125748505</v>
      </c>
      <c r="L15" s="27">
        <f t="shared" si="2"/>
        <v>1.0282301845819761</v>
      </c>
      <c r="M15" s="26">
        <f t="shared" si="2"/>
        <v>1.0281124497991969</v>
      </c>
      <c r="N15" s="28">
        <f t="shared" si="2"/>
        <v>1.0273556231003038</v>
      </c>
    </row>
    <row r="16" spans="1:14" ht="15.6" x14ac:dyDescent="0.3">
      <c r="A16" s="126"/>
      <c r="B16" s="148">
        <v>140</v>
      </c>
      <c r="C16" s="6" t="s">
        <v>102</v>
      </c>
      <c r="D16" s="6">
        <v>21.41</v>
      </c>
      <c r="E16" s="29">
        <v>17.989999999999998</v>
      </c>
      <c r="F16" s="6">
        <v>27.27</v>
      </c>
      <c r="G16" s="29">
        <v>25.91</v>
      </c>
      <c r="H16" s="6">
        <v>29.59</v>
      </c>
      <c r="I16" s="29">
        <v>27.43</v>
      </c>
      <c r="J16" s="5">
        <v>24.33</v>
      </c>
      <c r="K16" s="6">
        <v>23.78</v>
      </c>
      <c r="L16" s="29">
        <v>26.23</v>
      </c>
      <c r="M16" s="6">
        <v>24.82</v>
      </c>
      <c r="N16" s="30">
        <v>23.41</v>
      </c>
    </row>
    <row r="17" spans="1:14" ht="15.6" x14ac:dyDescent="0.3">
      <c r="A17" s="126"/>
      <c r="B17" s="148"/>
      <c r="C17" s="2" t="s">
        <v>103</v>
      </c>
      <c r="D17" s="2">
        <v>21.88</v>
      </c>
      <c r="E17" s="19">
        <v>18.39</v>
      </c>
      <c r="F17" s="2">
        <v>27.87</v>
      </c>
      <c r="G17" s="19">
        <v>26.47</v>
      </c>
      <c r="H17" s="2">
        <v>30.24</v>
      </c>
      <c r="I17" s="19">
        <v>27.94</v>
      </c>
      <c r="J17" s="63">
        <v>24.86</v>
      </c>
      <c r="K17" s="2">
        <v>24.3</v>
      </c>
      <c r="L17" s="19">
        <v>26.8</v>
      </c>
      <c r="M17" s="2">
        <v>25.36</v>
      </c>
      <c r="N17" s="20">
        <v>23.92</v>
      </c>
    </row>
    <row r="18" spans="1:14" ht="15.6" x14ac:dyDescent="0.3">
      <c r="A18" s="126"/>
      <c r="B18" s="148"/>
      <c r="C18" s="25" t="s">
        <v>104</v>
      </c>
      <c r="D18" s="26">
        <f t="shared" ref="D18:N18" si="3">IF(OR(D16="",D17=""),"",D17/D16)</f>
        <v>1.0219523587108827</v>
      </c>
      <c r="E18" s="27">
        <f t="shared" si="3"/>
        <v>1.0222345747637578</v>
      </c>
      <c r="F18" s="26">
        <f t="shared" si="3"/>
        <v>1.022002200220022</v>
      </c>
      <c r="G18" s="27">
        <f t="shared" si="3"/>
        <v>1.0216132767271324</v>
      </c>
      <c r="H18" s="26">
        <f t="shared" si="3"/>
        <v>1.0219668807029401</v>
      </c>
      <c r="I18" s="27">
        <f t="shared" si="3"/>
        <v>1.018592781625957</v>
      </c>
      <c r="J18" s="123">
        <f t="shared" si="3"/>
        <v>1.021783806000822</v>
      </c>
      <c r="K18" s="26">
        <f t="shared" si="3"/>
        <v>1.0218671152228764</v>
      </c>
      <c r="L18" s="27">
        <f t="shared" si="3"/>
        <v>1.0217308425467022</v>
      </c>
      <c r="M18" s="26">
        <f t="shared" si="3"/>
        <v>1.0217566478646252</v>
      </c>
      <c r="N18" s="28">
        <f t="shared" si="3"/>
        <v>1.0217855617257583</v>
      </c>
    </row>
    <row r="19" spans="1:14" ht="15.6" x14ac:dyDescent="0.3">
      <c r="A19" s="126" t="s">
        <v>157</v>
      </c>
      <c r="B19" s="148">
        <v>100</v>
      </c>
      <c r="C19" s="6" t="s">
        <v>102</v>
      </c>
      <c r="D19" s="6">
        <v>1.54</v>
      </c>
      <c r="E19" s="29">
        <v>1.29</v>
      </c>
      <c r="F19" s="6">
        <v>1.96</v>
      </c>
      <c r="G19" s="29">
        <v>1.86</v>
      </c>
      <c r="H19" s="6">
        <v>2.12</v>
      </c>
      <c r="I19" s="29">
        <v>1.96</v>
      </c>
      <c r="J19" s="5">
        <v>1.75</v>
      </c>
      <c r="K19" s="6">
        <v>1.71</v>
      </c>
      <c r="L19" s="29">
        <v>1.88</v>
      </c>
      <c r="M19" s="6">
        <v>1.78</v>
      </c>
      <c r="N19" s="30">
        <v>1.68</v>
      </c>
    </row>
    <row r="20" spans="1:14" ht="15.6" x14ac:dyDescent="0.3">
      <c r="A20" s="126"/>
      <c r="B20" s="148"/>
      <c r="C20" s="2" t="s">
        <v>103</v>
      </c>
      <c r="D20" s="2">
        <v>1.54</v>
      </c>
      <c r="E20" s="19">
        <v>1.29</v>
      </c>
      <c r="F20" s="2">
        <v>1.96</v>
      </c>
      <c r="G20" s="19">
        <v>1.86</v>
      </c>
      <c r="H20" s="2">
        <v>2.14</v>
      </c>
      <c r="I20" s="19">
        <v>1.96</v>
      </c>
      <c r="J20" s="63">
        <v>1.75</v>
      </c>
      <c r="K20" s="2">
        <v>1.71</v>
      </c>
      <c r="L20" s="19">
        <v>1.88</v>
      </c>
      <c r="M20" s="2">
        <v>1.78</v>
      </c>
      <c r="N20" s="20">
        <v>1.68</v>
      </c>
    </row>
    <row r="21" spans="1:14" ht="15.6" x14ac:dyDescent="0.3">
      <c r="A21" s="126"/>
      <c r="B21" s="148"/>
      <c r="C21" s="25" t="s">
        <v>104</v>
      </c>
      <c r="D21" s="26">
        <f t="shared" ref="D21:N21" si="4">IF(OR(D19="",D20=""),"",D20/D19)</f>
        <v>1</v>
      </c>
      <c r="E21" s="27">
        <f t="shared" si="4"/>
        <v>1</v>
      </c>
      <c r="F21" s="26">
        <f t="shared" si="4"/>
        <v>1</v>
      </c>
      <c r="G21" s="27">
        <f t="shared" si="4"/>
        <v>1</v>
      </c>
      <c r="H21" s="26">
        <f t="shared" si="4"/>
        <v>1.0094339622641511</v>
      </c>
      <c r="I21" s="27">
        <f t="shared" si="4"/>
        <v>1</v>
      </c>
      <c r="J21" s="123">
        <f t="shared" si="4"/>
        <v>1</v>
      </c>
      <c r="K21" s="26">
        <f t="shared" si="4"/>
        <v>1</v>
      </c>
      <c r="L21" s="27">
        <f t="shared" si="4"/>
        <v>1</v>
      </c>
      <c r="M21" s="26">
        <f t="shared" si="4"/>
        <v>1</v>
      </c>
      <c r="N21" s="28">
        <f t="shared" si="4"/>
        <v>1</v>
      </c>
    </row>
    <row r="22" spans="1:14" ht="15.6" x14ac:dyDescent="0.3">
      <c r="A22" s="126"/>
      <c r="B22" s="148">
        <v>140</v>
      </c>
      <c r="C22" s="6" t="s">
        <v>102</v>
      </c>
      <c r="D22" s="6">
        <v>6.03</v>
      </c>
      <c r="E22" s="29">
        <v>5.07</v>
      </c>
      <c r="F22" s="6">
        <v>7.68</v>
      </c>
      <c r="G22" s="29">
        <v>7.3</v>
      </c>
      <c r="H22" s="6">
        <v>8.34</v>
      </c>
      <c r="I22" s="29">
        <v>7.7</v>
      </c>
      <c r="J22" s="5">
        <v>6.85</v>
      </c>
      <c r="K22" s="6">
        <v>6.7</v>
      </c>
      <c r="L22" s="29">
        <v>7.39</v>
      </c>
      <c r="M22" s="6">
        <v>6.99</v>
      </c>
      <c r="N22" s="30">
        <v>6.59</v>
      </c>
    </row>
    <row r="23" spans="1:14" ht="15.6" x14ac:dyDescent="0.3">
      <c r="A23" s="126"/>
      <c r="B23" s="148"/>
      <c r="C23" s="2" t="s">
        <v>103</v>
      </c>
      <c r="D23" s="2">
        <v>6.09</v>
      </c>
      <c r="E23" s="19">
        <v>5.12</v>
      </c>
      <c r="F23" s="2">
        <v>7.76</v>
      </c>
      <c r="G23" s="19">
        <v>7.37</v>
      </c>
      <c r="H23" s="2">
        <v>8.42</v>
      </c>
      <c r="I23" s="19">
        <v>7.78</v>
      </c>
      <c r="J23" s="63">
        <v>6.92</v>
      </c>
      <c r="K23" s="2">
        <v>6.77</v>
      </c>
      <c r="L23" s="19">
        <v>7.46</v>
      </c>
      <c r="M23" s="2">
        <v>7.06</v>
      </c>
      <c r="N23" s="20">
        <v>6.66</v>
      </c>
    </row>
    <row r="24" spans="1:14" ht="15.6" x14ac:dyDescent="0.3">
      <c r="A24" s="126"/>
      <c r="B24" s="148"/>
      <c r="C24" s="25" t="s">
        <v>104</v>
      </c>
      <c r="D24" s="26">
        <f t="shared" ref="D24:N24" si="5">IF(OR(D22="",D23=""),"",D23/D22)</f>
        <v>1.0099502487562189</v>
      </c>
      <c r="E24" s="27">
        <f t="shared" si="5"/>
        <v>1.0098619329388561</v>
      </c>
      <c r="F24" s="26">
        <f t="shared" si="5"/>
        <v>1.0104166666666667</v>
      </c>
      <c r="G24" s="27">
        <f t="shared" si="5"/>
        <v>1.0095890410958905</v>
      </c>
      <c r="H24" s="26">
        <f t="shared" si="5"/>
        <v>1.0095923261390887</v>
      </c>
      <c r="I24" s="27">
        <f t="shared" si="5"/>
        <v>1.0103896103896104</v>
      </c>
      <c r="J24" s="123">
        <f t="shared" si="5"/>
        <v>1.0102189781021897</v>
      </c>
      <c r="K24" s="26">
        <f t="shared" si="5"/>
        <v>1.0104477611940297</v>
      </c>
      <c r="L24" s="27">
        <f t="shared" si="5"/>
        <v>1.0094722598105548</v>
      </c>
      <c r="M24" s="26">
        <f t="shared" si="5"/>
        <v>1.0100143061516451</v>
      </c>
      <c r="N24" s="28">
        <f t="shared" si="5"/>
        <v>1.0106221547799696</v>
      </c>
    </row>
    <row r="25" spans="1:14" ht="15.6" x14ac:dyDescent="0.3">
      <c r="A25" s="149">
        <v>150</v>
      </c>
      <c r="B25" s="148">
        <v>150</v>
      </c>
      <c r="C25" s="6" t="s">
        <v>102</v>
      </c>
      <c r="D25" s="6"/>
      <c r="E25" s="29"/>
      <c r="F25" s="6"/>
      <c r="G25" s="29"/>
      <c r="H25" s="6"/>
      <c r="I25" s="29"/>
      <c r="J25" s="5">
        <v>5.09</v>
      </c>
      <c r="K25" s="6"/>
      <c r="L25" s="29"/>
      <c r="M25" s="6"/>
      <c r="N25" s="30"/>
    </row>
    <row r="26" spans="1:14" ht="15.6" x14ac:dyDescent="0.3">
      <c r="A26" s="149"/>
      <c r="B26" s="148"/>
      <c r="C26" s="2" t="s">
        <v>103</v>
      </c>
      <c r="D26" s="2"/>
      <c r="E26" s="19"/>
      <c r="F26" s="2"/>
      <c r="G26" s="19"/>
      <c r="H26" s="2"/>
      <c r="I26" s="19"/>
      <c r="J26" s="63">
        <v>5.18</v>
      </c>
      <c r="K26" s="2"/>
      <c r="L26" s="19"/>
      <c r="M26" s="2"/>
      <c r="N26" s="20"/>
    </row>
    <row r="27" spans="1:14" ht="15.6" x14ac:dyDescent="0.3">
      <c r="A27" s="149"/>
      <c r="B27" s="148"/>
      <c r="C27" s="25" t="s">
        <v>104</v>
      </c>
      <c r="D27" s="26" t="str">
        <f t="shared" ref="D27:N27" si="6">IF(OR(D25="",D26=""),"",D26/D25)</f>
        <v/>
      </c>
      <c r="E27" s="27" t="str">
        <f t="shared" si="6"/>
        <v/>
      </c>
      <c r="F27" s="26" t="str">
        <f t="shared" si="6"/>
        <v/>
      </c>
      <c r="G27" s="27" t="str">
        <f t="shared" si="6"/>
        <v/>
      </c>
      <c r="H27" s="26" t="str">
        <f t="shared" si="6"/>
        <v/>
      </c>
      <c r="I27" s="27" t="str">
        <f t="shared" si="6"/>
        <v/>
      </c>
      <c r="J27" s="123">
        <f t="shared" si="6"/>
        <v>1.0176817288801572</v>
      </c>
      <c r="K27" s="26" t="str">
        <f t="shared" si="6"/>
        <v/>
      </c>
      <c r="L27" s="27" t="str">
        <f t="shared" si="6"/>
        <v/>
      </c>
      <c r="M27" s="26" t="str">
        <f t="shared" si="6"/>
        <v/>
      </c>
      <c r="N27" s="28" t="str">
        <f t="shared" si="6"/>
        <v/>
      </c>
    </row>
    <row r="29" spans="1:14" ht="15.6" x14ac:dyDescent="0.3">
      <c r="A29" s="8" t="s">
        <v>122</v>
      </c>
    </row>
    <row r="30" spans="1:14" ht="15.6" x14ac:dyDescent="0.3">
      <c r="C30" s="15" t="s">
        <v>100</v>
      </c>
      <c r="D30" s="17" t="s">
        <v>14</v>
      </c>
      <c r="E30" s="16" t="s">
        <v>57</v>
      </c>
      <c r="F30" s="4" t="s">
        <v>68</v>
      </c>
      <c r="G30" s="16" t="s">
        <v>27</v>
      </c>
      <c r="H30" s="4" t="s">
        <v>58</v>
      </c>
      <c r="I30" s="17" t="s">
        <v>59</v>
      </c>
      <c r="J30" s="62" t="s">
        <v>154</v>
      </c>
      <c r="K30" s="4" t="s">
        <v>60</v>
      </c>
      <c r="L30" s="16" t="s">
        <v>61</v>
      </c>
      <c r="M30" s="4" t="s">
        <v>62</v>
      </c>
      <c r="N30" s="17" t="s">
        <v>63</v>
      </c>
    </row>
    <row r="31" spans="1:14" ht="15.6" x14ac:dyDescent="0.3">
      <c r="C31" s="18" t="s">
        <v>114</v>
      </c>
      <c r="D31" s="20">
        <v>5</v>
      </c>
      <c r="E31" s="19">
        <v>7.2</v>
      </c>
      <c r="F31" s="2">
        <v>9</v>
      </c>
      <c r="G31" s="19">
        <v>15</v>
      </c>
      <c r="H31" s="2">
        <v>14.4</v>
      </c>
      <c r="I31" s="20">
        <v>19.2</v>
      </c>
      <c r="J31" s="63">
        <v>19.2</v>
      </c>
      <c r="K31" s="2">
        <v>24</v>
      </c>
      <c r="L31" s="19">
        <v>28.8</v>
      </c>
      <c r="M31" s="2">
        <v>38.4</v>
      </c>
      <c r="N31" s="20">
        <v>57.6</v>
      </c>
    </row>
    <row r="32" spans="1:14" ht="15.6" x14ac:dyDescent="0.3">
      <c r="A32" s="115"/>
      <c r="C32" s="116"/>
      <c r="D32" s="117">
        <v>6.5</v>
      </c>
      <c r="E32" s="118">
        <v>7.5</v>
      </c>
      <c r="F32" s="117">
        <v>14.2</v>
      </c>
      <c r="G32" s="118">
        <v>20.2</v>
      </c>
      <c r="H32" s="117"/>
      <c r="I32" s="118">
        <v>29</v>
      </c>
      <c r="J32" s="119">
        <v>23.3</v>
      </c>
      <c r="K32" s="117">
        <v>29.2</v>
      </c>
      <c r="L32" s="118"/>
      <c r="M32" s="117">
        <v>49</v>
      </c>
      <c r="N32" s="120">
        <v>69</v>
      </c>
    </row>
    <row r="33" spans="1:14" ht="15" customHeight="1" x14ac:dyDescent="0.3">
      <c r="A33" s="147" t="s">
        <v>155</v>
      </c>
      <c r="C33" s="18" t="s">
        <v>101</v>
      </c>
      <c r="D33" s="20" t="s">
        <v>14</v>
      </c>
      <c r="E33" s="19" t="s">
        <v>57</v>
      </c>
      <c r="F33" s="42" t="s">
        <v>68</v>
      </c>
      <c r="G33" s="43" t="s">
        <v>27</v>
      </c>
      <c r="H33" s="2" t="s">
        <v>58</v>
      </c>
      <c r="I33" s="20" t="s">
        <v>59</v>
      </c>
      <c r="J33" s="111" t="s">
        <v>154</v>
      </c>
      <c r="K33" s="2" t="s">
        <v>60</v>
      </c>
      <c r="L33" s="19" t="s">
        <v>61</v>
      </c>
      <c r="M33" s="2" t="s">
        <v>62</v>
      </c>
      <c r="N33" s="20" t="s">
        <v>63</v>
      </c>
    </row>
    <row r="34" spans="1:14" ht="15.6" x14ac:dyDescent="0.3">
      <c r="A34" s="147"/>
      <c r="B34" s="7" t="s">
        <v>6</v>
      </c>
      <c r="C34" s="69"/>
      <c r="D34" s="70"/>
      <c r="E34" s="71"/>
      <c r="F34" s="72"/>
      <c r="G34" s="71"/>
      <c r="H34" s="72"/>
      <c r="I34" s="70"/>
      <c r="J34" s="71"/>
      <c r="K34" s="72"/>
      <c r="L34" s="71"/>
      <c r="M34" s="72"/>
      <c r="N34" s="70"/>
    </row>
    <row r="35" spans="1:14" ht="15.6" x14ac:dyDescent="0.3">
      <c r="A35" s="126" t="s">
        <v>156</v>
      </c>
      <c r="B35" s="148">
        <v>70</v>
      </c>
      <c r="C35" s="2" t="s">
        <v>102</v>
      </c>
      <c r="D35" s="2">
        <v>2.85</v>
      </c>
      <c r="E35" s="19">
        <v>2.4</v>
      </c>
      <c r="F35" s="2">
        <v>3.64</v>
      </c>
      <c r="G35" s="19">
        <v>3.64</v>
      </c>
      <c r="H35" s="2"/>
      <c r="I35" s="20">
        <v>3.64</v>
      </c>
      <c r="J35" s="19">
        <v>3.64</v>
      </c>
      <c r="K35" s="2">
        <v>3.17</v>
      </c>
      <c r="L35" s="19">
        <v>3.5</v>
      </c>
      <c r="M35" s="2">
        <v>3.31</v>
      </c>
      <c r="N35" s="20">
        <v>3.12</v>
      </c>
    </row>
    <row r="36" spans="1:14" ht="15.6" x14ac:dyDescent="0.3">
      <c r="A36" s="126"/>
      <c r="B36" s="148"/>
      <c r="C36" s="2" t="s">
        <v>103</v>
      </c>
      <c r="D36" s="2">
        <v>2.89</v>
      </c>
      <c r="E36" s="19">
        <v>2.4300000000000002</v>
      </c>
      <c r="F36" s="2">
        <v>3.68</v>
      </c>
      <c r="G36" s="19">
        <v>3.69</v>
      </c>
      <c r="H36" s="2"/>
      <c r="I36" s="20">
        <v>3.69</v>
      </c>
      <c r="J36" s="19">
        <v>3.69</v>
      </c>
      <c r="K36" s="2">
        <v>3.21</v>
      </c>
      <c r="L36" s="19">
        <v>3.54</v>
      </c>
      <c r="M36" s="2">
        <v>3.35</v>
      </c>
      <c r="N36" s="20">
        <v>3.16</v>
      </c>
    </row>
    <row r="37" spans="1:14" ht="15.6" x14ac:dyDescent="0.3">
      <c r="A37" s="126"/>
      <c r="B37" s="148"/>
      <c r="C37" s="25" t="s">
        <v>104</v>
      </c>
      <c r="D37" s="26">
        <f t="shared" ref="D37:N37" si="7">IF(OR(D35="",D36=""),"",D36/D35)</f>
        <v>1.0140350877192983</v>
      </c>
      <c r="E37" s="27">
        <f t="shared" si="7"/>
        <v>1.0125000000000002</v>
      </c>
      <c r="F37" s="26">
        <f t="shared" si="7"/>
        <v>1.0109890109890109</v>
      </c>
      <c r="G37" s="27">
        <f t="shared" si="7"/>
        <v>1.0137362637362637</v>
      </c>
      <c r="H37" s="26" t="str">
        <f t="shared" si="7"/>
        <v/>
      </c>
      <c r="I37" s="28">
        <f t="shared" si="7"/>
        <v>1.0137362637362637</v>
      </c>
      <c r="J37" s="27">
        <f t="shared" si="7"/>
        <v>1.0137362637362637</v>
      </c>
      <c r="K37" s="26">
        <f t="shared" si="7"/>
        <v>1.0126182965299684</v>
      </c>
      <c r="L37" s="27">
        <f t="shared" si="7"/>
        <v>1.0114285714285713</v>
      </c>
      <c r="M37" s="26">
        <f t="shared" si="7"/>
        <v>1.0120845921450152</v>
      </c>
      <c r="N37" s="28">
        <f t="shared" si="7"/>
        <v>1.0128205128205128</v>
      </c>
    </row>
    <row r="38" spans="1:14" ht="15.6" x14ac:dyDescent="0.3">
      <c r="A38" s="126"/>
      <c r="B38" s="148">
        <v>90</v>
      </c>
      <c r="C38" s="4" t="s">
        <v>102</v>
      </c>
      <c r="D38" s="17">
        <v>6.46</v>
      </c>
      <c r="E38" s="16">
        <v>5.43</v>
      </c>
      <c r="F38" s="4">
        <v>8.23</v>
      </c>
      <c r="G38" s="16">
        <v>8.26</v>
      </c>
      <c r="H38" s="4">
        <v>8.93</v>
      </c>
      <c r="I38" s="17">
        <v>8.26</v>
      </c>
      <c r="J38" s="16">
        <v>8.26</v>
      </c>
      <c r="K38" s="4">
        <v>7.18</v>
      </c>
      <c r="L38" s="16">
        <v>7.92</v>
      </c>
      <c r="M38" s="4">
        <v>7.49</v>
      </c>
      <c r="N38" s="17">
        <v>7.07</v>
      </c>
    </row>
    <row r="39" spans="1:14" ht="15.6" x14ac:dyDescent="0.3">
      <c r="A39" s="126"/>
      <c r="B39" s="148"/>
      <c r="C39" s="2" t="s">
        <v>103</v>
      </c>
      <c r="D39" s="20">
        <v>6.41</v>
      </c>
      <c r="E39" s="19">
        <v>5.38</v>
      </c>
      <c r="F39" s="2">
        <v>8.16</v>
      </c>
      <c r="G39" s="19">
        <v>8.18</v>
      </c>
      <c r="H39" s="2">
        <v>8.85</v>
      </c>
      <c r="I39" s="20">
        <v>8.18</v>
      </c>
      <c r="J39" s="19">
        <v>8.18</v>
      </c>
      <c r="K39" s="2">
        <v>7.11</v>
      </c>
      <c r="L39" s="19">
        <v>7.85</v>
      </c>
      <c r="M39" s="2">
        <v>7.43</v>
      </c>
      <c r="N39" s="20">
        <v>7.01</v>
      </c>
    </row>
    <row r="40" spans="1:14" ht="15.6" x14ac:dyDescent="0.3">
      <c r="A40" s="126"/>
      <c r="B40" s="148"/>
      <c r="C40" s="25" t="s">
        <v>104</v>
      </c>
      <c r="D40" s="28">
        <f t="shared" ref="D40:N40" si="8">IF(OR(D38="",D39=""),"",D39/D38)</f>
        <v>0.99226006191950467</v>
      </c>
      <c r="E40" s="27">
        <f t="shared" si="8"/>
        <v>0.99079189686924496</v>
      </c>
      <c r="F40" s="26">
        <f t="shared" si="8"/>
        <v>0.99149453219927097</v>
      </c>
      <c r="G40" s="27">
        <f t="shared" si="8"/>
        <v>0.99031476997578693</v>
      </c>
      <c r="H40" s="26">
        <f t="shared" si="8"/>
        <v>0.99104143337066064</v>
      </c>
      <c r="I40" s="28">
        <f t="shared" si="8"/>
        <v>0.99031476997578693</v>
      </c>
      <c r="J40" s="27">
        <f t="shared" si="8"/>
        <v>0.99031476997578693</v>
      </c>
      <c r="K40" s="26">
        <f t="shared" si="8"/>
        <v>0.99025069637883012</v>
      </c>
      <c r="L40" s="27">
        <f t="shared" si="8"/>
        <v>0.99116161616161613</v>
      </c>
      <c r="M40" s="26">
        <f t="shared" si="8"/>
        <v>0.99198931909212273</v>
      </c>
      <c r="N40" s="28">
        <f t="shared" si="8"/>
        <v>0.99151343705799144</v>
      </c>
    </row>
    <row r="41" spans="1:14" ht="15.6" x14ac:dyDescent="0.3">
      <c r="A41" s="126"/>
      <c r="B41" s="148">
        <v>120</v>
      </c>
      <c r="C41" s="6" t="s">
        <v>102</v>
      </c>
      <c r="D41" s="30">
        <v>13.85</v>
      </c>
      <c r="E41" s="29">
        <v>11.64</v>
      </c>
      <c r="F41" s="6">
        <v>17.649999999999999</v>
      </c>
      <c r="G41" s="29">
        <v>17.7</v>
      </c>
      <c r="H41" s="6">
        <v>19.149999999999999</v>
      </c>
      <c r="I41" s="30">
        <v>17.7</v>
      </c>
      <c r="J41" s="29">
        <v>17.7</v>
      </c>
      <c r="K41" s="6">
        <v>15.39</v>
      </c>
      <c r="L41" s="29">
        <v>16.98</v>
      </c>
      <c r="M41" s="6">
        <v>16.059999999999999</v>
      </c>
      <c r="N41" s="30">
        <v>15.15</v>
      </c>
    </row>
    <row r="42" spans="1:14" ht="15.6" x14ac:dyDescent="0.3">
      <c r="A42" s="126"/>
      <c r="B42" s="148"/>
      <c r="C42" s="2" t="s">
        <v>103</v>
      </c>
      <c r="D42" s="20">
        <v>13.62</v>
      </c>
      <c r="E42" s="19">
        <v>11.45</v>
      </c>
      <c r="F42" s="2">
        <v>17.350000000000001</v>
      </c>
      <c r="G42" s="19">
        <v>17.399999999999999</v>
      </c>
      <c r="H42" s="2">
        <v>18.829999999999998</v>
      </c>
      <c r="I42" s="20">
        <v>17.399999999999999</v>
      </c>
      <c r="J42" s="19">
        <v>17.399999999999999</v>
      </c>
      <c r="K42" s="2">
        <v>15.13</v>
      </c>
      <c r="L42" s="19">
        <v>16.690000000000001</v>
      </c>
      <c r="M42" s="2">
        <v>15.8</v>
      </c>
      <c r="N42" s="20">
        <v>14.9</v>
      </c>
    </row>
    <row r="43" spans="1:14" ht="15.6" x14ac:dyDescent="0.3">
      <c r="A43" s="126"/>
      <c r="B43" s="148"/>
      <c r="C43" s="73" t="s">
        <v>104</v>
      </c>
      <c r="D43" s="68">
        <f t="shared" ref="D43:N43" si="9">IF(OR(D41="",D42=""),"",D42/D41)</f>
        <v>0.98339350180505414</v>
      </c>
      <c r="E43" s="67">
        <f t="shared" si="9"/>
        <v>0.98367697594501702</v>
      </c>
      <c r="F43" s="66">
        <f t="shared" si="9"/>
        <v>0.98300283286118995</v>
      </c>
      <c r="G43" s="67">
        <f t="shared" si="9"/>
        <v>0.98305084745762705</v>
      </c>
      <c r="H43" s="66">
        <f t="shared" si="9"/>
        <v>0.98328981723237596</v>
      </c>
      <c r="I43" s="68">
        <f t="shared" si="9"/>
        <v>0.98305084745762705</v>
      </c>
      <c r="J43" s="67">
        <f t="shared" si="9"/>
        <v>0.98305084745762705</v>
      </c>
      <c r="K43" s="66">
        <f t="shared" si="9"/>
        <v>0.98310591293047433</v>
      </c>
      <c r="L43" s="67">
        <f t="shared" si="9"/>
        <v>0.98292108362779751</v>
      </c>
      <c r="M43" s="66">
        <f t="shared" si="9"/>
        <v>0.98381070983810726</v>
      </c>
      <c r="N43" s="68">
        <f t="shared" si="9"/>
        <v>0.98349834983498352</v>
      </c>
    </row>
    <row r="44" spans="1:14" ht="15.6" x14ac:dyDescent="0.3">
      <c r="A44" s="126"/>
      <c r="B44" s="148">
        <v>140</v>
      </c>
      <c r="C44" s="4" t="s">
        <v>102</v>
      </c>
      <c r="D44" s="17">
        <v>19.8</v>
      </c>
      <c r="E44" s="16">
        <v>16.64</v>
      </c>
      <c r="F44" s="4">
        <v>25.22</v>
      </c>
      <c r="G44" s="16">
        <v>25.29</v>
      </c>
      <c r="H44" s="4">
        <v>27.37</v>
      </c>
      <c r="I44" s="17">
        <v>25.29</v>
      </c>
      <c r="J44" s="16">
        <v>25.29</v>
      </c>
      <c r="K44" s="4">
        <v>21.99</v>
      </c>
      <c r="L44" s="16">
        <v>24.26</v>
      </c>
      <c r="M44" s="4">
        <v>22.95</v>
      </c>
      <c r="N44" s="17">
        <v>21.65</v>
      </c>
    </row>
    <row r="45" spans="1:14" ht="15.6" x14ac:dyDescent="0.3">
      <c r="A45" s="126"/>
      <c r="B45" s="148"/>
      <c r="C45" s="2" t="s">
        <v>103</v>
      </c>
      <c r="D45" s="20">
        <v>19.45</v>
      </c>
      <c r="E45" s="19">
        <v>16.34</v>
      </c>
      <c r="F45" s="2">
        <v>24.77</v>
      </c>
      <c r="G45" s="19">
        <v>24.84</v>
      </c>
      <c r="H45" s="2">
        <v>26.88</v>
      </c>
      <c r="I45" s="20">
        <v>24.84</v>
      </c>
      <c r="J45" s="19">
        <v>24.84</v>
      </c>
      <c r="K45" s="2">
        <v>21.6</v>
      </c>
      <c r="L45" s="19">
        <v>23.83</v>
      </c>
      <c r="M45" s="2">
        <v>22.55</v>
      </c>
      <c r="N45" s="20">
        <v>21.27</v>
      </c>
    </row>
    <row r="46" spans="1:14" ht="15.6" x14ac:dyDescent="0.3">
      <c r="A46" s="126"/>
      <c r="B46" s="148"/>
      <c r="C46" s="25" t="s">
        <v>104</v>
      </c>
      <c r="D46" s="28">
        <f t="shared" ref="D46:N46" si="10">IF(OR(D44="",D45=""),"",D45/D44)</f>
        <v>0.98232323232323226</v>
      </c>
      <c r="E46" s="27">
        <f t="shared" si="10"/>
        <v>0.98197115384615385</v>
      </c>
      <c r="F46" s="26">
        <f t="shared" si="10"/>
        <v>0.98215701823949253</v>
      </c>
      <c r="G46" s="27">
        <f t="shared" si="10"/>
        <v>0.98220640569395024</v>
      </c>
      <c r="H46" s="26">
        <f t="shared" si="10"/>
        <v>0.98209718670076718</v>
      </c>
      <c r="I46" s="28">
        <f t="shared" si="10"/>
        <v>0.98220640569395024</v>
      </c>
      <c r="J46" s="27">
        <f t="shared" si="10"/>
        <v>0.98220640569395024</v>
      </c>
      <c r="K46" s="26">
        <f t="shared" si="10"/>
        <v>0.98226466575716254</v>
      </c>
      <c r="L46" s="27">
        <f t="shared" si="10"/>
        <v>0.9822753503709809</v>
      </c>
      <c r="M46" s="26">
        <f t="shared" si="10"/>
        <v>0.98257080610021796</v>
      </c>
      <c r="N46" s="28">
        <f t="shared" si="10"/>
        <v>0.98244803695150118</v>
      </c>
    </row>
    <row r="47" spans="1:14" ht="15.6" x14ac:dyDescent="0.3">
      <c r="A47" s="126" t="s">
        <v>157</v>
      </c>
      <c r="B47" s="148">
        <v>100</v>
      </c>
      <c r="C47" s="6" t="s">
        <v>102</v>
      </c>
      <c r="D47" s="30">
        <v>1.44</v>
      </c>
      <c r="E47" s="29">
        <v>1.21</v>
      </c>
      <c r="F47" s="6">
        <v>1.84</v>
      </c>
      <c r="G47" s="29">
        <v>1.84</v>
      </c>
      <c r="H47" s="6">
        <v>1.99</v>
      </c>
      <c r="I47" s="30">
        <v>1.84</v>
      </c>
      <c r="J47" s="29">
        <v>1.84</v>
      </c>
      <c r="K47" s="6">
        <v>1.6</v>
      </c>
      <c r="L47" s="29">
        <v>1.77</v>
      </c>
      <c r="M47" s="6">
        <v>1.67</v>
      </c>
      <c r="N47" s="30">
        <v>1.58</v>
      </c>
    </row>
    <row r="48" spans="1:14" ht="15.6" x14ac:dyDescent="0.3">
      <c r="A48" s="126"/>
      <c r="B48" s="148"/>
      <c r="C48" s="2" t="s">
        <v>103</v>
      </c>
      <c r="D48" s="20">
        <v>1.4</v>
      </c>
      <c r="E48" s="19">
        <v>1.18</v>
      </c>
      <c r="F48" s="2">
        <v>1.78</v>
      </c>
      <c r="G48" s="19">
        <v>1.79</v>
      </c>
      <c r="H48" s="2">
        <v>1.93</v>
      </c>
      <c r="I48" s="20">
        <v>1.79</v>
      </c>
      <c r="J48" s="19">
        <v>1.79</v>
      </c>
      <c r="K48" s="2">
        <v>1.55</v>
      </c>
      <c r="L48" s="19">
        <v>1.71</v>
      </c>
      <c r="M48" s="2">
        <v>1.62</v>
      </c>
      <c r="N48" s="20">
        <v>1.53</v>
      </c>
    </row>
    <row r="49" spans="1:14" ht="15.6" x14ac:dyDescent="0.3">
      <c r="A49" s="126"/>
      <c r="B49" s="148"/>
      <c r="C49" s="73" t="s">
        <v>104</v>
      </c>
      <c r="D49" s="68">
        <f t="shared" ref="D49:N49" si="11">IF(OR(D47="",D48=""),"",D48/D47)</f>
        <v>0.97222222222222221</v>
      </c>
      <c r="E49" s="67">
        <f t="shared" si="11"/>
        <v>0.97520661157024791</v>
      </c>
      <c r="F49" s="66">
        <f t="shared" si="11"/>
        <v>0.96739130434782605</v>
      </c>
      <c r="G49" s="67">
        <f t="shared" si="11"/>
        <v>0.97282608695652173</v>
      </c>
      <c r="H49" s="66">
        <f t="shared" si="11"/>
        <v>0.96984924623115576</v>
      </c>
      <c r="I49" s="68">
        <f t="shared" si="11"/>
        <v>0.97282608695652173</v>
      </c>
      <c r="J49" s="67">
        <f t="shared" si="11"/>
        <v>0.97282608695652173</v>
      </c>
      <c r="K49" s="66">
        <f t="shared" si="11"/>
        <v>0.96875</v>
      </c>
      <c r="L49" s="67">
        <f t="shared" si="11"/>
        <v>0.96610169491525422</v>
      </c>
      <c r="M49" s="66">
        <f t="shared" si="11"/>
        <v>0.97005988023952106</v>
      </c>
      <c r="N49" s="68">
        <f t="shared" si="11"/>
        <v>0.96835443037974678</v>
      </c>
    </row>
    <row r="50" spans="1:14" ht="15.6" x14ac:dyDescent="0.3">
      <c r="A50" s="126"/>
      <c r="B50" s="148">
        <v>140</v>
      </c>
      <c r="C50" s="4" t="s">
        <v>102</v>
      </c>
      <c r="D50" s="17">
        <v>5.72</v>
      </c>
      <c r="E50" s="16">
        <v>4.8</v>
      </c>
      <c r="F50" s="4">
        <v>7.28</v>
      </c>
      <c r="G50" s="16">
        <v>7.3</v>
      </c>
      <c r="H50" s="4">
        <v>7.9</v>
      </c>
      <c r="I50" s="17">
        <v>7.3</v>
      </c>
      <c r="J50" s="16">
        <v>7.3</v>
      </c>
      <c r="K50" s="4">
        <v>6.35</v>
      </c>
      <c r="L50" s="16">
        <v>7</v>
      </c>
      <c r="M50" s="4">
        <v>6.63</v>
      </c>
      <c r="N50" s="17">
        <v>6.25</v>
      </c>
    </row>
    <row r="51" spans="1:14" ht="15.6" x14ac:dyDescent="0.3">
      <c r="A51" s="126"/>
      <c r="B51" s="148"/>
      <c r="C51" s="2" t="s">
        <v>103</v>
      </c>
      <c r="D51" s="20">
        <v>5.62</v>
      </c>
      <c r="E51" s="19">
        <v>4.72</v>
      </c>
      <c r="F51" s="2">
        <v>7.16</v>
      </c>
      <c r="G51" s="19">
        <v>7.18</v>
      </c>
      <c r="H51" s="2">
        <v>7.77</v>
      </c>
      <c r="I51" s="20">
        <v>7.18</v>
      </c>
      <c r="J51" s="19">
        <v>7.18</v>
      </c>
      <c r="K51" s="2">
        <v>6.24</v>
      </c>
      <c r="L51" s="19">
        <v>6.89</v>
      </c>
      <c r="M51" s="2">
        <v>6.52</v>
      </c>
      <c r="N51" s="20">
        <v>6.15</v>
      </c>
    </row>
    <row r="52" spans="1:14" ht="15.6" x14ac:dyDescent="0.3">
      <c r="A52" s="126"/>
      <c r="B52" s="148"/>
      <c r="C52" s="25" t="s">
        <v>104</v>
      </c>
      <c r="D52" s="28">
        <f t="shared" ref="D52:N52" si="12">IF(OR(D50="",D51=""),"",D51/D50)</f>
        <v>0.98251748251748261</v>
      </c>
      <c r="E52" s="27">
        <f t="shared" si="12"/>
        <v>0.98333333333333328</v>
      </c>
      <c r="F52" s="26">
        <f t="shared" si="12"/>
        <v>0.98351648351648346</v>
      </c>
      <c r="G52" s="27">
        <f t="shared" si="12"/>
        <v>0.98356164383561639</v>
      </c>
      <c r="H52" s="26">
        <f t="shared" si="12"/>
        <v>0.98354430379746827</v>
      </c>
      <c r="I52" s="28">
        <f t="shared" si="12"/>
        <v>0.98356164383561639</v>
      </c>
      <c r="J52" s="27">
        <f t="shared" si="12"/>
        <v>0.98356164383561639</v>
      </c>
      <c r="K52" s="26">
        <f t="shared" si="12"/>
        <v>0.98267716535433081</v>
      </c>
      <c r="L52" s="27">
        <f t="shared" si="12"/>
        <v>0.98428571428571421</v>
      </c>
      <c r="M52" s="26">
        <f t="shared" si="12"/>
        <v>0.98340874811463042</v>
      </c>
      <c r="N52" s="28">
        <f t="shared" si="12"/>
        <v>0.9840000000000001</v>
      </c>
    </row>
    <row r="53" spans="1:14" ht="15.6" x14ac:dyDescent="0.3">
      <c r="A53" s="149" t="s">
        <v>158</v>
      </c>
      <c r="B53" s="148">
        <v>150</v>
      </c>
      <c r="C53" s="6" t="s">
        <v>102</v>
      </c>
      <c r="D53" s="6"/>
      <c r="E53" s="29"/>
      <c r="F53" s="6"/>
      <c r="G53" s="29"/>
      <c r="H53" s="6"/>
      <c r="I53" s="29"/>
      <c r="J53" s="5">
        <v>4.8499999999999996</v>
      </c>
      <c r="K53" s="6"/>
      <c r="L53" s="29"/>
      <c r="M53" s="6"/>
      <c r="N53" s="30"/>
    </row>
    <row r="54" spans="1:14" ht="15.6" x14ac:dyDescent="0.3">
      <c r="A54" s="149"/>
      <c r="B54" s="148"/>
      <c r="C54" s="2" t="s">
        <v>103</v>
      </c>
      <c r="D54" s="2"/>
      <c r="E54" s="19"/>
      <c r="F54" s="2"/>
      <c r="G54" s="19"/>
      <c r="H54" s="2"/>
      <c r="I54" s="19"/>
      <c r="J54" s="63">
        <v>4.8099999999999996</v>
      </c>
      <c r="K54" s="2"/>
      <c r="L54" s="19"/>
      <c r="M54" s="2"/>
      <c r="N54" s="20"/>
    </row>
    <row r="55" spans="1:14" ht="15.6" x14ac:dyDescent="0.3">
      <c r="A55" s="149"/>
      <c r="B55" s="148"/>
      <c r="C55" s="25" t="s">
        <v>104</v>
      </c>
      <c r="D55" s="26" t="str">
        <f t="shared" ref="D55:N55" si="13">IF(OR(D53="",D54=""),"",D54/D53)</f>
        <v/>
      </c>
      <c r="E55" s="27" t="str">
        <f t="shared" si="13"/>
        <v/>
      </c>
      <c r="F55" s="26" t="str">
        <f t="shared" si="13"/>
        <v/>
      </c>
      <c r="G55" s="27" t="str">
        <f t="shared" si="13"/>
        <v/>
      </c>
      <c r="H55" s="26" t="str">
        <f t="shared" si="13"/>
        <v/>
      </c>
      <c r="I55" s="27" t="str">
        <f t="shared" si="13"/>
        <v/>
      </c>
      <c r="J55" s="123">
        <f t="shared" si="13"/>
        <v>0.99175257731958766</v>
      </c>
      <c r="K55" s="26" t="str">
        <f t="shared" si="13"/>
        <v/>
      </c>
      <c r="L55" s="27" t="str">
        <f t="shared" si="13"/>
        <v/>
      </c>
      <c r="M55" s="26" t="str">
        <f t="shared" si="13"/>
        <v/>
      </c>
      <c r="N55" s="28" t="str">
        <f t="shared" si="13"/>
        <v/>
      </c>
    </row>
    <row r="57" spans="1:14" ht="15.6" x14ac:dyDescent="0.3">
      <c r="A57" s="8" t="s">
        <v>136</v>
      </c>
    </row>
    <row r="58" spans="1:14" ht="15.6" x14ac:dyDescent="0.3">
      <c r="C58" s="55" t="s">
        <v>100</v>
      </c>
      <c r="D58" s="4" t="s">
        <v>14</v>
      </c>
      <c r="E58" s="16" t="s">
        <v>57</v>
      </c>
      <c r="F58" s="4" t="s">
        <v>68</v>
      </c>
      <c r="G58" s="16" t="s">
        <v>27</v>
      </c>
      <c r="H58" s="4" t="s">
        <v>58</v>
      </c>
      <c r="I58" s="17" t="s">
        <v>59</v>
      </c>
      <c r="J58" s="62" t="s">
        <v>154</v>
      </c>
      <c r="K58" s="4" t="s">
        <v>60</v>
      </c>
      <c r="L58" s="16" t="s">
        <v>61</v>
      </c>
      <c r="M58" s="4" t="s">
        <v>62</v>
      </c>
      <c r="N58" s="17" t="s">
        <v>63</v>
      </c>
    </row>
    <row r="59" spans="1:14" ht="15.6" x14ac:dyDescent="0.3">
      <c r="C59" s="56" t="s">
        <v>114</v>
      </c>
      <c r="D59" s="2">
        <v>5</v>
      </c>
      <c r="E59" s="19">
        <v>7.2</v>
      </c>
      <c r="F59" s="2">
        <v>9</v>
      </c>
      <c r="G59" s="19">
        <v>15</v>
      </c>
      <c r="H59" s="2">
        <v>14.4</v>
      </c>
      <c r="I59" s="20">
        <v>19.2</v>
      </c>
      <c r="J59" s="63">
        <v>19.2</v>
      </c>
      <c r="K59" s="2">
        <v>24</v>
      </c>
      <c r="L59" s="19">
        <v>28.8</v>
      </c>
      <c r="M59" s="2">
        <v>38.4</v>
      </c>
      <c r="N59" s="20">
        <v>57.6</v>
      </c>
    </row>
    <row r="60" spans="1:14" ht="15.6" x14ac:dyDescent="0.3">
      <c r="A60" s="115"/>
      <c r="C60" s="116"/>
      <c r="D60" s="117">
        <v>6.5</v>
      </c>
      <c r="E60" s="118">
        <v>7.5</v>
      </c>
      <c r="F60" s="117">
        <v>14.2</v>
      </c>
      <c r="G60" s="118">
        <v>20.2</v>
      </c>
      <c r="H60" s="117"/>
      <c r="I60" s="118">
        <v>29</v>
      </c>
      <c r="J60" s="119">
        <v>23.3</v>
      </c>
      <c r="K60" s="117">
        <v>29.2</v>
      </c>
      <c r="L60" s="118"/>
      <c r="M60" s="117">
        <v>49</v>
      </c>
      <c r="N60" s="120">
        <v>69</v>
      </c>
    </row>
    <row r="61" spans="1:14" ht="15" customHeight="1" x14ac:dyDescent="0.3">
      <c r="A61" s="147" t="s">
        <v>155</v>
      </c>
      <c r="C61" s="56" t="s">
        <v>101</v>
      </c>
      <c r="D61" s="2" t="s">
        <v>14</v>
      </c>
      <c r="E61" s="19" t="s">
        <v>57</v>
      </c>
      <c r="F61" s="42" t="s">
        <v>68</v>
      </c>
      <c r="G61" s="43" t="s">
        <v>27</v>
      </c>
      <c r="H61" s="2" t="s">
        <v>58</v>
      </c>
      <c r="I61" s="20" t="s">
        <v>59</v>
      </c>
      <c r="J61" s="111" t="s">
        <v>154</v>
      </c>
      <c r="K61" s="2" t="s">
        <v>60</v>
      </c>
      <c r="L61" s="19" t="s">
        <v>61</v>
      </c>
      <c r="M61" s="2" t="s">
        <v>62</v>
      </c>
      <c r="N61" s="20" t="s">
        <v>63</v>
      </c>
    </row>
    <row r="62" spans="1:14" ht="15.6" x14ac:dyDescent="0.3">
      <c r="A62" s="147"/>
      <c r="B62" s="7" t="s">
        <v>6</v>
      </c>
      <c r="C62" s="74"/>
      <c r="D62" s="59"/>
      <c r="E62" s="60"/>
      <c r="F62" s="59"/>
      <c r="G62" s="60"/>
      <c r="H62" s="59"/>
      <c r="I62" s="61"/>
      <c r="J62" s="60"/>
      <c r="K62" s="59"/>
      <c r="L62" s="60"/>
      <c r="M62" s="59"/>
      <c r="N62" s="61"/>
    </row>
    <row r="63" spans="1:14" ht="15.6" x14ac:dyDescent="0.3">
      <c r="A63" s="126" t="s">
        <v>156</v>
      </c>
      <c r="B63" s="148">
        <v>70</v>
      </c>
      <c r="C63" s="2" t="s">
        <v>102</v>
      </c>
      <c r="D63" s="2">
        <v>0.71</v>
      </c>
      <c r="E63" s="19">
        <v>0.59</v>
      </c>
      <c r="F63" s="2">
        <v>0.9</v>
      </c>
      <c r="G63" s="19">
        <v>0.86</v>
      </c>
      <c r="H63" s="2"/>
      <c r="I63" s="20">
        <v>0.9</v>
      </c>
      <c r="J63" s="19">
        <v>0.9</v>
      </c>
      <c r="K63" s="2">
        <v>0.79</v>
      </c>
      <c r="L63" s="19">
        <v>0.87</v>
      </c>
      <c r="M63" s="2">
        <v>0.82</v>
      </c>
      <c r="N63" s="20">
        <v>0.77</v>
      </c>
    </row>
    <row r="64" spans="1:14" ht="15.6" x14ac:dyDescent="0.3">
      <c r="A64" s="126"/>
      <c r="B64" s="148"/>
      <c r="C64" s="2" t="s">
        <v>103</v>
      </c>
      <c r="D64" s="2">
        <v>1.41</v>
      </c>
      <c r="E64" s="19">
        <v>1.18</v>
      </c>
      <c r="F64" s="2">
        <v>1.8</v>
      </c>
      <c r="G64" s="19">
        <v>1.71</v>
      </c>
      <c r="H64" s="2"/>
      <c r="I64" s="20">
        <v>1.8</v>
      </c>
      <c r="J64" s="19">
        <v>1.8</v>
      </c>
      <c r="K64" s="2">
        <v>1.57</v>
      </c>
      <c r="L64" s="19">
        <v>1.73</v>
      </c>
      <c r="M64" s="2">
        <v>1.63</v>
      </c>
      <c r="N64" s="20">
        <v>1.54</v>
      </c>
    </row>
    <row r="65" spans="1:14" ht="15.6" x14ac:dyDescent="0.3">
      <c r="A65" s="126"/>
      <c r="B65" s="148"/>
      <c r="C65" s="25" t="s">
        <v>104</v>
      </c>
      <c r="D65" s="26">
        <f t="shared" ref="D65:N65" si="14">IF(OR(D63="",D64=""),"",D64/D63)</f>
        <v>1.9859154929577465</v>
      </c>
      <c r="E65" s="27">
        <f t="shared" si="14"/>
        <v>2</v>
      </c>
      <c r="F65" s="26">
        <f t="shared" si="14"/>
        <v>2</v>
      </c>
      <c r="G65" s="27">
        <f t="shared" si="14"/>
        <v>1.9883720930232558</v>
      </c>
      <c r="H65" s="26" t="str">
        <f t="shared" si="14"/>
        <v/>
      </c>
      <c r="I65" s="28">
        <f t="shared" si="14"/>
        <v>2</v>
      </c>
      <c r="J65" s="27">
        <f t="shared" si="14"/>
        <v>2</v>
      </c>
      <c r="K65" s="26">
        <f t="shared" si="14"/>
        <v>1.9873417721518987</v>
      </c>
      <c r="L65" s="27">
        <f t="shared" si="14"/>
        <v>1.9885057471264367</v>
      </c>
      <c r="M65" s="26">
        <f t="shared" si="14"/>
        <v>1.9878048780487805</v>
      </c>
      <c r="N65" s="28">
        <f t="shared" si="14"/>
        <v>2</v>
      </c>
    </row>
    <row r="66" spans="1:14" ht="15.6" x14ac:dyDescent="0.3">
      <c r="A66" s="126"/>
      <c r="B66" s="150">
        <v>90</v>
      </c>
      <c r="C66" s="16" t="s">
        <v>102</v>
      </c>
      <c r="D66" s="4">
        <v>1.86</v>
      </c>
      <c r="E66" s="16">
        <v>1.57</v>
      </c>
      <c r="F66" s="4">
        <v>2.37</v>
      </c>
      <c r="G66" s="16">
        <v>2.2599999999999998</v>
      </c>
      <c r="H66" s="4">
        <v>2.58</v>
      </c>
      <c r="I66" s="17">
        <v>2.38</v>
      </c>
      <c r="J66" s="16">
        <v>2.38</v>
      </c>
      <c r="K66" s="4">
        <v>2.0699999999999998</v>
      </c>
      <c r="L66" s="16">
        <v>2.2799999999999998</v>
      </c>
      <c r="M66" s="4">
        <v>2.16</v>
      </c>
      <c r="N66" s="17">
        <v>2.04</v>
      </c>
    </row>
    <row r="67" spans="1:14" ht="15.6" x14ac:dyDescent="0.3">
      <c r="A67" s="126"/>
      <c r="B67" s="150"/>
      <c r="C67" s="19" t="s">
        <v>103</v>
      </c>
      <c r="D67" s="2">
        <v>3.26</v>
      </c>
      <c r="E67" s="19">
        <v>2.74</v>
      </c>
      <c r="F67" s="2">
        <v>4.16</v>
      </c>
      <c r="G67" s="19">
        <v>3.95</v>
      </c>
      <c r="H67" s="2">
        <v>4.51</v>
      </c>
      <c r="I67" s="20">
        <v>4.17</v>
      </c>
      <c r="J67" s="19">
        <v>4.17</v>
      </c>
      <c r="K67" s="2">
        <v>3.62</v>
      </c>
      <c r="L67" s="19">
        <v>4</v>
      </c>
      <c r="M67" s="2">
        <v>3.78</v>
      </c>
      <c r="N67" s="20">
        <v>3.57</v>
      </c>
    </row>
    <row r="68" spans="1:14" ht="15.6" x14ac:dyDescent="0.3">
      <c r="A68" s="126"/>
      <c r="B68" s="150"/>
      <c r="C68" s="75" t="s">
        <v>104</v>
      </c>
      <c r="D68" s="26">
        <f t="shared" ref="D68:N68" si="15">IF(OR(D66="",D67=""),"",D67/D66)</f>
        <v>1.7526881720430105</v>
      </c>
      <c r="E68" s="27">
        <f t="shared" si="15"/>
        <v>1.7452229299363058</v>
      </c>
      <c r="F68" s="26">
        <f t="shared" si="15"/>
        <v>1.7552742616033754</v>
      </c>
      <c r="G68" s="27">
        <f t="shared" si="15"/>
        <v>1.7477876106194692</v>
      </c>
      <c r="H68" s="26">
        <f t="shared" si="15"/>
        <v>1.7480620155038757</v>
      </c>
      <c r="I68" s="28">
        <f t="shared" si="15"/>
        <v>1.7521008403361344</v>
      </c>
      <c r="J68" s="27">
        <f t="shared" si="15"/>
        <v>1.7521008403361344</v>
      </c>
      <c r="K68" s="26">
        <f t="shared" si="15"/>
        <v>1.7487922705314012</v>
      </c>
      <c r="L68" s="27">
        <f t="shared" si="15"/>
        <v>1.7543859649122808</v>
      </c>
      <c r="M68" s="26">
        <f t="shared" si="15"/>
        <v>1.7499999999999998</v>
      </c>
      <c r="N68" s="28">
        <f t="shared" si="15"/>
        <v>1.75</v>
      </c>
    </row>
    <row r="69" spans="1:14" ht="15.6" x14ac:dyDescent="0.3">
      <c r="A69" s="126"/>
      <c r="B69" s="150">
        <v>120</v>
      </c>
      <c r="C69" s="29" t="s">
        <v>102</v>
      </c>
      <c r="D69" s="6">
        <v>4.47</v>
      </c>
      <c r="E69" s="29">
        <v>3.76</v>
      </c>
      <c r="F69" s="6">
        <v>5.7</v>
      </c>
      <c r="G69" s="29">
        <v>4.51</v>
      </c>
      <c r="H69" s="6">
        <v>6.18</v>
      </c>
      <c r="I69" s="30">
        <v>5.71</v>
      </c>
      <c r="J69" s="29">
        <v>5.71</v>
      </c>
      <c r="K69" s="6">
        <v>4.97</v>
      </c>
      <c r="L69" s="29">
        <v>5.48</v>
      </c>
      <c r="M69" s="6">
        <v>5.18</v>
      </c>
      <c r="N69" s="30">
        <v>4.8899999999999997</v>
      </c>
    </row>
    <row r="70" spans="1:14" ht="15.6" x14ac:dyDescent="0.3">
      <c r="A70" s="126"/>
      <c r="B70" s="150"/>
      <c r="C70" s="19" t="s">
        <v>103</v>
      </c>
      <c r="D70" s="2">
        <v>7.23</v>
      </c>
      <c r="E70" s="19">
        <v>6.07</v>
      </c>
      <c r="F70" s="2">
        <v>9.1999999999999993</v>
      </c>
      <c r="G70" s="19">
        <v>8.74</v>
      </c>
      <c r="H70" s="2">
        <v>9.99</v>
      </c>
      <c r="I70" s="20">
        <v>9.23</v>
      </c>
      <c r="J70" s="19">
        <v>9.23</v>
      </c>
      <c r="K70" s="2">
        <v>8.0299999999999994</v>
      </c>
      <c r="L70" s="19">
        <v>8.85</v>
      </c>
      <c r="M70" s="2">
        <v>8.3800000000000008</v>
      </c>
      <c r="N70" s="20">
        <v>7.9</v>
      </c>
    </row>
    <row r="71" spans="1:14" ht="15.6" x14ac:dyDescent="0.3">
      <c r="A71" s="126"/>
      <c r="B71" s="150"/>
      <c r="C71" s="76" t="s">
        <v>104</v>
      </c>
      <c r="D71" s="66">
        <f t="shared" ref="D71:N71" si="16">IF(OR(D69="",D70=""),"",D70/D69)</f>
        <v>1.6174496644295304</v>
      </c>
      <c r="E71" s="67">
        <f t="shared" si="16"/>
        <v>1.6143617021276597</v>
      </c>
      <c r="F71" s="66">
        <f t="shared" si="16"/>
        <v>1.6140350877192982</v>
      </c>
      <c r="G71" s="67">
        <f t="shared" si="16"/>
        <v>1.9379157427937916</v>
      </c>
      <c r="H71" s="66">
        <f t="shared" si="16"/>
        <v>1.6165048543689322</v>
      </c>
      <c r="I71" s="68">
        <f t="shared" si="16"/>
        <v>1.6164623467600701</v>
      </c>
      <c r="J71" s="67">
        <f t="shared" si="16"/>
        <v>1.6164623467600701</v>
      </c>
      <c r="K71" s="66">
        <f t="shared" si="16"/>
        <v>1.6156941649899397</v>
      </c>
      <c r="L71" s="67">
        <f t="shared" si="16"/>
        <v>1.6149635036496348</v>
      </c>
      <c r="M71" s="66">
        <f t="shared" si="16"/>
        <v>1.6177606177606181</v>
      </c>
      <c r="N71" s="68">
        <f t="shared" si="16"/>
        <v>1.6155419222903886</v>
      </c>
    </row>
    <row r="72" spans="1:14" ht="15.6" x14ac:dyDescent="0.3">
      <c r="A72" s="126"/>
      <c r="B72" s="150">
        <v>140</v>
      </c>
      <c r="C72" s="16" t="s">
        <v>102</v>
      </c>
      <c r="D72" s="4">
        <v>6.69</v>
      </c>
      <c r="E72" s="16">
        <v>5.63</v>
      </c>
      <c r="F72" s="4">
        <v>8.5299999999999994</v>
      </c>
      <c r="G72" s="16">
        <v>8.1</v>
      </c>
      <c r="H72" s="4">
        <v>9.25</v>
      </c>
      <c r="I72" s="17">
        <v>8.5500000000000007</v>
      </c>
      <c r="J72" s="16">
        <v>8.5500000000000007</v>
      </c>
      <c r="K72" s="4">
        <v>7.44</v>
      </c>
      <c r="L72" s="16">
        <v>8.1999999999999993</v>
      </c>
      <c r="M72" s="4">
        <v>7.76</v>
      </c>
      <c r="N72" s="17">
        <v>7.32</v>
      </c>
    </row>
    <row r="73" spans="1:14" ht="15.6" x14ac:dyDescent="0.3">
      <c r="A73" s="126"/>
      <c r="B73" s="150"/>
      <c r="C73" s="19" t="s">
        <v>103</v>
      </c>
      <c r="D73" s="2">
        <v>10.51</v>
      </c>
      <c r="E73" s="19">
        <v>8.84</v>
      </c>
      <c r="F73" s="2">
        <v>13.39</v>
      </c>
      <c r="G73" s="19">
        <v>12.73</v>
      </c>
      <c r="H73" s="2">
        <v>14.53</v>
      </c>
      <c r="I73" s="20">
        <v>13.43</v>
      </c>
      <c r="J73" s="19">
        <v>13.43</v>
      </c>
      <c r="K73" s="2">
        <v>11.68</v>
      </c>
      <c r="L73" s="19">
        <v>12.88</v>
      </c>
      <c r="M73" s="2">
        <v>12.19</v>
      </c>
      <c r="N73" s="20">
        <v>11.5</v>
      </c>
    </row>
    <row r="74" spans="1:14" ht="15.6" x14ac:dyDescent="0.3">
      <c r="A74" s="126"/>
      <c r="B74" s="150"/>
      <c r="C74" s="75" t="s">
        <v>104</v>
      </c>
      <c r="D74" s="26">
        <f t="shared" ref="D74:N74" si="17">IF(OR(D72="",D73=""),"",D73/D72)</f>
        <v>1.5710014947683109</v>
      </c>
      <c r="E74" s="27">
        <f t="shared" si="17"/>
        <v>1.5701598579040852</v>
      </c>
      <c r="F74" s="26">
        <f t="shared" si="17"/>
        <v>1.5697538100820634</v>
      </c>
      <c r="G74" s="27">
        <f t="shared" si="17"/>
        <v>1.5716049382716051</v>
      </c>
      <c r="H74" s="26">
        <f t="shared" si="17"/>
        <v>1.5708108108108108</v>
      </c>
      <c r="I74" s="28">
        <f t="shared" si="17"/>
        <v>1.5707602339181286</v>
      </c>
      <c r="J74" s="27">
        <f t="shared" si="17"/>
        <v>1.5707602339181286</v>
      </c>
      <c r="K74" s="26">
        <f t="shared" si="17"/>
        <v>1.5698924731182795</v>
      </c>
      <c r="L74" s="27">
        <f t="shared" si="17"/>
        <v>1.5707317073170735</v>
      </c>
      <c r="M74" s="26">
        <f t="shared" si="17"/>
        <v>1.5708762886597938</v>
      </c>
      <c r="N74" s="28">
        <f t="shared" si="17"/>
        <v>1.5710382513661201</v>
      </c>
    </row>
    <row r="75" spans="1:14" ht="15.6" x14ac:dyDescent="0.3">
      <c r="A75" s="126" t="s">
        <v>157</v>
      </c>
      <c r="B75" s="150">
        <v>100</v>
      </c>
      <c r="C75" s="29" t="s">
        <v>102</v>
      </c>
      <c r="D75" s="6">
        <v>0.53</v>
      </c>
      <c r="E75" s="29">
        <v>0.44</v>
      </c>
      <c r="F75" s="6">
        <v>0.67</v>
      </c>
      <c r="G75" s="29">
        <v>0.64</v>
      </c>
      <c r="H75" s="6">
        <v>0.73</v>
      </c>
      <c r="I75" s="30">
        <v>0.67</v>
      </c>
      <c r="J75" s="29">
        <v>0.67</v>
      </c>
      <c r="K75" s="6">
        <v>0.59</v>
      </c>
      <c r="L75" s="29">
        <v>0.65</v>
      </c>
      <c r="M75" s="6">
        <v>0.61</v>
      </c>
      <c r="N75" s="30">
        <v>0.57999999999999996</v>
      </c>
    </row>
    <row r="76" spans="1:14" ht="15.6" x14ac:dyDescent="0.3">
      <c r="A76" s="126"/>
      <c r="B76" s="150"/>
      <c r="C76" s="19" t="s">
        <v>103</v>
      </c>
      <c r="D76" s="2">
        <v>0.78</v>
      </c>
      <c r="E76" s="19">
        <v>0.66</v>
      </c>
      <c r="F76" s="2">
        <v>0.99</v>
      </c>
      <c r="G76" s="19">
        <v>0.94</v>
      </c>
      <c r="H76" s="2">
        <v>1.08</v>
      </c>
      <c r="I76" s="20">
        <v>1</v>
      </c>
      <c r="J76" s="19">
        <v>1</v>
      </c>
      <c r="K76" s="2">
        <v>0.87</v>
      </c>
      <c r="L76" s="19">
        <v>0.96</v>
      </c>
      <c r="M76" s="2">
        <v>0.9</v>
      </c>
      <c r="N76" s="20">
        <v>0.85</v>
      </c>
    </row>
    <row r="77" spans="1:14" ht="15.6" x14ac:dyDescent="0.3">
      <c r="A77" s="126"/>
      <c r="B77" s="150"/>
      <c r="C77" s="76" t="s">
        <v>104</v>
      </c>
      <c r="D77" s="66">
        <f t="shared" ref="D77:N77" si="18">IF(OR(D75="",D76=""),"",D76/D75)</f>
        <v>1.4716981132075471</v>
      </c>
      <c r="E77" s="67">
        <f t="shared" si="18"/>
        <v>1.5</v>
      </c>
      <c r="F77" s="66">
        <f t="shared" si="18"/>
        <v>1.4776119402985073</v>
      </c>
      <c r="G77" s="67">
        <f t="shared" si="18"/>
        <v>1.4687499999999998</v>
      </c>
      <c r="H77" s="66">
        <f t="shared" si="18"/>
        <v>1.4794520547945207</v>
      </c>
      <c r="I77" s="68">
        <f t="shared" si="18"/>
        <v>1.4925373134328357</v>
      </c>
      <c r="J77" s="67">
        <f t="shared" si="18"/>
        <v>1.4925373134328357</v>
      </c>
      <c r="K77" s="66">
        <f t="shared" si="18"/>
        <v>1.4745762711864407</v>
      </c>
      <c r="L77" s="67">
        <f t="shared" si="18"/>
        <v>1.4769230769230768</v>
      </c>
      <c r="M77" s="66">
        <f t="shared" si="18"/>
        <v>1.4754098360655739</v>
      </c>
      <c r="N77" s="68">
        <f t="shared" si="18"/>
        <v>1.4655172413793105</v>
      </c>
    </row>
    <row r="78" spans="1:14" ht="15.6" x14ac:dyDescent="0.3">
      <c r="A78" s="126"/>
      <c r="B78" s="150">
        <v>140</v>
      </c>
      <c r="C78" s="16" t="s">
        <v>102</v>
      </c>
      <c r="D78" s="4">
        <v>2.2599999999999998</v>
      </c>
      <c r="E78" s="16">
        <v>1.9</v>
      </c>
      <c r="F78" s="4">
        <v>2.88</v>
      </c>
      <c r="G78" s="16">
        <v>2.74</v>
      </c>
      <c r="H78" s="4">
        <v>3.12</v>
      </c>
      <c r="I78" s="17">
        <v>2.89</v>
      </c>
      <c r="J78" s="16">
        <v>2.89</v>
      </c>
      <c r="K78" s="4">
        <v>2.5099999999999998</v>
      </c>
      <c r="L78" s="16">
        <v>2.77</v>
      </c>
      <c r="M78" s="4">
        <v>2.62</v>
      </c>
      <c r="N78" s="17">
        <v>2.4700000000000002</v>
      </c>
    </row>
    <row r="79" spans="1:14" ht="15.6" x14ac:dyDescent="0.3">
      <c r="A79" s="126"/>
      <c r="B79" s="150"/>
      <c r="C79" s="19" t="s">
        <v>103</v>
      </c>
      <c r="D79" s="2">
        <v>3.26</v>
      </c>
      <c r="E79" s="19">
        <v>2.74</v>
      </c>
      <c r="F79" s="2">
        <v>4.1500000000000004</v>
      </c>
      <c r="G79" s="19">
        <v>3.94</v>
      </c>
      <c r="H79" s="2">
        <v>4.5</v>
      </c>
      <c r="I79" s="20">
        <v>4.16</v>
      </c>
      <c r="J79" s="19">
        <v>4.16</v>
      </c>
      <c r="K79" s="2">
        <v>3.62</v>
      </c>
      <c r="L79" s="19">
        <v>3.99</v>
      </c>
      <c r="M79" s="2">
        <v>3.78</v>
      </c>
      <c r="N79" s="20">
        <v>3.56</v>
      </c>
    </row>
    <row r="80" spans="1:14" ht="15.6" x14ac:dyDescent="0.3">
      <c r="A80" s="126"/>
      <c r="B80" s="150"/>
      <c r="C80" s="75" t="s">
        <v>104</v>
      </c>
      <c r="D80" s="26">
        <f t="shared" ref="D80:N80" si="19">IF(OR(D78="",D79=""),"",D79/D78)</f>
        <v>1.4424778761061947</v>
      </c>
      <c r="E80" s="27">
        <f t="shared" si="19"/>
        <v>1.442105263157895</v>
      </c>
      <c r="F80" s="26">
        <f t="shared" si="19"/>
        <v>1.4409722222222223</v>
      </c>
      <c r="G80" s="27">
        <f t="shared" si="19"/>
        <v>1.437956204379562</v>
      </c>
      <c r="H80" s="26">
        <f t="shared" si="19"/>
        <v>1.4423076923076923</v>
      </c>
      <c r="I80" s="28">
        <f t="shared" si="19"/>
        <v>1.439446366782007</v>
      </c>
      <c r="J80" s="27">
        <f t="shared" si="19"/>
        <v>1.439446366782007</v>
      </c>
      <c r="K80" s="26">
        <f t="shared" si="19"/>
        <v>1.4422310756972114</v>
      </c>
      <c r="L80" s="27">
        <f t="shared" si="19"/>
        <v>1.4404332129963899</v>
      </c>
      <c r="M80" s="26">
        <f t="shared" si="19"/>
        <v>1.4427480916030533</v>
      </c>
      <c r="N80" s="28">
        <f t="shared" si="19"/>
        <v>1.4412955465587043</v>
      </c>
    </row>
    <row r="81" spans="1:14" ht="15.6" x14ac:dyDescent="0.3">
      <c r="A81" s="149" t="s">
        <v>158</v>
      </c>
      <c r="B81" s="148">
        <v>150</v>
      </c>
      <c r="C81" s="6" t="s">
        <v>102</v>
      </c>
      <c r="D81" s="6"/>
      <c r="E81" s="29"/>
      <c r="F81" s="6"/>
      <c r="G81" s="29"/>
      <c r="H81" s="6"/>
      <c r="I81" s="29"/>
      <c r="J81" s="5">
        <v>2.02</v>
      </c>
      <c r="K81" s="6"/>
      <c r="L81" s="29"/>
      <c r="M81" s="6"/>
      <c r="N81" s="30"/>
    </row>
    <row r="82" spans="1:14" ht="15.6" x14ac:dyDescent="0.3">
      <c r="A82" s="149"/>
      <c r="B82" s="148"/>
      <c r="C82" s="2" t="s">
        <v>103</v>
      </c>
      <c r="D82" s="2"/>
      <c r="E82" s="19"/>
      <c r="F82" s="2"/>
      <c r="G82" s="19"/>
      <c r="H82" s="2"/>
      <c r="I82" s="19"/>
      <c r="J82" s="63">
        <v>2.87</v>
      </c>
      <c r="K82" s="2"/>
      <c r="L82" s="19"/>
      <c r="M82" s="2"/>
      <c r="N82" s="20"/>
    </row>
    <row r="83" spans="1:14" ht="15.6" x14ac:dyDescent="0.3">
      <c r="A83" s="149"/>
      <c r="B83" s="148"/>
      <c r="C83" s="25" t="s">
        <v>104</v>
      </c>
      <c r="D83" s="26" t="str">
        <f t="shared" ref="D83:N83" si="20">IF(OR(D81="",D82=""),"",D82/D81)</f>
        <v/>
      </c>
      <c r="E83" s="27" t="str">
        <f t="shared" si="20"/>
        <v/>
      </c>
      <c r="F83" s="26" t="str">
        <f t="shared" si="20"/>
        <v/>
      </c>
      <c r="G83" s="27" t="str">
        <f t="shared" si="20"/>
        <v/>
      </c>
      <c r="H83" s="26" t="str">
        <f t="shared" si="20"/>
        <v/>
      </c>
      <c r="I83" s="27" t="str">
        <f t="shared" si="20"/>
        <v/>
      </c>
      <c r="J83" s="123">
        <f t="shared" si="20"/>
        <v>1.4207920792079207</v>
      </c>
      <c r="K83" s="26" t="str">
        <f t="shared" si="20"/>
        <v/>
      </c>
      <c r="L83" s="27" t="str">
        <f t="shared" si="20"/>
        <v/>
      </c>
      <c r="M83" s="26" t="str">
        <f t="shared" si="20"/>
        <v/>
      </c>
      <c r="N83" s="28" t="str">
        <f t="shared" si="20"/>
        <v/>
      </c>
    </row>
    <row r="85" spans="1:14" ht="15.6" x14ac:dyDescent="0.3">
      <c r="A85" s="8" t="s">
        <v>137</v>
      </c>
    </row>
    <row r="86" spans="1:14" ht="15.6" x14ac:dyDescent="0.3">
      <c r="C86" s="55" t="s">
        <v>100</v>
      </c>
      <c r="D86" s="4" t="s">
        <v>14</v>
      </c>
      <c r="E86" s="16" t="s">
        <v>57</v>
      </c>
      <c r="F86" s="4" t="s">
        <v>68</v>
      </c>
      <c r="G86" s="16" t="s">
        <v>27</v>
      </c>
      <c r="H86" s="4" t="s">
        <v>58</v>
      </c>
      <c r="I86" s="17" t="s">
        <v>59</v>
      </c>
      <c r="J86" s="62" t="s">
        <v>154</v>
      </c>
      <c r="K86" s="4" t="s">
        <v>60</v>
      </c>
      <c r="L86" s="16" t="s">
        <v>61</v>
      </c>
      <c r="M86" s="4" t="s">
        <v>62</v>
      </c>
      <c r="N86" s="17" t="s">
        <v>63</v>
      </c>
    </row>
    <row r="87" spans="1:14" ht="15.6" x14ac:dyDescent="0.3">
      <c r="C87" s="56" t="s">
        <v>114</v>
      </c>
      <c r="D87" s="2">
        <v>5</v>
      </c>
      <c r="E87" s="19">
        <v>7.2</v>
      </c>
      <c r="F87" s="2">
        <v>9</v>
      </c>
      <c r="G87" s="19">
        <v>15</v>
      </c>
      <c r="H87" s="2">
        <v>14.4</v>
      </c>
      <c r="I87" s="20">
        <v>19.2</v>
      </c>
      <c r="J87" s="63">
        <v>19.2</v>
      </c>
      <c r="K87" s="2">
        <v>24</v>
      </c>
      <c r="L87" s="19">
        <v>28.8</v>
      </c>
      <c r="M87" s="2">
        <v>38.4</v>
      </c>
      <c r="N87" s="20">
        <v>57.6</v>
      </c>
    </row>
    <row r="88" spans="1:14" ht="15.6" x14ac:dyDescent="0.3">
      <c r="A88" s="115"/>
      <c r="C88" s="116"/>
      <c r="D88" s="117">
        <v>6.5</v>
      </c>
      <c r="E88" s="118">
        <v>7.5</v>
      </c>
      <c r="F88" s="117">
        <v>14.2</v>
      </c>
      <c r="G88" s="118">
        <v>20.2</v>
      </c>
      <c r="H88" s="117"/>
      <c r="I88" s="118">
        <v>29</v>
      </c>
      <c r="J88" s="119">
        <v>23.3</v>
      </c>
      <c r="K88" s="117">
        <v>29.2</v>
      </c>
      <c r="L88" s="118"/>
      <c r="M88" s="117">
        <v>49</v>
      </c>
      <c r="N88" s="120">
        <v>69</v>
      </c>
    </row>
    <row r="89" spans="1:14" ht="15" customHeight="1" x14ac:dyDescent="0.3">
      <c r="A89" s="147" t="s">
        <v>155</v>
      </c>
      <c r="C89" s="56" t="s">
        <v>101</v>
      </c>
      <c r="D89" s="2" t="s">
        <v>14</v>
      </c>
      <c r="E89" s="19" t="s">
        <v>57</v>
      </c>
      <c r="F89" s="42" t="s">
        <v>68</v>
      </c>
      <c r="G89" s="43" t="s">
        <v>27</v>
      </c>
      <c r="H89" s="2" t="s">
        <v>58</v>
      </c>
      <c r="I89" s="20" t="s">
        <v>59</v>
      </c>
      <c r="J89" s="111" t="s">
        <v>154</v>
      </c>
      <c r="K89" s="2" t="s">
        <v>60</v>
      </c>
      <c r="L89" s="19" t="s">
        <v>61</v>
      </c>
      <c r="M89" s="2" t="s">
        <v>62</v>
      </c>
      <c r="N89" s="20" t="s">
        <v>63</v>
      </c>
    </row>
    <row r="90" spans="1:14" ht="15.6" x14ac:dyDescent="0.3">
      <c r="A90" s="147"/>
      <c r="B90" s="7" t="s">
        <v>6</v>
      </c>
      <c r="C90" s="58"/>
      <c r="D90" s="59"/>
      <c r="E90" s="60"/>
      <c r="F90" s="59"/>
      <c r="G90" s="60"/>
      <c r="H90" s="59"/>
      <c r="I90" s="61"/>
      <c r="J90" s="60"/>
      <c r="K90" s="59"/>
      <c r="L90" s="60"/>
      <c r="M90" s="59"/>
      <c r="N90" s="61"/>
    </row>
    <row r="91" spans="1:14" ht="15" customHeight="1" x14ac:dyDescent="0.3">
      <c r="A91" s="126" t="s">
        <v>156</v>
      </c>
      <c r="B91" s="148">
        <v>70</v>
      </c>
      <c r="C91" s="2" t="s">
        <v>102</v>
      </c>
      <c r="D91" s="2">
        <v>0.61</v>
      </c>
      <c r="E91" s="19">
        <v>0.51</v>
      </c>
      <c r="F91" s="2">
        <v>0.78</v>
      </c>
      <c r="G91" s="19">
        <v>0.78</v>
      </c>
      <c r="H91" s="2"/>
      <c r="I91" s="20">
        <v>0.78</v>
      </c>
      <c r="J91" s="19">
        <v>0.78</v>
      </c>
      <c r="K91" s="2">
        <v>0.68</v>
      </c>
      <c r="L91" s="19">
        <v>0.75</v>
      </c>
      <c r="M91" s="2">
        <v>0.71</v>
      </c>
      <c r="N91" s="20">
        <v>0.67</v>
      </c>
    </row>
    <row r="92" spans="1:14" ht="15" customHeight="1" x14ac:dyDescent="0.3">
      <c r="A92" s="126"/>
      <c r="B92" s="148"/>
      <c r="C92" s="2" t="s">
        <v>103</v>
      </c>
      <c r="D92" s="2">
        <v>1.07</v>
      </c>
      <c r="E92" s="19">
        <v>0.9</v>
      </c>
      <c r="F92" s="2">
        <v>1.37</v>
      </c>
      <c r="G92" s="19">
        <v>1.37</v>
      </c>
      <c r="H92" s="2"/>
      <c r="I92" s="20">
        <v>1.37</v>
      </c>
      <c r="J92" s="19">
        <v>1.37</v>
      </c>
      <c r="K92" s="2">
        <v>1.19</v>
      </c>
      <c r="L92" s="19">
        <v>1.32</v>
      </c>
      <c r="M92" s="2">
        <v>1.25</v>
      </c>
      <c r="N92" s="20">
        <v>1.18</v>
      </c>
    </row>
    <row r="93" spans="1:14" ht="15" customHeight="1" x14ac:dyDescent="0.3">
      <c r="A93" s="126"/>
      <c r="B93" s="148"/>
      <c r="C93" s="25" t="s">
        <v>104</v>
      </c>
      <c r="D93" s="26">
        <f t="shared" ref="D93:N93" si="21">IF(OR(D91="",D92=""),"",D92/D91)</f>
        <v>1.7540983606557379</v>
      </c>
      <c r="E93" s="27">
        <f t="shared" si="21"/>
        <v>1.7647058823529411</v>
      </c>
      <c r="F93" s="26">
        <f t="shared" si="21"/>
        <v>1.7564102564102564</v>
      </c>
      <c r="G93" s="27">
        <f t="shared" si="21"/>
        <v>1.7564102564102564</v>
      </c>
      <c r="H93" s="26" t="str">
        <f t="shared" si="21"/>
        <v/>
      </c>
      <c r="I93" s="28">
        <f t="shared" si="21"/>
        <v>1.7564102564102564</v>
      </c>
      <c r="J93" s="27">
        <f t="shared" si="21"/>
        <v>1.7564102564102564</v>
      </c>
      <c r="K93" s="26">
        <f t="shared" si="21"/>
        <v>1.7499999999999998</v>
      </c>
      <c r="L93" s="27">
        <f t="shared" si="21"/>
        <v>1.76</v>
      </c>
      <c r="M93" s="26">
        <f t="shared" si="21"/>
        <v>1.7605633802816902</v>
      </c>
      <c r="N93" s="28">
        <f t="shared" si="21"/>
        <v>1.761194029850746</v>
      </c>
    </row>
    <row r="94" spans="1:14" ht="15" customHeight="1" x14ac:dyDescent="0.3">
      <c r="A94" s="126"/>
      <c r="B94" s="148">
        <v>90</v>
      </c>
      <c r="C94" s="62" t="s">
        <v>102</v>
      </c>
      <c r="D94" s="4">
        <v>1.63</v>
      </c>
      <c r="E94" s="16">
        <v>1.37</v>
      </c>
      <c r="F94" s="4">
        <v>2.08</v>
      </c>
      <c r="G94" s="16">
        <v>2.08</v>
      </c>
      <c r="H94" s="4">
        <v>2.2599999999999998</v>
      </c>
      <c r="I94" s="17">
        <v>2.08</v>
      </c>
      <c r="J94" s="16">
        <v>2.08</v>
      </c>
      <c r="K94" s="4">
        <v>1.81</v>
      </c>
      <c r="L94" s="16">
        <v>2</v>
      </c>
      <c r="M94" s="4">
        <v>1.89</v>
      </c>
      <c r="N94" s="17">
        <v>1.79</v>
      </c>
    </row>
    <row r="95" spans="1:14" ht="15.6" x14ac:dyDescent="0.3">
      <c r="A95" s="126"/>
      <c r="B95" s="148"/>
      <c r="C95" s="63" t="s">
        <v>103</v>
      </c>
      <c r="D95" s="2">
        <v>2.5499999999999998</v>
      </c>
      <c r="E95" s="19">
        <v>2.14</v>
      </c>
      <c r="F95" s="2">
        <v>3.24</v>
      </c>
      <c r="G95" s="19">
        <v>3.25</v>
      </c>
      <c r="H95" s="2">
        <v>3.52</v>
      </c>
      <c r="I95" s="20">
        <v>3.25</v>
      </c>
      <c r="J95" s="19">
        <v>3.25</v>
      </c>
      <c r="K95" s="2">
        <v>2.83</v>
      </c>
      <c r="L95" s="19">
        <v>3.12</v>
      </c>
      <c r="M95" s="2">
        <v>2.95</v>
      </c>
      <c r="N95" s="20">
        <v>2.78</v>
      </c>
    </row>
    <row r="96" spans="1:14" ht="15.6" x14ac:dyDescent="0.3">
      <c r="A96" s="126"/>
      <c r="B96" s="148"/>
      <c r="C96" s="64" t="s">
        <v>104</v>
      </c>
      <c r="D96" s="26">
        <f t="shared" ref="D96:N96" si="22">IF(OR(D94="",D95=""),"",D95/D94)</f>
        <v>1.5644171779141105</v>
      </c>
      <c r="E96" s="27">
        <f t="shared" si="22"/>
        <v>1.5620437956204378</v>
      </c>
      <c r="F96" s="26">
        <f t="shared" si="22"/>
        <v>1.5576923076923077</v>
      </c>
      <c r="G96" s="27">
        <f t="shared" si="22"/>
        <v>1.5625</v>
      </c>
      <c r="H96" s="26">
        <f t="shared" si="22"/>
        <v>1.5575221238938055</v>
      </c>
      <c r="I96" s="28">
        <f t="shared" si="22"/>
        <v>1.5625</v>
      </c>
      <c r="J96" s="27">
        <f t="shared" si="22"/>
        <v>1.5625</v>
      </c>
      <c r="K96" s="26">
        <f t="shared" si="22"/>
        <v>1.5635359116022098</v>
      </c>
      <c r="L96" s="27">
        <f t="shared" si="22"/>
        <v>1.56</v>
      </c>
      <c r="M96" s="26">
        <f t="shared" si="22"/>
        <v>1.5608465608465609</v>
      </c>
      <c r="N96" s="28">
        <f t="shared" si="22"/>
        <v>1.5530726256983238</v>
      </c>
    </row>
    <row r="97" spans="1:14" ht="15.6" x14ac:dyDescent="0.3">
      <c r="A97" s="126"/>
      <c r="B97" s="148">
        <v>120</v>
      </c>
      <c r="C97" s="5" t="s">
        <v>102</v>
      </c>
      <c r="D97" s="6">
        <v>3.97</v>
      </c>
      <c r="E97" s="29">
        <v>3.34</v>
      </c>
      <c r="F97" s="6">
        <v>5.0599999999999996</v>
      </c>
      <c r="G97" s="29">
        <v>5.07</v>
      </c>
      <c r="H97" s="6">
        <v>5.49</v>
      </c>
      <c r="I97" s="30">
        <v>5.07</v>
      </c>
      <c r="J97" s="29">
        <v>5.07</v>
      </c>
      <c r="K97" s="6">
        <v>4.41</v>
      </c>
      <c r="L97" s="29">
        <v>4.8600000000000003</v>
      </c>
      <c r="M97" s="6">
        <v>4.5999999999999996</v>
      </c>
      <c r="N97" s="30">
        <v>4.34</v>
      </c>
    </row>
    <row r="98" spans="1:14" ht="15.6" x14ac:dyDescent="0.3">
      <c r="A98" s="126"/>
      <c r="B98" s="148"/>
      <c r="C98" s="63" t="s">
        <v>103</v>
      </c>
      <c r="D98" s="2">
        <v>5.75</v>
      </c>
      <c r="E98" s="19">
        <v>4.84</v>
      </c>
      <c r="F98" s="2">
        <v>7.33</v>
      </c>
      <c r="G98" s="19">
        <v>7.35</v>
      </c>
      <c r="H98" s="2">
        <v>7.95</v>
      </c>
      <c r="I98" s="20">
        <v>7.35</v>
      </c>
      <c r="J98" s="19">
        <v>7.35</v>
      </c>
      <c r="K98" s="2">
        <v>6.39</v>
      </c>
      <c r="L98" s="19">
        <v>7.05</v>
      </c>
      <c r="M98" s="2">
        <v>6.67</v>
      </c>
      <c r="N98" s="20">
        <v>6.29</v>
      </c>
    </row>
    <row r="99" spans="1:14" ht="15.6" x14ac:dyDescent="0.3">
      <c r="A99" s="126"/>
      <c r="B99" s="148"/>
      <c r="C99" s="65" t="s">
        <v>104</v>
      </c>
      <c r="D99" s="66">
        <f t="shared" ref="D99:N99" si="23">IF(OR(D97="",D98=""),"",D98/D97)</f>
        <v>1.4483627204030225</v>
      </c>
      <c r="E99" s="67">
        <f t="shared" si="23"/>
        <v>1.4491017964071857</v>
      </c>
      <c r="F99" s="66">
        <f t="shared" si="23"/>
        <v>1.4486166007905139</v>
      </c>
      <c r="G99" s="67">
        <f t="shared" si="23"/>
        <v>1.4497041420118342</v>
      </c>
      <c r="H99" s="66">
        <f t="shared" si="23"/>
        <v>1.4480874316939891</v>
      </c>
      <c r="I99" s="68">
        <f t="shared" si="23"/>
        <v>1.4497041420118342</v>
      </c>
      <c r="J99" s="67">
        <f t="shared" si="23"/>
        <v>1.4497041420118342</v>
      </c>
      <c r="K99" s="66">
        <f t="shared" si="23"/>
        <v>1.4489795918367345</v>
      </c>
      <c r="L99" s="67">
        <f t="shared" si="23"/>
        <v>1.4506172839506171</v>
      </c>
      <c r="M99" s="66">
        <f t="shared" si="23"/>
        <v>1.4500000000000002</v>
      </c>
      <c r="N99" s="68">
        <f t="shared" si="23"/>
        <v>1.4493087557603688</v>
      </c>
    </row>
    <row r="100" spans="1:14" ht="15.6" x14ac:dyDescent="0.3">
      <c r="A100" s="126"/>
      <c r="B100" s="148">
        <v>140</v>
      </c>
      <c r="C100" s="62" t="s">
        <v>102</v>
      </c>
      <c r="D100" s="4">
        <v>5.97</v>
      </c>
      <c r="E100" s="16">
        <v>5.0199999999999996</v>
      </c>
      <c r="F100" s="4">
        <v>7.61</v>
      </c>
      <c r="G100" s="16">
        <v>7.63</v>
      </c>
      <c r="H100" s="4">
        <v>8.25</v>
      </c>
      <c r="I100" s="17">
        <v>7.63</v>
      </c>
      <c r="J100" s="16">
        <v>7.63</v>
      </c>
      <c r="K100" s="4">
        <v>6.63</v>
      </c>
      <c r="L100" s="16">
        <v>7.31</v>
      </c>
      <c r="M100" s="4">
        <v>6.92</v>
      </c>
      <c r="N100" s="17">
        <v>6.53</v>
      </c>
    </row>
    <row r="101" spans="1:14" ht="15.6" x14ac:dyDescent="0.3">
      <c r="A101" s="126"/>
      <c r="B101" s="148"/>
      <c r="C101" s="63" t="s">
        <v>103</v>
      </c>
      <c r="D101" s="2">
        <v>8.44</v>
      </c>
      <c r="E101" s="19">
        <v>7.1</v>
      </c>
      <c r="F101" s="2">
        <v>10.76</v>
      </c>
      <c r="G101" s="19">
        <v>10.78</v>
      </c>
      <c r="H101" s="2">
        <v>11.67</v>
      </c>
      <c r="I101" s="20">
        <v>10.78</v>
      </c>
      <c r="J101" s="19">
        <v>10.78</v>
      </c>
      <c r="K101" s="2">
        <v>9.3800000000000008</v>
      </c>
      <c r="L101" s="19">
        <v>10.34</v>
      </c>
      <c r="M101" s="2">
        <v>7.97</v>
      </c>
      <c r="N101" s="20">
        <v>9.23</v>
      </c>
    </row>
    <row r="102" spans="1:14" ht="15.6" x14ac:dyDescent="0.3">
      <c r="A102" s="126"/>
      <c r="B102" s="148"/>
      <c r="C102" s="64" t="s">
        <v>104</v>
      </c>
      <c r="D102" s="26">
        <f t="shared" ref="D102:N102" si="24">IF(OR(D100="",D101=""),"",D101/D100)</f>
        <v>1.4137353433835846</v>
      </c>
      <c r="E102" s="27">
        <f t="shared" si="24"/>
        <v>1.4143426294820718</v>
      </c>
      <c r="F102" s="26">
        <f t="shared" si="24"/>
        <v>1.4139290407358738</v>
      </c>
      <c r="G102" s="27">
        <f t="shared" si="24"/>
        <v>1.4128440366972477</v>
      </c>
      <c r="H102" s="26">
        <f t="shared" si="24"/>
        <v>1.4145454545454546</v>
      </c>
      <c r="I102" s="28">
        <f t="shared" si="24"/>
        <v>1.4128440366972477</v>
      </c>
      <c r="J102" s="27">
        <f t="shared" si="24"/>
        <v>1.4128440366972477</v>
      </c>
      <c r="K102" s="26">
        <f t="shared" si="24"/>
        <v>1.4147812971342384</v>
      </c>
      <c r="L102" s="27">
        <f t="shared" si="24"/>
        <v>1.414500683994528</v>
      </c>
      <c r="M102" s="26">
        <f t="shared" si="24"/>
        <v>1.1517341040462428</v>
      </c>
      <c r="N102" s="28">
        <f t="shared" si="24"/>
        <v>1.4134762633996938</v>
      </c>
    </row>
    <row r="103" spans="1:14" ht="15.6" x14ac:dyDescent="0.3">
      <c r="A103" s="126" t="s">
        <v>157</v>
      </c>
      <c r="B103" s="148">
        <v>100</v>
      </c>
      <c r="C103" s="5" t="s">
        <v>102</v>
      </c>
      <c r="D103" s="6">
        <v>0.47</v>
      </c>
      <c r="E103" s="29">
        <v>0.4</v>
      </c>
      <c r="F103" s="6">
        <v>0.6</v>
      </c>
      <c r="G103" s="29">
        <v>0.6</v>
      </c>
      <c r="H103" s="6">
        <v>0.65</v>
      </c>
      <c r="I103" s="30">
        <v>0.6</v>
      </c>
      <c r="J103" s="29">
        <v>0.6</v>
      </c>
      <c r="K103" s="6">
        <v>0.53</v>
      </c>
      <c r="L103" s="29">
        <v>0.57999999999999996</v>
      </c>
      <c r="M103" s="6">
        <v>0.55000000000000004</v>
      </c>
      <c r="N103" s="30">
        <v>0.52</v>
      </c>
    </row>
    <row r="104" spans="1:14" ht="15.6" x14ac:dyDescent="0.3">
      <c r="A104" s="126"/>
      <c r="B104" s="148"/>
      <c r="C104" s="63" t="s">
        <v>103</v>
      </c>
      <c r="D104" s="2">
        <v>0.64</v>
      </c>
      <c r="E104" s="19">
        <v>0.53</v>
      </c>
      <c r="F104" s="2">
        <v>0.81</v>
      </c>
      <c r="G104" s="19">
        <v>0.81</v>
      </c>
      <c r="H104" s="2">
        <v>0.88</v>
      </c>
      <c r="I104" s="20">
        <v>0.81</v>
      </c>
      <c r="J104" s="19">
        <v>0.81</v>
      </c>
      <c r="K104" s="2">
        <v>0.71</v>
      </c>
      <c r="L104" s="19">
        <v>0.78</v>
      </c>
      <c r="M104" s="2">
        <v>0.74</v>
      </c>
      <c r="N104" s="20">
        <v>0.7</v>
      </c>
    </row>
    <row r="105" spans="1:14" ht="15.6" x14ac:dyDescent="0.3">
      <c r="A105" s="126"/>
      <c r="B105" s="148"/>
      <c r="C105" s="65" t="s">
        <v>104</v>
      </c>
      <c r="D105" s="66">
        <f t="shared" ref="D105:N105" si="25">IF(OR(D103="",D104=""),"",D104/D103)</f>
        <v>1.3617021276595747</v>
      </c>
      <c r="E105" s="67">
        <f t="shared" si="25"/>
        <v>1.325</v>
      </c>
      <c r="F105" s="66">
        <f t="shared" si="25"/>
        <v>1.35</v>
      </c>
      <c r="G105" s="67">
        <f t="shared" si="25"/>
        <v>1.35</v>
      </c>
      <c r="H105" s="66">
        <f t="shared" si="25"/>
        <v>1.3538461538461537</v>
      </c>
      <c r="I105" s="68">
        <f t="shared" si="25"/>
        <v>1.35</v>
      </c>
      <c r="J105" s="67">
        <f t="shared" si="25"/>
        <v>1.35</v>
      </c>
      <c r="K105" s="66">
        <f t="shared" si="25"/>
        <v>1.3396226415094339</v>
      </c>
      <c r="L105" s="67">
        <f t="shared" si="25"/>
        <v>1.3448275862068968</v>
      </c>
      <c r="M105" s="66">
        <f t="shared" si="25"/>
        <v>1.3454545454545452</v>
      </c>
      <c r="N105" s="68">
        <f t="shared" si="25"/>
        <v>1.346153846153846</v>
      </c>
    </row>
    <row r="106" spans="1:14" ht="15.6" x14ac:dyDescent="0.3">
      <c r="A106" s="126"/>
      <c r="B106" s="148">
        <v>140</v>
      </c>
      <c r="C106" s="62" t="s">
        <v>102</v>
      </c>
      <c r="D106" s="4">
        <v>2.06</v>
      </c>
      <c r="E106" s="16">
        <v>1.73</v>
      </c>
      <c r="F106" s="4">
        <v>2.62</v>
      </c>
      <c r="G106" s="16">
        <v>2.63</v>
      </c>
      <c r="H106" s="4">
        <v>2.85</v>
      </c>
      <c r="I106" s="17">
        <v>2.63</v>
      </c>
      <c r="J106" s="16">
        <v>2.63</v>
      </c>
      <c r="K106" s="4">
        <v>2.29</v>
      </c>
      <c r="L106" s="16">
        <v>2.52</v>
      </c>
      <c r="M106" s="4">
        <v>2.39</v>
      </c>
      <c r="N106" s="17">
        <v>2.25</v>
      </c>
    </row>
    <row r="107" spans="1:14" ht="15.6" x14ac:dyDescent="0.3">
      <c r="A107" s="126"/>
      <c r="B107" s="148"/>
      <c r="C107" s="63" t="s">
        <v>103</v>
      </c>
      <c r="D107" s="2">
        <v>2.71</v>
      </c>
      <c r="E107" s="19">
        <v>2.2799999999999998</v>
      </c>
      <c r="F107" s="2">
        <v>3.45</v>
      </c>
      <c r="G107" s="19">
        <v>3.46</v>
      </c>
      <c r="H107" s="2">
        <v>3.75</v>
      </c>
      <c r="I107" s="20">
        <v>3.46</v>
      </c>
      <c r="J107" s="19">
        <v>3.46</v>
      </c>
      <c r="K107" s="2">
        <v>3.01</v>
      </c>
      <c r="L107" s="19">
        <v>3.32</v>
      </c>
      <c r="M107" s="2">
        <v>3.14</v>
      </c>
      <c r="N107" s="20">
        <v>2.96</v>
      </c>
    </row>
    <row r="108" spans="1:14" ht="15.6" x14ac:dyDescent="0.3">
      <c r="A108" s="126"/>
      <c r="B108" s="148"/>
      <c r="C108" s="64" t="s">
        <v>104</v>
      </c>
      <c r="D108" s="26">
        <f t="shared" ref="D108:N108" si="26">IF(OR(D106="",D107=""),"",D107/D106)</f>
        <v>1.3155339805825241</v>
      </c>
      <c r="E108" s="27">
        <f t="shared" si="26"/>
        <v>1.3179190751445087</v>
      </c>
      <c r="F108" s="26">
        <f t="shared" si="26"/>
        <v>1.3167938931297709</v>
      </c>
      <c r="G108" s="27">
        <f t="shared" si="26"/>
        <v>1.3155893536121674</v>
      </c>
      <c r="H108" s="26">
        <f t="shared" si="26"/>
        <v>1.3157894736842104</v>
      </c>
      <c r="I108" s="28">
        <f t="shared" si="26"/>
        <v>1.3155893536121674</v>
      </c>
      <c r="J108" s="27">
        <f t="shared" si="26"/>
        <v>1.3155893536121674</v>
      </c>
      <c r="K108" s="26">
        <f t="shared" si="26"/>
        <v>1.3144104803493448</v>
      </c>
      <c r="L108" s="27">
        <f t="shared" si="26"/>
        <v>1.3174603174603174</v>
      </c>
      <c r="M108" s="26">
        <f t="shared" si="26"/>
        <v>1.3138075313807531</v>
      </c>
      <c r="N108" s="28">
        <f t="shared" si="26"/>
        <v>1.3155555555555556</v>
      </c>
    </row>
    <row r="109" spans="1:14" ht="15.6" x14ac:dyDescent="0.3">
      <c r="A109" s="149" t="s">
        <v>158</v>
      </c>
      <c r="B109" s="148">
        <v>150</v>
      </c>
      <c r="C109" s="6" t="s">
        <v>102</v>
      </c>
      <c r="D109" s="6"/>
      <c r="E109" s="29"/>
      <c r="F109" s="6"/>
      <c r="G109" s="29"/>
      <c r="H109" s="6"/>
      <c r="I109" s="29"/>
      <c r="J109" s="5">
        <v>1.86</v>
      </c>
      <c r="K109" s="6"/>
      <c r="L109" s="29"/>
      <c r="M109" s="6"/>
      <c r="N109" s="30"/>
    </row>
    <row r="110" spans="1:14" ht="15.6" x14ac:dyDescent="0.3">
      <c r="A110" s="149"/>
      <c r="B110" s="148"/>
      <c r="C110" s="2" t="s">
        <v>103</v>
      </c>
      <c r="D110" s="2"/>
      <c r="E110" s="19"/>
      <c r="F110" s="2"/>
      <c r="G110" s="19"/>
      <c r="H110" s="2"/>
      <c r="I110" s="19"/>
      <c r="J110" s="63">
        <v>2.41</v>
      </c>
      <c r="K110" s="2"/>
      <c r="L110" s="19"/>
      <c r="M110" s="2"/>
      <c r="N110" s="20"/>
    </row>
    <row r="111" spans="1:14" ht="15.6" x14ac:dyDescent="0.3">
      <c r="A111" s="149"/>
      <c r="B111" s="148"/>
      <c r="C111" s="25" t="s">
        <v>104</v>
      </c>
      <c r="D111" s="26" t="str">
        <f t="shared" ref="D111:N111" si="27">IF(OR(D109="",D110=""),"",D110/D109)</f>
        <v/>
      </c>
      <c r="E111" s="27" t="str">
        <f t="shared" si="27"/>
        <v/>
      </c>
      <c r="F111" s="26" t="str">
        <f t="shared" si="27"/>
        <v/>
      </c>
      <c r="G111" s="27" t="str">
        <f t="shared" si="27"/>
        <v/>
      </c>
      <c r="H111" s="26" t="str">
        <f t="shared" si="27"/>
        <v/>
      </c>
      <c r="I111" s="27" t="str">
        <f t="shared" si="27"/>
        <v/>
      </c>
      <c r="J111" s="123">
        <f t="shared" si="27"/>
        <v>1.2956989247311828</v>
      </c>
      <c r="K111" s="26" t="str">
        <f t="shared" si="27"/>
        <v/>
      </c>
      <c r="L111" s="27" t="str">
        <f t="shared" si="27"/>
        <v/>
      </c>
      <c r="M111" s="26" t="str">
        <f t="shared" si="27"/>
        <v/>
      </c>
      <c r="N111" s="28" t="str">
        <f t="shared" si="27"/>
        <v/>
      </c>
    </row>
  </sheetData>
  <mergeCells count="44">
    <mergeCell ref="A103:A108"/>
    <mergeCell ref="B103:B105"/>
    <mergeCell ref="B106:B108"/>
    <mergeCell ref="A109:A111"/>
    <mergeCell ref="B109:B111"/>
    <mergeCell ref="A89:A90"/>
    <mergeCell ref="A91:A102"/>
    <mergeCell ref="B91:B93"/>
    <mergeCell ref="B94:B96"/>
    <mergeCell ref="B97:B99"/>
    <mergeCell ref="B100:B102"/>
    <mergeCell ref="A75:A80"/>
    <mergeCell ref="B75:B77"/>
    <mergeCell ref="B78:B80"/>
    <mergeCell ref="A81:A83"/>
    <mergeCell ref="B81:B83"/>
    <mergeCell ref="A61:A62"/>
    <mergeCell ref="A63:A74"/>
    <mergeCell ref="B63:B65"/>
    <mergeCell ref="B66:B68"/>
    <mergeCell ref="B69:B71"/>
    <mergeCell ref="B72:B74"/>
    <mergeCell ref="A47:A52"/>
    <mergeCell ref="B47:B49"/>
    <mergeCell ref="B50:B52"/>
    <mergeCell ref="A53:A55"/>
    <mergeCell ref="B53:B55"/>
    <mergeCell ref="A33:A34"/>
    <mergeCell ref="A35:A46"/>
    <mergeCell ref="B35:B37"/>
    <mergeCell ref="B38:B40"/>
    <mergeCell ref="B41:B43"/>
    <mergeCell ref="B44:B46"/>
    <mergeCell ref="A19:A24"/>
    <mergeCell ref="B19:B21"/>
    <mergeCell ref="B22:B24"/>
    <mergeCell ref="A25:A27"/>
    <mergeCell ref="B25:B27"/>
    <mergeCell ref="A5:A6"/>
    <mergeCell ref="A7:A18"/>
    <mergeCell ref="B7:B9"/>
    <mergeCell ref="B10:B12"/>
    <mergeCell ref="B13:B15"/>
    <mergeCell ref="B16:B18"/>
  </mergeCells>
  <pageMargins left="0.74791666666666701" right="0.74791666666666701" top="0.98402777777777795" bottom="0.9840277777777779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README</vt:lpstr>
      <vt:lpstr>Sheet9</vt:lpstr>
      <vt:lpstr>Sheet18</vt:lpstr>
      <vt:lpstr>Pro.Pulse</vt:lpstr>
      <vt:lpstr>Neurologica BodyTom</vt:lpstr>
      <vt:lpstr>Symbia Pro.specta Q3</vt:lpstr>
      <vt:lpstr>Intevo Bold</vt:lpstr>
      <vt:lpstr>Biograph Vision</vt:lpstr>
      <vt:lpstr>X.cite</vt:lpstr>
      <vt:lpstr>Confidence 20</vt:lpstr>
      <vt:lpstr>Confidence 64</vt:lpstr>
      <vt:lpstr>go.Top</vt:lpstr>
      <vt:lpstr>Definition Edge</vt:lpstr>
      <vt:lpstr>Somatom Drive</vt:lpstr>
      <vt:lpstr>Somatom Force</vt:lpstr>
      <vt:lpstr>Somatom Flash</vt:lpstr>
      <vt:lpstr>Definition AS 128</vt:lpstr>
      <vt:lpstr>Definition AS 64</vt:lpstr>
      <vt:lpstr>Definition AS Open 64</vt:lpstr>
      <vt:lpstr>Definition AS 40</vt:lpstr>
      <vt:lpstr>Definition AS 20</vt:lpstr>
      <vt:lpstr>Definition AS Open 20</vt:lpstr>
      <vt:lpstr>Naeotom Alpha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Mah, Eugene</cp:lastModifiedBy>
  <cp:revision>2</cp:revision>
  <dcterms:modified xsi:type="dcterms:W3CDTF">2026-06-24T17:45:00Z</dcterms:modified>
  <dc:language>en-US</dc:language>
</cp:coreProperties>
</file>