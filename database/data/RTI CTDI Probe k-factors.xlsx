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workspace\CTDIkf\database\data\"/>
    </mc:Choice>
  </mc:AlternateContent>
  <xr:revisionPtr revIDLastSave="0" documentId="13_ncr:1_{D07A0073-BF1C-4171-BBCE-5BFA22C32184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  <workbookView xWindow="-18120" yWindow="-8025" windowWidth="18240" windowHeight="24240" activeTab="3" xr2:uid="{4BC9E4D8-50F4-45BF-B46A-AF4E3CDE1663}"/>
  </bookViews>
  <sheets>
    <sheet name="README" sheetId="1" r:id="rId1"/>
    <sheet name="Sheet9" sheetId="2" r:id="rId2"/>
    <sheet name="Sheet18" sheetId="3" r:id="rId3"/>
    <sheet name="Pro.Pulse" sheetId="4" r:id="rId4"/>
    <sheet name="Neurologica BodyTom" sheetId="5" r:id="rId5"/>
    <sheet name="Symbia Pro.specta Q3" sheetId="6" r:id="rId6"/>
    <sheet name="Intevo Bold" sheetId="7" r:id="rId7"/>
    <sheet name="Biograph Vision" sheetId="8" r:id="rId8"/>
    <sheet name="X.cite" sheetId="9" r:id="rId9"/>
    <sheet name="Confidence 20" sheetId="10" r:id="rId10"/>
    <sheet name="Confidence 64" sheetId="11" r:id="rId11"/>
    <sheet name="go.Top" sheetId="12" r:id="rId12"/>
    <sheet name="Definition Edge" sheetId="13" r:id="rId13"/>
    <sheet name="Somatom Drive" sheetId="14" r:id="rId14"/>
    <sheet name="Somatom Force" sheetId="15" r:id="rId15"/>
    <sheet name="Somatom Flash" sheetId="16" r:id="rId16"/>
    <sheet name="Definition AS" sheetId="17" r:id="rId17"/>
    <sheet name="Naeotom Alpha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N111" i="18" l="1"/>
  <c r="M111" i="18"/>
  <c r="L111" i="18"/>
  <c r="K111" i="18"/>
  <c r="J111" i="18"/>
  <c r="I111" i="18"/>
  <c r="H111" i="18"/>
  <c r="G111" i="18"/>
  <c r="F111" i="18"/>
  <c r="E111" i="18"/>
  <c r="D111" i="18"/>
  <c r="N108" i="18"/>
  <c r="M108" i="18"/>
  <c r="L108" i="18"/>
  <c r="K108" i="18"/>
  <c r="J108" i="18"/>
  <c r="I108" i="18"/>
  <c r="H108" i="18"/>
  <c r="G108" i="18"/>
  <c r="F108" i="18"/>
  <c r="E108" i="18"/>
  <c r="D108" i="18"/>
  <c r="N105" i="18"/>
  <c r="M105" i="18"/>
  <c r="L105" i="18"/>
  <c r="K105" i="18"/>
  <c r="J105" i="18"/>
  <c r="I105" i="18"/>
  <c r="H105" i="18"/>
  <c r="G105" i="18"/>
  <c r="F105" i="18"/>
  <c r="E105" i="18"/>
  <c r="D105" i="18"/>
  <c r="N102" i="18"/>
  <c r="M102" i="18"/>
  <c r="L102" i="18"/>
  <c r="K102" i="18"/>
  <c r="J102" i="18"/>
  <c r="I102" i="18"/>
  <c r="H102" i="18"/>
  <c r="G102" i="18"/>
  <c r="F102" i="18"/>
  <c r="E102" i="18"/>
  <c r="D102" i="18"/>
  <c r="N99" i="18"/>
  <c r="M99" i="18"/>
  <c r="L99" i="18"/>
  <c r="K99" i="18"/>
  <c r="J99" i="18"/>
  <c r="I99" i="18"/>
  <c r="H99" i="18"/>
  <c r="G99" i="18"/>
  <c r="F99" i="18"/>
  <c r="E99" i="18"/>
  <c r="D99" i="18"/>
  <c r="N96" i="18"/>
  <c r="M96" i="18"/>
  <c r="L96" i="18"/>
  <c r="K96" i="18"/>
  <c r="J96" i="18"/>
  <c r="I96" i="18"/>
  <c r="H96" i="18"/>
  <c r="G96" i="18"/>
  <c r="F96" i="18"/>
  <c r="E96" i="18"/>
  <c r="D96" i="18"/>
  <c r="N93" i="18"/>
  <c r="M93" i="18"/>
  <c r="L93" i="18"/>
  <c r="K93" i="18"/>
  <c r="J93" i="18"/>
  <c r="I93" i="18"/>
  <c r="H93" i="18"/>
  <c r="G93" i="18"/>
  <c r="F93" i="18"/>
  <c r="E93" i="18"/>
  <c r="D93" i="18"/>
  <c r="N83" i="18"/>
  <c r="M83" i="18"/>
  <c r="L83" i="18"/>
  <c r="K83" i="18"/>
  <c r="J83" i="18"/>
  <c r="I83" i="18"/>
  <c r="H83" i="18"/>
  <c r="G83" i="18"/>
  <c r="F83" i="18"/>
  <c r="E83" i="18"/>
  <c r="D83" i="18"/>
  <c r="N80" i="18"/>
  <c r="M80" i="18"/>
  <c r="L80" i="18"/>
  <c r="K80" i="18"/>
  <c r="J80" i="18"/>
  <c r="I80" i="18"/>
  <c r="H80" i="18"/>
  <c r="G80" i="18"/>
  <c r="F80" i="18"/>
  <c r="E80" i="18"/>
  <c r="D80" i="18"/>
  <c r="N77" i="18"/>
  <c r="M77" i="18"/>
  <c r="L77" i="18"/>
  <c r="K77" i="18"/>
  <c r="J77" i="18"/>
  <c r="I77" i="18"/>
  <c r="H77" i="18"/>
  <c r="G77" i="18"/>
  <c r="F77" i="18"/>
  <c r="E77" i="18"/>
  <c r="D77" i="18"/>
  <c r="N74" i="18"/>
  <c r="M74" i="18"/>
  <c r="L74" i="18"/>
  <c r="K74" i="18"/>
  <c r="J74" i="18"/>
  <c r="I74" i="18"/>
  <c r="H74" i="18"/>
  <c r="G74" i="18"/>
  <c r="F74" i="18"/>
  <c r="E74" i="18"/>
  <c r="D74" i="18"/>
  <c r="N71" i="18"/>
  <c r="M71" i="18"/>
  <c r="L71" i="18"/>
  <c r="K71" i="18"/>
  <c r="J71" i="18"/>
  <c r="I71" i="18"/>
  <c r="H71" i="18"/>
  <c r="G71" i="18"/>
  <c r="F71" i="18"/>
  <c r="E71" i="18"/>
  <c r="D71" i="18"/>
  <c r="N68" i="18"/>
  <c r="M68" i="18"/>
  <c r="L68" i="18"/>
  <c r="K68" i="18"/>
  <c r="J68" i="18"/>
  <c r="I68" i="18"/>
  <c r="H68" i="18"/>
  <c r="G68" i="18"/>
  <c r="F68" i="18"/>
  <c r="E68" i="18"/>
  <c r="D68" i="18"/>
  <c r="N65" i="18"/>
  <c r="M65" i="18"/>
  <c r="L65" i="18"/>
  <c r="K65" i="18"/>
  <c r="J65" i="18"/>
  <c r="I65" i="18"/>
  <c r="H65" i="18"/>
  <c r="G65" i="18"/>
  <c r="F65" i="18"/>
  <c r="E65" i="18"/>
  <c r="D65" i="18"/>
  <c r="N55" i="18"/>
  <c r="M55" i="18"/>
  <c r="L55" i="18"/>
  <c r="K55" i="18"/>
  <c r="J55" i="18"/>
  <c r="I55" i="18"/>
  <c r="H55" i="18"/>
  <c r="G55" i="18"/>
  <c r="F55" i="18"/>
  <c r="E55" i="18"/>
  <c r="D55" i="18"/>
  <c r="N52" i="18"/>
  <c r="M52" i="18"/>
  <c r="L52" i="18"/>
  <c r="K52" i="18"/>
  <c r="J52" i="18"/>
  <c r="I52" i="18"/>
  <c r="H52" i="18"/>
  <c r="G52" i="18"/>
  <c r="F52" i="18"/>
  <c r="E52" i="18"/>
  <c r="D52" i="18"/>
  <c r="N49" i="18"/>
  <c r="M49" i="18"/>
  <c r="L49" i="18"/>
  <c r="K49" i="18"/>
  <c r="J49" i="18"/>
  <c r="I49" i="18"/>
  <c r="H49" i="18"/>
  <c r="G49" i="18"/>
  <c r="F49" i="18"/>
  <c r="E49" i="18"/>
  <c r="D49" i="18"/>
  <c r="N46" i="18"/>
  <c r="M46" i="18"/>
  <c r="L46" i="18"/>
  <c r="K46" i="18"/>
  <c r="J46" i="18"/>
  <c r="I46" i="18"/>
  <c r="H46" i="18"/>
  <c r="G46" i="18"/>
  <c r="F46" i="18"/>
  <c r="E46" i="18"/>
  <c r="D46" i="18"/>
  <c r="N43" i="18"/>
  <c r="M43" i="18"/>
  <c r="L43" i="18"/>
  <c r="K43" i="18"/>
  <c r="J43" i="18"/>
  <c r="I43" i="18"/>
  <c r="H43" i="18"/>
  <c r="G43" i="18"/>
  <c r="F43" i="18"/>
  <c r="E43" i="18"/>
  <c r="D43" i="18"/>
  <c r="N40" i="18"/>
  <c r="M40" i="18"/>
  <c r="L40" i="18"/>
  <c r="K40" i="18"/>
  <c r="J40" i="18"/>
  <c r="I40" i="18"/>
  <c r="H40" i="18"/>
  <c r="G40" i="18"/>
  <c r="F40" i="18"/>
  <c r="E40" i="18"/>
  <c r="D40" i="18"/>
  <c r="N37" i="18"/>
  <c r="M37" i="18"/>
  <c r="L37" i="18"/>
  <c r="K37" i="18"/>
  <c r="J37" i="18"/>
  <c r="I37" i="18"/>
  <c r="H37" i="18"/>
  <c r="G37" i="18"/>
  <c r="F37" i="18"/>
  <c r="E37" i="18"/>
  <c r="D37" i="18"/>
  <c r="N27" i="18"/>
  <c r="M27" i="18"/>
  <c r="L27" i="18"/>
  <c r="K27" i="18"/>
  <c r="J27" i="18"/>
  <c r="I27" i="18"/>
  <c r="H27" i="18"/>
  <c r="G27" i="18"/>
  <c r="F27" i="18"/>
  <c r="E27" i="18"/>
  <c r="D27" i="18"/>
  <c r="N24" i="18"/>
  <c r="M24" i="18"/>
  <c r="L24" i="18"/>
  <c r="K24" i="18"/>
  <c r="J24" i="18"/>
  <c r="I24" i="18"/>
  <c r="H24" i="18"/>
  <c r="G24" i="18"/>
  <c r="F24" i="18"/>
  <c r="E24" i="18"/>
  <c r="D24" i="18"/>
  <c r="N21" i="18"/>
  <c r="M21" i="18"/>
  <c r="L21" i="18"/>
  <c r="K21" i="18"/>
  <c r="J21" i="18"/>
  <c r="I21" i="18"/>
  <c r="H21" i="18"/>
  <c r="G21" i="18"/>
  <c r="F21" i="18"/>
  <c r="E21" i="18"/>
  <c r="D21" i="18"/>
  <c r="N18" i="18"/>
  <c r="M18" i="18"/>
  <c r="L18" i="18"/>
  <c r="K18" i="18"/>
  <c r="J18" i="18"/>
  <c r="I18" i="18"/>
  <c r="H18" i="18"/>
  <c r="G18" i="18"/>
  <c r="F18" i="18"/>
  <c r="E18" i="18"/>
  <c r="D18" i="18"/>
  <c r="N15" i="18"/>
  <c r="M15" i="18"/>
  <c r="L15" i="18"/>
  <c r="K15" i="18"/>
  <c r="J15" i="18"/>
  <c r="I15" i="18"/>
  <c r="H15" i="18"/>
  <c r="G15" i="18"/>
  <c r="F15" i="18"/>
  <c r="E15" i="18"/>
  <c r="D15" i="18"/>
  <c r="N12" i="18"/>
  <c r="M12" i="18"/>
  <c r="L12" i="18"/>
  <c r="K12" i="18"/>
  <c r="J12" i="18"/>
  <c r="I12" i="18"/>
  <c r="H12" i="18"/>
  <c r="G12" i="18"/>
  <c r="F12" i="18"/>
  <c r="E12" i="18"/>
  <c r="D12" i="18"/>
  <c r="N9" i="18"/>
  <c r="M9" i="18"/>
  <c r="L9" i="18"/>
  <c r="K9" i="18"/>
  <c r="J9" i="18"/>
  <c r="I9" i="18"/>
  <c r="H9" i="18"/>
  <c r="G9" i="18"/>
  <c r="F9" i="18"/>
  <c r="E9" i="18"/>
  <c r="D9" i="18"/>
  <c r="N87" i="17"/>
  <c r="M87" i="17"/>
  <c r="L87" i="17"/>
  <c r="K87" i="17"/>
  <c r="J87" i="17"/>
  <c r="I87" i="17"/>
  <c r="H87" i="17"/>
  <c r="G87" i="17"/>
  <c r="F87" i="17"/>
  <c r="E87" i="17"/>
  <c r="D87" i="17"/>
  <c r="C87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N9" i="17"/>
  <c r="M9" i="17"/>
  <c r="L9" i="17"/>
  <c r="K9" i="17"/>
  <c r="J9" i="17"/>
  <c r="I9" i="17"/>
  <c r="H9" i="17"/>
  <c r="G9" i="17"/>
  <c r="F9" i="17"/>
  <c r="E9" i="17"/>
  <c r="D9" i="17"/>
  <c r="C9" i="17"/>
  <c r="AA121" i="16"/>
  <c r="Z121" i="16"/>
  <c r="Y121" i="16"/>
  <c r="X121" i="16"/>
  <c r="W121" i="16"/>
  <c r="V121" i="16"/>
  <c r="U121" i="16"/>
  <c r="T121" i="16"/>
  <c r="S121" i="16"/>
  <c r="R121" i="16"/>
  <c r="Q121" i="16"/>
  <c r="M121" i="16"/>
  <c r="L121" i="16"/>
  <c r="K121" i="16"/>
  <c r="J121" i="16"/>
  <c r="I121" i="16"/>
  <c r="H121" i="16"/>
  <c r="G121" i="16"/>
  <c r="F121" i="16"/>
  <c r="E121" i="16"/>
  <c r="D121" i="16"/>
  <c r="C121" i="16"/>
  <c r="AA118" i="16"/>
  <c r="Z118" i="16"/>
  <c r="Y118" i="16"/>
  <c r="X118" i="16"/>
  <c r="W118" i="16"/>
  <c r="V118" i="16"/>
  <c r="U118" i="16"/>
  <c r="T118" i="16"/>
  <c r="S118" i="16"/>
  <c r="R118" i="16"/>
  <c r="Q118" i="16"/>
  <c r="L118" i="16"/>
  <c r="K118" i="16"/>
  <c r="J118" i="16"/>
  <c r="I118" i="16"/>
  <c r="H118" i="16"/>
  <c r="G118" i="16"/>
  <c r="F118" i="16"/>
  <c r="E118" i="16"/>
  <c r="D118" i="16"/>
  <c r="C118" i="16"/>
  <c r="AA115" i="16"/>
  <c r="Z115" i="16"/>
  <c r="Y115" i="16"/>
  <c r="X115" i="16"/>
  <c r="W115" i="16"/>
  <c r="V115" i="16"/>
  <c r="U115" i="16"/>
  <c r="T115" i="16"/>
  <c r="S115" i="16"/>
  <c r="R115" i="16"/>
  <c r="Q115" i="16"/>
  <c r="L115" i="16"/>
  <c r="K115" i="16"/>
  <c r="J115" i="16"/>
  <c r="I115" i="16"/>
  <c r="H115" i="16"/>
  <c r="G115" i="16"/>
  <c r="F115" i="16"/>
  <c r="E115" i="16"/>
  <c r="D115" i="16"/>
  <c r="C115" i="16"/>
  <c r="AA112" i="16"/>
  <c r="Z112" i="16"/>
  <c r="Y112" i="16"/>
  <c r="X112" i="16"/>
  <c r="W112" i="16"/>
  <c r="V112" i="16"/>
  <c r="U112" i="16"/>
  <c r="T112" i="16"/>
  <c r="S112" i="16"/>
  <c r="R112" i="16"/>
  <c r="Q112" i="16"/>
  <c r="L112" i="16"/>
  <c r="K112" i="16"/>
  <c r="J112" i="16"/>
  <c r="I112" i="16"/>
  <c r="H112" i="16"/>
  <c r="G112" i="16"/>
  <c r="F112" i="16"/>
  <c r="E112" i="16"/>
  <c r="D112" i="16"/>
  <c r="C112" i="16"/>
  <c r="AA109" i="16"/>
  <c r="Z109" i="16"/>
  <c r="Y109" i="16"/>
  <c r="X109" i="16"/>
  <c r="W109" i="16"/>
  <c r="V109" i="16"/>
  <c r="U109" i="16"/>
  <c r="T109" i="16"/>
  <c r="S109" i="16"/>
  <c r="R109" i="16"/>
  <c r="Q109" i="16"/>
  <c r="L109" i="16"/>
  <c r="K109" i="16"/>
  <c r="J109" i="16"/>
  <c r="I109" i="16"/>
  <c r="H109" i="16"/>
  <c r="G109" i="16"/>
  <c r="F109" i="16"/>
  <c r="E109" i="16"/>
  <c r="D109" i="16"/>
  <c r="C109" i="16"/>
  <c r="AA106" i="16"/>
  <c r="Z106" i="16"/>
  <c r="Y106" i="16"/>
  <c r="X106" i="16"/>
  <c r="W106" i="16"/>
  <c r="V106" i="16"/>
  <c r="U106" i="16"/>
  <c r="T106" i="16"/>
  <c r="S106" i="16"/>
  <c r="R106" i="16"/>
  <c r="Q106" i="16"/>
  <c r="M106" i="16"/>
  <c r="L106" i="16"/>
  <c r="K106" i="16"/>
  <c r="J106" i="16"/>
  <c r="I106" i="16"/>
  <c r="H106" i="16"/>
  <c r="G106" i="16"/>
  <c r="F106" i="16"/>
  <c r="E106" i="16"/>
  <c r="D106" i="16"/>
  <c r="C106" i="16"/>
  <c r="AA100" i="16"/>
  <c r="Z100" i="16"/>
  <c r="Y100" i="16"/>
  <c r="W100" i="16"/>
  <c r="M100" i="16"/>
  <c r="L100" i="16"/>
  <c r="K100" i="16"/>
  <c r="I100" i="16"/>
  <c r="AA96" i="16"/>
  <c r="Z96" i="16"/>
  <c r="Y96" i="16"/>
  <c r="X96" i="16"/>
  <c r="W96" i="16"/>
  <c r="V96" i="16"/>
  <c r="U96" i="16"/>
  <c r="T96" i="16"/>
  <c r="S96" i="16"/>
  <c r="R96" i="16"/>
  <c r="Q96" i="16"/>
  <c r="M96" i="16"/>
  <c r="L96" i="16"/>
  <c r="K96" i="16"/>
  <c r="J96" i="16"/>
  <c r="I96" i="16"/>
  <c r="H96" i="16"/>
  <c r="G96" i="16"/>
  <c r="F96" i="16"/>
  <c r="E96" i="16"/>
  <c r="D96" i="16"/>
  <c r="C96" i="16"/>
  <c r="AA93" i="16"/>
  <c r="Z93" i="16"/>
  <c r="Y93" i="16"/>
  <c r="X93" i="16"/>
  <c r="W93" i="16"/>
  <c r="V93" i="16"/>
  <c r="U93" i="16"/>
  <c r="T93" i="16"/>
  <c r="S93" i="16"/>
  <c r="R93" i="16"/>
  <c r="Q93" i="16"/>
  <c r="M93" i="16"/>
  <c r="L93" i="16"/>
  <c r="K93" i="16"/>
  <c r="J93" i="16"/>
  <c r="I93" i="16"/>
  <c r="H93" i="16"/>
  <c r="G93" i="16"/>
  <c r="F93" i="16"/>
  <c r="E93" i="16"/>
  <c r="D93" i="16"/>
  <c r="C93" i="16"/>
  <c r="AA90" i="16"/>
  <c r="Z90" i="16"/>
  <c r="Y90" i="16"/>
  <c r="X90" i="16"/>
  <c r="W90" i="16"/>
  <c r="V90" i="16"/>
  <c r="U90" i="16"/>
  <c r="T90" i="16"/>
  <c r="S90" i="16"/>
  <c r="R90" i="16"/>
  <c r="Q90" i="16"/>
  <c r="M90" i="16"/>
  <c r="L90" i="16"/>
  <c r="K90" i="16"/>
  <c r="J90" i="16"/>
  <c r="I90" i="16"/>
  <c r="H90" i="16"/>
  <c r="G90" i="16"/>
  <c r="F90" i="16"/>
  <c r="E90" i="16"/>
  <c r="D90" i="16"/>
  <c r="C90" i="16"/>
  <c r="AA87" i="16"/>
  <c r="Z87" i="16"/>
  <c r="Y87" i="16"/>
  <c r="X87" i="16"/>
  <c r="W87" i="16"/>
  <c r="V87" i="16"/>
  <c r="U87" i="16"/>
  <c r="T87" i="16"/>
  <c r="S87" i="16"/>
  <c r="R87" i="16"/>
  <c r="Q87" i="16"/>
  <c r="M87" i="16"/>
  <c r="L87" i="16"/>
  <c r="K87" i="16"/>
  <c r="J87" i="16"/>
  <c r="I87" i="16"/>
  <c r="H87" i="16"/>
  <c r="G87" i="16"/>
  <c r="F87" i="16"/>
  <c r="E87" i="16"/>
  <c r="D87" i="16"/>
  <c r="C87" i="16"/>
  <c r="AA84" i="16"/>
  <c r="Z84" i="16"/>
  <c r="Y84" i="16"/>
  <c r="X84" i="16"/>
  <c r="W84" i="16"/>
  <c r="V84" i="16"/>
  <c r="U84" i="16"/>
  <c r="T84" i="16"/>
  <c r="S84" i="16"/>
  <c r="R84" i="16"/>
  <c r="Q84" i="16"/>
  <c r="M84" i="16"/>
  <c r="L84" i="16"/>
  <c r="K84" i="16"/>
  <c r="J84" i="16"/>
  <c r="I84" i="16"/>
  <c r="H84" i="16"/>
  <c r="G84" i="16"/>
  <c r="F84" i="16"/>
  <c r="E84" i="16"/>
  <c r="D84" i="16"/>
  <c r="C84" i="16"/>
  <c r="AA81" i="16"/>
  <c r="Z81" i="16"/>
  <c r="Y81" i="16"/>
  <c r="X81" i="16"/>
  <c r="W81" i="16"/>
  <c r="V81" i="16"/>
  <c r="U81" i="16"/>
  <c r="T81" i="16"/>
  <c r="S81" i="16"/>
  <c r="R81" i="16"/>
  <c r="Q81" i="16"/>
  <c r="M81" i="16"/>
  <c r="L81" i="16"/>
  <c r="K81" i="16"/>
  <c r="J81" i="16"/>
  <c r="I81" i="16"/>
  <c r="H81" i="16"/>
  <c r="G81" i="16"/>
  <c r="F81" i="16"/>
  <c r="E81" i="16"/>
  <c r="D81" i="16"/>
  <c r="C81" i="16"/>
  <c r="AA75" i="16"/>
  <c r="Z75" i="16"/>
  <c r="Y75" i="16"/>
  <c r="W75" i="16"/>
  <c r="M75" i="16"/>
  <c r="L75" i="16"/>
  <c r="K75" i="16"/>
  <c r="I75" i="16"/>
  <c r="AA71" i="16"/>
  <c r="Z71" i="16"/>
  <c r="Y71" i="16"/>
  <c r="X71" i="16"/>
  <c r="W71" i="16"/>
  <c r="V71" i="16"/>
  <c r="U71" i="16"/>
  <c r="T71" i="16"/>
  <c r="S71" i="16"/>
  <c r="R71" i="16"/>
  <c r="Q71" i="16"/>
  <c r="M71" i="16"/>
  <c r="L71" i="16"/>
  <c r="K71" i="16"/>
  <c r="J71" i="16"/>
  <c r="I71" i="16"/>
  <c r="H71" i="16"/>
  <c r="G71" i="16"/>
  <c r="F71" i="16"/>
  <c r="E71" i="16"/>
  <c r="D71" i="16"/>
  <c r="C71" i="16"/>
  <c r="AA68" i="16"/>
  <c r="Z68" i="16"/>
  <c r="Y68" i="16"/>
  <c r="X68" i="16"/>
  <c r="W68" i="16"/>
  <c r="V68" i="16"/>
  <c r="U68" i="16"/>
  <c r="T68" i="16"/>
  <c r="S68" i="16"/>
  <c r="R68" i="16"/>
  <c r="Q68" i="16"/>
  <c r="M68" i="16"/>
  <c r="L68" i="16"/>
  <c r="K68" i="16"/>
  <c r="J68" i="16"/>
  <c r="I68" i="16"/>
  <c r="H68" i="16"/>
  <c r="G68" i="16"/>
  <c r="F68" i="16"/>
  <c r="E68" i="16"/>
  <c r="D68" i="16"/>
  <c r="C68" i="16"/>
  <c r="AA65" i="16"/>
  <c r="Z65" i="16"/>
  <c r="X65" i="16"/>
  <c r="W65" i="16"/>
  <c r="V65" i="16"/>
  <c r="U65" i="16"/>
  <c r="T65" i="16"/>
  <c r="S65" i="16"/>
  <c r="R65" i="16"/>
  <c r="Q65" i="16"/>
  <c r="M65" i="16"/>
  <c r="L65" i="16"/>
  <c r="K65" i="16"/>
  <c r="J65" i="16"/>
  <c r="I65" i="16"/>
  <c r="H65" i="16"/>
  <c r="G65" i="16"/>
  <c r="F65" i="16"/>
  <c r="E65" i="16"/>
  <c r="D65" i="16"/>
  <c r="C65" i="16"/>
  <c r="Y64" i="16"/>
  <c r="Y63" i="16"/>
  <c r="Y65" i="16" s="1"/>
  <c r="AA62" i="16"/>
  <c r="Z62" i="16"/>
  <c r="X62" i="16"/>
  <c r="W62" i="16"/>
  <c r="V62" i="16"/>
  <c r="U62" i="16"/>
  <c r="T62" i="16"/>
  <c r="S62" i="16"/>
  <c r="R62" i="16"/>
  <c r="Q62" i="16"/>
  <c r="M62" i="16"/>
  <c r="L62" i="16"/>
  <c r="K62" i="16"/>
  <c r="J62" i="16"/>
  <c r="I62" i="16"/>
  <c r="H62" i="16"/>
  <c r="G62" i="16"/>
  <c r="F62" i="16"/>
  <c r="E62" i="16"/>
  <c r="D62" i="16"/>
  <c r="C62" i="16"/>
  <c r="Y61" i="16"/>
  <c r="Y60" i="16"/>
  <c r="Y62" i="16" s="1"/>
  <c r="AA59" i="16"/>
  <c r="Z59" i="16"/>
  <c r="X59" i="16"/>
  <c r="W59" i="16"/>
  <c r="V59" i="16"/>
  <c r="U59" i="16"/>
  <c r="T59" i="16"/>
  <c r="S59" i="16"/>
  <c r="R59" i="16"/>
  <c r="Q59" i="16"/>
  <c r="M59" i="16"/>
  <c r="L59" i="16"/>
  <c r="K59" i="16"/>
  <c r="J59" i="16"/>
  <c r="I59" i="16"/>
  <c r="H59" i="16"/>
  <c r="G59" i="16"/>
  <c r="F59" i="16"/>
  <c r="E59" i="16"/>
  <c r="D59" i="16"/>
  <c r="C59" i="16"/>
  <c r="Y58" i="16"/>
  <c r="Y57" i="16"/>
  <c r="Y59" i="16" s="1"/>
  <c r="AA53" i="16"/>
  <c r="Z53" i="16"/>
  <c r="Y53" i="16"/>
  <c r="W53" i="16"/>
  <c r="M53" i="16"/>
  <c r="L53" i="16"/>
  <c r="K53" i="16"/>
  <c r="I53" i="16"/>
  <c r="AA49" i="16"/>
  <c r="Z49" i="16"/>
  <c r="Y49" i="16"/>
  <c r="X49" i="16"/>
  <c r="W49" i="16"/>
  <c r="V49" i="16"/>
  <c r="U49" i="16"/>
  <c r="T49" i="16"/>
  <c r="S49" i="16"/>
  <c r="R49" i="16"/>
  <c r="Q49" i="16"/>
  <c r="M49" i="16"/>
  <c r="L49" i="16"/>
  <c r="K49" i="16"/>
  <c r="J49" i="16"/>
  <c r="I49" i="16"/>
  <c r="H49" i="16"/>
  <c r="G49" i="16"/>
  <c r="F49" i="16"/>
  <c r="E49" i="16"/>
  <c r="D49" i="16"/>
  <c r="C49" i="16"/>
  <c r="AA46" i="16"/>
  <c r="Z46" i="16"/>
  <c r="Y46" i="16"/>
  <c r="X46" i="16"/>
  <c r="W46" i="16"/>
  <c r="V46" i="16"/>
  <c r="U46" i="16"/>
  <c r="T46" i="16"/>
  <c r="S46" i="16"/>
  <c r="R46" i="16"/>
  <c r="Q46" i="16"/>
  <c r="M46" i="16"/>
  <c r="L46" i="16"/>
  <c r="K46" i="16"/>
  <c r="J46" i="16"/>
  <c r="I46" i="16"/>
  <c r="H46" i="16"/>
  <c r="G46" i="16"/>
  <c r="F46" i="16"/>
  <c r="E46" i="16"/>
  <c r="D46" i="16"/>
  <c r="C46" i="16"/>
  <c r="AA43" i="16"/>
  <c r="Z43" i="16"/>
  <c r="Y43" i="16"/>
  <c r="X43" i="16"/>
  <c r="W43" i="16"/>
  <c r="V43" i="16"/>
  <c r="U43" i="16"/>
  <c r="T43" i="16"/>
  <c r="S43" i="16"/>
  <c r="R43" i="16"/>
  <c r="Q43" i="16"/>
  <c r="M43" i="16"/>
  <c r="L43" i="16"/>
  <c r="K43" i="16"/>
  <c r="J43" i="16"/>
  <c r="I43" i="16"/>
  <c r="H43" i="16"/>
  <c r="G43" i="16"/>
  <c r="F43" i="16"/>
  <c r="E43" i="16"/>
  <c r="D43" i="16"/>
  <c r="C43" i="16"/>
  <c r="AA40" i="16"/>
  <c r="Z40" i="16"/>
  <c r="Y40" i="16"/>
  <c r="X40" i="16"/>
  <c r="W40" i="16"/>
  <c r="V40" i="16"/>
  <c r="U40" i="16"/>
  <c r="T40" i="16"/>
  <c r="S40" i="16"/>
  <c r="R40" i="16"/>
  <c r="Q40" i="16"/>
  <c r="M40" i="16"/>
  <c r="L40" i="16"/>
  <c r="K40" i="16"/>
  <c r="J40" i="16"/>
  <c r="I40" i="16"/>
  <c r="H40" i="16"/>
  <c r="G40" i="16"/>
  <c r="F40" i="16"/>
  <c r="E40" i="16"/>
  <c r="D40" i="16"/>
  <c r="C40" i="16"/>
  <c r="AA37" i="16"/>
  <c r="Z37" i="16"/>
  <c r="Y37" i="16"/>
  <c r="X37" i="16"/>
  <c r="W37" i="16"/>
  <c r="V37" i="16"/>
  <c r="U37" i="16"/>
  <c r="T37" i="16"/>
  <c r="S37" i="16"/>
  <c r="R37" i="16"/>
  <c r="Q37" i="16"/>
  <c r="M37" i="16"/>
  <c r="L37" i="16"/>
  <c r="K37" i="16"/>
  <c r="J37" i="16"/>
  <c r="I37" i="16"/>
  <c r="H37" i="16"/>
  <c r="G37" i="16"/>
  <c r="F37" i="16"/>
  <c r="E37" i="16"/>
  <c r="D37" i="16"/>
  <c r="C37" i="16"/>
  <c r="AA34" i="16"/>
  <c r="Z34" i="16"/>
  <c r="Y34" i="16"/>
  <c r="X34" i="16"/>
  <c r="W34" i="16"/>
  <c r="V34" i="16"/>
  <c r="U34" i="16"/>
  <c r="T34" i="16"/>
  <c r="S34" i="16"/>
  <c r="R34" i="16"/>
  <c r="Q34" i="16"/>
  <c r="M34" i="16"/>
  <c r="L34" i="16"/>
  <c r="K34" i="16"/>
  <c r="J34" i="16"/>
  <c r="I34" i="16"/>
  <c r="H34" i="16"/>
  <c r="G34" i="16"/>
  <c r="F34" i="16"/>
  <c r="E34" i="16"/>
  <c r="D34" i="16"/>
  <c r="C34" i="16"/>
  <c r="AA28" i="16"/>
  <c r="Z28" i="16"/>
  <c r="Y28" i="16"/>
  <c r="W28" i="16"/>
  <c r="M28" i="16"/>
  <c r="L28" i="16"/>
  <c r="K28" i="16"/>
  <c r="I28" i="16"/>
  <c r="AA24" i="16"/>
  <c r="Z24" i="16"/>
  <c r="Y24" i="16"/>
  <c r="X24" i="16"/>
  <c r="W24" i="16"/>
  <c r="V24" i="16"/>
  <c r="U24" i="16"/>
  <c r="T24" i="16"/>
  <c r="S24" i="16"/>
  <c r="R24" i="16"/>
  <c r="Q24" i="16"/>
  <c r="M24" i="16"/>
  <c r="L24" i="16"/>
  <c r="K24" i="16"/>
  <c r="J24" i="16"/>
  <c r="I24" i="16"/>
  <c r="H24" i="16"/>
  <c r="G24" i="16"/>
  <c r="F24" i="16"/>
  <c r="E24" i="16"/>
  <c r="D24" i="16"/>
  <c r="C24" i="16"/>
  <c r="AA21" i="16"/>
  <c r="Z21" i="16"/>
  <c r="Y21" i="16"/>
  <c r="X21" i="16"/>
  <c r="W21" i="16"/>
  <c r="V21" i="16"/>
  <c r="U21" i="16"/>
  <c r="T21" i="16"/>
  <c r="S21" i="16"/>
  <c r="R21" i="16"/>
  <c r="Q21" i="16"/>
  <c r="M21" i="16"/>
  <c r="L21" i="16"/>
  <c r="K21" i="16"/>
  <c r="J21" i="16"/>
  <c r="I21" i="16"/>
  <c r="H21" i="16"/>
  <c r="G21" i="16"/>
  <c r="F21" i="16"/>
  <c r="E21" i="16"/>
  <c r="D21" i="16"/>
  <c r="C21" i="16"/>
  <c r="AA18" i="16"/>
  <c r="Z18" i="16"/>
  <c r="Y18" i="16"/>
  <c r="X18" i="16"/>
  <c r="W18" i="16"/>
  <c r="V18" i="16"/>
  <c r="U18" i="16"/>
  <c r="T18" i="16"/>
  <c r="S18" i="16"/>
  <c r="R18" i="16"/>
  <c r="Q18" i="16"/>
  <c r="M18" i="16"/>
  <c r="L18" i="16"/>
  <c r="K18" i="16"/>
  <c r="J18" i="16"/>
  <c r="I18" i="16"/>
  <c r="H18" i="16"/>
  <c r="G18" i="16"/>
  <c r="F18" i="16"/>
  <c r="E18" i="16"/>
  <c r="D18" i="16"/>
  <c r="C18" i="16"/>
  <c r="AA15" i="16"/>
  <c r="Z15" i="16"/>
  <c r="Y15" i="16"/>
  <c r="X15" i="16"/>
  <c r="W15" i="16"/>
  <c r="V15" i="16"/>
  <c r="U15" i="16"/>
  <c r="T15" i="16"/>
  <c r="S15" i="16"/>
  <c r="R15" i="16"/>
  <c r="Q15" i="16"/>
  <c r="M15" i="16"/>
  <c r="L15" i="16"/>
  <c r="K15" i="16"/>
  <c r="J15" i="16"/>
  <c r="I15" i="16"/>
  <c r="H15" i="16"/>
  <c r="G15" i="16"/>
  <c r="F15" i="16"/>
  <c r="E15" i="16"/>
  <c r="D15" i="16"/>
  <c r="C15" i="16"/>
  <c r="AA12" i="16"/>
  <c r="Z12" i="16"/>
  <c r="Y12" i="16"/>
  <c r="X12" i="16"/>
  <c r="W12" i="16"/>
  <c r="V12" i="16"/>
  <c r="U12" i="16"/>
  <c r="T12" i="16"/>
  <c r="S12" i="16"/>
  <c r="R12" i="16"/>
  <c r="Q12" i="16"/>
  <c r="M12" i="16"/>
  <c r="L12" i="16"/>
  <c r="K12" i="16"/>
  <c r="J12" i="16"/>
  <c r="I12" i="16"/>
  <c r="H12" i="16"/>
  <c r="G12" i="16"/>
  <c r="F12" i="16"/>
  <c r="E12" i="16"/>
  <c r="D12" i="16"/>
  <c r="C12" i="16"/>
  <c r="AA9" i="16"/>
  <c r="Z9" i="16"/>
  <c r="Y9" i="16"/>
  <c r="X9" i="16"/>
  <c r="W9" i="16"/>
  <c r="V9" i="16"/>
  <c r="U9" i="16"/>
  <c r="T9" i="16"/>
  <c r="S9" i="16"/>
  <c r="R9" i="16"/>
  <c r="Q9" i="16"/>
  <c r="M9" i="16"/>
  <c r="L9" i="16"/>
  <c r="K9" i="16"/>
  <c r="J9" i="16"/>
  <c r="I9" i="16"/>
  <c r="H9" i="16"/>
  <c r="G9" i="16"/>
  <c r="F9" i="16"/>
  <c r="E9" i="16"/>
  <c r="D9" i="16"/>
  <c r="C9" i="16"/>
  <c r="AA3" i="16"/>
  <c r="Z3" i="16"/>
  <c r="Y3" i="16"/>
  <c r="W3" i="16"/>
  <c r="M3" i="16"/>
  <c r="L3" i="16"/>
  <c r="K3" i="16"/>
  <c r="I3" i="16"/>
  <c r="AE159" i="15"/>
  <c r="AD159" i="15"/>
  <c r="AC159" i="15"/>
  <c r="AB159" i="15"/>
  <c r="AA159" i="15"/>
  <c r="Z159" i="15"/>
  <c r="Y159" i="15"/>
  <c r="X159" i="15"/>
  <c r="W159" i="15"/>
  <c r="V159" i="15"/>
  <c r="U159" i="15"/>
  <c r="T159" i="15"/>
  <c r="S159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C159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AE153" i="15"/>
  <c r="AD153" i="15"/>
  <c r="AC153" i="15"/>
  <c r="AB153" i="15"/>
  <c r="AA153" i="15"/>
  <c r="Z153" i="15"/>
  <c r="Y153" i="15"/>
  <c r="X153" i="15"/>
  <c r="W153" i="15"/>
  <c r="V153" i="15"/>
  <c r="U153" i="15"/>
  <c r="T153" i="15"/>
  <c r="S153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C153" i="15"/>
  <c r="AE150" i="15"/>
  <c r="AD150" i="15"/>
  <c r="AC150" i="15"/>
  <c r="AB150" i="15"/>
  <c r="AA150" i="15"/>
  <c r="Z150" i="15"/>
  <c r="Y150" i="15"/>
  <c r="X150" i="15"/>
  <c r="W150" i="15"/>
  <c r="V150" i="15"/>
  <c r="U150" i="15"/>
  <c r="T150" i="15"/>
  <c r="S150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C150" i="15"/>
  <c r="AE147" i="15"/>
  <c r="AD147" i="15"/>
  <c r="AC147" i="15"/>
  <c r="AB147" i="15"/>
  <c r="AA147" i="15"/>
  <c r="Z147" i="15"/>
  <c r="Y147" i="15"/>
  <c r="X147" i="15"/>
  <c r="W147" i="15"/>
  <c r="V147" i="15"/>
  <c r="U147" i="15"/>
  <c r="T147" i="15"/>
  <c r="S147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C147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AE135" i="15"/>
  <c r="AD135" i="15"/>
  <c r="AC135" i="15"/>
  <c r="AB135" i="15"/>
  <c r="AA135" i="15"/>
  <c r="Z135" i="15"/>
  <c r="Y135" i="15"/>
  <c r="X135" i="15"/>
  <c r="W135" i="15"/>
  <c r="V135" i="15"/>
  <c r="U135" i="15"/>
  <c r="T135" i="15"/>
  <c r="S135" i="15"/>
  <c r="O135" i="15"/>
  <c r="N135" i="15"/>
  <c r="M135" i="15"/>
  <c r="L135" i="15"/>
  <c r="K135" i="15"/>
  <c r="J135" i="15"/>
  <c r="I135" i="15"/>
  <c r="H135" i="15"/>
  <c r="G135" i="15"/>
  <c r="F135" i="15"/>
  <c r="E135" i="15"/>
  <c r="D135" i="15"/>
  <c r="C135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AE123" i="15"/>
  <c r="AD123" i="15"/>
  <c r="AC123" i="15"/>
  <c r="AB123" i="15"/>
  <c r="AA123" i="15"/>
  <c r="O123" i="15"/>
  <c r="N123" i="15"/>
  <c r="M123" i="15"/>
  <c r="L123" i="15"/>
  <c r="K123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AE113" i="15"/>
  <c r="AD113" i="15"/>
  <c r="AC113" i="15"/>
  <c r="AB113" i="15"/>
  <c r="AA113" i="15"/>
  <c r="Z113" i="15"/>
  <c r="Y113" i="15"/>
  <c r="X113" i="15"/>
  <c r="W113" i="15"/>
  <c r="V113" i="15"/>
  <c r="U113" i="15"/>
  <c r="T113" i="15"/>
  <c r="S113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AE95" i="15"/>
  <c r="AD95" i="15"/>
  <c r="AA95" i="15"/>
  <c r="Y95" i="15"/>
  <c r="X95" i="15"/>
  <c r="W95" i="15"/>
  <c r="V95" i="15"/>
  <c r="U95" i="15"/>
  <c r="T95" i="15"/>
  <c r="S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AC94" i="15"/>
  <c r="AC95" i="15" s="1"/>
  <c r="AB94" i="15"/>
  <c r="AB95" i="15" s="1"/>
  <c r="Z94" i="15"/>
  <c r="AC93" i="15"/>
  <c r="AB93" i="15"/>
  <c r="Z93" i="15"/>
  <c r="Z95" i="15" s="1"/>
  <c r="AE92" i="15"/>
  <c r="AD92" i="15"/>
  <c r="AA92" i="15"/>
  <c r="Y92" i="15"/>
  <c r="X92" i="15"/>
  <c r="W92" i="15"/>
  <c r="V92" i="15"/>
  <c r="U92" i="15"/>
  <c r="T92" i="15"/>
  <c r="S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AC91" i="15"/>
  <c r="AC92" i="15" s="1"/>
  <c r="AB91" i="15"/>
  <c r="AB92" i="15" s="1"/>
  <c r="Z91" i="15"/>
  <c r="AC90" i="15"/>
  <c r="AB90" i="15"/>
  <c r="Z90" i="15"/>
  <c r="Z92" i="15" s="1"/>
  <c r="AE89" i="15"/>
  <c r="AD89" i="15"/>
  <c r="AA89" i="15"/>
  <c r="Y89" i="15"/>
  <c r="X89" i="15"/>
  <c r="W89" i="15"/>
  <c r="V89" i="15"/>
  <c r="U89" i="15"/>
  <c r="T89" i="15"/>
  <c r="S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AC88" i="15"/>
  <c r="AC89" i="15" s="1"/>
  <c r="AB88" i="15"/>
  <c r="AB89" i="15" s="1"/>
  <c r="Z88" i="15"/>
  <c r="AC87" i="15"/>
  <c r="AB87" i="15"/>
  <c r="Z87" i="15"/>
  <c r="Z89" i="15" s="1"/>
  <c r="AE83" i="15"/>
  <c r="AD83" i="15"/>
  <c r="AC83" i="15"/>
  <c r="AB83" i="15"/>
  <c r="AA83" i="15"/>
  <c r="O83" i="15"/>
  <c r="N83" i="15"/>
  <c r="M83" i="15"/>
  <c r="L83" i="15"/>
  <c r="K83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AE43" i="15"/>
  <c r="AD43" i="15"/>
  <c r="AC43" i="15"/>
  <c r="AB43" i="15"/>
  <c r="AA43" i="15"/>
  <c r="O43" i="15"/>
  <c r="N43" i="15"/>
  <c r="M43" i="15"/>
  <c r="L43" i="15"/>
  <c r="K43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E3" i="15"/>
  <c r="AD3" i="15"/>
  <c r="AC3" i="15"/>
  <c r="AB3" i="15"/>
  <c r="AA3" i="15"/>
  <c r="O3" i="15"/>
  <c r="N3" i="15"/>
  <c r="M3" i="15"/>
  <c r="L3" i="15"/>
  <c r="K3" i="15"/>
  <c r="M147" i="14"/>
  <c r="L147" i="14"/>
  <c r="K147" i="14"/>
  <c r="J147" i="14"/>
  <c r="I147" i="14"/>
  <c r="H147" i="14"/>
  <c r="G147" i="14"/>
  <c r="F147" i="14"/>
  <c r="E147" i="14"/>
  <c r="D147" i="14"/>
  <c r="C147" i="14"/>
  <c r="M144" i="14"/>
  <c r="L144" i="14"/>
  <c r="K144" i="14"/>
  <c r="J144" i="14"/>
  <c r="I144" i="14"/>
  <c r="H144" i="14"/>
  <c r="G144" i="14"/>
  <c r="F144" i="14"/>
  <c r="E144" i="14"/>
  <c r="D144" i="14"/>
  <c r="C144" i="14"/>
  <c r="M141" i="14"/>
  <c r="L141" i="14"/>
  <c r="K141" i="14"/>
  <c r="J141" i="14"/>
  <c r="I141" i="14"/>
  <c r="H141" i="14"/>
  <c r="G141" i="14"/>
  <c r="F141" i="14"/>
  <c r="E141" i="14"/>
  <c r="D141" i="14"/>
  <c r="C141" i="14"/>
  <c r="M138" i="14"/>
  <c r="L138" i="14"/>
  <c r="K138" i="14"/>
  <c r="J138" i="14"/>
  <c r="I138" i="14"/>
  <c r="H138" i="14"/>
  <c r="G138" i="14"/>
  <c r="F138" i="14"/>
  <c r="E138" i="14"/>
  <c r="D138" i="14"/>
  <c r="C138" i="14"/>
  <c r="M135" i="14"/>
  <c r="L135" i="14"/>
  <c r="K135" i="14"/>
  <c r="J135" i="14"/>
  <c r="I135" i="14"/>
  <c r="H135" i="14"/>
  <c r="G135" i="14"/>
  <c r="F135" i="14"/>
  <c r="E135" i="14"/>
  <c r="D135" i="14"/>
  <c r="C135" i="14"/>
  <c r="M132" i="14"/>
  <c r="L132" i="14"/>
  <c r="K132" i="14"/>
  <c r="J132" i="14"/>
  <c r="I132" i="14"/>
  <c r="H132" i="14"/>
  <c r="G132" i="14"/>
  <c r="F132" i="14"/>
  <c r="E132" i="14"/>
  <c r="D132" i="14"/>
  <c r="C132" i="14"/>
  <c r="M129" i="14"/>
  <c r="L129" i="14"/>
  <c r="K129" i="14"/>
  <c r="J129" i="14"/>
  <c r="I129" i="14"/>
  <c r="H129" i="14"/>
  <c r="G129" i="14"/>
  <c r="F129" i="14"/>
  <c r="E129" i="14"/>
  <c r="D129" i="14"/>
  <c r="C129" i="14"/>
  <c r="M126" i="14"/>
  <c r="L126" i="14"/>
  <c r="K126" i="14"/>
  <c r="J126" i="14"/>
  <c r="I126" i="14"/>
  <c r="H126" i="14"/>
  <c r="G126" i="14"/>
  <c r="F126" i="14"/>
  <c r="E126" i="14"/>
  <c r="D126" i="14"/>
  <c r="C126" i="14"/>
  <c r="M123" i="14"/>
  <c r="L123" i="14"/>
  <c r="K123" i="14"/>
  <c r="J123" i="14"/>
  <c r="I123" i="14"/>
  <c r="H123" i="14"/>
  <c r="G123" i="14"/>
  <c r="F123" i="14"/>
  <c r="E123" i="14"/>
  <c r="D123" i="14"/>
  <c r="C123" i="14"/>
  <c r="M120" i="14"/>
  <c r="L120" i="14"/>
  <c r="K120" i="14"/>
  <c r="J120" i="14"/>
  <c r="I120" i="14"/>
  <c r="H120" i="14"/>
  <c r="G120" i="14"/>
  <c r="F120" i="14"/>
  <c r="E120" i="14"/>
  <c r="D120" i="14"/>
  <c r="C120" i="14"/>
  <c r="M110" i="14"/>
  <c r="L110" i="14"/>
  <c r="K110" i="14"/>
  <c r="J110" i="14"/>
  <c r="I110" i="14"/>
  <c r="H110" i="14"/>
  <c r="G110" i="14"/>
  <c r="F110" i="14"/>
  <c r="E110" i="14"/>
  <c r="D110" i="14"/>
  <c r="C110" i="14"/>
  <c r="M107" i="14"/>
  <c r="L107" i="14"/>
  <c r="K107" i="14"/>
  <c r="J107" i="14"/>
  <c r="I107" i="14"/>
  <c r="H107" i="14"/>
  <c r="G107" i="14"/>
  <c r="F107" i="14"/>
  <c r="E107" i="14"/>
  <c r="D107" i="14"/>
  <c r="C107" i="14"/>
  <c r="M104" i="14"/>
  <c r="L104" i="14"/>
  <c r="K104" i="14"/>
  <c r="J104" i="14"/>
  <c r="I104" i="14"/>
  <c r="H104" i="14"/>
  <c r="G104" i="14"/>
  <c r="F104" i="14"/>
  <c r="E104" i="14"/>
  <c r="D104" i="14"/>
  <c r="C104" i="14"/>
  <c r="M101" i="14"/>
  <c r="L101" i="14"/>
  <c r="K101" i="14"/>
  <c r="J101" i="14"/>
  <c r="I101" i="14"/>
  <c r="H101" i="14"/>
  <c r="G101" i="14"/>
  <c r="F101" i="14"/>
  <c r="E101" i="14"/>
  <c r="D101" i="14"/>
  <c r="C101" i="14"/>
  <c r="M98" i="14"/>
  <c r="L98" i="14"/>
  <c r="K98" i="14"/>
  <c r="J98" i="14"/>
  <c r="I98" i="14"/>
  <c r="H98" i="14"/>
  <c r="G98" i="14"/>
  <c r="F98" i="14"/>
  <c r="E98" i="14"/>
  <c r="D98" i="14"/>
  <c r="C98" i="14"/>
  <c r="M95" i="14"/>
  <c r="L95" i="14"/>
  <c r="K95" i="14"/>
  <c r="J95" i="14"/>
  <c r="I95" i="14"/>
  <c r="H95" i="14"/>
  <c r="G95" i="14"/>
  <c r="F95" i="14"/>
  <c r="E95" i="14"/>
  <c r="D95" i="14"/>
  <c r="C95" i="14"/>
  <c r="M92" i="14"/>
  <c r="L92" i="14"/>
  <c r="K92" i="14"/>
  <c r="J92" i="14"/>
  <c r="I92" i="14"/>
  <c r="H92" i="14"/>
  <c r="G92" i="14"/>
  <c r="F92" i="14"/>
  <c r="E92" i="14"/>
  <c r="D92" i="14"/>
  <c r="C92" i="14"/>
  <c r="M89" i="14"/>
  <c r="L89" i="14"/>
  <c r="K89" i="14"/>
  <c r="J89" i="14"/>
  <c r="I89" i="14"/>
  <c r="H89" i="14"/>
  <c r="G89" i="14"/>
  <c r="F89" i="14"/>
  <c r="E89" i="14"/>
  <c r="D89" i="14"/>
  <c r="C89" i="14"/>
  <c r="M86" i="14"/>
  <c r="L86" i="14"/>
  <c r="K86" i="14"/>
  <c r="J86" i="14"/>
  <c r="I86" i="14"/>
  <c r="H86" i="14"/>
  <c r="G86" i="14"/>
  <c r="F86" i="14"/>
  <c r="E86" i="14"/>
  <c r="D86" i="14"/>
  <c r="C86" i="14"/>
  <c r="M83" i="14"/>
  <c r="L83" i="14"/>
  <c r="K83" i="14"/>
  <c r="J83" i="14"/>
  <c r="I83" i="14"/>
  <c r="H83" i="14"/>
  <c r="G83" i="14"/>
  <c r="F83" i="14"/>
  <c r="E83" i="14"/>
  <c r="D83" i="14"/>
  <c r="C83" i="14"/>
  <c r="M73" i="14"/>
  <c r="L73" i="14"/>
  <c r="K73" i="14"/>
  <c r="J73" i="14"/>
  <c r="I73" i="14"/>
  <c r="H73" i="14"/>
  <c r="G73" i="14"/>
  <c r="F73" i="14"/>
  <c r="E73" i="14"/>
  <c r="D73" i="14"/>
  <c r="C73" i="14"/>
  <c r="M70" i="14"/>
  <c r="L70" i="14"/>
  <c r="K70" i="14"/>
  <c r="J70" i="14"/>
  <c r="I70" i="14"/>
  <c r="H70" i="14"/>
  <c r="G70" i="14"/>
  <c r="F70" i="14"/>
  <c r="E70" i="14"/>
  <c r="D70" i="14"/>
  <c r="C70" i="14"/>
  <c r="M67" i="14"/>
  <c r="L67" i="14"/>
  <c r="K67" i="14"/>
  <c r="J67" i="14"/>
  <c r="I67" i="14"/>
  <c r="H67" i="14"/>
  <c r="G67" i="14"/>
  <c r="F67" i="14"/>
  <c r="E67" i="14"/>
  <c r="D67" i="14"/>
  <c r="C67" i="14"/>
  <c r="M64" i="14"/>
  <c r="L64" i="14"/>
  <c r="K64" i="14"/>
  <c r="J64" i="14"/>
  <c r="I64" i="14"/>
  <c r="H64" i="14"/>
  <c r="G64" i="14"/>
  <c r="F64" i="14"/>
  <c r="E64" i="14"/>
  <c r="D64" i="14"/>
  <c r="C64" i="14"/>
  <c r="M61" i="14"/>
  <c r="L61" i="14"/>
  <c r="K61" i="14"/>
  <c r="J61" i="14"/>
  <c r="I61" i="14"/>
  <c r="H61" i="14"/>
  <c r="G61" i="14"/>
  <c r="F61" i="14"/>
  <c r="E61" i="14"/>
  <c r="D61" i="14"/>
  <c r="C61" i="14"/>
  <c r="M58" i="14"/>
  <c r="L58" i="14"/>
  <c r="K58" i="14"/>
  <c r="J58" i="14"/>
  <c r="I58" i="14"/>
  <c r="H58" i="14"/>
  <c r="G58" i="14"/>
  <c r="F58" i="14"/>
  <c r="E58" i="14"/>
  <c r="D58" i="14"/>
  <c r="C58" i="14"/>
  <c r="M55" i="14"/>
  <c r="L55" i="14"/>
  <c r="K55" i="14"/>
  <c r="J55" i="14"/>
  <c r="I55" i="14"/>
  <c r="H55" i="14"/>
  <c r="G55" i="14"/>
  <c r="F55" i="14"/>
  <c r="E55" i="14"/>
  <c r="D55" i="14"/>
  <c r="C55" i="14"/>
  <c r="M52" i="14"/>
  <c r="L52" i="14"/>
  <c r="K52" i="14"/>
  <c r="J52" i="14"/>
  <c r="I52" i="14"/>
  <c r="H52" i="14"/>
  <c r="G52" i="14"/>
  <c r="F52" i="14"/>
  <c r="E52" i="14"/>
  <c r="D52" i="14"/>
  <c r="C52" i="14"/>
  <c r="M49" i="14"/>
  <c r="L49" i="14"/>
  <c r="K49" i="14"/>
  <c r="J49" i="14"/>
  <c r="I49" i="14"/>
  <c r="H49" i="14"/>
  <c r="G49" i="14"/>
  <c r="F49" i="14"/>
  <c r="E49" i="14"/>
  <c r="D49" i="14"/>
  <c r="C49" i="14"/>
  <c r="M46" i="14"/>
  <c r="L46" i="14"/>
  <c r="K46" i="14"/>
  <c r="J46" i="14"/>
  <c r="I46" i="14"/>
  <c r="H46" i="14"/>
  <c r="G46" i="14"/>
  <c r="F46" i="14"/>
  <c r="E46" i="14"/>
  <c r="D46" i="14"/>
  <c r="C46" i="14"/>
  <c r="M36" i="14"/>
  <c r="L36" i="14"/>
  <c r="K36" i="14"/>
  <c r="J36" i="14"/>
  <c r="I36" i="14"/>
  <c r="H36" i="14"/>
  <c r="G36" i="14"/>
  <c r="F36" i="14"/>
  <c r="E36" i="14"/>
  <c r="D36" i="14"/>
  <c r="C36" i="14"/>
  <c r="M33" i="14"/>
  <c r="L33" i="14"/>
  <c r="K33" i="14"/>
  <c r="J33" i="14"/>
  <c r="I33" i="14"/>
  <c r="H33" i="14"/>
  <c r="G33" i="14"/>
  <c r="F33" i="14"/>
  <c r="E33" i="14"/>
  <c r="D33" i="14"/>
  <c r="C33" i="14"/>
  <c r="M30" i="14"/>
  <c r="L30" i="14"/>
  <c r="K30" i="14"/>
  <c r="J30" i="14"/>
  <c r="I30" i="14"/>
  <c r="H30" i="14"/>
  <c r="G30" i="14"/>
  <c r="F30" i="14"/>
  <c r="E30" i="14"/>
  <c r="D30" i="14"/>
  <c r="C30" i="14"/>
  <c r="M27" i="14"/>
  <c r="L27" i="14"/>
  <c r="K27" i="14"/>
  <c r="J27" i="14"/>
  <c r="I27" i="14"/>
  <c r="H27" i="14"/>
  <c r="G27" i="14"/>
  <c r="F27" i="14"/>
  <c r="E27" i="14"/>
  <c r="D27" i="14"/>
  <c r="C27" i="14"/>
  <c r="M24" i="14"/>
  <c r="L24" i="14"/>
  <c r="K24" i="14"/>
  <c r="J24" i="14"/>
  <c r="I24" i="14"/>
  <c r="H24" i="14"/>
  <c r="G24" i="14"/>
  <c r="F24" i="14"/>
  <c r="E24" i="14"/>
  <c r="D24" i="14"/>
  <c r="C24" i="14"/>
  <c r="M21" i="14"/>
  <c r="L21" i="14"/>
  <c r="K21" i="14"/>
  <c r="J21" i="14"/>
  <c r="I21" i="14"/>
  <c r="H21" i="14"/>
  <c r="G21" i="14"/>
  <c r="F21" i="14"/>
  <c r="E21" i="14"/>
  <c r="D21" i="14"/>
  <c r="C21" i="14"/>
  <c r="M18" i="14"/>
  <c r="L18" i="14"/>
  <c r="K18" i="14"/>
  <c r="J18" i="14"/>
  <c r="I18" i="14"/>
  <c r="H18" i="14"/>
  <c r="G18" i="14"/>
  <c r="F18" i="14"/>
  <c r="E18" i="14"/>
  <c r="D18" i="14"/>
  <c r="C18" i="14"/>
  <c r="M15" i="14"/>
  <c r="L15" i="14"/>
  <c r="K15" i="14"/>
  <c r="J15" i="14"/>
  <c r="I15" i="14"/>
  <c r="H15" i="14"/>
  <c r="G15" i="14"/>
  <c r="F15" i="14"/>
  <c r="E15" i="14"/>
  <c r="D15" i="14"/>
  <c r="C15" i="14"/>
  <c r="M12" i="14"/>
  <c r="L12" i="14"/>
  <c r="K12" i="14"/>
  <c r="J12" i="14"/>
  <c r="I12" i="14"/>
  <c r="H12" i="14"/>
  <c r="G12" i="14"/>
  <c r="F12" i="14"/>
  <c r="E12" i="14"/>
  <c r="D12" i="14"/>
  <c r="C12" i="14"/>
  <c r="M9" i="14"/>
  <c r="L9" i="14"/>
  <c r="K9" i="14"/>
  <c r="J9" i="14"/>
  <c r="I9" i="14"/>
  <c r="H9" i="14"/>
  <c r="G9" i="14"/>
  <c r="F9" i="14"/>
  <c r="E9" i="14"/>
  <c r="D9" i="14"/>
  <c r="C9" i="14"/>
  <c r="N87" i="13"/>
  <c r="M87" i="13"/>
  <c r="L87" i="13"/>
  <c r="K87" i="13"/>
  <c r="J87" i="13"/>
  <c r="I87" i="13"/>
  <c r="H87" i="13"/>
  <c r="G87" i="13"/>
  <c r="F87" i="13"/>
  <c r="E87" i="13"/>
  <c r="D87" i="13"/>
  <c r="C87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N9" i="13"/>
  <c r="M9" i="13"/>
  <c r="L9" i="13"/>
  <c r="K9" i="13"/>
  <c r="J9" i="13"/>
  <c r="I9" i="13"/>
  <c r="H9" i="13"/>
  <c r="G9" i="13"/>
  <c r="F9" i="13"/>
  <c r="E9" i="13"/>
  <c r="D9" i="13"/>
  <c r="C9" i="13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M34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M3" i="12"/>
  <c r="K83" i="11"/>
  <c r="J83" i="11"/>
  <c r="I83" i="11"/>
  <c r="H83" i="11"/>
  <c r="G83" i="11"/>
  <c r="F83" i="11"/>
  <c r="E83" i="11"/>
  <c r="D83" i="11"/>
  <c r="C83" i="11"/>
  <c r="K80" i="11"/>
  <c r="J80" i="11"/>
  <c r="I80" i="11"/>
  <c r="H80" i="11"/>
  <c r="G80" i="11"/>
  <c r="F80" i="11"/>
  <c r="E80" i="11"/>
  <c r="D80" i="11"/>
  <c r="C80" i="11"/>
  <c r="K77" i="11"/>
  <c r="J77" i="11"/>
  <c r="I77" i="11"/>
  <c r="H77" i="11"/>
  <c r="G77" i="11"/>
  <c r="F77" i="11"/>
  <c r="E77" i="11"/>
  <c r="D77" i="11"/>
  <c r="C77" i="11"/>
  <c r="K74" i="11"/>
  <c r="J74" i="11"/>
  <c r="I74" i="11"/>
  <c r="H74" i="11"/>
  <c r="G74" i="11"/>
  <c r="F74" i="11"/>
  <c r="E74" i="11"/>
  <c r="D74" i="11"/>
  <c r="C74" i="11"/>
  <c r="K71" i="11"/>
  <c r="J71" i="11"/>
  <c r="I71" i="11"/>
  <c r="H71" i="11"/>
  <c r="G71" i="11"/>
  <c r="F71" i="11"/>
  <c r="E71" i="11"/>
  <c r="D71" i="11"/>
  <c r="C71" i="11"/>
  <c r="K62" i="11"/>
  <c r="J62" i="11"/>
  <c r="I62" i="11"/>
  <c r="H62" i="11"/>
  <c r="G62" i="11"/>
  <c r="F62" i="11"/>
  <c r="E62" i="11"/>
  <c r="D62" i="11"/>
  <c r="C62" i="11"/>
  <c r="K59" i="11"/>
  <c r="J59" i="11"/>
  <c r="I59" i="11"/>
  <c r="H59" i="11"/>
  <c r="G59" i="11"/>
  <c r="F59" i="11"/>
  <c r="E59" i="11"/>
  <c r="D59" i="11"/>
  <c r="C59" i="11"/>
  <c r="K56" i="11"/>
  <c r="J56" i="11"/>
  <c r="I56" i="11"/>
  <c r="H56" i="11"/>
  <c r="G56" i="11"/>
  <c r="F56" i="11"/>
  <c r="E56" i="11"/>
  <c r="D56" i="11"/>
  <c r="C56" i="11"/>
  <c r="K53" i="11"/>
  <c r="J53" i="11"/>
  <c r="I53" i="11"/>
  <c r="H53" i="11"/>
  <c r="G53" i="11"/>
  <c r="F53" i="11"/>
  <c r="E53" i="11"/>
  <c r="D53" i="11"/>
  <c r="C53" i="11"/>
  <c r="K50" i="11"/>
  <c r="J50" i="11"/>
  <c r="I50" i="11"/>
  <c r="H50" i="11"/>
  <c r="G50" i="11"/>
  <c r="F50" i="11"/>
  <c r="E50" i="11"/>
  <c r="D50" i="11"/>
  <c r="C50" i="11"/>
  <c r="K41" i="11"/>
  <c r="J41" i="11"/>
  <c r="I41" i="11"/>
  <c r="H41" i="11"/>
  <c r="G41" i="11"/>
  <c r="F41" i="11"/>
  <c r="E41" i="11"/>
  <c r="D41" i="11"/>
  <c r="C41" i="11"/>
  <c r="K38" i="11"/>
  <c r="J38" i="11"/>
  <c r="I38" i="11"/>
  <c r="H38" i="11"/>
  <c r="G38" i="11"/>
  <c r="F38" i="11"/>
  <c r="E38" i="11"/>
  <c r="D38" i="11"/>
  <c r="C38" i="11"/>
  <c r="K35" i="11"/>
  <c r="J35" i="11"/>
  <c r="I35" i="11"/>
  <c r="H35" i="11"/>
  <c r="G35" i="11"/>
  <c r="F35" i="11"/>
  <c r="E35" i="11"/>
  <c r="D35" i="11"/>
  <c r="C35" i="11"/>
  <c r="K32" i="11"/>
  <c r="J32" i="11"/>
  <c r="I32" i="11"/>
  <c r="H32" i="11"/>
  <c r="G32" i="11"/>
  <c r="F32" i="11"/>
  <c r="E32" i="11"/>
  <c r="D32" i="11"/>
  <c r="C32" i="11"/>
  <c r="K29" i="11"/>
  <c r="J29" i="11"/>
  <c r="I29" i="11"/>
  <c r="H29" i="11"/>
  <c r="G29" i="11"/>
  <c r="F29" i="11"/>
  <c r="E29" i="11"/>
  <c r="D29" i="11"/>
  <c r="C29" i="11"/>
  <c r="K20" i="11"/>
  <c r="J20" i="11"/>
  <c r="I20" i="11"/>
  <c r="H20" i="11"/>
  <c r="G20" i="11"/>
  <c r="F20" i="11"/>
  <c r="E20" i="11"/>
  <c r="D20" i="11"/>
  <c r="C20" i="11"/>
  <c r="K17" i="11"/>
  <c r="J17" i="11"/>
  <c r="I17" i="11"/>
  <c r="H17" i="11"/>
  <c r="G17" i="11"/>
  <c r="F17" i="11"/>
  <c r="E17" i="11"/>
  <c r="D17" i="11"/>
  <c r="C17" i="11"/>
  <c r="K14" i="11"/>
  <c r="J14" i="11"/>
  <c r="I14" i="11"/>
  <c r="H14" i="11"/>
  <c r="G14" i="11"/>
  <c r="F14" i="11"/>
  <c r="E14" i="11"/>
  <c r="D14" i="11"/>
  <c r="C14" i="11"/>
  <c r="K11" i="11"/>
  <c r="J11" i="11"/>
  <c r="I11" i="11"/>
  <c r="H11" i="11"/>
  <c r="G11" i="11"/>
  <c r="F11" i="11"/>
  <c r="E11" i="11"/>
  <c r="D11" i="11"/>
  <c r="C11" i="11"/>
  <c r="K8" i="11"/>
  <c r="J8" i="11"/>
  <c r="I8" i="11"/>
  <c r="H8" i="11"/>
  <c r="G8" i="11"/>
  <c r="F8" i="11"/>
  <c r="E8" i="11"/>
  <c r="D8" i="11"/>
  <c r="C8" i="11"/>
  <c r="J83" i="10"/>
  <c r="I83" i="10"/>
  <c r="H83" i="10"/>
  <c r="G83" i="10"/>
  <c r="F83" i="10"/>
  <c r="E83" i="10"/>
  <c r="D83" i="10"/>
  <c r="C83" i="10"/>
  <c r="J80" i="10"/>
  <c r="I80" i="10"/>
  <c r="H80" i="10"/>
  <c r="G80" i="10"/>
  <c r="F80" i="10"/>
  <c r="E80" i="10"/>
  <c r="D80" i="10"/>
  <c r="C80" i="10"/>
  <c r="J77" i="10"/>
  <c r="I77" i="10"/>
  <c r="H77" i="10"/>
  <c r="G77" i="10"/>
  <c r="F77" i="10"/>
  <c r="E77" i="10"/>
  <c r="D77" i="10"/>
  <c r="C77" i="10"/>
  <c r="J74" i="10"/>
  <c r="I74" i="10"/>
  <c r="H74" i="10"/>
  <c r="G74" i="10"/>
  <c r="F74" i="10"/>
  <c r="E74" i="10"/>
  <c r="D74" i="10"/>
  <c r="C74" i="10"/>
  <c r="J71" i="10"/>
  <c r="I71" i="10"/>
  <c r="H71" i="10"/>
  <c r="G71" i="10"/>
  <c r="F71" i="10"/>
  <c r="E71" i="10"/>
  <c r="D71" i="10"/>
  <c r="C71" i="10"/>
  <c r="J62" i="10"/>
  <c r="I62" i="10"/>
  <c r="H62" i="10"/>
  <c r="G62" i="10"/>
  <c r="F62" i="10"/>
  <c r="E62" i="10"/>
  <c r="D62" i="10"/>
  <c r="C62" i="10"/>
  <c r="J59" i="10"/>
  <c r="I59" i="10"/>
  <c r="H59" i="10"/>
  <c r="G59" i="10"/>
  <c r="F59" i="10"/>
  <c r="E59" i="10"/>
  <c r="D59" i="10"/>
  <c r="C59" i="10"/>
  <c r="J56" i="10"/>
  <c r="I56" i="10"/>
  <c r="H56" i="10"/>
  <c r="G56" i="10"/>
  <c r="F56" i="10"/>
  <c r="E56" i="10"/>
  <c r="D56" i="10"/>
  <c r="C56" i="10"/>
  <c r="J53" i="10"/>
  <c r="I53" i="10"/>
  <c r="H53" i="10"/>
  <c r="G53" i="10"/>
  <c r="F53" i="10"/>
  <c r="E53" i="10"/>
  <c r="D53" i="10"/>
  <c r="C53" i="10"/>
  <c r="J50" i="10"/>
  <c r="I50" i="10"/>
  <c r="H50" i="10"/>
  <c r="G50" i="10"/>
  <c r="F50" i="10"/>
  <c r="E50" i="10"/>
  <c r="D50" i="10"/>
  <c r="C50" i="10"/>
  <c r="J41" i="10"/>
  <c r="I41" i="10"/>
  <c r="H41" i="10"/>
  <c r="G41" i="10"/>
  <c r="F41" i="10"/>
  <c r="E41" i="10"/>
  <c r="D41" i="10"/>
  <c r="C41" i="10"/>
  <c r="J38" i="10"/>
  <c r="I38" i="10"/>
  <c r="H38" i="10"/>
  <c r="G38" i="10"/>
  <c r="F38" i="10"/>
  <c r="E38" i="10"/>
  <c r="D38" i="10"/>
  <c r="C38" i="10"/>
  <c r="J35" i="10"/>
  <c r="I35" i="10"/>
  <c r="H35" i="10"/>
  <c r="G35" i="10"/>
  <c r="F35" i="10"/>
  <c r="E35" i="10"/>
  <c r="D35" i="10"/>
  <c r="C35" i="10"/>
  <c r="J32" i="10"/>
  <c r="I32" i="10"/>
  <c r="H32" i="10"/>
  <c r="G32" i="10"/>
  <c r="F32" i="10"/>
  <c r="E32" i="10"/>
  <c r="D32" i="10"/>
  <c r="C32" i="10"/>
  <c r="J29" i="10"/>
  <c r="I29" i="10"/>
  <c r="H29" i="10"/>
  <c r="G29" i="10"/>
  <c r="F29" i="10"/>
  <c r="E29" i="10"/>
  <c r="D29" i="10"/>
  <c r="C29" i="10"/>
  <c r="J20" i="10"/>
  <c r="I20" i="10"/>
  <c r="H20" i="10"/>
  <c r="G20" i="10"/>
  <c r="F20" i="10"/>
  <c r="E20" i="10"/>
  <c r="D20" i="10"/>
  <c r="C20" i="10"/>
  <c r="J17" i="10"/>
  <c r="I17" i="10"/>
  <c r="H17" i="10"/>
  <c r="G17" i="10"/>
  <c r="F17" i="10"/>
  <c r="E17" i="10"/>
  <c r="D17" i="10"/>
  <c r="C17" i="10"/>
  <c r="J14" i="10"/>
  <c r="I14" i="10"/>
  <c r="H14" i="10"/>
  <c r="G14" i="10"/>
  <c r="F14" i="10"/>
  <c r="E14" i="10"/>
  <c r="D14" i="10"/>
  <c r="C14" i="10"/>
  <c r="J11" i="10"/>
  <c r="I11" i="10"/>
  <c r="H11" i="10"/>
  <c r="G11" i="10"/>
  <c r="F11" i="10"/>
  <c r="E11" i="10"/>
  <c r="D11" i="10"/>
  <c r="C11" i="10"/>
  <c r="J8" i="10"/>
  <c r="I8" i="10"/>
  <c r="H8" i="10"/>
  <c r="G8" i="10"/>
  <c r="F8" i="10"/>
  <c r="E8" i="10"/>
  <c r="D8" i="10"/>
  <c r="C8" i="10"/>
  <c r="J235" i="9"/>
  <c r="I235" i="9"/>
  <c r="H235" i="9"/>
  <c r="G235" i="9"/>
  <c r="F235" i="9"/>
  <c r="E235" i="9"/>
  <c r="D235" i="9"/>
  <c r="C235" i="9"/>
  <c r="J232" i="9"/>
  <c r="I232" i="9"/>
  <c r="H232" i="9"/>
  <c r="G232" i="9"/>
  <c r="F232" i="9"/>
  <c r="E232" i="9"/>
  <c r="D232" i="9"/>
  <c r="C232" i="9"/>
  <c r="J229" i="9"/>
  <c r="I229" i="9"/>
  <c r="H229" i="9"/>
  <c r="G229" i="9"/>
  <c r="F229" i="9"/>
  <c r="E229" i="9"/>
  <c r="D229" i="9"/>
  <c r="C229" i="9"/>
  <c r="J226" i="9"/>
  <c r="I226" i="9"/>
  <c r="H226" i="9"/>
  <c r="G226" i="9"/>
  <c r="F226" i="9"/>
  <c r="E226" i="9"/>
  <c r="D226" i="9"/>
  <c r="C226" i="9"/>
  <c r="J223" i="9"/>
  <c r="I223" i="9"/>
  <c r="H223" i="9"/>
  <c r="G223" i="9"/>
  <c r="F223" i="9"/>
  <c r="E223" i="9"/>
  <c r="D223" i="9"/>
  <c r="C223" i="9"/>
  <c r="J220" i="9"/>
  <c r="I220" i="9"/>
  <c r="H220" i="9"/>
  <c r="G220" i="9"/>
  <c r="F220" i="9"/>
  <c r="E220" i="9"/>
  <c r="D220" i="9"/>
  <c r="C220" i="9"/>
  <c r="J217" i="9"/>
  <c r="I217" i="9"/>
  <c r="H217" i="9"/>
  <c r="G217" i="9"/>
  <c r="F217" i="9"/>
  <c r="E217" i="9"/>
  <c r="D217" i="9"/>
  <c r="C217" i="9"/>
  <c r="J214" i="9"/>
  <c r="I214" i="9"/>
  <c r="H214" i="9"/>
  <c r="G214" i="9"/>
  <c r="F214" i="9"/>
  <c r="E214" i="9"/>
  <c r="D214" i="9"/>
  <c r="C214" i="9"/>
  <c r="J211" i="9"/>
  <c r="I211" i="9"/>
  <c r="H211" i="9"/>
  <c r="G211" i="9"/>
  <c r="F211" i="9"/>
  <c r="E211" i="9"/>
  <c r="D211" i="9"/>
  <c r="C211" i="9"/>
  <c r="J208" i="9"/>
  <c r="I208" i="9"/>
  <c r="H208" i="9"/>
  <c r="G208" i="9"/>
  <c r="F208" i="9"/>
  <c r="E208" i="9"/>
  <c r="D208" i="9"/>
  <c r="C208" i="9"/>
  <c r="J205" i="9"/>
  <c r="I205" i="9"/>
  <c r="H205" i="9"/>
  <c r="G205" i="9"/>
  <c r="F205" i="9"/>
  <c r="E205" i="9"/>
  <c r="D205" i="9"/>
  <c r="C205" i="9"/>
  <c r="J202" i="9"/>
  <c r="I202" i="9"/>
  <c r="H202" i="9"/>
  <c r="G202" i="9"/>
  <c r="F202" i="9"/>
  <c r="E202" i="9"/>
  <c r="D202" i="9"/>
  <c r="C202" i="9"/>
  <c r="J199" i="9"/>
  <c r="I199" i="9"/>
  <c r="H199" i="9"/>
  <c r="G199" i="9"/>
  <c r="F199" i="9"/>
  <c r="E199" i="9"/>
  <c r="D199" i="9"/>
  <c r="C199" i="9"/>
  <c r="J196" i="9"/>
  <c r="I196" i="9"/>
  <c r="H196" i="9"/>
  <c r="G196" i="9"/>
  <c r="F196" i="9"/>
  <c r="E196" i="9"/>
  <c r="D196" i="9"/>
  <c r="C196" i="9"/>
  <c r="J193" i="9"/>
  <c r="I193" i="9"/>
  <c r="H193" i="9"/>
  <c r="G193" i="9"/>
  <c r="F193" i="9"/>
  <c r="E193" i="9"/>
  <c r="D193" i="9"/>
  <c r="C193" i="9"/>
  <c r="J190" i="9"/>
  <c r="I190" i="9"/>
  <c r="H190" i="9"/>
  <c r="G190" i="9"/>
  <c r="F190" i="9"/>
  <c r="E190" i="9"/>
  <c r="D190" i="9"/>
  <c r="C190" i="9"/>
  <c r="J187" i="9"/>
  <c r="I187" i="9"/>
  <c r="H187" i="9"/>
  <c r="G187" i="9"/>
  <c r="F187" i="9"/>
  <c r="E187" i="9"/>
  <c r="D187" i="9"/>
  <c r="C187" i="9"/>
  <c r="J184" i="9"/>
  <c r="I184" i="9"/>
  <c r="H184" i="9"/>
  <c r="G184" i="9"/>
  <c r="F184" i="9"/>
  <c r="E184" i="9"/>
  <c r="D184" i="9"/>
  <c r="C184" i="9"/>
  <c r="J176" i="9"/>
  <c r="I176" i="9"/>
  <c r="H176" i="9"/>
  <c r="G176" i="9"/>
  <c r="F176" i="9"/>
  <c r="E176" i="9"/>
  <c r="D176" i="9"/>
  <c r="C176" i="9"/>
  <c r="J173" i="9"/>
  <c r="I173" i="9"/>
  <c r="H173" i="9"/>
  <c r="G173" i="9"/>
  <c r="F173" i="9"/>
  <c r="E173" i="9"/>
  <c r="D173" i="9"/>
  <c r="C173" i="9"/>
  <c r="J170" i="9"/>
  <c r="I170" i="9"/>
  <c r="H170" i="9"/>
  <c r="G170" i="9"/>
  <c r="F170" i="9"/>
  <c r="E170" i="9"/>
  <c r="D170" i="9"/>
  <c r="C170" i="9"/>
  <c r="J167" i="9"/>
  <c r="I167" i="9"/>
  <c r="H167" i="9"/>
  <c r="G167" i="9"/>
  <c r="F167" i="9"/>
  <c r="E167" i="9"/>
  <c r="D167" i="9"/>
  <c r="C167" i="9"/>
  <c r="J164" i="9"/>
  <c r="I164" i="9"/>
  <c r="H164" i="9"/>
  <c r="G164" i="9"/>
  <c r="F164" i="9"/>
  <c r="E164" i="9"/>
  <c r="D164" i="9"/>
  <c r="C164" i="9"/>
  <c r="J161" i="9"/>
  <c r="I161" i="9"/>
  <c r="H161" i="9"/>
  <c r="G161" i="9"/>
  <c r="F161" i="9"/>
  <c r="E161" i="9"/>
  <c r="D161" i="9"/>
  <c r="C161" i="9"/>
  <c r="J158" i="9"/>
  <c r="I158" i="9"/>
  <c r="H158" i="9"/>
  <c r="G158" i="9"/>
  <c r="F158" i="9"/>
  <c r="E158" i="9"/>
  <c r="D158" i="9"/>
  <c r="C158" i="9"/>
  <c r="J155" i="9"/>
  <c r="I155" i="9"/>
  <c r="H155" i="9"/>
  <c r="G155" i="9"/>
  <c r="F155" i="9"/>
  <c r="E155" i="9"/>
  <c r="D155" i="9"/>
  <c r="C155" i="9"/>
  <c r="J152" i="9"/>
  <c r="I152" i="9"/>
  <c r="H152" i="9"/>
  <c r="G152" i="9"/>
  <c r="F152" i="9"/>
  <c r="E152" i="9"/>
  <c r="D152" i="9"/>
  <c r="C152" i="9"/>
  <c r="J149" i="9"/>
  <c r="I149" i="9"/>
  <c r="H149" i="9"/>
  <c r="G149" i="9"/>
  <c r="F149" i="9"/>
  <c r="E149" i="9"/>
  <c r="D149" i="9"/>
  <c r="C149" i="9"/>
  <c r="J146" i="9"/>
  <c r="I146" i="9"/>
  <c r="H146" i="9"/>
  <c r="G146" i="9"/>
  <c r="F146" i="9"/>
  <c r="E146" i="9"/>
  <c r="D146" i="9"/>
  <c r="C146" i="9"/>
  <c r="J143" i="9"/>
  <c r="I143" i="9"/>
  <c r="H143" i="9"/>
  <c r="G143" i="9"/>
  <c r="F143" i="9"/>
  <c r="E143" i="9"/>
  <c r="D143" i="9"/>
  <c r="C143" i="9"/>
  <c r="J140" i="9"/>
  <c r="I140" i="9"/>
  <c r="H140" i="9"/>
  <c r="G140" i="9"/>
  <c r="F140" i="9"/>
  <c r="E140" i="9"/>
  <c r="D140" i="9"/>
  <c r="C140" i="9"/>
  <c r="J137" i="9"/>
  <c r="I137" i="9"/>
  <c r="H137" i="9"/>
  <c r="G137" i="9"/>
  <c r="F137" i="9"/>
  <c r="E137" i="9"/>
  <c r="D137" i="9"/>
  <c r="C137" i="9"/>
  <c r="J134" i="9"/>
  <c r="I134" i="9"/>
  <c r="H134" i="9"/>
  <c r="G134" i="9"/>
  <c r="F134" i="9"/>
  <c r="E134" i="9"/>
  <c r="D134" i="9"/>
  <c r="C134" i="9"/>
  <c r="J131" i="9"/>
  <c r="I131" i="9"/>
  <c r="H131" i="9"/>
  <c r="G131" i="9"/>
  <c r="F131" i="9"/>
  <c r="E131" i="9"/>
  <c r="D131" i="9"/>
  <c r="C131" i="9"/>
  <c r="J128" i="9"/>
  <c r="I128" i="9"/>
  <c r="H128" i="9"/>
  <c r="G128" i="9"/>
  <c r="F128" i="9"/>
  <c r="E128" i="9"/>
  <c r="D128" i="9"/>
  <c r="C128" i="9"/>
  <c r="J125" i="9"/>
  <c r="I125" i="9"/>
  <c r="H125" i="9"/>
  <c r="G125" i="9"/>
  <c r="F125" i="9"/>
  <c r="E125" i="9"/>
  <c r="D125" i="9"/>
  <c r="C125" i="9"/>
  <c r="J117" i="9"/>
  <c r="I117" i="9"/>
  <c r="H117" i="9"/>
  <c r="G117" i="9"/>
  <c r="F117" i="9"/>
  <c r="E117" i="9"/>
  <c r="D117" i="9"/>
  <c r="C117" i="9"/>
  <c r="J114" i="9"/>
  <c r="I114" i="9"/>
  <c r="H114" i="9"/>
  <c r="G114" i="9"/>
  <c r="F114" i="9"/>
  <c r="E114" i="9"/>
  <c r="D114" i="9"/>
  <c r="C114" i="9"/>
  <c r="J111" i="9"/>
  <c r="I111" i="9"/>
  <c r="H111" i="9"/>
  <c r="G111" i="9"/>
  <c r="F111" i="9"/>
  <c r="E111" i="9"/>
  <c r="D111" i="9"/>
  <c r="C111" i="9"/>
  <c r="J108" i="9"/>
  <c r="I108" i="9"/>
  <c r="H108" i="9"/>
  <c r="G108" i="9"/>
  <c r="F108" i="9"/>
  <c r="E108" i="9"/>
  <c r="D108" i="9"/>
  <c r="C108" i="9"/>
  <c r="J105" i="9"/>
  <c r="I105" i="9"/>
  <c r="H105" i="9"/>
  <c r="G105" i="9"/>
  <c r="F105" i="9"/>
  <c r="E105" i="9"/>
  <c r="D105" i="9"/>
  <c r="C105" i="9"/>
  <c r="J102" i="9"/>
  <c r="I102" i="9"/>
  <c r="H102" i="9"/>
  <c r="G102" i="9"/>
  <c r="F102" i="9"/>
  <c r="E102" i="9"/>
  <c r="D102" i="9"/>
  <c r="C102" i="9"/>
  <c r="J99" i="9"/>
  <c r="I99" i="9"/>
  <c r="H99" i="9"/>
  <c r="G99" i="9"/>
  <c r="F99" i="9"/>
  <c r="E99" i="9"/>
  <c r="D99" i="9"/>
  <c r="C99" i="9"/>
  <c r="J96" i="9"/>
  <c r="I96" i="9"/>
  <c r="H96" i="9"/>
  <c r="G96" i="9"/>
  <c r="F96" i="9"/>
  <c r="E96" i="9"/>
  <c r="D96" i="9"/>
  <c r="C96" i="9"/>
  <c r="J93" i="9"/>
  <c r="I93" i="9"/>
  <c r="H93" i="9"/>
  <c r="G93" i="9"/>
  <c r="F93" i="9"/>
  <c r="E93" i="9"/>
  <c r="D93" i="9"/>
  <c r="C93" i="9"/>
  <c r="J90" i="9"/>
  <c r="I90" i="9"/>
  <c r="H90" i="9"/>
  <c r="G90" i="9"/>
  <c r="F90" i="9"/>
  <c r="E90" i="9"/>
  <c r="D90" i="9"/>
  <c r="C90" i="9"/>
  <c r="J87" i="9"/>
  <c r="I87" i="9"/>
  <c r="H87" i="9"/>
  <c r="G87" i="9"/>
  <c r="F87" i="9"/>
  <c r="E87" i="9"/>
  <c r="D87" i="9"/>
  <c r="C87" i="9"/>
  <c r="J84" i="9"/>
  <c r="I84" i="9"/>
  <c r="H84" i="9"/>
  <c r="G84" i="9"/>
  <c r="F84" i="9"/>
  <c r="E84" i="9"/>
  <c r="D84" i="9"/>
  <c r="C84" i="9"/>
  <c r="J81" i="9"/>
  <c r="I81" i="9"/>
  <c r="H81" i="9"/>
  <c r="G81" i="9"/>
  <c r="F81" i="9"/>
  <c r="E81" i="9"/>
  <c r="D81" i="9"/>
  <c r="C81" i="9"/>
  <c r="J78" i="9"/>
  <c r="I78" i="9"/>
  <c r="H78" i="9"/>
  <c r="G78" i="9"/>
  <c r="F78" i="9"/>
  <c r="E78" i="9"/>
  <c r="D78" i="9"/>
  <c r="C78" i="9"/>
  <c r="J75" i="9"/>
  <c r="I75" i="9"/>
  <c r="H75" i="9"/>
  <c r="G75" i="9"/>
  <c r="F75" i="9"/>
  <c r="E75" i="9"/>
  <c r="D75" i="9"/>
  <c r="C75" i="9"/>
  <c r="J72" i="9"/>
  <c r="I72" i="9"/>
  <c r="H72" i="9"/>
  <c r="G72" i="9"/>
  <c r="F72" i="9"/>
  <c r="E72" i="9"/>
  <c r="D72" i="9"/>
  <c r="C72" i="9"/>
  <c r="J69" i="9"/>
  <c r="I69" i="9"/>
  <c r="H69" i="9"/>
  <c r="G69" i="9"/>
  <c r="F69" i="9"/>
  <c r="E69" i="9"/>
  <c r="D69" i="9"/>
  <c r="C69" i="9"/>
  <c r="J66" i="9"/>
  <c r="I66" i="9"/>
  <c r="H66" i="9"/>
  <c r="G66" i="9"/>
  <c r="F66" i="9"/>
  <c r="E66" i="9"/>
  <c r="D66" i="9"/>
  <c r="C66" i="9"/>
  <c r="J58" i="9"/>
  <c r="I58" i="9"/>
  <c r="H58" i="9"/>
  <c r="G58" i="9"/>
  <c r="F58" i="9"/>
  <c r="E58" i="9"/>
  <c r="D58" i="9"/>
  <c r="C58" i="9"/>
  <c r="J55" i="9"/>
  <c r="I55" i="9"/>
  <c r="H55" i="9"/>
  <c r="G55" i="9"/>
  <c r="F55" i="9"/>
  <c r="E55" i="9"/>
  <c r="D55" i="9"/>
  <c r="C55" i="9"/>
  <c r="J52" i="9"/>
  <c r="I52" i="9"/>
  <c r="H52" i="9"/>
  <c r="G52" i="9"/>
  <c r="F52" i="9"/>
  <c r="E52" i="9"/>
  <c r="D52" i="9"/>
  <c r="C52" i="9"/>
  <c r="J49" i="9"/>
  <c r="I49" i="9"/>
  <c r="H49" i="9"/>
  <c r="G49" i="9"/>
  <c r="F49" i="9"/>
  <c r="E49" i="9"/>
  <c r="D49" i="9"/>
  <c r="C49" i="9"/>
  <c r="J46" i="9"/>
  <c r="I46" i="9"/>
  <c r="H46" i="9"/>
  <c r="G46" i="9"/>
  <c r="F46" i="9"/>
  <c r="E46" i="9"/>
  <c r="D46" i="9"/>
  <c r="C46" i="9"/>
  <c r="J43" i="9"/>
  <c r="I43" i="9"/>
  <c r="H43" i="9"/>
  <c r="G43" i="9"/>
  <c r="F43" i="9"/>
  <c r="E43" i="9"/>
  <c r="D43" i="9"/>
  <c r="C43" i="9"/>
  <c r="J40" i="9"/>
  <c r="I40" i="9"/>
  <c r="H40" i="9"/>
  <c r="G40" i="9"/>
  <c r="F40" i="9"/>
  <c r="E40" i="9"/>
  <c r="D40" i="9"/>
  <c r="C40" i="9"/>
  <c r="J37" i="9"/>
  <c r="I37" i="9"/>
  <c r="H37" i="9"/>
  <c r="G37" i="9"/>
  <c r="F37" i="9"/>
  <c r="E37" i="9"/>
  <c r="D37" i="9"/>
  <c r="C37" i="9"/>
  <c r="J34" i="9"/>
  <c r="I34" i="9"/>
  <c r="H34" i="9"/>
  <c r="G34" i="9"/>
  <c r="F34" i="9"/>
  <c r="E34" i="9"/>
  <c r="D34" i="9"/>
  <c r="C34" i="9"/>
  <c r="J31" i="9"/>
  <c r="I31" i="9"/>
  <c r="H31" i="9"/>
  <c r="G31" i="9"/>
  <c r="F31" i="9"/>
  <c r="E31" i="9"/>
  <c r="D31" i="9"/>
  <c r="C31" i="9"/>
  <c r="J28" i="9"/>
  <c r="I28" i="9"/>
  <c r="H28" i="9"/>
  <c r="G28" i="9"/>
  <c r="F28" i="9"/>
  <c r="E28" i="9"/>
  <c r="D28" i="9"/>
  <c r="C28" i="9"/>
  <c r="J25" i="9"/>
  <c r="I25" i="9"/>
  <c r="H25" i="9"/>
  <c r="G25" i="9"/>
  <c r="F25" i="9"/>
  <c r="E25" i="9"/>
  <c r="D25" i="9"/>
  <c r="C25" i="9"/>
  <c r="J22" i="9"/>
  <c r="I22" i="9"/>
  <c r="H22" i="9"/>
  <c r="G22" i="9"/>
  <c r="F22" i="9"/>
  <c r="E22" i="9"/>
  <c r="D22" i="9"/>
  <c r="C22" i="9"/>
  <c r="J19" i="9"/>
  <c r="I19" i="9"/>
  <c r="H19" i="9"/>
  <c r="G19" i="9"/>
  <c r="F19" i="9"/>
  <c r="E19" i="9"/>
  <c r="D19" i="9"/>
  <c r="C19" i="9"/>
  <c r="J16" i="9"/>
  <c r="I16" i="9"/>
  <c r="H16" i="9"/>
  <c r="G16" i="9"/>
  <c r="F16" i="9"/>
  <c r="E16" i="9"/>
  <c r="D16" i="9"/>
  <c r="C16" i="9"/>
  <c r="J13" i="9"/>
  <c r="I13" i="9"/>
  <c r="H13" i="9"/>
  <c r="G13" i="9"/>
  <c r="F13" i="9"/>
  <c r="E13" i="9"/>
  <c r="D13" i="9"/>
  <c r="C13" i="9"/>
  <c r="J10" i="9"/>
  <c r="I10" i="9"/>
  <c r="H10" i="9"/>
  <c r="G10" i="9"/>
  <c r="F10" i="9"/>
  <c r="E10" i="9"/>
  <c r="D10" i="9"/>
  <c r="C10" i="9"/>
  <c r="J7" i="9"/>
  <c r="I7" i="9"/>
  <c r="H7" i="9"/>
  <c r="G7" i="9"/>
  <c r="F7" i="9"/>
  <c r="E7" i="9"/>
  <c r="D7" i="9"/>
  <c r="C7" i="9"/>
  <c r="N87" i="8"/>
  <c r="M87" i="8"/>
  <c r="L87" i="8"/>
  <c r="K87" i="8"/>
  <c r="J87" i="8"/>
  <c r="I87" i="8"/>
  <c r="H87" i="8"/>
  <c r="G87" i="8"/>
  <c r="F87" i="8"/>
  <c r="E87" i="8"/>
  <c r="D87" i="8"/>
  <c r="C87" i="8"/>
  <c r="N84" i="8"/>
  <c r="M84" i="8"/>
  <c r="L84" i="8"/>
  <c r="K84" i="8"/>
  <c r="J84" i="8"/>
  <c r="I84" i="8"/>
  <c r="H84" i="8"/>
  <c r="G84" i="8"/>
  <c r="F84" i="8"/>
  <c r="E84" i="8"/>
  <c r="D84" i="8"/>
  <c r="C84" i="8"/>
  <c r="N81" i="8"/>
  <c r="M81" i="8"/>
  <c r="L81" i="8"/>
  <c r="K81" i="8"/>
  <c r="J81" i="8"/>
  <c r="I81" i="8"/>
  <c r="H81" i="8"/>
  <c r="G81" i="8"/>
  <c r="F81" i="8"/>
  <c r="E81" i="8"/>
  <c r="D81" i="8"/>
  <c r="C81" i="8"/>
  <c r="N78" i="8"/>
  <c r="M78" i="8"/>
  <c r="L78" i="8"/>
  <c r="K78" i="8"/>
  <c r="J78" i="8"/>
  <c r="I78" i="8"/>
  <c r="H78" i="8"/>
  <c r="G78" i="8"/>
  <c r="F78" i="8"/>
  <c r="E78" i="8"/>
  <c r="D78" i="8"/>
  <c r="C78" i="8"/>
  <c r="N75" i="8"/>
  <c r="M75" i="8"/>
  <c r="L75" i="8"/>
  <c r="K75" i="8"/>
  <c r="J75" i="8"/>
  <c r="I75" i="8"/>
  <c r="H75" i="8"/>
  <c r="G75" i="8"/>
  <c r="F75" i="8"/>
  <c r="E75" i="8"/>
  <c r="D75" i="8"/>
  <c r="C75" i="8"/>
  <c r="N65" i="8"/>
  <c r="M65" i="8"/>
  <c r="L65" i="8"/>
  <c r="K65" i="8"/>
  <c r="J65" i="8"/>
  <c r="I65" i="8"/>
  <c r="H65" i="8"/>
  <c r="G65" i="8"/>
  <c r="F65" i="8"/>
  <c r="E65" i="8"/>
  <c r="D65" i="8"/>
  <c r="C65" i="8"/>
  <c r="N62" i="8"/>
  <c r="M62" i="8"/>
  <c r="L62" i="8"/>
  <c r="K62" i="8"/>
  <c r="J62" i="8"/>
  <c r="I62" i="8"/>
  <c r="H62" i="8"/>
  <c r="G62" i="8"/>
  <c r="F62" i="8"/>
  <c r="E62" i="8"/>
  <c r="D62" i="8"/>
  <c r="C62" i="8"/>
  <c r="N59" i="8"/>
  <c r="M59" i="8"/>
  <c r="L59" i="8"/>
  <c r="K59" i="8"/>
  <c r="J59" i="8"/>
  <c r="I59" i="8"/>
  <c r="H59" i="8"/>
  <c r="G59" i="8"/>
  <c r="F59" i="8"/>
  <c r="E59" i="8"/>
  <c r="D59" i="8"/>
  <c r="C59" i="8"/>
  <c r="N56" i="8"/>
  <c r="M56" i="8"/>
  <c r="L56" i="8"/>
  <c r="K56" i="8"/>
  <c r="J56" i="8"/>
  <c r="I56" i="8"/>
  <c r="H56" i="8"/>
  <c r="G56" i="8"/>
  <c r="F56" i="8"/>
  <c r="E56" i="8"/>
  <c r="D56" i="8"/>
  <c r="C56" i="8"/>
  <c r="N53" i="8"/>
  <c r="M53" i="8"/>
  <c r="L53" i="8"/>
  <c r="K53" i="8"/>
  <c r="J53" i="8"/>
  <c r="I53" i="8"/>
  <c r="H53" i="8"/>
  <c r="G53" i="8"/>
  <c r="F53" i="8"/>
  <c r="E53" i="8"/>
  <c r="D53" i="8"/>
  <c r="C53" i="8"/>
  <c r="N43" i="8"/>
  <c r="M43" i="8"/>
  <c r="L43" i="8"/>
  <c r="K43" i="8"/>
  <c r="J43" i="8"/>
  <c r="I43" i="8"/>
  <c r="H43" i="8"/>
  <c r="G43" i="8"/>
  <c r="F43" i="8"/>
  <c r="E43" i="8"/>
  <c r="D43" i="8"/>
  <c r="C43" i="8"/>
  <c r="N40" i="8"/>
  <c r="M40" i="8"/>
  <c r="L40" i="8"/>
  <c r="K40" i="8"/>
  <c r="J40" i="8"/>
  <c r="I40" i="8"/>
  <c r="H40" i="8"/>
  <c r="G40" i="8"/>
  <c r="F40" i="8"/>
  <c r="E40" i="8"/>
  <c r="D40" i="8"/>
  <c r="C40" i="8"/>
  <c r="N37" i="8"/>
  <c r="M37" i="8"/>
  <c r="L37" i="8"/>
  <c r="K37" i="8"/>
  <c r="J37" i="8"/>
  <c r="I37" i="8"/>
  <c r="H37" i="8"/>
  <c r="G37" i="8"/>
  <c r="F37" i="8"/>
  <c r="E37" i="8"/>
  <c r="D37" i="8"/>
  <c r="C37" i="8"/>
  <c r="N34" i="8"/>
  <c r="M34" i="8"/>
  <c r="L34" i="8"/>
  <c r="K34" i="8"/>
  <c r="J34" i="8"/>
  <c r="I34" i="8"/>
  <c r="H34" i="8"/>
  <c r="G34" i="8"/>
  <c r="F34" i="8"/>
  <c r="E34" i="8"/>
  <c r="D34" i="8"/>
  <c r="C34" i="8"/>
  <c r="N31" i="8"/>
  <c r="M31" i="8"/>
  <c r="L31" i="8"/>
  <c r="K31" i="8"/>
  <c r="J31" i="8"/>
  <c r="I31" i="8"/>
  <c r="H31" i="8"/>
  <c r="G31" i="8"/>
  <c r="F31" i="8"/>
  <c r="E31" i="8"/>
  <c r="D31" i="8"/>
  <c r="C31" i="8"/>
  <c r="N21" i="8"/>
  <c r="M21" i="8"/>
  <c r="L21" i="8"/>
  <c r="K21" i="8"/>
  <c r="J21" i="8"/>
  <c r="I21" i="8"/>
  <c r="H21" i="8"/>
  <c r="G21" i="8"/>
  <c r="F21" i="8"/>
  <c r="E21" i="8"/>
  <c r="D21" i="8"/>
  <c r="C21" i="8"/>
  <c r="N18" i="8"/>
  <c r="M18" i="8"/>
  <c r="L18" i="8"/>
  <c r="K18" i="8"/>
  <c r="J18" i="8"/>
  <c r="I18" i="8"/>
  <c r="H18" i="8"/>
  <c r="G18" i="8"/>
  <c r="F18" i="8"/>
  <c r="E18" i="8"/>
  <c r="D18" i="8"/>
  <c r="C18" i="8"/>
  <c r="N15" i="8"/>
  <c r="M15" i="8"/>
  <c r="L15" i="8"/>
  <c r="K15" i="8"/>
  <c r="J15" i="8"/>
  <c r="I15" i="8"/>
  <c r="H15" i="8"/>
  <c r="G15" i="8"/>
  <c r="F15" i="8"/>
  <c r="E15" i="8"/>
  <c r="D15" i="8"/>
  <c r="C15" i="8"/>
  <c r="N12" i="8"/>
  <c r="M12" i="8"/>
  <c r="L12" i="8"/>
  <c r="K12" i="8"/>
  <c r="J12" i="8"/>
  <c r="I12" i="8"/>
  <c r="H12" i="8"/>
  <c r="G12" i="8"/>
  <c r="F12" i="8"/>
  <c r="E12" i="8"/>
  <c r="D12" i="8"/>
  <c r="C12" i="8"/>
  <c r="N9" i="8"/>
  <c r="M9" i="8"/>
  <c r="L9" i="8"/>
  <c r="K9" i="8"/>
  <c r="J9" i="8"/>
  <c r="I9" i="8"/>
  <c r="H9" i="8"/>
  <c r="G9" i="8"/>
  <c r="F9" i="8"/>
  <c r="E9" i="8"/>
  <c r="D9" i="8"/>
  <c r="C9" i="8"/>
  <c r="I31" i="7"/>
  <c r="H31" i="7"/>
  <c r="G31" i="7"/>
  <c r="F31" i="7"/>
  <c r="E31" i="7"/>
  <c r="D31" i="7"/>
  <c r="C31" i="7"/>
  <c r="I28" i="7"/>
  <c r="H28" i="7"/>
  <c r="G28" i="7"/>
  <c r="F28" i="7"/>
  <c r="E28" i="7"/>
  <c r="D28" i="7"/>
  <c r="C28" i="7"/>
  <c r="I25" i="7"/>
  <c r="H25" i="7"/>
  <c r="G25" i="7"/>
  <c r="F25" i="7"/>
  <c r="E25" i="7"/>
  <c r="D25" i="7"/>
  <c r="C25" i="7"/>
  <c r="I15" i="7"/>
  <c r="H15" i="7"/>
  <c r="G15" i="7"/>
  <c r="F15" i="7"/>
  <c r="E15" i="7"/>
  <c r="D15" i="7"/>
  <c r="C15" i="7"/>
  <c r="I12" i="7"/>
  <c r="H12" i="7"/>
  <c r="G12" i="7"/>
  <c r="F12" i="7"/>
  <c r="E12" i="7"/>
  <c r="D12" i="7"/>
  <c r="C12" i="7"/>
  <c r="I9" i="7"/>
  <c r="H9" i="7"/>
  <c r="G9" i="7"/>
  <c r="F9" i="7"/>
  <c r="E9" i="7"/>
  <c r="D9" i="7"/>
  <c r="C9" i="7"/>
  <c r="G31" i="6"/>
  <c r="F31" i="6"/>
  <c r="E31" i="6"/>
  <c r="D31" i="6"/>
  <c r="C31" i="6"/>
  <c r="G28" i="6"/>
  <c r="F28" i="6"/>
  <c r="E28" i="6"/>
  <c r="D28" i="6"/>
  <c r="C28" i="6"/>
  <c r="G25" i="6"/>
  <c r="F25" i="6"/>
  <c r="E25" i="6"/>
  <c r="D25" i="6"/>
  <c r="C25" i="6"/>
  <c r="G15" i="6"/>
  <c r="F15" i="6"/>
  <c r="E15" i="6"/>
  <c r="D15" i="6"/>
  <c r="C15" i="6"/>
  <c r="G12" i="6"/>
  <c r="F12" i="6"/>
  <c r="E12" i="6"/>
  <c r="D12" i="6"/>
  <c r="C12" i="6"/>
  <c r="G9" i="6"/>
  <c r="F9" i="6"/>
  <c r="E9" i="6"/>
  <c r="D9" i="6"/>
  <c r="C9" i="6"/>
  <c r="C37" i="5"/>
  <c r="C34" i="5"/>
  <c r="C31" i="5"/>
  <c r="C28" i="5"/>
  <c r="C18" i="5"/>
  <c r="C15" i="5"/>
  <c r="C12" i="5"/>
  <c r="C9" i="5"/>
  <c r="C3" i="5"/>
  <c r="J179" i="4"/>
  <c r="I179" i="4"/>
  <c r="H179" i="4"/>
  <c r="G179" i="4"/>
  <c r="F179" i="4"/>
  <c r="E179" i="4"/>
  <c r="D179" i="4"/>
  <c r="C179" i="4"/>
  <c r="I176" i="4"/>
  <c r="H176" i="4"/>
  <c r="G176" i="4"/>
  <c r="F176" i="4"/>
  <c r="E176" i="4"/>
  <c r="D176" i="4"/>
  <c r="C176" i="4"/>
  <c r="I173" i="4"/>
  <c r="H173" i="4"/>
  <c r="G173" i="4"/>
  <c r="F173" i="4"/>
  <c r="E173" i="4"/>
  <c r="D173" i="4"/>
  <c r="C173" i="4"/>
  <c r="J170" i="4"/>
  <c r="I170" i="4"/>
  <c r="H170" i="4"/>
  <c r="G170" i="4"/>
  <c r="F170" i="4"/>
  <c r="E170" i="4"/>
  <c r="D170" i="4"/>
  <c r="C170" i="4"/>
  <c r="J167" i="4"/>
  <c r="I167" i="4"/>
  <c r="H167" i="4"/>
  <c r="G167" i="4"/>
  <c r="F167" i="4"/>
  <c r="E167" i="4"/>
  <c r="D167" i="4"/>
  <c r="C167" i="4"/>
  <c r="J164" i="4"/>
  <c r="I164" i="4"/>
  <c r="H164" i="4"/>
  <c r="G164" i="4"/>
  <c r="F164" i="4"/>
  <c r="E164" i="4"/>
  <c r="D164" i="4"/>
  <c r="C164" i="4"/>
  <c r="J161" i="4"/>
  <c r="I161" i="4"/>
  <c r="H161" i="4"/>
  <c r="G161" i="4"/>
  <c r="F161" i="4"/>
  <c r="E161" i="4"/>
  <c r="D161" i="4"/>
  <c r="C161" i="4"/>
  <c r="J158" i="4"/>
  <c r="I158" i="4"/>
  <c r="H158" i="4"/>
  <c r="G158" i="4"/>
  <c r="F158" i="4"/>
  <c r="E158" i="4"/>
  <c r="D158" i="4"/>
  <c r="C158" i="4"/>
  <c r="J155" i="4"/>
  <c r="I155" i="4"/>
  <c r="H155" i="4"/>
  <c r="G155" i="4"/>
  <c r="F155" i="4"/>
  <c r="E155" i="4"/>
  <c r="D155" i="4"/>
  <c r="C155" i="4"/>
  <c r="J152" i="4"/>
  <c r="I152" i="4"/>
  <c r="H152" i="4"/>
  <c r="G152" i="4"/>
  <c r="F152" i="4"/>
  <c r="E152" i="4"/>
  <c r="D152" i="4"/>
  <c r="C152" i="4"/>
  <c r="J149" i="4"/>
  <c r="I149" i="4"/>
  <c r="H149" i="4"/>
  <c r="G149" i="4"/>
  <c r="F149" i="4"/>
  <c r="E149" i="4"/>
  <c r="D149" i="4"/>
  <c r="C149" i="4"/>
  <c r="J146" i="4"/>
  <c r="I146" i="4"/>
  <c r="H146" i="4"/>
  <c r="G146" i="4"/>
  <c r="F146" i="4"/>
  <c r="E146" i="4"/>
  <c r="D146" i="4"/>
  <c r="C146" i="4"/>
  <c r="J143" i="4"/>
  <c r="I143" i="4"/>
  <c r="H143" i="4"/>
  <c r="G143" i="4"/>
  <c r="F143" i="4"/>
  <c r="E143" i="4"/>
  <c r="D143" i="4"/>
  <c r="C143" i="4"/>
  <c r="J134" i="4"/>
  <c r="I134" i="4"/>
  <c r="H134" i="4"/>
  <c r="G134" i="4"/>
  <c r="F134" i="4"/>
  <c r="E134" i="4"/>
  <c r="D134" i="4"/>
  <c r="C134" i="4"/>
  <c r="J131" i="4"/>
  <c r="I131" i="4"/>
  <c r="H131" i="4"/>
  <c r="G131" i="4"/>
  <c r="F131" i="4"/>
  <c r="E131" i="4"/>
  <c r="D131" i="4"/>
  <c r="C131" i="4"/>
  <c r="J128" i="4"/>
  <c r="I128" i="4"/>
  <c r="H128" i="4"/>
  <c r="G128" i="4"/>
  <c r="F128" i="4"/>
  <c r="E128" i="4"/>
  <c r="D128" i="4"/>
  <c r="C128" i="4"/>
  <c r="J125" i="4"/>
  <c r="I125" i="4"/>
  <c r="H125" i="4"/>
  <c r="G125" i="4"/>
  <c r="F125" i="4"/>
  <c r="E125" i="4"/>
  <c r="D125" i="4"/>
  <c r="C125" i="4"/>
  <c r="J122" i="4"/>
  <c r="I122" i="4"/>
  <c r="H122" i="4"/>
  <c r="G122" i="4"/>
  <c r="F122" i="4"/>
  <c r="E122" i="4"/>
  <c r="D122" i="4"/>
  <c r="C122" i="4"/>
  <c r="J119" i="4"/>
  <c r="I119" i="4"/>
  <c r="H119" i="4"/>
  <c r="G119" i="4"/>
  <c r="F119" i="4"/>
  <c r="E119" i="4"/>
  <c r="D119" i="4"/>
  <c r="C119" i="4"/>
  <c r="J116" i="4"/>
  <c r="I116" i="4"/>
  <c r="H116" i="4"/>
  <c r="G116" i="4"/>
  <c r="F116" i="4"/>
  <c r="E116" i="4"/>
  <c r="D116" i="4"/>
  <c r="C116" i="4"/>
  <c r="J113" i="4"/>
  <c r="I113" i="4"/>
  <c r="H113" i="4"/>
  <c r="G113" i="4"/>
  <c r="F113" i="4"/>
  <c r="E113" i="4"/>
  <c r="D113" i="4"/>
  <c r="C113" i="4"/>
  <c r="J110" i="4"/>
  <c r="I110" i="4"/>
  <c r="H110" i="4"/>
  <c r="G110" i="4"/>
  <c r="F110" i="4"/>
  <c r="E110" i="4"/>
  <c r="D110" i="4"/>
  <c r="C110" i="4"/>
  <c r="J107" i="4"/>
  <c r="I107" i="4"/>
  <c r="H107" i="4"/>
  <c r="G107" i="4"/>
  <c r="F107" i="4"/>
  <c r="E107" i="4"/>
  <c r="D107" i="4"/>
  <c r="C107" i="4"/>
  <c r="J104" i="4"/>
  <c r="I104" i="4"/>
  <c r="H104" i="4"/>
  <c r="G104" i="4"/>
  <c r="F104" i="4"/>
  <c r="E104" i="4"/>
  <c r="D104" i="4"/>
  <c r="C104" i="4"/>
  <c r="J101" i="4"/>
  <c r="I101" i="4"/>
  <c r="H101" i="4"/>
  <c r="G101" i="4"/>
  <c r="F101" i="4"/>
  <c r="E101" i="4"/>
  <c r="D101" i="4"/>
  <c r="C101" i="4"/>
  <c r="J98" i="4"/>
  <c r="I98" i="4"/>
  <c r="H98" i="4"/>
  <c r="G98" i="4"/>
  <c r="F98" i="4"/>
  <c r="E98" i="4"/>
  <c r="D98" i="4"/>
  <c r="C98" i="4"/>
  <c r="J89" i="4"/>
  <c r="I89" i="4"/>
  <c r="H89" i="4"/>
  <c r="G89" i="4"/>
  <c r="F89" i="4"/>
  <c r="E89" i="4"/>
  <c r="D89" i="4"/>
  <c r="C89" i="4"/>
  <c r="J86" i="4"/>
  <c r="I86" i="4"/>
  <c r="H86" i="4"/>
  <c r="G86" i="4"/>
  <c r="F86" i="4"/>
  <c r="E86" i="4"/>
  <c r="D86" i="4"/>
  <c r="C86" i="4"/>
  <c r="J83" i="4"/>
  <c r="I83" i="4"/>
  <c r="H83" i="4"/>
  <c r="G83" i="4"/>
  <c r="F83" i="4"/>
  <c r="E83" i="4"/>
  <c r="D83" i="4"/>
  <c r="C83" i="4"/>
  <c r="J80" i="4"/>
  <c r="I80" i="4"/>
  <c r="H80" i="4"/>
  <c r="G80" i="4"/>
  <c r="F80" i="4"/>
  <c r="E80" i="4"/>
  <c r="D80" i="4"/>
  <c r="C80" i="4"/>
  <c r="J77" i="4"/>
  <c r="I77" i="4"/>
  <c r="H77" i="4"/>
  <c r="G77" i="4"/>
  <c r="F77" i="4"/>
  <c r="E77" i="4"/>
  <c r="D77" i="4"/>
  <c r="C77" i="4"/>
  <c r="J74" i="4"/>
  <c r="I74" i="4"/>
  <c r="H74" i="4"/>
  <c r="G74" i="4"/>
  <c r="F74" i="4"/>
  <c r="E74" i="4"/>
  <c r="D74" i="4"/>
  <c r="C74" i="4"/>
  <c r="J71" i="4"/>
  <c r="I71" i="4"/>
  <c r="H71" i="4"/>
  <c r="G71" i="4"/>
  <c r="F71" i="4"/>
  <c r="E71" i="4"/>
  <c r="D71" i="4"/>
  <c r="C71" i="4"/>
  <c r="J68" i="4"/>
  <c r="I68" i="4"/>
  <c r="H68" i="4"/>
  <c r="G68" i="4"/>
  <c r="F68" i="4"/>
  <c r="E68" i="4"/>
  <c r="D68" i="4"/>
  <c r="C68" i="4"/>
  <c r="J65" i="4"/>
  <c r="I65" i="4"/>
  <c r="H65" i="4"/>
  <c r="G65" i="4"/>
  <c r="F65" i="4"/>
  <c r="E65" i="4"/>
  <c r="D65" i="4"/>
  <c r="C65" i="4"/>
  <c r="J62" i="4"/>
  <c r="I62" i="4"/>
  <c r="H62" i="4"/>
  <c r="G62" i="4"/>
  <c r="F62" i="4"/>
  <c r="E62" i="4"/>
  <c r="D62" i="4"/>
  <c r="C62" i="4"/>
  <c r="J59" i="4"/>
  <c r="I59" i="4"/>
  <c r="H59" i="4"/>
  <c r="G59" i="4"/>
  <c r="F59" i="4"/>
  <c r="E59" i="4"/>
  <c r="D59" i="4"/>
  <c r="C59" i="4"/>
  <c r="J56" i="4"/>
  <c r="I56" i="4"/>
  <c r="H56" i="4"/>
  <c r="G56" i="4"/>
  <c r="F56" i="4"/>
  <c r="E56" i="4"/>
  <c r="D56" i="4"/>
  <c r="C56" i="4"/>
  <c r="J53" i="4"/>
  <c r="I53" i="4"/>
  <c r="H53" i="4"/>
  <c r="G53" i="4"/>
  <c r="F53" i="4"/>
  <c r="E53" i="4"/>
  <c r="D53" i="4"/>
  <c r="C53" i="4"/>
  <c r="J44" i="4"/>
  <c r="I44" i="4"/>
  <c r="H44" i="4"/>
  <c r="G44" i="4"/>
  <c r="F44" i="4"/>
  <c r="E44" i="4"/>
  <c r="D44" i="4"/>
  <c r="C44" i="4"/>
  <c r="J41" i="4"/>
  <c r="I41" i="4"/>
  <c r="H41" i="4"/>
  <c r="G41" i="4"/>
  <c r="F41" i="4"/>
  <c r="E41" i="4"/>
  <c r="D41" i="4"/>
  <c r="C41" i="4"/>
  <c r="J38" i="4"/>
  <c r="I38" i="4"/>
  <c r="H38" i="4"/>
  <c r="G38" i="4"/>
  <c r="F38" i="4"/>
  <c r="E38" i="4"/>
  <c r="D38" i="4"/>
  <c r="C38" i="4"/>
  <c r="J35" i="4"/>
  <c r="I35" i="4"/>
  <c r="H35" i="4"/>
  <c r="G35" i="4"/>
  <c r="F35" i="4"/>
  <c r="E35" i="4"/>
  <c r="D35" i="4"/>
  <c r="C35" i="4"/>
  <c r="J32" i="4"/>
  <c r="I32" i="4"/>
  <c r="H32" i="4"/>
  <c r="G32" i="4"/>
  <c r="F32" i="4"/>
  <c r="E32" i="4"/>
  <c r="D32" i="4"/>
  <c r="C32" i="4"/>
  <c r="J29" i="4"/>
  <c r="I29" i="4"/>
  <c r="H29" i="4"/>
  <c r="G29" i="4"/>
  <c r="F29" i="4"/>
  <c r="E29" i="4"/>
  <c r="D29" i="4"/>
  <c r="C29" i="4"/>
  <c r="J26" i="4"/>
  <c r="I26" i="4"/>
  <c r="H26" i="4"/>
  <c r="G26" i="4"/>
  <c r="F26" i="4"/>
  <c r="E26" i="4"/>
  <c r="D26" i="4"/>
  <c r="C26" i="4"/>
  <c r="J23" i="4"/>
  <c r="I23" i="4"/>
  <c r="H23" i="4"/>
  <c r="G23" i="4"/>
  <c r="F23" i="4"/>
  <c r="E23" i="4"/>
  <c r="D23" i="4"/>
  <c r="C23" i="4"/>
  <c r="J20" i="4"/>
  <c r="I20" i="4"/>
  <c r="H20" i="4"/>
  <c r="G20" i="4"/>
  <c r="F20" i="4"/>
  <c r="E20" i="4"/>
  <c r="D20" i="4"/>
  <c r="C20" i="4"/>
  <c r="J17" i="4"/>
  <c r="I17" i="4"/>
  <c r="H17" i="4"/>
  <c r="G17" i="4"/>
  <c r="F17" i="4"/>
  <c r="E17" i="4"/>
  <c r="D17" i="4"/>
  <c r="C17" i="4"/>
  <c r="J14" i="4"/>
  <c r="I14" i="4"/>
  <c r="H14" i="4"/>
  <c r="G14" i="4"/>
  <c r="F14" i="4"/>
  <c r="E14" i="4"/>
  <c r="D14" i="4"/>
  <c r="C14" i="4"/>
  <c r="J11" i="4"/>
  <c r="I11" i="4"/>
  <c r="H11" i="4"/>
  <c r="G11" i="4"/>
  <c r="F11" i="4"/>
  <c r="E11" i="4"/>
  <c r="D11" i="4"/>
  <c r="C11" i="4"/>
  <c r="J8" i="4"/>
  <c r="I8" i="4"/>
  <c r="H8" i="4"/>
  <c r="G8" i="4"/>
  <c r="F8" i="4"/>
  <c r="E8" i="4"/>
  <c r="D8" i="4"/>
  <c r="C8" i="4"/>
  <c r="I46" i="3"/>
  <c r="H46" i="3"/>
  <c r="I45" i="3"/>
  <c r="H45" i="3"/>
  <c r="I44" i="3"/>
  <c r="H44" i="3"/>
  <c r="I43" i="3"/>
  <c r="H43" i="3"/>
  <c r="J42" i="3"/>
  <c r="I42" i="3"/>
  <c r="H42" i="3"/>
  <c r="I41" i="3"/>
  <c r="H41" i="3"/>
  <c r="I40" i="3"/>
  <c r="H40" i="3"/>
  <c r="I39" i="3"/>
  <c r="H39" i="3"/>
  <c r="J39" i="3" s="1"/>
  <c r="I38" i="3"/>
  <c r="H38" i="3"/>
  <c r="J38" i="3" s="1"/>
  <c r="I37" i="3"/>
  <c r="H37" i="3"/>
  <c r="I36" i="3"/>
  <c r="H36" i="3"/>
  <c r="J36" i="3" s="1"/>
  <c r="I35" i="3"/>
  <c r="H35" i="3"/>
  <c r="I34" i="3"/>
  <c r="H34" i="3"/>
  <c r="J34" i="3" s="1"/>
  <c r="I33" i="3"/>
  <c r="H33" i="3"/>
  <c r="I32" i="3"/>
  <c r="H32" i="3"/>
  <c r="J32" i="3" s="1"/>
  <c r="I31" i="3"/>
  <c r="H31" i="3"/>
  <c r="J31" i="3" s="1"/>
  <c r="I30" i="3"/>
  <c r="H30" i="3"/>
  <c r="I29" i="3"/>
  <c r="H29" i="3"/>
  <c r="I28" i="3"/>
  <c r="H28" i="3"/>
  <c r="I27" i="3"/>
  <c r="H27" i="3"/>
  <c r="J27" i="3" s="1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J10" i="3" s="1"/>
  <c r="I9" i="3"/>
  <c r="H9" i="3"/>
  <c r="I8" i="3"/>
  <c r="H8" i="3"/>
  <c r="J8" i="3" s="1"/>
  <c r="I7" i="3"/>
  <c r="H7" i="3"/>
  <c r="I6" i="3"/>
  <c r="H6" i="3"/>
  <c r="J6" i="3" s="1"/>
  <c r="I5" i="3"/>
  <c r="H5" i="3"/>
  <c r="I4" i="3"/>
  <c r="H4" i="3"/>
  <c r="J4" i="3" s="1"/>
  <c r="I3" i="3"/>
  <c r="H3" i="3"/>
  <c r="I2" i="3"/>
  <c r="H2" i="3"/>
  <c r="J2" i="3" s="1"/>
  <c r="J43" i="3" l="1"/>
  <c r="J5" i="3"/>
  <c r="J21" i="3"/>
  <c r="J16" i="3"/>
  <c r="J18" i="3"/>
  <c r="J20" i="3"/>
  <c r="J22" i="3"/>
  <c r="J24" i="3"/>
  <c r="J26" i="3"/>
  <c r="J30" i="3"/>
  <c r="J33" i="3"/>
  <c r="J37" i="3"/>
  <c r="J7" i="3"/>
  <c r="J14" i="3"/>
  <c r="J11" i="3"/>
  <c r="J15" i="3"/>
  <c r="J23" i="3"/>
  <c r="J25" i="3"/>
  <c r="J41" i="3"/>
  <c r="J13" i="3"/>
  <c r="J29" i="3"/>
  <c r="J40" i="3"/>
  <c r="J45" i="3"/>
  <c r="J9" i="3"/>
  <c r="J3" i="3"/>
  <c r="J12" i="3"/>
  <c r="J17" i="3"/>
  <c r="J19" i="3"/>
  <c r="J28" i="3"/>
  <c r="J35" i="3"/>
  <c r="J44" i="3"/>
  <c r="J46" i="3"/>
</calcChain>
</file>

<file path=xl/sharedStrings.xml><?xml version="1.0" encoding="utf-8"?>
<sst xmlns="http://schemas.openxmlformats.org/spreadsheetml/2006/main" count="7356" uniqueCount="171">
  <si>
    <t>CTDI k-factors are used by RTI Piranha and RTI Ocean software to calculate CTDI(vol) from measurements of CTDI100(center).</t>
  </si>
  <si>
    <t>k = CTDIw/CTDI100(center)</t>
  </si>
  <si>
    <t>k-factors for some common scanners are built into RTI Ocean, but for newer scanners that aren't on the list, need to either select a similar scanner or use an appropriate k-factor.</t>
  </si>
  <si>
    <t>See RTI Application Note AN-40</t>
  </si>
  <si>
    <t>Spreadsheet tabs contain k-factors derived from Siemens Dosimetry and Imaging performance reports for the scanner.</t>
  </si>
  <si>
    <t>Scanner</t>
  </si>
  <si>
    <t>kV</t>
  </si>
  <si>
    <t>Coll NxT</t>
  </si>
  <si>
    <t>Width (mm)</t>
  </si>
  <si>
    <t>Acq NxT</t>
  </si>
  <si>
    <t>k (16 cm)</t>
  </si>
  <si>
    <t>k (32 cm)</t>
  </si>
  <si>
    <t>Confidence 64</t>
  </si>
  <si>
    <t>2x1</t>
  </si>
  <si>
    <t>1x5</t>
  </si>
  <si>
    <t>10x0.6</t>
  </si>
  <si>
    <t>20x0.6</t>
  </si>
  <si>
    <t>6x1.2</t>
  </si>
  <si>
    <t>1x10</t>
  </si>
  <si>
    <t>40x0.6</t>
  </si>
  <si>
    <t>12x1.2</t>
  </si>
  <si>
    <t>32x0.6</t>
  </si>
  <si>
    <t>64x0.6</t>
  </si>
  <si>
    <t>16x1.2</t>
  </si>
  <si>
    <t>Confidence 20</t>
  </si>
  <si>
    <t>go.Top</t>
  </si>
  <si>
    <t>6x0.6</t>
  </si>
  <si>
    <t>3x5</t>
  </si>
  <si>
    <t>Intevo Bold</t>
  </si>
  <si>
    <t>4x0.6</t>
  </si>
  <si>
    <t>12x0.6</t>
  </si>
  <si>
    <t>16x0.6</t>
  </si>
  <si>
    <t>2x8</t>
  </si>
  <si>
    <t>Definition Edge</t>
  </si>
  <si>
    <t>8x0.6</t>
  </si>
  <si>
    <t>32x1.2</t>
  </si>
  <si>
    <t>28x0.6</t>
  </si>
  <si>
    <t>Somatom Force</t>
  </si>
  <si>
    <t>48x0.6</t>
  </si>
  <si>
    <t>96x0.6</t>
  </si>
  <si>
    <t>128x0.6</t>
  </si>
  <si>
    <t>192x0.6</t>
  </si>
  <si>
    <t>24x1.2</t>
  </si>
  <si>
    <t>48x1.2</t>
  </si>
  <si>
    <t>Sn100</t>
  </si>
  <si>
    <t>Sn150</t>
  </si>
  <si>
    <t>80/Sn150</t>
  </si>
  <si>
    <t>90/Sn150</t>
  </si>
  <si>
    <t>100/Sn150</t>
  </si>
  <si>
    <t>Somatom Flash (B)</t>
  </si>
  <si>
    <t>Sn140</t>
  </si>
  <si>
    <t>Somatom Flash (A)</t>
  </si>
  <si>
    <t>80/Sn140</t>
  </si>
  <si>
    <t>100/Sn140</t>
  </si>
  <si>
    <t>140/80</t>
  </si>
  <si>
    <t>Definition AS</t>
  </si>
  <si>
    <t>Naeotom Alpha</t>
  </si>
  <si>
    <t>36x0.2</t>
  </si>
  <si>
    <t>36x0.4</t>
  </si>
  <si>
    <t>48x0.4</t>
  </si>
  <si>
    <t>120x0.2</t>
  </si>
  <si>
    <t>72x0.4</t>
  </si>
  <si>
    <t>96x0.4</t>
  </si>
  <si>
    <t>144x0.4</t>
  </si>
  <si>
    <t>Somatom Drive</t>
  </si>
  <si>
    <t>Symbia Pro.specta Q3</t>
  </si>
  <si>
    <t>Symbia Pro.specta Q4</t>
  </si>
  <si>
    <t>Symbia Pro.specta Q5</t>
  </si>
  <si>
    <t>3x3</t>
  </si>
  <si>
    <t>Symbia Pro.specta Q6</t>
  </si>
  <si>
    <t>16x0.7</t>
  </si>
  <si>
    <t>Symbia Pro.specta Q7</t>
  </si>
  <si>
    <t>Symbia Pro.specta Q8</t>
  </si>
  <si>
    <t>Symbia Pro.specta Q9</t>
  </si>
  <si>
    <t>Symbia Pro.specta Q10</t>
  </si>
  <si>
    <t>Symbia Pro.specta Q11</t>
  </si>
  <si>
    <t>Sn110</t>
  </si>
  <si>
    <t>16x0.7 (Sn)</t>
  </si>
  <si>
    <t>Symbia Pro.specta Q12</t>
  </si>
  <si>
    <t>Symbia Pro.specta Q13</t>
  </si>
  <si>
    <t>Symbia Pro.specta Q14</t>
  </si>
  <si>
    <t>Sn130</t>
  </si>
  <si>
    <t>X.cite</t>
  </si>
  <si>
    <t>Model</t>
  </si>
  <si>
    <t>scanner_id</t>
  </si>
  <si>
    <t>manufacturer_id</t>
  </si>
  <si>
    <t>phantom_diameter</t>
  </si>
  <si>
    <t>shaped_filter</t>
  </si>
  <si>
    <t>kv</t>
  </si>
  <si>
    <t>spectral_filter</t>
  </si>
  <si>
    <t>coll_N</t>
  </si>
  <si>
    <t>coll_T</t>
  </si>
  <si>
    <t>coll_width</t>
  </si>
  <si>
    <t>ctdi100_center</t>
  </si>
  <si>
    <t>ctdi_w</t>
  </si>
  <si>
    <t>Standard</t>
  </si>
  <si>
    <t>Narrow</t>
  </si>
  <si>
    <t>16 cm phantom, Standard shaped filter (Routine head)</t>
  </si>
  <si>
    <t>Tube A</t>
  </si>
  <si>
    <t>Tube B</t>
  </si>
  <si>
    <t>Collimation</t>
  </si>
  <si>
    <t>Acquisition</t>
  </si>
  <si>
    <t>Center</t>
  </si>
  <si>
    <t>CTDIw</t>
  </si>
  <si>
    <t>k</t>
  </si>
  <si>
    <t>100Sn</t>
  </si>
  <si>
    <t>110Sn</t>
  </si>
  <si>
    <t>120Sn</t>
  </si>
  <si>
    <t>130Sn</t>
  </si>
  <si>
    <t>140Sn</t>
  </si>
  <si>
    <t>16 cm phantom, Narrow shaped filter</t>
  </si>
  <si>
    <t>32 cm phantom, Standard shaped filter (Routine body)</t>
  </si>
  <si>
    <t>32 cm phantom, Narrow shaped filter</t>
  </si>
  <si>
    <t>16 cm phantom (Adult head)</t>
  </si>
  <si>
    <t>Total</t>
  </si>
  <si>
    <t>Shaped filter</t>
  </si>
  <si>
    <t>32 cm phantom (Adult body)</t>
  </si>
  <si>
    <t>16 cm phantom (Routine head)</t>
  </si>
  <si>
    <t>Topogram</t>
  </si>
  <si>
    <t>UHR</t>
  </si>
  <si>
    <t>UHR, z-sharp</t>
  </si>
  <si>
    <t>z-sharp</t>
  </si>
  <si>
    <t>16 cm phantom, Narrow shaped filter (Pediatric body)</t>
  </si>
  <si>
    <t>28.x.6</t>
  </si>
  <si>
    <t>32 cm phantom, Standard shaped filter (Adult Body)</t>
  </si>
  <si>
    <t>32 cm phantom, Narrow shaped filter (Cardiac, Ped Body)</t>
  </si>
  <si>
    <t>100SnLD</t>
  </si>
  <si>
    <t>110SnLD</t>
  </si>
  <si>
    <t>120SnLD</t>
  </si>
  <si>
    <t>130SnLD</t>
  </si>
  <si>
    <t>140SnLD</t>
  </si>
  <si>
    <t>150SnLD</t>
  </si>
  <si>
    <t>150SnDE</t>
  </si>
  <si>
    <t>120AuSn</t>
  </si>
  <si>
    <t>140AuSn</t>
  </si>
  <si>
    <t>32 cm phantom, Standard shaped filter</t>
  </si>
  <si>
    <t>32 cm phantom, Standard shaped filter (Adult body)</t>
  </si>
  <si>
    <t>32 cm phantom, Narrow shaped filter (Cardiac)</t>
  </si>
  <si>
    <t>1X10</t>
  </si>
  <si>
    <t>Sn</t>
  </si>
  <si>
    <t>Narrow Sn</t>
  </si>
  <si>
    <t>AuSn</t>
  </si>
  <si>
    <t>32cm phantom, Standard shaped filter (Adult Body)</t>
  </si>
  <si>
    <t>16cm phantom, Narrow shaped filter (Pediatric Body)</t>
  </si>
  <si>
    <t>32cm phantom, Narrow shaped filter (Cardiac)</t>
  </si>
  <si>
    <t>Sn 100</t>
  </si>
  <si>
    <t>Sn 140</t>
  </si>
  <si>
    <t>16 cm phantom, Narrow shaped filter (Inner Ear)</t>
  </si>
  <si>
    <t>32 cm phantom, Narrow shaped filter (Cardiac, Ped Body, Flash)</t>
  </si>
  <si>
    <t>48*1.2</t>
  </si>
  <si>
    <t>sURH z-sharp</t>
  </si>
  <si>
    <t>Periphery</t>
  </si>
  <si>
    <t>Sn 150</t>
  </si>
  <si>
    <t>Sn 140 (Tube B only)</t>
  </si>
  <si>
    <t>32 cm phantom, Standard shaped filter (Adult Body) Tube A only</t>
  </si>
  <si>
    <t>32 cm phantom, Standard shaped filter (Adult Body) Tube B only</t>
  </si>
  <si>
    <t>96x0.2</t>
  </si>
  <si>
    <t>Spectral filter</t>
  </si>
  <si>
    <t>None</t>
  </si>
  <si>
    <t>Sn LD</t>
  </si>
  <si>
    <t>Sn DE</t>
  </si>
  <si>
    <t>Somatom Flash</t>
  </si>
  <si>
    <t>Biograph Vision</t>
  </si>
  <si>
    <t>Symbia Pro.specta</t>
  </si>
  <si>
    <t>BodyTom</t>
  </si>
  <si>
    <t>Siemens</t>
  </si>
  <si>
    <t>Neurologica</t>
  </si>
  <si>
    <t>Pro.Pulse A</t>
  </si>
  <si>
    <t>Pro.Pulse A tube</t>
  </si>
  <si>
    <t>Pro.Pulse B tube</t>
  </si>
  <si>
    <t>Pro.Pulse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</si>
</sst>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.000"/>
  </numFmts>
  <fonts count="4" x14ac:knownFonts="1">
    <font>
      <sz val="12"/>
      <color theme="1"/>
      <name val="Calibri"/>
      <charset val="1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3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9" xfId="0" applyFill="1" applyBorder="1" applyAlignment="1">
      <alignment horizontal="center" vertical="center"/>
    </xf>
    <xf numFmtId="164" fontId="0" fillId="3" borderId="9" xfId="0" applyNumberFormat="1" applyFill="1" applyBorder="1" applyAlignment="1">
      <alignment horizontal="center" vertical="center"/>
    </xf>
    <xf numFmtId="164" fontId="0" fillId="3" borderId="10" xfId="0" applyNumberFormat="1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" fillId="0" borderId="15" xfId="0" applyFont="1" applyBorder="1"/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164" fontId="1" fillId="0" borderId="0" xfId="0" applyNumberFormat="1" applyFont="1"/>
    <xf numFmtId="0" fontId="1" fillId="0" borderId="15" xfId="0" applyFont="1" applyBorder="1" applyAlignment="1">
      <alignment horizontal="center"/>
    </xf>
    <xf numFmtId="0" fontId="0" fillId="0" borderId="9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1" fillId="2" borderId="22" xfId="0" applyFont="1" applyFill="1" applyBorder="1"/>
    <xf numFmtId="0" fontId="1" fillId="2" borderId="23" xfId="0" applyFont="1" applyFill="1" applyBorder="1"/>
    <xf numFmtId="0" fontId="1" fillId="2" borderId="24" xfId="0" applyFont="1" applyFill="1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164" fontId="0" fillId="3" borderId="22" xfId="0" applyNumberFormat="1" applyFill="1" applyBorder="1" applyAlignment="1">
      <alignment horizontal="center" vertical="center"/>
    </xf>
    <xf numFmtId="164" fontId="0" fillId="3" borderId="23" xfId="0" applyNumberFormat="1" applyFill="1" applyBorder="1" applyAlignment="1">
      <alignment horizontal="center" vertical="center"/>
    </xf>
    <xf numFmtId="164" fontId="0" fillId="3" borderId="2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11" xfId="0" applyFont="1" applyFill="1" applyBorder="1"/>
    <xf numFmtId="0" fontId="1" fillId="2" borderId="10" xfId="0" applyFont="1" applyFill="1" applyBorder="1"/>
    <xf numFmtId="0" fontId="1" fillId="2" borderId="9" xfId="0" applyFont="1" applyFill="1" applyBorder="1"/>
    <xf numFmtId="0" fontId="0" fillId="3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2" borderId="0" xfId="0" applyFont="1" applyFill="1"/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64" fontId="0" fillId="3" borderId="40" xfId="0" applyNumberFormat="1" applyFill="1" applyBorder="1" applyAlignment="1">
      <alignment horizontal="center" vertical="center"/>
    </xf>
    <xf numFmtId="164" fontId="0" fillId="3" borderId="39" xfId="0" applyNumberFormat="1" applyFill="1" applyBorder="1" applyAlignment="1">
      <alignment horizontal="center" vertical="center"/>
    </xf>
    <xf numFmtId="164" fontId="0" fillId="3" borderId="41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165" fontId="1" fillId="0" borderId="12" xfId="0" applyNumberFormat="1" applyFont="1" applyBorder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22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8" xfId="0" applyFont="1" applyFill="1" applyBorder="1"/>
    <xf numFmtId="164" fontId="0" fillId="3" borderId="25" xfId="0" applyNumberFormat="1" applyFill="1" applyBorder="1" applyAlignment="1">
      <alignment horizontal="center" vertical="center"/>
    </xf>
    <xf numFmtId="0" fontId="3" fillId="0" borderId="0" xfId="0" applyFont="1"/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48" xfId="0" applyBorder="1" applyAlignment="1">
      <alignment horizontal="center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26" width="8.59765625" customWidth="1"/>
  </cols>
  <sheetData>
    <row r="1" spans="1:1" ht="15.75" customHeight="1" x14ac:dyDescent="0.3">
      <c r="A1" s="8" t="s">
        <v>0</v>
      </c>
    </row>
    <row r="2" spans="1:1" ht="15.75" customHeight="1" x14ac:dyDescent="0.3">
      <c r="A2" s="8" t="s">
        <v>1</v>
      </c>
    </row>
    <row r="3" spans="1:1" ht="15.75" customHeight="1" x14ac:dyDescent="0.3">
      <c r="A3" s="8" t="s">
        <v>2</v>
      </c>
    </row>
    <row r="4" spans="1:1" ht="15.75" customHeight="1" x14ac:dyDescent="0.3">
      <c r="A4" s="8" t="s">
        <v>3</v>
      </c>
    </row>
    <row r="5" spans="1:1" ht="15.75" customHeight="1" x14ac:dyDescent="0.3"/>
    <row r="6" spans="1:1" ht="15.75" customHeight="1" x14ac:dyDescent="0.3">
      <c r="A6" s="8" t="s">
        <v>4</v>
      </c>
    </row>
    <row r="7" spans="1:1" ht="15.75" customHeight="1" x14ac:dyDescent="0.3"/>
    <row r="8" spans="1:1" ht="15.75" customHeight="1" x14ac:dyDescent="0.3"/>
    <row r="9" spans="1:1" ht="15.75" customHeight="1" x14ac:dyDescent="0.3"/>
    <row r="10" spans="1:1" ht="15.75" customHeight="1" x14ac:dyDescent="0.3"/>
    <row r="11" spans="1:1" ht="15.75" customHeight="1" x14ac:dyDescent="0.3"/>
    <row r="12" spans="1:1" ht="15.75" customHeight="1" x14ac:dyDescent="0.3"/>
    <row r="13" spans="1:1" ht="15.75" customHeight="1" x14ac:dyDescent="0.3"/>
    <row r="14" spans="1:1" ht="15.75" customHeight="1" x14ac:dyDescent="0.3"/>
    <row r="15" spans="1:1" ht="15.75" customHeight="1" x14ac:dyDescent="0.3"/>
    <row r="16" spans="1:1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736"/>
  <sheetViews>
    <sheetView zoomScaleNormal="100" workbookViewId="0">
      <pane ySplit="1" topLeftCell="A2" activePane="bottomLeft" state="frozen"/>
      <selection pane="bottomLeft" activeCell="I17" sqref="I17"/>
    </sheetView>
    <sheetView workbookViewId="1">
      <selection activeCell="L3" sqref="L3"/>
    </sheetView>
  </sheetViews>
  <sheetFormatPr defaultColWidth="11.19921875" defaultRowHeight="15" customHeight="1" x14ac:dyDescent="0.3"/>
  <cols>
    <col min="1" max="1" width="16" customWidth="1"/>
    <col min="2" max="10" width="9.09765625" customWidth="1"/>
  </cols>
  <sheetData>
    <row r="1" spans="1:13" ht="15" customHeight="1" x14ac:dyDescent="0.3">
      <c r="A1" s="9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1" t="s">
        <v>10</v>
      </c>
      <c r="G1" s="11" t="s">
        <v>11</v>
      </c>
      <c r="H1" s="10"/>
      <c r="I1" s="10">
        <v>1</v>
      </c>
      <c r="J1" s="155" t="s">
        <v>56</v>
      </c>
      <c r="L1">
        <v>1</v>
      </c>
      <c r="M1" t="s">
        <v>165</v>
      </c>
    </row>
    <row r="2" spans="1:13" ht="15" customHeight="1" x14ac:dyDescent="0.3">
      <c r="A2" s="9" t="s">
        <v>12</v>
      </c>
      <c r="B2" s="10">
        <v>70</v>
      </c>
      <c r="C2" s="10" t="s">
        <v>13</v>
      </c>
      <c r="D2" s="10">
        <v>2</v>
      </c>
      <c r="E2" s="10" t="s">
        <v>13</v>
      </c>
      <c r="F2" s="11">
        <v>1.0699300700000001</v>
      </c>
      <c r="G2" s="11">
        <v>1.741379</v>
      </c>
      <c r="H2" s="10"/>
      <c r="I2" s="10">
        <v>2</v>
      </c>
      <c r="J2" s="155" t="s">
        <v>55</v>
      </c>
      <c r="L2">
        <v>2</v>
      </c>
      <c r="M2" t="s">
        <v>166</v>
      </c>
    </row>
    <row r="3" spans="1:13" ht="15" customHeight="1" x14ac:dyDescent="0.3">
      <c r="A3" s="9" t="s">
        <v>12</v>
      </c>
      <c r="B3" s="10">
        <v>70</v>
      </c>
      <c r="C3" s="10" t="s">
        <v>14</v>
      </c>
      <c r="D3" s="10">
        <v>5</v>
      </c>
      <c r="E3" s="10" t="s">
        <v>14</v>
      </c>
      <c r="F3" s="11">
        <v>1.0661478600000001</v>
      </c>
      <c r="G3" s="11">
        <v>1.75</v>
      </c>
      <c r="H3" s="10"/>
      <c r="I3" s="10">
        <v>3</v>
      </c>
      <c r="J3" s="155" t="s">
        <v>161</v>
      </c>
    </row>
    <row r="4" spans="1:13" ht="15" customHeight="1" x14ac:dyDescent="0.3">
      <c r="A4" s="9" t="s">
        <v>12</v>
      </c>
      <c r="B4" s="10">
        <v>70</v>
      </c>
      <c r="C4" s="10" t="s">
        <v>15</v>
      </c>
      <c r="D4" s="10">
        <v>6</v>
      </c>
      <c r="E4" s="10" t="s">
        <v>16</v>
      </c>
      <c r="F4" s="11">
        <v>1.0645161299999999</v>
      </c>
      <c r="G4" s="11">
        <v>1.7246379999999999</v>
      </c>
      <c r="H4" s="10"/>
      <c r="I4" s="10">
        <v>4</v>
      </c>
      <c r="J4" s="155" t="s">
        <v>37</v>
      </c>
    </row>
    <row r="5" spans="1:13" ht="15" customHeight="1" x14ac:dyDescent="0.3">
      <c r="A5" s="9" t="s">
        <v>12</v>
      </c>
      <c r="B5" s="10">
        <v>70</v>
      </c>
      <c r="C5" s="10" t="s">
        <v>17</v>
      </c>
      <c r="D5" s="10">
        <v>7.2</v>
      </c>
      <c r="E5" s="10" t="s">
        <v>17</v>
      </c>
      <c r="F5" s="11">
        <v>1.0677506800000001</v>
      </c>
      <c r="G5" s="11">
        <v>1.733333</v>
      </c>
      <c r="H5" s="10"/>
      <c r="I5" s="10">
        <v>5</v>
      </c>
      <c r="J5" s="155" t="s">
        <v>64</v>
      </c>
    </row>
    <row r="6" spans="1:13" ht="15" customHeight="1" x14ac:dyDescent="0.3">
      <c r="A6" s="9" t="s">
        <v>12</v>
      </c>
      <c r="B6" s="10">
        <v>70</v>
      </c>
      <c r="C6" s="10" t="s">
        <v>18</v>
      </c>
      <c r="D6" s="10">
        <v>10</v>
      </c>
      <c r="E6" s="10" t="s">
        <v>18</v>
      </c>
      <c r="F6" s="11">
        <v>1.0661478600000001</v>
      </c>
      <c r="G6" s="11">
        <v>1.75</v>
      </c>
      <c r="H6" s="10"/>
      <c r="I6" s="10">
        <v>6</v>
      </c>
      <c r="J6" s="155" t="s">
        <v>33</v>
      </c>
    </row>
    <row r="7" spans="1:13" ht="15" customHeight="1" x14ac:dyDescent="0.3">
      <c r="A7" s="9" t="s">
        <v>12</v>
      </c>
      <c r="B7" s="10">
        <v>70</v>
      </c>
      <c r="C7" s="10" t="s">
        <v>16</v>
      </c>
      <c r="D7" s="10">
        <v>12</v>
      </c>
      <c r="E7" s="10" t="s">
        <v>19</v>
      </c>
      <c r="F7" s="11">
        <v>1.0632183900000001</v>
      </c>
      <c r="G7" s="11">
        <v>1.7428570000000001</v>
      </c>
      <c r="H7" s="10"/>
      <c r="I7" s="10">
        <v>7</v>
      </c>
      <c r="J7" s="155" t="s">
        <v>25</v>
      </c>
    </row>
    <row r="8" spans="1:13" ht="15" customHeight="1" x14ac:dyDescent="0.3">
      <c r="A8" s="9" t="s">
        <v>12</v>
      </c>
      <c r="B8" s="10">
        <v>70</v>
      </c>
      <c r="C8" s="10" t="s">
        <v>20</v>
      </c>
      <c r="D8" s="10">
        <v>14.4</v>
      </c>
      <c r="E8" s="10" t="s">
        <v>20</v>
      </c>
      <c r="F8" s="11">
        <v>1.06990881</v>
      </c>
      <c r="G8" s="11">
        <v>1.7313430000000001</v>
      </c>
      <c r="H8" s="10"/>
      <c r="I8" s="10">
        <v>8</v>
      </c>
      <c r="J8" s="155" t="s">
        <v>12</v>
      </c>
    </row>
    <row r="9" spans="1:13" ht="15" customHeight="1" x14ac:dyDescent="0.3">
      <c r="A9" s="9" t="s">
        <v>12</v>
      </c>
      <c r="B9" s="10">
        <v>70</v>
      </c>
      <c r="C9" s="10" t="s">
        <v>21</v>
      </c>
      <c r="D9" s="10">
        <v>19.2</v>
      </c>
      <c r="E9" s="10" t="s">
        <v>22</v>
      </c>
      <c r="F9" s="11">
        <v>1.0617284</v>
      </c>
      <c r="G9" s="11">
        <v>1.712121</v>
      </c>
      <c r="H9" s="10"/>
      <c r="I9" s="10">
        <v>9</v>
      </c>
      <c r="J9" s="155" t="s">
        <v>24</v>
      </c>
    </row>
    <row r="10" spans="1:13" ht="15" customHeight="1" x14ac:dyDescent="0.3">
      <c r="A10" s="9" t="s">
        <v>12</v>
      </c>
      <c r="B10" s="10">
        <v>70</v>
      </c>
      <c r="C10" s="10" t="s">
        <v>23</v>
      </c>
      <c r="D10" s="10">
        <v>19.2</v>
      </c>
      <c r="E10" s="10" t="s">
        <v>23</v>
      </c>
      <c r="F10" s="11">
        <v>1.06984127</v>
      </c>
      <c r="G10" s="11">
        <v>1.734375</v>
      </c>
      <c r="H10" s="10"/>
      <c r="I10" s="10">
        <v>10</v>
      </c>
      <c r="J10" s="155" t="s">
        <v>82</v>
      </c>
    </row>
    <row r="11" spans="1:13" ht="15" customHeight="1" x14ac:dyDescent="0.3">
      <c r="A11" s="9" t="s">
        <v>12</v>
      </c>
      <c r="B11" s="10">
        <v>80</v>
      </c>
      <c r="C11" s="10" t="s">
        <v>13</v>
      </c>
      <c r="D11" s="10">
        <v>2</v>
      </c>
      <c r="E11" s="10" t="s">
        <v>13</v>
      </c>
      <c r="F11" s="11">
        <v>1.0437636800000001</v>
      </c>
      <c r="G11" s="11">
        <v>1.61165</v>
      </c>
      <c r="H11" s="10"/>
      <c r="I11" s="10">
        <v>11</v>
      </c>
      <c r="J11" s="155" t="s">
        <v>162</v>
      </c>
    </row>
    <row r="12" spans="1:13" ht="15" customHeight="1" x14ac:dyDescent="0.3">
      <c r="A12" s="9" t="s">
        <v>12</v>
      </c>
      <c r="B12" s="10">
        <v>80</v>
      </c>
      <c r="C12" s="10" t="s">
        <v>14</v>
      </c>
      <c r="D12" s="10">
        <v>5</v>
      </c>
      <c r="E12" s="10" t="s">
        <v>14</v>
      </c>
      <c r="F12" s="11">
        <v>1.0439024400000001</v>
      </c>
      <c r="G12" s="11">
        <v>1.6195649999999999</v>
      </c>
      <c r="H12" s="10"/>
      <c r="I12" s="10">
        <v>12</v>
      </c>
      <c r="J12" s="155" t="s">
        <v>28</v>
      </c>
    </row>
    <row r="13" spans="1:13" ht="15" customHeight="1" x14ac:dyDescent="0.3">
      <c r="A13" s="9" t="s">
        <v>12</v>
      </c>
      <c r="B13" s="10">
        <v>80</v>
      </c>
      <c r="C13" s="10" t="s">
        <v>15</v>
      </c>
      <c r="D13" s="10">
        <v>6</v>
      </c>
      <c r="E13" s="10" t="s">
        <v>16</v>
      </c>
      <c r="F13" s="11">
        <v>1.0422794099999999</v>
      </c>
      <c r="G13" s="11">
        <v>1.606557</v>
      </c>
      <c r="H13" s="10"/>
      <c r="I13" s="10">
        <v>13</v>
      </c>
      <c r="J13" s="155" t="s">
        <v>163</v>
      </c>
    </row>
    <row r="14" spans="1:13" ht="15" customHeight="1" x14ac:dyDescent="0.3">
      <c r="A14" s="9" t="s">
        <v>12</v>
      </c>
      <c r="B14" s="10">
        <v>80</v>
      </c>
      <c r="C14" s="10" t="s">
        <v>17</v>
      </c>
      <c r="D14" s="10">
        <v>7.2</v>
      </c>
      <c r="E14" s="10" t="s">
        <v>17</v>
      </c>
      <c r="F14" s="11">
        <v>1.0458404100000001</v>
      </c>
      <c r="G14" s="11">
        <v>1.6090230000000001</v>
      </c>
      <c r="H14" s="10"/>
      <c r="I14" s="10">
        <v>14</v>
      </c>
      <c r="J14" s="155" t="s">
        <v>168</v>
      </c>
    </row>
    <row r="15" spans="1:13" ht="15" customHeight="1" x14ac:dyDescent="0.3">
      <c r="A15" s="9" t="s">
        <v>12</v>
      </c>
      <c r="B15" s="10">
        <v>80</v>
      </c>
      <c r="C15" s="10" t="s">
        <v>18</v>
      </c>
      <c r="D15" s="10">
        <v>10</v>
      </c>
      <c r="E15" s="10" t="s">
        <v>18</v>
      </c>
      <c r="F15" s="11">
        <v>1.0439024400000001</v>
      </c>
      <c r="G15" s="11">
        <v>1.6195649999999999</v>
      </c>
      <c r="H15" s="10"/>
      <c r="I15" s="10">
        <v>15</v>
      </c>
      <c r="J15" s="155" t="s">
        <v>169</v>
      </c>
    </row>
    <row r="16" spans="1:13" ht="15" customHeight="1" x14ac:dyDescent="0.3">
      <c r="A16" s="9" t="s">
        <v>12</v>
      </c>
      <c r="B16" s="10">
        <v>80</v>
      </c>
      <c r="C16" s="10" t="s">
        <v>16</v>
      </c>
      <c r="D16" s="10">
        <v>12</v>
      </c>
      <c r="E16" s="10" t="s">
        <v>19</v>
      </c>
      <c r="F16" s="11">
        <v>1.0414414400000001</v>
      </c>
      <c r="G16" s="11">
        <v>1.612903</v>
      </c>
      <c r="H16" s="10"/>
      <c r="I16" s="10">
        <v>16</v>
      </c>
      <c r="J16" s="10" t="s">
        <v>164</v>
      </c>
    </row>
    <row r="17" spans="1:10" ht="15" customHeight="1" x14ac:dyDescent="0.3">
      <c r="A17" s="9" t="s">
        <v>12</v>
      </c>
      <c r="B17" s="10">
        <v>80</v>
      </c>
      <c r="C17" s="10" t="s">
        <v>20</v>
      </c>
      <c r="D17" s="10">
        <v>14.4</v>
      </c>
      <c r="E17" s="10" t="s">
        <v>20</v>
      </c>
      <c r="F17" s="11">
        <v>1.04571429</v>
      </c>
      <c r="G17" s="11">
        <v>1.618644</v>
      </c>
      <c r="H17" s="10"/>
      <c r="I17" s="10"/>
      <c r="J17" s="10"/>
    </row>
    <row r="18" spans="1:10" ht="15" customHeight="1" x14ac:dyDescent="0.3">
      <c r="A18" s="9" t="s">
        <v>12</v>
      </c>
      <c r="B18" s="10">
        <v>80</v>
      </c>
      <c r="C18" s="10" t="s">
        <v>21</v>
      </c>
      <c r="D18" s="10">
        <v>19.2</v>
      </c>
      <c r="E18" s="10" t="s">
        <v>22</v>
      </c>
      <c r="F18" s="11">
        <v>1.04061896</v>
      </c>
      <c r="G18" s="11">
        <v>1.603448</v>
      </c>
      <c r="H18" s="10"/>
      <c r="I18" s="10"/>
      <c r="J18" s="10"/>
    </row>
    <row r="19" spans="1:10" ht="15" customHeight="1" x14ac:dyDescent="0.3">
      <c r="A19" s="9" t="s">
        <v>12</v>
      </c>
      <c r="B19" s="10">
        <v>80</v>
      </c>
      <c r="C19" s="10" t="s">
        <v>23</v>
      </c>
      <c r="D19" s="10">
        <v>19.2</v>
      </c>
      <c r="E19" s="10" t="s">
        <v>23</v>
      </c>
      <c r="F19" s="11">
        <v>1.0457256500000001</v>
      </c>
      <c r="G19" s="11">
        <v>1.619469</v>
      </c>
      <c r="H19" s="10"/>
      <c r="I19" s="10"/>
      <c r="J19" s="10"/>
    </row>
    <row r="20" spans="1:10" ht="15" customHeight="1" x14ac:dyDescent="0.3">
      <c r="A20" s="9" t="s">
        <v>12</v>
      </c>
      <c r="B20" s="10">
        <v>100</v>
      </c>
      <c r="C20" s="10" t="s">
        <v>13</v>
      </c>
      <c r="D20" s="10">
        <v>2</v>
      </c>
      <c r="E20" s="10" t="s">
        <v>13</v>
      </c>
      <c r="F20" s="11">
        <v>1.0203619900000001</v>
      </c>
      <c r="G20" s="11">
        <v>1.4888889999999999</v>
      </c>
      <c r="H20" s="10"/>
      <c r="I20" s="10"/>
      <c r="J20" s="10"/>
    </row>
    <row r="21" spans="1:10" ht="15" customHeight="1" x14ac:dyDescent="0.3">
      <c r="A21" s="9" t="s">
        <v>12</v>
      </c>
      <c r="B21" s="10">
        <v>100</v>
      </c>
      <c r="C21" s="10" t="s">
        <v>14</v>
      </c>
      <c r="D21" s="10">
        <v>5</v>
      </c>
      <c r="E21" s="10" t="s">
        <v>14</v>
      </c>
      <c r="F21" s="11">
        <v>1.02143758</v>
      </c>
      <c r="G21" s="11">
        <v>1.4900990000000001</v>
      </c>
      <c r="H21" s="10"/>
      <c r="I21" s="10"/>
      <c r="J21" s="10"/>
    </row>
    <row r="22" spans="1:10" ht="15" customHeight="1" x14ac:dyDescent="0.3">
      <c r="A22" s="9" t="s">
        <v>12</v>
      </c>
      <c r="B22" s="10">
        <v>100</v>
      </c>
      <c r="C22" s="10" t="s">
        <v>15</v>
      </c>
      <c r="D22" s="10">
        <v>6</v>
      </c>
      <c r="E22" s="10" t="s">
        <v>16</v>
      </c>
      <c r="F22" s="11">
        <v>1.01614435</v>
      </c>
      <c r="G22" s="11">
        <v>1.479401</v>
      </c>
      <c r="H22" s="10"/>
      <c r="I22" s="10"/>
      <c r="J22" s="10"/>
    </row>
    <row r="23" spans="1:10" ht="15" customHeight="1" x14ac:dyDescent="0.3">
      <c r="A23" s="9" t="s">
        <v>12</v>
      </c>
      <c r="B23" s="10">
        <v>100</v>
      </c>
      <c r="C23" s="10" t="s">
        <v>17</v>
      </c>
      <c r="D23" s="10">
        <v>7.2</v>
      </c>
      <c r="E23" s="10" t="s">
        <v>17</v>
      </c>
      <c r="F23" s="11">
        <v>1.02105263</v>
      </c>
      <c r="G23" s="11">
        <v>1.489655</v>
      </c>
      <c r="H23" s="10"/>
      <c r="I23" s="10"/>
      <c r="J23" s="10"/>
    </row>
    <row r="24" spans="1:10" ht="15" customHeight="1" x14ac:dyDescent="0.3">
      <c r="A24" s="9" t="s">
        <v>12</v>
      </c>
      <c r="B24" s="10">
        <v>100</v>
      </c>
      <c r="C24" s="10" t="s">
        <v>18</v>
      </c>
      <c r="D24" s="10">
        <v>10</v>
      </c>
      <c r="E24" s="10" t="s">
        <v>18</v>
      </c>
      <c r="F24" s="11">
        <v>1.02143758</v>
      </c>
      <c r="G24" s="11">
        <v>1.4900990000000001</v>
      </c>
      <c r="H24" s="10"/>
      <c r="I24" s="10"/>
      <c r="J24" s="10"/>
    </row>
    <row r="25" spans="1:10" ht="15" customHeight="1" x14ac:dyDescent="0.3">
      <c r="A25" s="9" t="s">
        <v>12</v>
      </c>
      <c r="B25" s="10">
        <v>100</v>
      </c>
      <c r="C25" s="10" t="s">
        <v>16</v>
      </c>
      <c r="D25" s="10">
        <v>12</v>
      </c>
      <c r="E25" s="10" t="s">
        <v>19</v>
      </c>
      <c r="F25" s="11">
        <v>1.0167754</v>
      </c>
      <c r="G25" s="11">
        <v>1.4816180000000001</v>
      </c>
      <c r="H25" s="10"/>
      <c r="I25" s="10"/>
      <c r="J25" s="10"/>
    </row>
    <row r="26" spans="1:10" ht="15" customHeight="1" x14ac:dyDescent="0.3">
      <c r="A26" s="9" t="s">
        <v>12</v>
      </c>
      <c r="B26" s="10">
        <v>100</v>
      </c>
      <c r="C26" s="10" t="s">
        <v>20</v>
      </c>
      <c r="D26" s="10">
        <v>14.4</v>
      </c>
      <c r="E26" s="10" t="s">
        <v>20</v>
      </c>
      <c r="F26" s="11">
        <v>1.0216322499999999</v>
      </c>
      <c r="G26" s="11">
        <v>1.4903470000000001</v>
      </c>
      <c r="H26" s="10"/>
      <c r="I26" s="10"/>
      <c r="J26" s="10"/>
    </row>
    <row r="27" spans="1:10" ht="15" customHeight="1" x14ac:dyDescent="0.3">
      <c r="A27" s="9" t="s">
        <v>12</v>
      </c>
      <c r="B27" s="10">
        <v>100</v>
      </c>
      <c r="C27" s="10" t="s">
        <v>21</v>
      </c>
      <c r="D27" s="10">
        <v>19.2</v>
      </c>
      <c r="E27" s="10" t="s">
        <v>22</v>
      </c>
      <c r="F27" s="11">
        <v>1.016</v>
      </c>
      <c r="G27" s="11">
        <v>1.476378</v>
      </c>
      <c r="H27" s="10"/>
      <c r="I27" s="10"/>
      <c r="J27" s="10"/>
    </row>
    <row r="28" spans="1:10" ht="15" customHeight="1" x14ac:dyDescent="0.3">
      <c r="A28" s="9" t="s">
        <v>12</v>
      </c>
      <c r="B28" s="10">
        <v>100</v>
      </c>
      <c r="C28" s="10" t="s">
        <v>23</v>
      </c>
      <c r="D28" s="10">
        <v>19.2</v>
      </c>
      <c r="E28" s="10" t="s">
        <v>23</v>
      </c>
      <c r="F28" s="11">
        <v>1.02158273</v>
      </c>
      <c r="G28" s="11">
        <v>1.493927</v>
      </c>
      <c r="H28" s="10"/>
      <c r="I28" s="10"/>
      <c r="J28" s="10"/>
    </row>
    <row r="29" spans="1:10" ht="15" customHeight="1" x14ac:dyDescent="0.3">
      <c r="A29" s="9" t="s">
        <v>12</v>
      </c>
      <c r="B29" s="10">
        <v>120</v>
      </c>
      <c r="C29" s="10" t="s">
        <v>13</v>
      </c>
      <c r="D29" s="10">
        <v>2</v>
      </c>
      <c r="E29" s="10" t="s">
        <v>13</v>
      </c>
      <c r="F29" s="11">
        <v>1.0120886499999999</v>
      </c>
      <c r="G29" s="11">
        <v>1.432763</v>
      </c>
      <c r="H29" s="10"/>
      <c r="I29" s="10"/>
      <c r="J29" s="10"/>
    </row>
    <row r="30" spans="1:10" ht="15" customHeight="1" x14ac:dyDescent="0.3">
      <c r="A30" s="9" t="s">
        <v>12</v>
      </c>
      <c r="B30" s="10">
        <v>120</v>
      </c>
      <c r="C30" s="10" t="s">
        <v>14</v>
      </c>
      <c r="D30" s="10">
        <v>5</v>
      </c>
      <c r="E30" s="10" t="s">
        <v>14</v>
      </c>
      <c r="F30" s="11">
        <v>1.0119760499999999</v>
      </c>
      <c r="G30" s="11">
        <v>1.433243</v>
      </c>
      <c r="H30" s="10"/>
      <c r="I30" s="10"/>
      <c r="J30" s="10"/>
    </row>
    <row r="31" spans="1:10" ht="15" customHeight="1" x14ac:dyDescent="0.3">
      <c r="A31" s="9" t="s">
        <v>12</v>
      </c>
      <c r="B31" s="10">
        <v>120</v>
      </c>
      <c r="C31" s="10" t="s">
        <v>15</v>
      </c>
      <c r="D31" s="10">
        <v>6</v>
      </c>
      <c r="E31" s="10" t="s">
        <v>16</v>
      </c>
      <c r="F31" s="11">
        <v>1.0084793700000001</v>
      </c>
      <c r="G31" s="11">
        <v>1.414784</v>
      </c>
      <c r="H31" s="10"/>
      <c r="I31" s="10"/>
      <c r="J31" s="10"/>
    </row>
    <row r="32" spans="1:10" ht="15.6" x14ac:dyDescent="0.3">
      <c r="A32" s="9" t="s">
        <v>12</v>
      </c>
      <c r="B32" s="10">
        <v>120</v>
      </c>
      <c r="C32" s="10" t="s">
        <v>17</v>
      </c>
      <c r="D32" s="10">
        <v>7.2</v>
      </c>
      <c r="E32" s="10" t="s">
        <v>17</v>
      </c>
      <c r="F32" s="11">
        <v>1.01145237</v>
      </c>
      <c r="G32" s="11">
        <v>1.431818</v>
      </c>
      <c r="H32" s="10"/>
      <c r="I32" s="10"/>
      <c r="J32" s="10"/>
    </row>
    <row r="33" spans="1:10" ht="15.6" x14ac:dyDescent="0.3">
      <c r="A33" s="9" t="s">
        <v>12</v>
      </c>
      <c r="B33" s="10">
        <v>120</v>
      </c>
      <c r="C33" s="10" t="s">
        <v>18</v>
      </c>
      <c r="D33" s="10">
        <v>10</v>
      </c>
      <c r="E33" s="10" t="s">
        <v>18</v>
      </c>
      <c r="F33" s="11">
        <v>1.0119760499999999</v>
      </c>
      <c r="G33" s="11">
        <v>1.433243</v>
      </c>
      <c r="H33" s="10"/>
      <c r="I33" s="10"/>
      <c r="J33" s="10"/>
    </row>
    <row r="34" spans="1:10" ht="15.6" x14ac:dyDescent="0.3">
      <c r="A34" s="9" t="s">
        <v>12</v>
      </c>
      <c r="B34" s="10">
        <v>120</v>
      </c>
      <c r="C34" s="10" t="s">
        <v>16</v>
      </c>
      <c r="D34" s="10">
        <v>12</v>
      </c>
      <c r="E34" s="10" t="s">
        <v>19</v>
      </c>
      <c r="F34" s="11">
        <v>1.00831947</v>
      </c>
      <c r="G34" s="11">
        <v>1.4153230000000001</v>
      </c>
      <c r="H34" s="10"/>
      <c r="I34" s="10"/>
      <c r="J34" s="10"/>
    </row>
    <row r="35" spans="1:10" ht="15.6" x14ac:dyDescent="0.3">
      <c r="A35" s="9" t="s">
        <v>12</v>
      </c>
      <c r="B35" s="10">
        <v>120</v>
      </c>
      <c r="C35" s="10" t="s">
        <v>20</v>
      </c>
      <c r="D35" s="10">
        <v>14.4</v>
      </c>
      <c r="E35" s="10" t="s">
        <v>20</v>
      </c>
      <c r="F35" s="11">
        <v>1.0116686100000001</v>
      </c>
      <c r="G35" s="11">
        <v>1.4331210000000001</v>
      </c>
      <c r="H35" s="10"/>
      <c r="I35" s="10"/>
      <c r="J35" s="10"/>
    </row>
    <row r="36" spans="1:10" ht="15.6" x14ac:dyDescent="0.3">
      <c r="A36" s="9" t="s">
        <v>12</v>
      </c>
      <c r="B36" s="10">
        <v>120</v>
      </c>
      <c r="C36" s="10" t="s">
        <v>21</v>
      </c>
      <c r="D36" s="10">
        <v>19.2</v>
      </c>
      <c r="E36" s="10" t="s">
        <v>22</v>
      </c>
      <c r="F36" s="11">
        <v>1.0083333299999999</v>
      </c>
      <c r="G36" s="11">
        <v>1.415584</v>
      </c>
      <c r="H36" s="10"/>
      <c r="I36" s="10"/>
      <c r="J36" s="10"/>
    </row>
    <row r="37" spans="1:10" ht="15.6" x14ac:dyDescent="0.3">
      <c r="A37" s="9" t="s">
        <v>12</v>
      </c>
      <c r="B37" s="10">
        <v>120</v>
      </c>
      <c r="C37" s="10" t="s">
        <v>23</v>
      </c>
      <c r="D37" s="10">
        <v>19.2</v>
      </c>
      <c r="E37" s="10" t="s">
        <v>23</v>
      </c>
      <c r="F37" s="11">
        <v>1.0115853699999999</v>
      </c>
      <c r="G37" s="11">
        <v>1.4323729999999999</v>
      </c>
      <c r="H37" s="10"/>
      <c r="I37" s="10"/>
      <c r="J37" s="10"/>
    </row>
    <row r="38" spans="1:10" ht="15.6" x14ac:dyDescent="0.3">
      <c r="A38" s="9" t="s">
        <v>12</v>
      </c>
      <c r="B38" s="10">
        <v>140</v>
      </c>
      <c r="C38" s="10" t="s">
        <v>13</v>
      </c>
      <c r="D38" s="10">
        <v>2</v>
      </c>
      <c r="E38" s="10" t="s">
        <v>13</v>
      </c>
      <c r="F38" s="11">
        <v>1.00754006</v>
      </c>
      <c r="G38" s="11">
        <v>1.396104</v>
      </c>
      <c r="H38" s="10"/>
      <c r="I38" s="10"/>
      <c r="J38" s="10"/>
    </row>
    <row r="39" spans="1:10" ht="15.6" x14ac:dyDescent="0.3">
      <c r="A39" s="9" t="s">
        <v>12</v>
      </c>
      <c r="B39" s="10">
        <v>140</v>
      </c>
      <c r="C39" s="10" t="s">
        <v>14</v>
      </c>
      <c r="D39" s="10">
        <v>5</v>
      </c>
      <c r="E39" s="10" t="s">
        <v>14</v>
      </c>
      <c r="F39" s="11">
        <v>1.0073529400000001</v>
      </c>
      <c r="G39" s="11">
        <v>1.396739</v>
      </c>
      <c r="H39" s="10"/>
      <c r="I39" s="10"/>
      <c r="J39" s="10"/>
    </row>
    <row r="40" spans="1:10" ht="15.6" x14ac:dyDescent="0.3">
      <c r="A40" s="9" t="s">
        <v>12</v>
      </c>
      <c r="B40" s="10">
        <v>140</v>
      </c>
      <c r="C40" s="10" t="s">
        <v>15</v>
      </c>
      <c r="D40" s="10">
        <v>6</v>
      </c>
      <c r="E40" s="10" t="s">
        <v>16</v>
      </c>
      <c r="F40" s="11">
        <v>1.0047562400000001</v>
      </c>
      <c r="G40" s="11">
        <v>1.3882030000000001</v>
      </c>
      <c r="H40" s="10"/>
      <c r="I40" s="10"/>
      <c r="J40" s="10"/>
    </row>
    <row r="41" spans="1:10" ht="15.6" x14ac:dyDescent="0.3">
      <c r="A41" s="9" t="s">
        <v>12</v>
      </c>
      <c r="B41" s="10">
        <v>140</v>
      </c>
      <c r="C41" s="10" t="s">
        <v>17</v>
      </c>
      <c r="D41" s="10">
        <v>7.2</v>
      </c>
      <c r="E41" s="10" t="s">
        <v>17</v>
      </c>
      <c r="F41" s="11">
        <v>1.0073072700000001</v>
      </c>
      <c r="G41" s="11">
        <v>1.396725</v>
      </c>
      <c r="H41" s="10"/>
      <c r="I41" s="10"/>
      <c r="J41" s="10"/>
    </row>
    <row r="42" spans="1:10" ht="15.6" x14ac:dyDescent="0.3">
      <c r="A42" s="9" t="s">
        <v>12</v>
      </c>
      <c r="B42" s="10">
        <v>140</v>
      </c>
      <c r="C42" s="10" t="s">
        <v>18</v>
      </c>
      <c r="D42" s="10">
        <v>10</v>
      </c>
      <c r="E42" s="10" t="s">
        <v>18</v>
      </c>
      <c r="F42" s="11">
        <v>1.0073529400000001</v>
      </c>
      <c r="G42" s="11">
        <v>1.396739</v>
      </c>
      <c r="H42" s="10"/>
      <c r="I42" s="10"/>
      <c r="J42" s="10"/>
    </row>
    <row r="43" spans="1:10" ht="15.6" x14ac:dyDescent="0.3">
      <c r="A43" s="9" t="s">
        <v>12</v>
      </c>
      <c r="B43" s="10">
        <v>140</v>
      </c>
      <c r="C43" s="10" t="s">
        <v>16</v>
      </c>
      <c r="D43" s="10">
        <v>12</v>
      </c>
      <c r="E43" s="10" t="s">
        <v>19</v>
      </c>
      <c r="F43" s="11">
        <v>1.00427683</v>
      </c>
      <c r="G43" s="11">
        <v>1.3889640000000001</v>
      </c>
      <c r="H43" s="10"/>
      <c r="I43" s="10"/>
      <c r="J43" s="10"/>
    </row>
    <row r="44" spans="1:10" ht="15.6" x14ac:dyDescent="0.3">
      <c r="A44" s="9" t="s">
        <v>12</v>
      </c>
      <c r="B44" s="10">
        <v>140</v>
      </c>
      <c r="C44" s="10" t="s">
        <v>20</v>
      </c>
      <c r="D44" s="10">
        <v>14.4</v>
      </c>
      <c r="E44" s="10" t="s">
        <v>20</v>
      </c>
      <c r="F44" s="11">
        <v>1.00737101</v>
      </c>
      <c r="G44" s="11">
        <v>1.394922</v>
      </c>
      <c r="H44" s="10"/>
      <c r="I44" s="10"/>
      <c r="J44" s="10"/>
    </row>
    <row r="45" spans="1:10" ht="15.6" x14ac:dyDescent="0.3">
      <c r="A45" s="9" t="s">
        <v>12</v>
      </c>
      <c r="B45" s="10">
        <v>140</v>
      </c>
      <c r="C45" s="10" t="s">
        <v>21</v>
      </c>
      <c r="D45" s="10">
        <v>19.2</v>
      </c>
      <c r="E45" s="10" t="s">
        <v>22</v>
      </c>
      <c r="F45" s="11">
        <v>1.0045909799999999</v>
      </c>
      <c r="G45" s="11">
        <v>1.388728</v>
      </c>
      <c r="H45" s="10"/>
      <c r="I45" s="10"/>
      <c r="J45" s="10"/>
    </row>
    <row r="46" spans="1:10" ht="15.6" x14ac:dyDescent="0.3">
      <c r="A46" s="9" t="s">
        <v>12</v>
      </c>
      <c r="B46" s="10">
        <v>140</v>
      </c>
      <c r="C46" s="10" t="s">
        <v>23</v>
      </c>
      <c r="D46" s="10">
        <v>19.2</v>
      </c>
      <c r="E46" s="10" t="s">
        <v>23</v>
      </c>
      <c r="F46" s="11">
        <v>1.0072742800000001</v>
      </c>
      <c r="G46" s="11">
        <v>1.396755</v>
      </c>
      <c r="H46" s="10"/>
      <c r="I46" s="10"/>
      <c r="J46" s="10"/>
    </row>
    <row r="47" spans="1:10" ht="15.6" x14ac:dyDescent="0.3">
      <c r="A47" s="9" t="s">
        <v>24</v>
      </c>
      <c r="B47" s="10">
        <v>70</v>
      </c>
      <c r="C47" s="10" t="s">
        <v>13</v>
      </c>
      <c r="D47" s="10">
        <v>2</v>
      </c>
      <c r="E47" s="10" t="s">
        <v>13</v>
      </c>
      <c r="F47" s="11">
        <v>1.0699300700000001</v>
      </c>
      <c r="G47" s="11">
        <v>2.0147059999999999</v>
      </c>
      <c r="H47" s="10"/>
      <c r="I47" s="10"/>
      <c r="J47" s="10"/>
    </row>
    <row r="48" spans="1:10" ht="15.6" x14ac:dyDescent="0.3">
      <c r="A48" s="9" t="s">
        <v>24</v>
      </c>
      <c r="B48" s="10">
        <v>70</v>
      </c>
      <c r="C48" s="10" t="s">
        <v>14</v>
      </c>
      <c r="D48" s="10">
        <v>5</v>
      </c>
      <c r="E48" s="10" t="s">
        <v>14</v>
      </c>
      <c r="F48" s="11">
        <v>1.0661478600000001</v>
      </c>
      <c r="G48" s="11">
        <v>2</v>
      </c>
      <c r="H48" s="10"/>
      <c r="I48" s="10"/>
      <c r="J48" s="10"/>
    </row>
    <row r="49" spans="1:10" ht="15.6" x14ac:dyDescent="0.3">
      <c r="A49" s="9" t="s">
        <v>24</v>
      </c>
      <c r="B49" s="10">
        <v>70</v>
      </c>
      <c r="C49" s="10" t="s">
        <v>15</v>
      </c>
      <c r="D49" s="10">
        <v>6</v>
      </c>
      <c r="E49" s="10" t="s">
        <v>15</v>
      </c>
      <c r="F49" s="11">
        <v>1.0706214700000001</v>
      </c>
      <c r="G49" s="11">
        <v>2.0119050000000001</v>
      </c>
      <c r="H49" s="10"/>
      <c r="I49" s="10"/>
      <c r="J49" s="10"/>
    </row>
    <row r="50" spans="1:10" ht="15.6" x14ac:dyDescent="0.3">
      <c r="A50" s="9" t="s">
        <v>24</v>
      </c>
      <c r="B50" s="10">
        <v>70</v>
      </c>
      <c r="C50" s="10" t="s">
        <v>17</v>
      </c>
      <c r="D50" s="10">
        <v>7.2</v>
      </c>
      <c r="E50" s="10" t="s">
        <v>17</v>
      </c>
      <c r="F50" s="11">
        <v>1.0677506800000001</v>
      </c>
      <c r="G50" s="11">
        <v>2</v>
      </c>
      <c r="H50" s="10"/>
      <c r="I50" s="10"/>
      <c r="J50" s="10"/>
    </row>
    <row r="51" spans="1:10" ht="15.6" x14ac:dyDescent="0.3">
      <c r="A51" s="9" t="s">
        <v>24</v>
      </c>
      <c r="B51" s="10">
        <v>70</v>
      </c>
      <c r="C51" s="10" t="s">
        <v>18</v>
      </c>
      <c r="D51" s="10">
        <v>10</v>
      </c>
      <c r="E51" s="10" t="s">
        <v>18</v>
      </c>
      <c r="F51" s="11">
        <v>1.0661478600000001</v>
      </c>
      <c r="G51" s="11">
        <v>2</v>
      </c>
      <c r="H51" s="10"/>
      <c r="I51" s="10"/>
      <c r="J51" s="10"/>
    </row>
    <row r="52" spans="1:10" ht="15.6" x14ac:dyDescent="0.3">
      <c r="A52" s="9" t="s">
        <v>24</v>
      </c>
      <c r="B52" s="10">
        <v>70</v>
      </c>
      <c r="C52" s="10" t="s">
        <v>16</v>
      </c>
      <c r="D52" s="10">
        <v>12</v>
      </c>
      <c r="E52" s="10" t="s">
        <v>16</v>
      </c>
      <c r="F52" s="11">
        <v>1.0660919499999999</v>
      </c>
      <c r="G52" s="11">
        <v>2</v>
      </c>
      <c r="H52" s="10"/>
      <c r="I52" s="10"/>
      <c r="J52" s="10"/>
    </row>
    <row r="53" spans="1:10" ht="15.6" x14ac:dyDescent="0.3">
      <c r="A53" s="9" t="s">
        <v>24</v>
      </c>
      <c r="B53" s="10">
        <v>70</v>
      </c>
      <c r="C53" s="10" t="s">
        <v>20</v>
      </c>
      <c r="D53" s="10">
        <v>14.4</v>
      </c>
      <c r="E53" s="10" t="s">
        <v>20</v>
      </c>
      <c r="F53" s="11">
        <v>1.06990881</v>
      </c>
      <c r="G53" s="11">
        <v>1.9873419999999999</v>
      </c>
      <c r="H53" s="10"/>
      <c r="I53" s="10"/>
      <c r="J53" s="10"/>
    </row>
    <row r="54" spans="1:10" ht="15.6" x14ac:dyDescent="0.3">
      <c r="A54" s="9" t="s">
        <v>24</v>
      </c>
      <c r="B54" s="10">
        <v>70</v>
      </c>
      <c r="C54" s="10" t="s">
        <v>23</v>
      </c>
      <c r="D54" s="10">
        <v>19.2</v>
      </c>
      <c r="E54" s="10" t="s">
        <v>23</v>
      </c>
      <c r="F54" s="11">
        <v>1.06984127</v>
      </c>
      <c r="G54" s="11">
        <v>2.12</v>
      </c>
      <c r="H54" s="10"/>
      <c r="I54" s="10"/>
      <c r="J54" s="10"/>
    </row>
    <row r="55" spans="1:10" ht="15.6" x14ac:dyDescent="0.3">
      <c r="A55" s="9" t="s">
        <v>24</v>
      </c>
      <c r="B55" s="10">
        <v>80</v>
      </c>
      <c r="C55" s="10" t="s">
        <v>13</v>
      </c>
      <c r="D55" s="10">
        <v>2</v>
      </c>
      <c r="E55" s="10" t="s">
        <v>13</v>
      </c>
      <c r="F55" s="11">
        <v>1.0437636800000001</v>
      </c>
      <c r="G55" s="11">
        <v>1.847458</v>
      </c>
      <c r="H55" s="10"/>
      <c r="I55" s="10"/>
      <c r="J55" s="10"/>
    </row>
    <row r="56" spans="1:10" ht="15.6" x14ac:dyDescent="0.3">
      <c r="A56" s="9" t="s">
        <v>24</v>
      </c>
      <c r="B56" s="10">
        <v>80</v>
      </c>
      <c r="C56" s="10" t="s">
        <v>14</v>
      </c>
      <c r="D56" s="10">
        <v>5</v>
      </c>
      <c r="E56" s="10" t="s">
        <v>14</v>
      </c>
      <c r="F56" s="11">
        <v>1.0439024400000001</v>
      </c>
      <c r="G56" s="11">
        <v>1.849057</v>
      </c>
      <c r="H56" s="10"/>
      <c r="I56" s="10"/>
      <c r="J56" s="10"/>
    </row>
    <row r="57" spans="1:10" ht="15.6" x14ac:dyDescent="0.3">
      <c r="A57" s="9" t="s">
        <v>24</v>
      </c>
      <c r="B57" s="10">
        <v>80</v>
      </c>
      <c r="C57" s="10" t="s">
        <v>15</v>
      </c>
      <c r="D57" s="10">
        <v>6</v>
      </c>
      <c r="E57" s="10" t="s">
        <v>15</v>
      </c>
      <c r="F57" s="11">
        <v>1.0460176999999999</v>
      </c>
      <c r="G57" s="11">
        <v>1.849315</v>
      </c>
      <c r="H57" s="10"/>
      <c r="I57" s="10"/>
      <c r="J57" s="10"/>
    </row>
    <row r="58" spans="1:10" ht="15.6" x14ac:dyDescent="0.3">
      <c r="A58" s="9" t="s">
        <v>24</v>
      </c>
      <c r="B58" s="10">
        <v>80</v>
      </c>
      <c r="C58" s="10" t="s">
        <v>17</v>
      </c>
      <c r="D58" s="10">
        <v>7.2</v>
      </c>
      <c r="E58" s="10" t="s">
        <v>17</v>
      </c>
      <c r="F58" s="11">
        <v>1.0458404100000001</v>
      </c>
      <c r="G58" s="11">
        <v>1.848684</v>
      </c>
      <c r="H58" s="10"/>
      <c r="I58" s="10"/>
      <c r="J58" s="10"/>
    </row>
    <row r="59" spans="1:10" ht="15.6" x14ac:dyDescent="0.3">
      <c r="A59" s="9" t="s">
        <v>24</v>
      </c>
      <c r="B59" s="10">
        <v>80</v>
      </c>
      <c r="C59" s="10" t="s">
        <v>18</v>
      </c>
      <c r="D59" s="10">
        <v>10</v>
      </c>
      <c r="E59" s="10" t="s">
        <v>18</v>
      </c>
      <c r="F59" s="11">
        <v>1.0439024400000001</v>
      </c>
      <c r="G59" s="11">
        <v>1.849057</v>
      </c>
      <c r="H59" s="10"/>
      <c r="I59" s="10"/>
      <c r="J59" s="10"/>
    </row>
    <row r="60" spans="1:10" ht="15.6" x14ac:dyDescent="0.3">
      <c r="A60" s="9" t="s">
        <v>24</v>
      </c>
      <c r="B60" s="10">
        <v>80</v>
      </c>
      <c r="C60" s="10" t="s">
        <v>16</v>
      </c>
      <c r="D60" s="10">
        <v>12</v>
      </c>
      <c r="E60" s="10" t="s">
        <v>16</v>
      </c>
      <c r="F60" s="11">
        <v>1.04693141</v>
      </c>
      <c r="G60" s="11">
        <v>1.8531470000000001</v>
      </c>
      <c r="H60" s="10"/>
      <c r="I60" s="10"/>
      <c r="J60" s="10"/>
    </row>
    <row r="61" spans="1:10" ht="15.6" x14ac:dyDescent="0.3">
      <c r="A61" s="9" t="s">
        <v>24</v>
      </c>
      <c r="B61" s="10">
        <v>80</v>
      </c>
      <c r="C61" s="10" t="s">
        <v>20</v>
      </c>
      <c r="D61" s="10">
        <v>14.4</v>
      </c>
      <c r="E61" s="10" t="s">
        <v>20</v>
      </c>
      <c r="F61" s="11">
        <v>1.04571429</v>
      </c>
      <c r="G61" s="11">
        <v>1.845588</v>
      </c>
      <c r="H61" s="10"/>
      <c r="I61" s="10"/>
      <c r="J61" s="10"/>
    </row>
    <row r="62" spans="1:10" ht="15.6" x14ac:dyDescent="0.3">
      <c r="A62" s="9" t="s">
        <v>24</v>
      </c>
      <c r="B62" s="10">
        <v>80</v>
      </c>
      <c r="C62" s="10" t="s">
        <v>23</v>
      </c>
      <c r="D62" s="10">
        <v>19.2</v>
      </c>
      <c r="E62" s="10" t="s">
        <v>23</v>
      </c>
      <c r="F62" s="11">
        <v>1.0457256500000001</v>
      </c>
      <c r="G62" s="11">
        <v>1.8461540000000001</v>
      </c>
      <c r="H62" s="10"/>
      <c r="I62" s="10"/>
      <c r="J62" s="10"/>
    </row>
    <row r="63" spans="1:10" ht="15.6" x14ac:dyDescent="0.3">
      <c r="A63" s="9" t="s">
        <v>24</v>
      </c>
      <c r="B63" s="10">
        <v>100</v>
      </c>
      <c r="C63" s="10" t="s">
        <v>13</v>
      </c>
      <c r="D63" s="10">
        <v>2</v>
      </c>
      <c r="E63" s="10" t="s">
        <v>13</v>
      </c>
      <c r="F63" s="11">
        <v>1.0203619900000001</v>
      </c>
      <c r="G63" s="11">
        <v>1.671875</v>
      </c>
      <c r="H63" s="10"/>
      <c r="I63" s="10"/>
      <c r="J63" s="10"/>
    </row>
    <row r="64" spans="1:10" ht="15.6" x14ac:dyDescent="0.3">
      <c r="A64" s="9" t="s">
        <v>24</v>
      </c>
      <c r="B64" s="10">
        <v>100</v>
      </c>
      <c r="C64" s="10" t="s">
        <v>14</v>
      </c>
      <c r="D64" s="10">
        <v>5</v>
      </c>
      <c r="E64" s="10" t="s">
        <v>14</v>
      </c>
      <c r="F64" s="11">
        <v>1.02143758</v>
      </c>
      <c r="G64" s="11">
        <v>1.6768559999999999</v>
      </c>
      <c r="H64" s="10"/>
      <c r="I64" s="10"/>
      <c r="J64" s="10"/>
    </row>
    <row r="65" spans="1:10" ht="15.6" x14ac:dyDescent="0.3">
      <c r="A65" s="9" t="s">
        <v>24</v>
      </c>
      <c r="B65" s="10">
        <v>100</v>
      </c>
      <c r="C65" s="10" t="s">
        <v>15</v>
      </c>
      <c r="D65" s="10">
        <v>6</v>
      </c>
      <c r="E65" s="10" t="s">
        <v>15</v>
      </c>
      <c r="F65" s="11">
        <v>1.02102377</v>
      </c>
      <c r="G65" s="11">
        <v>1.671924</v>
      </c>
      <c r="H65" s="10"/>
      <c r="I65" s="10"/>
      <c r="J65" s="10"/>
    </row>
    <row r="66" spans="1:10" ht="15.6" x14ac:dyDescent="0.3">
      <c r="A66" s="9" t="s">
        <v>24</v>
      </c>
      <c r="B66" s="10">
        <v>100</v>
      </c>
      <c r="C66" s="10" t="s">
        <v>17</v>
      </c>
      <c r="D66" s="10">
        <v>7.2</v>
      </c>
      <c r="E66" s="10" t="s">
        <v>17</v>
      </c>
      <c r="F66" s="11">
        <v>1.02105263</v>
      </c>
      <c r="G66" s="11">
        <v>1.6727270000000001</v>
      </c>
      <c r="H66" s="10"/>
      <c r="I66" s="10"/>
      <c r="J66" s="10"/>
    </row>
    <row r="67" spans="1:10" ht="15.6" x14ac:dyDescent="0.3">
      <c r="A67" s="9" t="s">
        <v>24</v>
      </c>
      <c r="B67" s="10">
        <v>100</v>
      </c>
      <c r="C67" s="10" t="s">
        <v>18</v>
      </c>
      <c r="D67" s="10">
        <v>10</v>
      </c>
      <c r="E67" s="10" t="s">
        <v>18</v>
      </c>
      <c r="F67" s="11">
        <v>1.02143758</v>
      </c>
      <c r="G67" s="11">
        <v>1.6768559999999999</v>
      </c>
      <c r="H67" s="10"/>
      <c r="I67" s="10"/>
      <c r="J67" s="10"/>
    </row>
    <row r="68" spans="1:10" ht="15.6" x14ac:dyDescent="0.3">
      <c r="A68" s="9" t="s">
        <v>24</v>
      </c>
      <c r="B68" s="10">
        <v>100</v>
      </c>
      <c r="C68" s="10" t="s">
        <v>16</v>
      </c>
      <c r="D68" s="10">
        <v>12</v>
      </c>
      <c r="E68" s="10" t="s">
        <v>16</v>
      </c>
      <c r="F68" s="11">
        <v>1.02143523</v>
      </c>
      <c r="G68" s="11">
        <v>1.674194</v>
      </c>
      <c r="H68" s="10"/>
      <c r="I68" s="10"/>
      <c r="J68" s="10"/>
    </row>
    <row r="69" spans="1:10" ht="15.6" x14ac:dyDescent="0.3">
      <c r="A69" s="9" t="s">
        <v>24</v>
      </c>
      <c r="B69" s="10">
        <v>100</v>
      </c>
      <c r="C69" s="10" t="s">
        <v>20</v>
      </c>
      <c r="D69" s="10">
        <v>14.4</v>
      </c>
      <c r="E69" s="10" t="s">
        <v>20</v>
      </c>
      <c r="F69" s="11">
        <v>1.0216322499999999</v>
      </c>
      <c r="G69" s="11">
        <v>1.6734690000000001</v>
      </c>
      <c r="H69" s="10"/>
      <c r="I69" s="10"/>
      <c r="J69" s="10"/>
    </row>
    <row r="70" spans="1:10" ht="15.6" x14ac:dyDescent="0.3">
      <c r="A70" s="9" t="s">
        <v>24</v>
      </c>
      <c r="B70" s="10">
        <v>100</v>
      </c>
      <c r="C70" s="10" t="s">
        <v>23</v>
      </c>
      <c r="D70" s="10">
        <v>19.2</v>
      </c>
      <c r="E70" s="10" t="s">
        <v>23</v>
      </c>
      <c r="F70" s="11">
        <v>1.02158273</v>
      </c>
      <c r="G70" s="11">
        <v>1.6702129999999999</v>
      </c>
      <c r="H70" s="10"/>
      <c r="I70" s="10"/>
      <c r="J70" s="10"/>
    </row>
    <row r="71" spans="1:10" ht="15.6" x14ac:dyDescent="0.3">
      <c r="A71" s="9" t="s">
        <v>24</v>
      </c>
      <c r="B71" s="10">
        <v>120</v>
      </c>
      <c r="C71" s="10" t="s">
        <v>13</v>
      </c>
      <c r="D71" s="10">
        <v>2</v>
      </c>
      <c r="E71" s="10" t="s">
        <v>13</v>
      </c>
      <c r="F71" s="11">
        <v>1.0120886499999999</v>
      </c>
      <c r="G71" s="11">
        <v>1.590022</v>
      </c>
      <c r="H71" s="10"/>
      <c r="I71" s="10"/>
      <c r="J71" s="10"/>
    </row>
    <row r="72" spans="1:10" ht="15.6" x14ac:dyDescent="0.3">
      <c r="A72" s="9" t="s">
        <v>24</v>
      </c>
      <c r="B72" s="10">
        <v>120</v>
      </c>
      <c r="C72" s="10" t="s">
        <v>14</v>
      </c>
      <c r="D72" s="10">
        <v>5</v>
      </c>
      <c r="E72" s="10" t="s">
        <v>14</v>
      </c>
      <c r="F72" s="11">
        <v>1.0119760499999999</v>
      </c>
      <c r="G72" s="11">
        <v>1.589372</v>
      </c>
      <c r="H72" s="10"/>
      <c r="I72" s="10"/>
      <c r="J72" s="10"/>
    </row>
    <row r="73" spans="1:10" ht="15.6" x14ac:dyDescent="0.3">
      <c r="A73" s="9" t="s">
        <v>24</v>
      </c>
      <c r="B73" s="10">
        <v>120</v>
      </c>
      <c r="C73" s="10" t="s">
        <v>15</v>
      </c>
      <c r="D73" s="10">
        <v>6</v>
      </c>
      <c r="E73" s="10" t="s">
        <v>15</v>
      </c>
      <c r="F73" s="11">
        <v>1.01193059</v>
      </c>
      <c r="G73" s="11">
        <v>1.590193</v>
      </c>
      <c r="H73" s="10"/>
      <c r="I73" s="10"/>
      <c r="J73" s="10"/>
    </row>
    <row r="74" spans="1:10" ht="15.6" x14ac:dyDescent="0.3">
      <c r="A74" s="9" t="s">
        <v>24</v>
      </c>
      <c r="B74" s="10">
        <v>120</v>
      </c>
      <c r="C74" s="10" t="s">
        <v>17</v>
      </c>
      <c r="D74" s="10">
        <v>7.2</v>
      </c>
      <c r="E74" s="10" t="s">
        <v>17</v>
      </c>
      <c r="F74" s="11">
        <v>1.01145237</v>
      </c>
      <c r="G74" s="11">
        <v>1.5899160000000001</v>
      </c>
      <c r="H74" s="10"/>
      <c r="I74" s="10"/>
      <c r="J74" s="10"/>
    </row>
    <row r="75" spans="1:10" ht="15.6" x14ac:dyDescent="0.3">
      <c r="A75" s="9" t="s">
        <v>24</v>
      </c>
      <c r="B75" s="10">
        <v>120</v>
      </c>
      <c r="C75" s="10" t="s">
        <v>18</v>
      </c>
      <c r="D75" s="10">
        <v>10</v>
      </c>
      <c r="E75" s="10" t="s">
        <v>18</v>
      </c>
      <c r="F75" s="11">
        <v>1.0119760499999999</v>
      </c>
      <c r="G75" s="11">
        <v>1.589372</v>
      </c>
      <c r="H75" s="10"/>
      <c r="I75" s="10"/>
      <c r="J75" s="10"/>
    </row>
    <row r="76" spans="1:10" ht="15.6" x14ac:dyDescent="0.3">
      <c r="A76" s="9" t="s">
        <v>24</v>
      </c>
      <c r="B76" s="10">
        <v>120</v>
      </c>
      <c r="C76" s="10" t="s">
        <v>16</v>
      </c>
      <c r="D76" s="10">
        <v>12</v>
      </c>
      <c r="E76" s="10" t="s">
        <v>16</v>
      </c>
      <c r="F76" s="11">
        <v>1.01216814</v>
      </c>
      <c r="G76" s="11">
        <v>1.5910709999999999</v>
      </c>
      <c r="H76" s="10"/>
      <c r="I76" s="10"/>
      <c r="J76" s="10"/>
    </row>
    <row r="77" spans="1:10" ht="15.6" x14ac:dyDescent="0.3">
      <c r="A77" s="9" t="s">
        <v>24</v>
      </c>
      <c r="B77" s="10">
        <v>120</v>
      </c>
      <c r="C77" s="10" t="s">
        <v>20</v>
      </c>
      <c r="D77" s="10">
        <v>14.4</v>
      </c>
      <c r="E77" s="10" t="s">
        <v>20</v>
      </c>
      <c r="F77" s="11">
        <v>1.0116686100000001</v>
      </c>
      <c r="G77" s="11">
        <v>1.5894539999999999</v>
      </c>
      <c r="H77" s="10"/>
      <c r="I77" s="10"/>
      <c r="J77" s="10"/>
    </row>
    <row r="78" spans="1:10" ht="15.6" x14ac:dyDescent="0.3">
      <c r="A78" s="9" t="s">
        <v>24</v>
      </c>
      <c r="B78" s="10">
        <v>120</v>
      </c>
      <c r="C78" s="10" t="s">
        <v>23</v>
      </c>
      <c r="D78" s="10">
        <v>19.2</v>
      </c>
      <c r="E78" s="10" t="s">
        <v>23</v>
      </c>
      <c r="F78" s="11">
        <v>1.0115853699999999</v>
      </c>
      <c r="G78" s="11">
        <v>1.590551</v>
      </c>
      <c r="H78" s="10"/>
      <c r="I78" s="10"/>
      <c r="J78" s="10"/>
    </row>
    <row r="79" spans="1:10" ht="15.6" x14ac:dyDescent="0.3">
      <c r="A79" s="9" t="s">
        <v>24</v>
      </c>
      <c r="B79" s="10">
        <v>140</v>
      </c>
      <c r="C79" s="10" t="s">
        <v>13</v>
      </c>
      <c r="D79" s="10">
        <v>2</v>
      </c>
      <c r="E79" s="10" t="s">
        <v>13</v>
      </c>
      <c r="F79" s="11">
        <v>1.00754006</v>
      </c>
      <c r="G79" s="11">
        <v>1.5392440000000001</v>
      </c>
      <c r="H79" s="10"/>
      <c r="I79" s="10"/>
      <c r="J79" s="10"/>
    </row>
    <row r="80" spans="1:10" ht="15.6" x14ac:dyDescent="0.3">
      <c r="A80" s="9" t="s">
        <v>24</v>
      </c>
      <c r="B80" s="10">
        <v>140</v>
      </c>
      <c r="C80" s="10" t="s">
        <v>14</v>
      </c>
      <c r="D80" s="10">
        <v>5</v>
      </c>
      <c r="E80" s="10" t="s">
        <v>14</v>
      </c>
      <c r="F80" s="11">
        <v>1.0073529400000001</v>
      </c>
      <c r="G80" s="11">
        <v>1.5397080000000001</v>
      </c>
      <c r="H80" s="10"/>
      <c r="I80" s="10"/>
      <c r="J80" s="10"/>
    </row>
    <row r="81" spans="1:10" ht="15.6" x14ac:dyDescent="0.3">
      <c r="A81" s="9" t="s">
        <v>24</v>
      </c>
      <c r="B81" s="10">
        <v>140</v>
      </c>
      <c r="C81" s="10" t="s">
        <v>15</v>
      </c>
      <c r="D81" s="10">
        <v>6</v>
      </c>
      <c r="E81" s="10" t="s">
        <v>15</v>
      </c>
      <c r="F81" s="11">
        <v>1.0076132499999999</v>
      </c>
      <c r="G81" s="11">
        <v>1.538732</v>
      </c>
      <c r="H81" s="10"/>
      <c r="I81" s="10"/>
      <c r="J81" s="10"/>
    </row>
    <row r="82" spans="1:10" ht="15.6" x14ac:dyDescent="0.3">
      <c r="A82" s="9" t="s">
        <v>24</v>
      </c>
      <c r="B82" s="10">
        <v>140</v>
      </c>
      <c r="C82" s="10" t="s">
        <v>17</v>
      </c>
      <c r="D82" s="10">
        <v>7.2</v>
      </c>
      <c r="E82" s="10" t="s">
        <v>17</v>
      </c>
      <c r="F82" s="11">
        <v>1.0073072700000001</v>
      </c>
      <c r="G82" s="11">
        <v>1.5400229999999999</v>
      </c>
      <c r="H82" s="10"/>
      <c r="I82" s="10"/>
      <c r="J82" s="10"/>
    </row>
    <row r="83" spans="1:10" ht="15.6" x14ac:dyDescent="0.3">
      <c r="A83" s="9" t="s">
        <v>24</v>
      </c>
      <c r="B83" s="10">
        <v>140</v>
      </c>
      <c r="C83" s="10" t="s">
        <v>18</v>
      </c>
      <c r="D83" s="10">
        <v>10</v>
      </c>
      <c r="E83" s="10" t="s">
        <v>18</v>
      </c>
      <c r="F83" s="11">
        <v>1.0073529400000001</v>
      </c>
      <c r="G83" s="11">
        <v>1.5397080000000001</v>
      </c>
      <c r="H83" s="10"/>
      <c r="I83" s="10"/>
      <c r="J83" s="10"/>
    </row>
    <row r="84" spans="1:10" ht="15.6" x14ac:dyDescent="0.3">
      <c r="A84" s="9" t="s">
        <v>24</v>
      </c>
      <c r="B84" s="10">
        <v>140</v>
      </c>
      <c r="C84" s="10" t="s">
        <v>16</v>
      </c>
      <c r="D84" s="10">
        <v>12</v>
      </c>
      <c r="E84" s="10" t="s">
        <v>16</v>
      </c>
      <c r="F84" s="11">
        <v>1.00737291</v>
      </c>
      <c r="G84" s="11">
        <v>1.538278</v>
      </c>
      <c r="H84" s="10"/>
      <c r="I84" s="10"/>
      <c r="J84" s="10"/>
    </row>
    <row r="85" spans="1:10" ht="15.6" x14ac:dyDescent="0.3">
      <c r="A85" s="9" t="s">
        <v>24</v>
      </c>
      <c r="B85" s="10">
        <v>140</v>
      </c>
      <c r="C85" s="10" t="s">
        <v>20</v>
      </c>
      <c r="D85" s="10">
        <v>14.4</v>
      </c>
      <c r="E85" s="10" t="s">
        <v>20</v>
      </c>
      <c r="F85" s="11">
        <v>1.00737101</v>
      </c>
      <c r="G85" s="11">
        <v>1.5391410000000001</v>
      </c>
      <c r="H85" s="10"/>
      <c r="I85" s="10"/>
      <c r="J85" s="10"/>
    </row>
    <row r="86" spans="1:10" ht="15.6" x14ac:dyDescent="0.3">
      <c r="A86" s="9" t="s">
        <v>24</v>
      </c>
      <c r="B86" s="10">
        <v>140</v>
      </c>
      <c r="C86" s="10" t="s">
        <v>23</v>
      </c>
      <c r="D86" s="10">
        <v>19.2</v>
      </c>
      <c r="E86" s="10" t="s">
        <v>23</v>
      </c>
      <c r="F86" s="11">
        <v>1.0072742800000001</v>
      </c>
      <c r="G86" s="11">
        <v>1.538259</v>
      </c>
      <c r="H86" s="10"/>
      <c r="I86" s="10"/>
      <c r="J86" s="10"/>
    </row>
    <row r="87" spans="1:10" ht="15.6" x14ac:dyDescent="0.3">
      <c r="A87" s="9" t="s">
        <v>25</v>
      </c>
      <c r="B87" s="10">
        <v>70</v>
      </c>
      <c r="C87" s="10" t="s">
        <v>26</v>
      </c>
      <c r="D87" s="10">
        <v>3.6</v>
      </c>
      <c r="E87" s="10" t="s">
        <v>26</v>
      </c>
      <c r="F87" s="11"/>
      <c r="G87" s="11"/>
      <c r="H87" s="10"/>
      <c r="I87" s="10"/>
      <c r="J87" s="10"/>
    </row>
    <row r="88" spans="1:10" ht="15.6" x14ac:dyDescent="0.3">
      <c r="A88" s="9" t="s">
        <v>25</v>
      </c>
      <c r="B88" s="10">
        <v>70</v>
      </c>
      <c r="C88" s="10" t="s">
        <v>14</v>
      </c>
      <c r="D88" s="10">
        <v>5</v>
      </c>
      <c r="E88" s="10" t="s">
        <v>14</v>
      </c>
      <c r="F88" s="11">
        <v>1.0810810799999999</v>
      </c>
      <c r="G88" s="11">
        <v>1.888889</v>
      </c>
      <c r="H88" s="10"/>
      <c r="I88" s="10"/>
      <c r="J88" s="10"/>
    </row>
    <row r="89" spans="1:10" ht="15.6" x14ac:dyDescent="0.3">
      <c r="A89" s="9" t="s">
        <v>25</v>
      </c>
      <c r="B89" s="10">
        <v>70</v>
      </c>
      <c r="C89" s="10" t="s">
        <v>18</v>
      </c>
      <c r="D89" s="10">
        <v>10</v>
      </c>
      <c r="E89" s="10" t="s">
        <v>18</v>
      </c>
      <c r="F89" s="11">
        <v>1.05405405</v>
      </c>
      <c r="G89" s="11">
        <v>2.125</v>
      </c>
      <c r="H89" s="10"/>
      <c r="I89" s="10"/>
      <c r="J89" s="10"/>
    </row>
    <row r="90" spans="1:10" ht="15.6" x14ac:dyDescent="0.3">
      <c r="A90" s="9" t="s">
        <v>25</v>
      </c>
      <c r="B90" s="10">
        <v>70</v>
      </c>
      <c r="C90" s="10" t="s">
        <v>27</v>
      </c>
      <c r="D90" s="10">
        <v>15</v>
      </c>
      <c r="E90" s="10" t="s">
        <v>27</v>
      </c>
      <c r="F90" s="11">
        <v>1.0810810799999999</v>
      </c>
      <c r="G90" s="11">
        <v>2.125</v>
      </c>
      <c r="H90" s="10"/>
      <c r="I90" s="10"/>
      <c r="J90" s="10"/>
    </row>
    <row r="91" spans="1:10" ht="15.6" x14ac:dyDescent="0.3">
      <c r="A91" s="9" t="s">
        <v>25</v>
      </c>
      <c r="B91" s="10">
        <v>70</v>
      </c>
      <c r="C91" s="10" t="s">
        <v>22</v>
      </c>
      <c r="D91" s="10">
        <v>38.4</v>
      </c>
      <c r="E91" s="10" t="s">
        <v>22</v>
      </c>
      <c r="F91" s="11">
        <v>1.0789473700000001</v>
      </c>
      <c r="G91" s="11">
        <v>1.888889</v>
      </c>
      <c r="H91" s="10"/>
      <c r="I91" s="10"/>
      <c r="J91" s="10"/>
    </row>
    <row r="92" spans="1:10" ht="15.6" x14ac:dyDescent="0.3">
      <c r="A92" s="9" t="s">
        <v>25</v>
      </c>
      <c r="B92" s="10">
        <v>80</v>
      </c>
      <c r="C92" s="10" t="s">
        <v>26</v>
      </c>
      <c r="D92" s="10">
        <v>3.6</v>
      </c>
      <c r="E92" s="10" t="s">
        <v>26</v>
      </c>
      <c r="F92" s="11"/>
      <c r="G92" s="11"/>
      <c r="H92" s="10"/>
      <c r="I92" s="10"/>
      <c r="J92" s="10"/>
    </row>
    <row r="93" spans="1:10" ht="15.6" x14ac:dyDescent="0.3">
      <c r="A93" s="9" t="s">
        <v>25</v>
      </c>
      <c r="B93" s="10">
        <v>80</v>
      </c>
      <c r="C93" s="10" t="s">
        <v>14</v>
      </c>
      <c r="D93" s="10">
        <v>5</v>
      </c>
      <c r="E93" s="10" t="s">
        <v>14</v>
      </c>
      <c r="F93" s="11">
        <v>1.0526315799999999</v>
      </c>
      <c r="G93" s="11">
        <v>1.928571</v>
      </c>
      <c r="H93" s="10"/>
      <c r="I93" s="10"/>
      <c r="J93" s="10"/>
    </row>
    <row r="94" spans="1:10" ht="15.6" x14ac:dyDescent="0.3">
      <c r="A94" s="9" t="s">
        <v>25</v>
      </c>
      <c r="B94" s="10">
        <v>80</v>
      </c>
      <c r="C94" s="10" t="s">
        <v>18</v>
      </c>
      <c r="D94" s="10">
        <v>10</v>
      </c>
      <c r="E94" s="10" t="s">
        <v>18</v>
      </c>
      <c r="F94" s="11">
        <v>1.0526315799999999</v>
      </c>
      <c r="G94" s="11">
        <v>1.857143</v>
      </c>
      <c r="H94" s="10"/>
      <c r="I94" s="10"/>
      <c r="J94" s="10"/>
    </row>
    <row r="95" spans="1:10" ht="15.6" x14ac:dyDescent="0.3">
      <c r="A95" s="9" t="s">
        <v>25</v>
      </c>
      <c r="B95" s="10">
        <v>80</v>
      </c>
      <c r="C95" s="10" t="s">
        <v>27</v>
      </c>
      <c r="D95" s="10">
        <v>15</v>
      </c>
      <c r="E95" s="10" t="s">
        <v>27</v>
      </c>
      <c r="F95" s="11">
        <v>1.0526315799999999</v>
      </c>
      <c r="G95" s="11">
        <v>1.857143</v>
      </c>
      <c r="H95" s="10"/>
      <c r="I95" s="10"/>
      <c r="J95" s="10"/>
    </row>
    <row r="96" spans="1:10" ht="15.6" x14ac:dyDescent="0.3">
      <c r="A96" s="9" t="s">
        <v>25</v>
      </c>
      <c r="B96" s="10">
        <v>80</v>
      </c>
      <c r="C96" s="10" t="s">
        <v>22</v>
      </c>
      <c r="D96" s="10">
        <v>38.4</v>
      </c>
      <c r="E96" s="10" t="s">
        <v>22</v>
      </c>
      <c r="F96" s="11">
        <v>1.05084746</v>
      </c>
      <c r="G96" s="11">
        <v>1.8</v>
      </c>
      <c r="H96" s="10"/>
      <c r="I96" s="10"/>
      <c r="J96" s="10"/>
    </row>
    <row r="97" spans="1:10" ht="15.6" x14ac:dyDescent="0.3">
      <c r="A97" s="9" t="s">
        <v>25</v>
      </c>
      <c r="B97" s="10">
        <v>90</v>
      </c>
      <c r="C97" s="10" t="s">
        <v>26</v>
      </c>
      <c r="D97" s="10">
        <v>3.6</v>
      </c>
      <c r="E97" s="10" t="s">
        <v>26</v>
      </c>
      <c r="F97" s="11"/>
      <c r="G97" s="11"/>
      <c r="H97" s="10"/>
      <c r="I97" s="10"/>
      <c r="J97" s="10"/>
    </row>
    <row r="98" spans="1:10" ht="15.6" x14ac:dyDescent="0.3">
      <c r="A98" s="9" t="s">
        <v>25</v>
      </c>
      <c r="B98" s="10">
        <v>90</v>
      </c>
      <c r="C98" s="10" t="s">
        <v>14</v>
      </c>
      <c r="D98" s="10">
        <v>5</v>
      </c>
      <c r="E98" s="10" t="s">
        <v>14</v>
      </c>
      <c r="F98" s="11">
        <v>1.0365853700000001</v>
      </c>
      <c r="G98" s="11">
        <v>1.7727269999999999</v>
      </c>
      <c r="H98" s="10"/>
      <c r="I98" s="10"/>
      <c r="J98" s="10"/>
    </row>
    <row r="99" spans="1:10" ht="15.6" x14ac:dyDescent="0.3">
      <c r="A99" s="9" t="s">
        <v>25</v>
      </c>
      <c r="B99" s="10">
        <v>90</v>
      </c>
      <c r="C99" s="10" t="s">
        <v>18</v>
      </c>
      <c r="D99" s="10">
        <v>10</v>
      </c>
      <c r="E99" s="10" t="s">
        <v>18</v>
      </c>
      <c r="F99" s="11">
        <v>1.03703704</v>
      </c>
      <c r="G99" s="11">
        <v>1.7272730000000001</v>
      </c>
      <c r="H99" s="10"/>
      <c r="I99" s="10"/>
      <c r="J99" s="10"/>
    </row>
    <row r="100" spans="1:10" ht="15.6" x14ac:dyDescent="0.3">
      <c r="A100" s="9" t="s">
        <v>25</v>
      </c>
      <c r="B100" s="10">
        <v>90</v>
      </c>
      <c r="C100" s="10" t="s">
        <v>27</v>
      </c>
      <c r="D100" s="10">
        <v>15</v>
      </c>
      <c r="E100" s="10" t="s">
        <v>27</v>
      </c>
      <c r="F100" s="11">
        <v>1.0365853700000001</v>
      </c>
      <c r="G100" s="11">
        <v>1.7272730000000001</v>
      </c>
      <c r="H100" s="10"/>
      <c r="I100" s="10"/>
      <c r="J100" s="10"/>
    </row>
    <row r="101" spans="1:10" ht="15.6" x14ac:dyDescent="0.3">
      <c r="A101" s="9" t="s">
        <v>25</v>
      </c>
      <c r="B101" s="10">
        <v>90</v>
      </c>
      <c r="C101" s="10" t="s">
        <v>22</v>
      </c>
      <c r="D101" s="10">
        <v>38.4</v>
      </c>
      <c r="E101" s="10" t="s">
        <v>22</v>
      </c>
      <c r="F101" s="11">
        <v>1.04761905</v>
      </c>
      <c r="G101" s="11">
        <v>1.7391300000000001</v>
      </c>
      <c r="H101" s="10"/>
      <c r="I101" s="10"/>
      <c r="J101" s="10"/>
    </row>
    <row r="102" spans="1:10" ht="15.6" x14ac:dyDescent="0.3">
      <c r="A102" s="9" t="s">
        <v>25</v>
      </c>
      <c r="B102" s="10">
        <v>100</v>
      </c>
      <c r="C102" s="10" t="s">
        <v>26</v>
      </c>
      <c r="D102" s="10">
        <v>3.6</v>
      </c>
      <c r="E102" s="10" t="s">
        <v>26</v>
      </c>
      <c r="F102" s="11">
        <v>1</v>
      </c>
      <c r="G102" s="11">
        <v>1.4</v>
      </c>
      <c r="H102" s="10"/>
      <c r="I102" s="10"/>
      <c r="J102" s="10"/>
    </row>
    <row r="103" spans="1:10" ht="15.6" x14ac:dyDescent="0.3">
      <c r="A103" s="9" t="s">
        <v>25</v>
      </c>
      <c r="B103" s="10">
        <v>100</v>
      </c>
      <c r="C103" s="10" t="s">
        <v>14</v>
      </c>
      <c r="D103" s="10">
        <v>5</v>
      </c>
      <c r="E103" s="10" t="s">
        <v>14</v>
      </c>
      <c r="F103" s="11">
        <v>1.0360360399999999</v>
      </c>
      <c r="G103" s="11">
        <v>1.6875</v>
      </c>
      <c r="H103" s="10"/>
      <c r="I103" s="10"/>
      <c r="J103" s="10"/>
    </row>
    <row r="104" spans="1:10" ht="15.6" x14ac:dyDescent="0.3">
      <c r="A104" s="9" t="s">
        <v>25</v>
      </c>
      <c r="B104" s="10">
        <v>100</v>
      </c>
      <c r="C104" s="10" t="s">
        <v>18</v>
      </c>
      <c r="D104" s="10">
        <v>10</v>
      </c>
      <c r="E104" s="10" t="s">
        <v>18</v>
      </c>
      <c r="F104" s="11">
        <v>1.02727273</v>
      </c>
      <c r="G104" s="11">
        <v>1.677419</v>
      </c>
      <c r="H104" s="10"/>
      <c r="I104" s="10"/>
      <c r="J104" s="10"/>
    </row>
    <row r="105" spans="1:10" ht="15.6" x14ac:dyDescent="0.3">
      <c r="A105" s="9" t="s">
        <v>25</v>
      </c>
      <c r="B105" s="10">
        <v>100</v>
      </c>
      <c r="C105" s="10" t="s">
        <v>27</v>
      </c>
      <c r="D105" s="10">
        <v>15</v>
      </c>
      <c r="E105" s="10" t="s">
        <v>27</v>
      </c>
      <c r="F105" s="11">
        <v>1.03636364</v>
      </c>
      <c r="G105" s="11">
        <v>1.7096769999999999</v>
      </c>
      <c r="H105" s="10"/>
      <c r="I105" s="10"/>
      <c r="J105" s="10"/>
    </row>
    <row r="106" spans="1:10" ht="15.6" x14ac:dyDescent="0.3">
      <c r="A106" s="9" t="s">
        <v>25</v>
      </c>
      <c r="B106" s="10">
        <v>100</v>
      </c>
      <c r="C106" s="10" t="s">
        <v>22</v>
      </c>
      <c r="D106" s="10">
        <v>38.4</v>
      </c>
      <c r="E106" s="10" t="s">
        <v>22</v>
      </c>
      <c r="F106" s="11">
        <v>1.0350877199999999</v>
      </c>
      <c r="G106" s="11">
        <v>1.6875</v>
      </c>
      <c r="H106" s="10"/>
      <c r="I106" s="10"/>
      <c r="J106" s="10"/>
    </row>
    <row r="107" spans="1:10" ht="15.6" x14ac:dyDescent="0.3">
      <c r="A107" s="9" t="s">
        <v>25</v>
      </c>
      <c r="B107" s="10">
        <v>110</v>
      </c>
      <c r="C107" s="10" t="s">
        <v>26</v>
      </c>
      <c r="D107" s="10">
        <v>3.6</v>
      </c>
      <c r="E107" s="10" t="s">
        <v>26</v>
      </c>
      <c r="F107" s="11"/>
      <c r="G107" s="11"/>
      <c r="H107" s="10"/>
      <c r="I107" s="10"/>
      <c r="J107" s="10"/>
    </row>
    <row r="108" spans="1:10" ht="15.6" x14ac:dyDescent="0.3">
      <c r="A108" s="9" t="s">
        <v>25</v>
      </c>
      <c r="B108" s="10">
        <v>110</v>
      </c>
      <c r="C108" s="10" t="s">
        <v>14</v>
      </c>
      <c r="D108" s="10">
        <v>5</v>
      </c>
      <c r="E108" s="10" t="s">
        <v>14</v>
      </c>
      <c r="F108" s="11">
        <v>1.03521127</v>
      </c>
      <c r="G108" s="11">
        <v>1.6666669999999999</v>
      </c>
      <c r="H108" s="10"/>
      <c r="I108" s="10"/>
      <c r="J108" s="10"/>
    </row>
    <row r="109" spans="1:10" ht="15.6" x14ac:dyDescent="0.3">
      <c r="A109" s="9" t="s">
        <v>25</v>
      </c>
      <c r="B109" s="10">
        <v>110</v>
      </c>
      <c r="C109" s="10" t="s">
        <v>18</v>
      </c>
      <c r="D109" s="10">
        <v>10</v>
      </c>
      <c r="E109" s="10" t="s">
        <v>18</v>
      </c>
      <c r="F109" s="11">
        <v>1.02836879</v>
      </c>
      <c r="G109" s="11">
        <v>1.642857</v>
      </c>
      <c r="H109" s="10"/>
      <c r="I109" s="10"/>
      <c r="J109" s="10"/>
    </row>
    <row r="110" spans="1:10" ht="15.6" x14ac:dyDescent="0.3">
      <c r="A110" s="9" t="s">
        <v>25</v>
      </c>
      <c r="B110" s="10">
        <v>110</v>
      </c>
      <c r="C110" s="10" t="s">
        <v>27</v>
      </c>
      <c r="D110" s="10">
        <v>15</v>
      </c>
      <c r="E110" s="10" t="s">
        <v>27</v>
      </c>
      <c r="F110" s="11">
        <v>1.02816901</v>
      </c>
      <c r="G110" s="11">
        <v>1.642857</v>
      </c>
      <c r="H110" s="10"/>
      <c r="I110" s="10"/>
      <c r="J110" s="10"/>
    </row>
    <row r="111" spans="1:10" ht="15.6" x14ac:dyDescent="0.3">
      <c r="A111" s="9" t="s">
        <v>25</v>
      </c>
      <c r="B111" s="10">
        <v>110</v>
      </c>
      <c r="C111" s="10" t="s">
        <v>22</v>
      </c>
      <c r="D111" s="10">
        <v>38.4</v>
      </c>
      <c r="E111" s="10" t="s">
        <v>22</v>
      </c>
      <c r="F111" s="11">
        <v>1.03424658</v>
      </c>
      <c r="G111" s="11">
        <v>1.6511629999999999</v>
      </c>
      <c r="H111" s="10"/>
      <c r="I111" s="10"/>
      <c r="J111" s="10"/>
    </row>
    <row r="112" spans="1:10" ht="15.6" x14ac:dyDescent="0.3">
      <c r="A112" s="9" t="s">
        <v>25</v>
      </c>
      <c r="B112" s="10">
        <v>120</v>
      </c>
      <c r="C112" s="10" t="s">
        <v>26</v>
      </c>
      <c r="D112" s="10">
        <v>3.6</v>
      </c>
      <c r="E112" s="10" t="s">
        <v>26</v>
      </c>
      <c r="F112" s="11"/>
      <c r="G112" s="11"/>
      <c r="H112" s="10"/>
      <c r="I112" s="10"/>
      <c r="J112" s="10"/>
    </row>
    <row r="113" spans="1:10" ht="15.6" x14ac:dyDescent="0.3">
      <c r="A113" s="9" t="s">
        <v>25</v>
      </c>
      <c r="B113" s="10">
        <v>120</v>
      </c>
      <c r="C113" s="10" t="s">
        <v>14</v>
      </c>
      <c r="D113" s="10">
        <v>5</v>
      </c>
      <c r="E113" s="10" t="s">
        <v>14</v>
      </c>
      <c r="F113" s="11">
        <v>1.0224719099999999</v>
      </c>
      <c r="G113" s="11">
        <v>1.6481479999999999</v>
      </c>
      <c r="H113" s="10"/>
      <c r="I113" s="10"/>
      <c r="J113" s="10"/>
    </row>
    <row r="114" spans="1:10" ht="15.6" x14ac:dyDescent="0.3">
      <c r="A114" s="9" t="s">
        <v>25</v>
      </c>
      <c r="B114" s="10">
        <v>120</v>
      </c>
      <c r="C114" s="10" t="s">
        <v>18</v>
      </c>
      <c r="D114" s="10">
        <v>10</v>
      </c>
      <c r="E114" s="10" t="s">
        <v>18</v>
      </c>
      <c r="F114" s="11">
        <v>1.0227272700000001</v>
      </c>
      <c r="G114" s="11">
        <v>1.6226419999999999</v>
      </c>
      <c r="H114" s="10"/>
      <c r="I114" s="10"/>
      <c r="J114" s="10"/>
    </row>
    <row r="115" spans="1:10" ht="15.6" x14ac:dyDescent="0.3">
      <c r="A115" s="9" t="s">
        <v>25</v>
      </c>
      <c r="B115" s="10">
        <v>120</v>
      </c>
      <c r="C115" s="10" t="s">
        <v>27</v>
      </c>
      <c r="D115" s="10">
        <v>15</v>
      </c>
      <c r="E115" s="10" t="s">
        <v>27</v>
      </c>
      <c r="F115" s="11">
        <v>1.0225988699999999</v>
      </c>
      <c r="G115" s="11">
        <v>1.611111</v>
      </c>
      <c r="H115" s="10"/>
      <c r="I115" s="10"/>
      <c r="J115" s="10"/>
    </row>
    <row r="116" spans="1:10" ht="15.6" x14ac:dyDescent="0.3">
      <c r="A116" s="9" t="s">
        <v>25</v>
      </c>
      <c r="B116" s="10">
        <v>120</v>
      </c>
      <c r="C116" s="10" t="s">
        <v>22</v>
      </c>
      <c r="D116" s="10">
        <v>38.4</v>
      </c>
      <c r="E116" s="10" t="s">
        <v>22</v>
      </c>
      <c r="F116" s="11">
        <v>1.0273224000000001</v>
      </c>
      <c r="G116" s="11">
        <v>1.607143</v>
      </c>
      <c r="H116" s="10"/>
      <c r="I116" s="10"/>
      <c r="J116" s="10"/>
    </row>
    <row r="117" spans="1:10" ht="15.6" x14ac:dyDescent="0.3">
      <c r="A117" s="9" t="s">
        <v>25</v>
      </c>
      <c r="B117" s="10">
        <v>130</v>
      </c>
      <c r="C117" s="10" t="s">
        <v>26</v>
      </c>
      <c r="D117" s="10">
        <v>3.6</v>
      </c>
      <c r="E117" s="10" t="s">
        <v>26</v>
      </c>
      <c r="F117" s="11"/>
      <c r="G117" s="11"/>
      <c r="H117" s="10"/>
      <c r="I117" s="10"/>
      <c r="J117" s="10"/>
    </row>
    <row r="118" spans="1:10" ht="15.6" x14ac:dyDescent="0.3">
      <c r="A118" s="9" t="s">
        <v>25</v>
      </c>
      <c r="B118" s="10">
        <v>130</v>
      </c>
      <c r="C118" s="10" t="s">
        <v>14</v>
      </c>
      <c r="D118" s="10">
        <v>5</v>
      </c>
      <c r="E118" s="10" t="s">
        <v>14</v>
      </c>
      <c r="F118" s="11">
        <v>1.02816901</v>
      </c>
      <c r="G118" s="11">
        <v>1.6119399999999999</v>
      </c>
      <c r="H118" s="10"/>
      <c r="I118" s="10"/>
      <c r="J118" s="10"/>
    </row>
    <row r="119" spans="1:10" ht="15.6" x14ac:dyDescent="0.3">
      <c r="A119" s="9" t="s">
        <v>25</v>
      </c>
      <c r="B119" s="10">
        <v>130</v>
      </c>
      <c r="C119" s="10" t="s">
        <v>18</v>
      </c>
      <c r="D119" s="10">
        <v>10</v>
      </c>
      <c r="E119" s="10" t="s">
        <v>18</v>
      </c>
      <c r="F119" s="11">
        <v>1.0238095199999999</v>
      </c>
      <c r="G119" s="11">
        <v>1.5909089999999999</v>
      </c>
      <c r="H119" s="10"/>
      <c r="I119" s="10"/>
      <c r="J119" s="10"/>
    </row>
    <row r="120" spans="1:10" ht="15.6" x14ac:dyDescent="0.3">
      <c r="A120" s="9" t="s">
        <v>25</v>
      </c>
      <c r="B120" s="10">
        <v>130</v>
      </c>
      <c r="C120" s="10" t="s">
        <v>27</v>
      </c>
      <c r="D120" s="10">
        <v>15</v>
      </c>
      <c r="E120" s="10" t="s">
        <v>27</v>
      </c>
      <c r="F120" s="11">
        <v>1.0235849100000001</v>
      </c>
      <c r="G120" s="11">
        <v>1.5909089999999999</v>
      </c>
      <c r="H120" s="10"/>
      <c r="I120" s="10"/>
      <c r="J120" s="10"/>
    </row>
    <row r="121" spans="1:10" ht="15.6" x14ac:dyDescent="0.3">
      <c r="A121" s="9" t="s">
        <v>25</v>
      </c>
      <c r="B121" s="10">
        <v>130</v>
      </c>
      <c r="C121" s="10" t="s">
        <v>22</v>
      </c>
      <c r="D121" s="10">
        <v>38.4</v>
      </c>
      <c r="E121" s="10" t="s">
        <v>22</v>
      </c>
      <c r="F121" s="11">
        <v>1.02283105</v>
      </c>
      <c r="G121" s="11">
        <v>1.6029409999999999</v>
      </c>
      <c r="H121" s="10"/>
      <c r="I121" s="10"/>
      <c r="J121" s="10"/>
    </row>
    <row r="122" spans="1:10" ht="15.6" x14ac:dyDescent="0.3">
      <c r="A122" s="9" t="s">
        <v>25</v>
      </c>
      <c r="B122" s="10">
        <v>140</v>
      </c>
      <c r="C122" s="10" t="s">
        <v>26</v>
      </c>
      <c r="D122" s="10">
        <v>3.6</v>
      </c>
      <c r="E122" s="10" t="s">
        <v>26</v>
      </c>
      <c r="F122" s="11">
        <v>1.015625</v>
      </c>
      <c r="G122" s="11">
        <v>1.48</v>
      </c>
      <c r="H122" s="10"/>
      <c r="I122" s="10"/>
      <c r="J122" s="10"/>
    </row>
    <row r="123" spans="1:10" ht="15.6" x14ac:dyDescent="0.3">
      <c r="A123" s="9" t="s">
        <v>25</v>
      </c>
      <c r="B123" s="10">
        <v>140</v>
      </c>
      <c r="C123" s="10" t="s">
        <v>14</v>
      </c>
      <c r="D123" s="10">
        <v>5</v>
      </c>
      <c r="E123" s="10" t="s">
        <v>14</v>
      </c>
      <c r="F123" s="11">
        <v>1.024</v>
      </c>
      <c r="G123" s="11">
        <v>1.5925929999999999</v>
      </c>
      <c r="H123" s="10"/>
      <c r="I123" s="10"/>
      <c r="J123" s="10"/>
    </row>
    <row r="124" spans="1:10" ht="15.6" x14ac:dyDescent="0.3">
      <c r="A124" s="9" t="s">
        <v>25</v>
      </c>
      <c r="B124" s="10">
        <v>140</v>
      </c>
      <c r="C124" s="10" t="s">
        <v>18</v>
      </c>
      <c r="D124" s="10">
        <v>10</v>
      </c>
      <c r="E124" s="10" t="s">
        <v>18</v>
      </c>
      <c r="F124" s="11">
        <v>1.0242914999999999</v>
      </c>
      <c r="G124" s="11">
        <v>1.5822780000000001</v>
      </c>
      <c r="H124" s="10"/>
      <c r="I124" s="10"/>
      <c r="J124" s="10"/>
    </row>
    <row r="125" spans="1:10" ht="15.6" x14ac:dyDescent="0.3">
      <c r="A125" s="9" t="s">
        <v>25</v>
      </c>
      <c r="B125" s="10">
        <v>140</v>
      </c>
      <c r="C125" s="10" t="s">
        <v>27</v>
      </c>
      <c r="D125" s="10">
        <v>15</v>
      </c>
      <c r="E125" s="10" t="s">
        <v>27</v>
      </c>
      <c r="F125" s="11">
        <v>1.0200803199999999</v>
      </c>
      <c r="G125" s="11">
        <v>1.5625</v>
      </c>
      <c r="H125" s="10"/>
      <c r="I125" s="10"/>
      <c r="J125" s="10"/>
    </row>
    <row r="126" spans="1:10" ht="15.6" x14ac:dyDescent="0.3">
      <c r="A126" s="9" t="s">
        <v>25</v>
      </c>
      <c r="B126" s="10">
        <v>140</v>
      </c>
      <c r="C126" s="10" t="s">
        <v>22</v>
      </c>
      <c r="D126" s="10">
        <v>38.4</v>
      </c>
      <c r="E126" s="10" t="s">
        <v>22</v>
      </c>
      <c r="F126" s="11">
        <v>1.01937984</v>
      </c>
      <c r="G126" s="11">
        <v>1.566265</v>
      </c>
      <c r="H126" s="10"/>
      <c r="I126" s="10"/>
      <c r="J126" s="10"/>
    </row>
    <row r="127" spans="1:10" ht="15.6" x14ac:dyDescent="0.3">
      <c r="A127" s="9" t="s">
        <v>28</v>
      </c>
      <c r="B127" s="10">
        <v>80</v>
      </c>
      <c r="C127" s="10" t="s">
        <v>29</v>
      </c>
      <c r="D127" s="10">
        <v>2.4</v>
      </c>
      <c r="E127" s="10" t="s">
        <v>29</v>
      </c>
      <c r="F127" s="11">
        <v>1.06842105</v>
      </c>
      <c r="G127" s="11">
        <v>1.8563829999999999</v>
      </c>
      <c r="H127" s="10"/>
      <c r="I127" s="10"/>
      <c r="J127" s="10"/>
    </row>
    <row r="128" spans="1:10" ht="15.6" x14ac:dyDescent="0.3">
      <c r="A128" s="9" t="s">
        <v>28</v>
      </c>
      <c r="B128" s="10">
        <v>80</v>
      </c>
      <c r="C128" s="10" t="s">
        <v>30</v>
      </c>
      <c r="D128" s="10">
        <v>7.2</v>
      </c>
      <c r="E128" s="10" t="s">
        <v>30</v>
      </c>
      <c r="F128" s="11">
        <v>1.06493506</v>
      </c>
      <c r="G128" s="11">
        <v>1.8631580000000001</v>
      </c>
      <c r="H128" s="10"/>
      <c r="I128" s="10"/>
      <c r="J128" s="10"/>
    </row>
    <row r="129" spans="1:10" ht="15.6" x14ac:dyDescent="0.3">
      <c r="A129" s="9" t="s">
        <v>28</v>
      </c>
      <c r="B129" s="10">
        <v>80</v>
      </c>
      <c r="C129" s="10" t="s">
        <v>31</v>
      </c>
      <c r="D129" s="10">
        <v>9.6</v>
      </c>
      <c r="E129" s="10" t="s">
        <v>31</v>
      </c>
      <c r="F129" s="11">
        <v>1.0828313300000001</v>
      </c>
      <c r="G129" s="11">
        <v>1.857143</v>
      </c>
      <c r="H129" s="10"/>
      <c r="I129" s="10"/>
      <c r="J129" s="10"/>
    </row>
    <row r="130" spans="1:10" ht="15.6" x14ac:dyDescent="0.3">
      <c r="A130" s="9" t="s">
        <v>28</v>
      </c>
      <c r="B130" s="10">
        <v>80</v>
      </c>
      <c r="C130" s="10" t="s">
        <v>18</v>
      </c>
      <c r="D130" s="10">
        <v>10</v>
      </c>
      <c r="E130" s="10" t="s">
        <v>18</v>
      </c>
      <c r="F130" s="11">
        <v>1.0630630599999999</v>
      </c>
      <c r="G130" s="11">
        <v>1.8613139999999999</v>
      </c>
      <c r="H130" s="10"/>
      <c r="I130" s="10"/>
      <c r="J130" s="10"/>
    </row>
    <row r="131" spans="1:10" ht="15.6" x14ac:dyDescent="0.3">
      <c r="A131" s="9" t="s">
        <v>28</v>
      </c>
      <c r="B131" s="10">
        <v>80</v>
      </c>
      <c r="C131" s="10" t="s">
        <v>20</v>
      </c>
      <c r="D131" s="10">
        <v>14.4</v>
      </c>
      <c r="E131" s="10" t="s">
        <v>20</v>
      </c>
      <c r="F131" s="11">
        <v>1.06788079</v>
      </c>
      <c r="G131" s="11">
        <v>1.8533329999999999</v>
      </c>
      <c r="H131" s="10"/>
      <c r="I131" s="10"/>
      <c r="J131" s="10"/>
    </row>
    <row r="132" spans="1:10" ht="15.6" x14ac:dyDescent="0.3">
      <c r="A132" s="9" t="s">
        <v>28</v>
      </c>
      <c r="B132" s="10">
        <v>80</v>
      </c>
      <c r="C132" s="10" t="s">
        <v>32</v>
      </c>
      <c r="D132" s="10">
        <v>16</v>
      </c>
      <c r="E132" s="10" t="s">
        <v>32</v>
      </c>
      <c r="F132" s="11">
        <v>1.0699815800000001</v>
      </c>
      <c r="G132" s="11">
        <v>1.8518520000000001</v>
      </c>
      <c r="H132" s="10"/>
      <c r="I132" s="10"/>
      <c r="J132" s="10"/>
    </row>
    <row r="133" spans="1:10" ht="15.6" x14ac:dyDescent="0.3">
      <c r="A133" s="9" t="s">
        <v>28</v>
      </c>
      <c r="B133" s="10">
        <v>80</v>
      </c>
      <c r="C133" s="10" t="s">
        <v>23</v>
      </c>
      <c r="D133" s="10">
        <v>19.2</v>
      </c>
      <c r="E133" s="10" t="s">
        <v>23</v>
      </c>
      <c r="F133" s="11">
        <v>1.0701468199999999</v>
      </c>
      <c r="G133" s="11">
        <v>1.9078949999999999</v>
      </c>
      <c r="H133" s="10"/>
      <c r="I133" s="10"/>
      <c r="J133" s="10"/>
    </row>
    <row r="134" spans="1:10" ht="15.6" x14ac:dyDescent="0.3">
      <c r="A134" s="9" t="s">
        <v>28</v>
      </c>
      <c r="B134" s="10">
        <v>110</v>
      </c>
      <c r="C134" s="10" t="s">
        <v>29</v>
      </c>
      <c r="D134" s="10">
        <v>2.4</v>
      </c>
      <c r="E134" s="10" t="s">
        <v>29</v>
      </c>
      <c r="F134" s="11">
        <v>1.03611111</v>
      </c>
      <c r="G134" s="11">
        <v>1.6469469999999999</v>
      </c>
      <c r="H134" s="10"/>
      <c r="I134" s="10"/>
      <c r="J134" s="10"/>
    </row>
    <row r="135" spans="1:10" ht="15.6" x14ac:dyDescent="0.3">
      <c r="A135" s="9" t="s">
        <v>28</v>
      </c>
      <c r="B135" s="10">
        <v>110</v>
      </c>
      <c r="C135" s="10" t="s">
        <v>30</v>
      </c>
      <c r="D135" s="10">
        <v>7.2</v>
      </c>
      <c r="E135" s="10" t="s">
        <v>30</v>
      </c>
      <c r="F135" s="11">
        <v>1.03857062</v>
      </c>
      <c r="G135" s="11">
        <v>1.660156</v>
      </c>
      <c r="H135" s="10"/>
      <c r="I135" s="10"/>
      <c r="J135" s="10"/>
    </row>
    <row r="136" spans="1:10" ht="15.6" x14ac:dyDescent="0.3">
      <c r="A136" s="9" t="s">
        <v>28</v>
      </c>
      <c r="B136" s="10">
        <v>110</v>
      </c>
      <c r="C136" s="10" t="s">
        <v>31</v>
      </c>
      <c r="D136" s="10">
        <v>9.6</v>
      </c>
      <c r="E136" s="10" t="s">
        <v>31</v>
      </c>
      <c r="F136" s="11">
        <v>1.03917791</v>
      </c>
      <c r="G136" s="11">
        <v>1.6615040000000001</v>
      </c>
      <c r="H136" s="10"/>
      <c r="I136" s="10"/>
      <c r="J136" s="10"/>
    </row>
    <row r="137" spans="1:10" ht="15.6" x14ac:dyDescent="0.3">
      <c r="A137" s="9" t="s">
        <v>28</v>
      </c>
      <c r="B137" s="10">
        <v>110</v>
      </c>
      <c r="C137" s="10" t="s">
        <v>18</v>
      </c>
      <c r="D137" s="10">
        <v>10</v>
      </c>
      <c r="E137" s="10" t="s">
        <v>18</v>
      </c>
      <c r="F137" s="11">
        <v>1.03861308</v>
      </c>
      <c r="G137" s="11">
        <v>1.663043</v>
      </c>
      <c r="H137" s="10"/>
      <c r="I137" s="10"/>
      <c r="J137" s="10"/>
    </row>
    <row r="138" spans="1:10" ht="15.6" x14ac:dyDescent="0.3">
      <c r="A138" s="9" t="s">
        <v>28</v>
      </c>
      <c r="B138" s="10">
        <v>110</v>
      </c>
      <c r="C138" s="10" t="s">
        <v>20</v>
      </c>
      <c r="D138" s="10">
        <v>14.4</v>
      </c>
      <c r="E138" s="10" t="s">
        <v>20</v>
      </c>
      <c r="F138" s="11">
        <v>1.0396253600000001</v>
      </c>
      <c r="G138" s="11">
        <v>1.6518520000000001</v>
      </c>
      <c r="H138" s="10"/>
      <c r="I138" s="10"/>
      <c r="J138" s="10"/>
    </row>
    <row r="139" spans="1:10" ht="15.6" x14ac:dyDescent="0.3">
      <c r="A139" s="9" t="s">
        <v>28</v>
      </c>
      <c r="B139" s="10">
        <v>110</v>
      </c>
      <c r="C139" s="10" t="s">
        <v>32</v>
      </c>
      <c r="D139" s="10">
        <v>16</v>
      </c>
      <c r="E139" s="10" t="s">
        <v>32</v>
      </c>
      <c r="F139" s="11">
        <v>1.0400320300000001</v>
      </c>
      <c r="G139" s="11">
        <v>1.6538459999999999</v>
      </c>
      <c r="H139" s="10"/>
      <c r="I139" s="10"/>
      <c r="J139" s="10"/>
    </row>
    <row r="140" spans="1:10" ht="15.6" x14ac:dyDescent="0.3">
      <c r="A140" s="9" t="s">
        <v>28</v>
      </c>
      <c r="B140" s="10">
        <v>110</v>
      </c>
      <c r="C140" s="10" t="s">
        <v>23</v>
      </c>
      <c r="D140" s="10">
        <v>19.2</v>
      </c>
      <c r="E140" s="10" t="s">
        <v>23</v>
      </c>
      <c r="F140" s="11">
        <v>1.03960396</v>
      </c>
      <c r="G140" s="11">
        <v>1.65534</v>
      </c>
      <c r="H140" s="10"/>
      <c r="I140" s="10"/>
      <c r="J140" s="10"/>
    </row>
    <row r="141" spans="1:10" ht="15.6" x14ac:dyDescent="0.3">
      <c r="A141" s="9" t="s">
        <v>28</v>
      </c>
      <c r="B141" s="10">
        <v>130</v>
      </c>
      <c r="C141" s="10" t="s">
        <v>29</v>
      </c>
      <c r="D141" s="10">
        <v>2.4</v>
      </c>
      <c r="E141" s="10" t="s">
        <v>29</v>
      </c>
      <c r="F141" s="11">
        <v>1.02870442</v>
      </c>
      <c r="G141" s="11">
        <v>1.588679</v>
      </c>
      <c r="H141" s="10"/>
      <c r="I141" s="10"/>
      <c r="J141" s="10"/>
    </row>
    <row r="142" spans="1:10" ht="15.6" x14ac:dyDescent="0.3">
      <c r="A142" s="9" t="s">
        <v>28</v>
      </c>
      <c r="B142" s="10">
        <v>130</v>
      </c>
      <c r="C142" s="10" t="s">
        <v>30</v>
      </c>
      <c r="D142" s="10">
        <v>7.2</v>
      </c>
      <c r="E142" s="10" t="s">
        <v>30</v>
      </c>
      <c r="F142" s="11">
        <v>1.03046664</v>
      </c>
      <c r="G142" s="11">
        <v>1.5947629999999999</v>
      </c>
      <c r="H142" s="10"/>
      <c r="I142" s="10"/>
      <c r="J142" s="10"/>
    </row>
    <row r="143" spans="1:10" ht="15.6" x14ac:dyDescent="0.3">
      <c r="A143" s="9" t="s">
        <v>28</v>
      </c>
      <c r="B143" s="10">
        <v>130</v>
      </c>
      <c r="C143" s="10" t="s">
        <v>31</v>
      </c>
      <c r="D143" s="10">
        <v>9.6</v>
      </c>
      <c r="E143" s="10" t="s">
        <v>31</v>
      </c>
      <c r="F143" s="11">
        <v>1.0309908299999999</v>
      </c>
      <c r="G143" s="11">
        <v>1.592384</v>
      </c>
      <c r="H143" s="10"/>
      <c r="I143" s="10"/>
      <c r="J143" s="10"/>
    </row>
    <row r="144" spans="1:10" ht="15.6" x14ac:dyDescent="0.3">
      <c r="A144" s="9" t="s">
        <v>28</v>
      </c>
      <c r="B144" s="10">
        <v>130</v>
      </c>
      <c r="C144" s="10" t="s">
        <v>18</v>
      </c>
      <c r="D144" s="10">
        <v>10</v>
      </c>
      <c r="E144" s="10" t="s">
        <v>18</v>
      </c>
      <c r="F144" s="11">
        <v>1.0305302599999999</v>
      </c>
      <c r="G144" s="11">
        <v>1.593426</v>
      </c>
      <c r="H144" s="10"/>
      <c r="I144" s="10"/>
      <c r="J144" s="10"/>
    </row>
    <row r="145" spans="1:10" ht="15.6" x14ac:dyDescent="0.3">
      <c r="A145" s="9" t="s">
        <v>28</v>
      </c>
      <c r="B145" s="10">
        <v>130</v>
      </c>
      <c r="C145" s="10" t="s">
        <v>20</v>
      </c>
      <c r="D145" s="10">
        <v>14.4</v>
      </c>
      <c r="E145" s="10" t="s">
        <v>20</v>
      </c>
      <c r="F145" s="11">
        <v>1.0308521100000001</v>
      </c>
      <c r="G145" s="11">
        <v>1.5911249999999999</v>
      </c>
      <c r="H145" s="10"/>
      <c r="I145" s="10"/>
      <c r="J145" s="10"/>
    </row>
    <row r="146" spans="1:10" ht="15.6" x14ac:dyDescent="0.3">
      <c r="A146" s="9" t="s">
        <v>28</v>
      </c>
      <c r="B146" s="10">
        <v>130</v>
      </c>
      <c r="C146" s="10" t="s">
        <v>32</v>
      </c>
      <c r="D146" s="10">
        <v>16</v>
      </c>
      <c r="E146" s="10" t="s">
        <v>32</v>
      </c>
      <c r="F146" s="11">
        <v>1.0304679000000001</v>
      </c>
      <c r="G146" s="11">
        <v>1.5915490000000001</v>
      </c>
      <c r="H146" s="10"/>
      <c r="I146" s="10"/>
      <c r="J146" s="10"/>
    </row>
    <row r="147" spans="1:10" ht="15.6" x14ac:dyDescent="0.3">
      <c r="A147" s="9" t="s">
        <v>28</v>
      </c>
      <c r="B147" s="10">
        <v>130</v>
      </c>
      <c r="C147" s="10" t="s">
        <v>23</v>
      </c>
      <c r="D147" s="10">
        <v>19.2</v>
      </c>
      <c r="E147" s="10" t="s">
        <v>23</v>
      </c>
      <c r="F147" s="11">
        <v>1.0307544399999999</v>
      </c>
      <c r="G147" s="11">
        <v>1.592824</v>
      </c>
      <c r="H147" s="10"/>
      <c r="I147" s="10"/>
      <c r="J147" s="10"/>
    </row>
    <row r="148" spans="1:10" ht="15.6" x14ac:dyDescent="0.3">
      <c r="A148" s="9" t="s">
        <v>33</v>
      </c>
      <c r="B148" s="10">
        <v>70</v>
      </c>
      <c r="C148" s="10" t="s">
        <v>13</v>
      </c>
      <c r="D148" s="10">
        <v>2</v>
      </c>
      <c r="E148" s="10" t="s">
        <v>13</v>
      </c>
      <c r="F148" s="11">
        <v>1.05384615</v>
      </c>
      <c r="G148" s="11">
        <v>1.8524590000000001</v>
      </c>
      <c r="H148" s="10"/>
      <c r="I148" s="10"/>
      <c r="J148" s="10"/>
    </row>
    <row r="149" spans="1:10" ht="15.6" x14ac:dyDescent="0.3">
      <c r="A149" s="9" t="s">
        <v>33</v>
      </c>
      <c r="B149" s="10">
        <v>70</v>
      </c>
      <c r="C149" s="10" t="s">
        <v>26</v>
      </c>
      <c r="D149" s="10">
        <v>3.6</v>
      </c>
      <c r="E149" s="10" t="s">
        <v>26</v>
      </c>
      <c r="F149" s="11">
        <v>1.04976303</v>
      </c>
      <c r="G149" s="11">
        <v>1.8484849999999999</v>
      </c>
      <c r="H149" s="10"/>
      <c r="I149" s="10"/>
      <c r="J149" s="10"/>
    </row>
    <row r="150" spans="1:10" ht="15.6" x14ac:dyDescent="0.3">
      <c r="A150" s="9" t="s">
        <v>33</v>
      </c>
      <c r="B150" s="10">
        <v>70</v>
      </c>
      <c r="C150" s="10" t="s">
        <v>34</v>
      </c>
      <c r="D150" s="10">
        <v>4.8</v>
      </c>
      <c r="E150" s="10" t="s">
        <v>34</v>
      </c>
      <c r="F150" s="11">
        <v>1.0489690700000001</v>
      </c>
      <c r="G150" s="11">
        <v>1.8461540000000001</v>
      </c>
      <c r="H150" s="10"/>
      <c r="I150" s="10"/>
      <c r="J150" s="10"/>
    </row>
    <row r="151" spans="1:10" ht="15.6" x14ac:dyDescent="0.3">
      <c r="A151" s="9" t="s">
        <v>33</v>
      </c>
      <c r="B151" s="10">
        <v>70</v>
      </c>
      <c r="C151" s="10" t="s">
        <v>34</v>
      </c>
      <c r="D151" s="10">
        <v>4.8</v>
      </c>
      <c r="E151" s="10" t="s">
        <v>31</v>
      </c>
      <c r="F151" s="11">
        <v>1.04366812</v>
      </c>
      <c r="G151" s="11">
        <v>1.841121</v>
      </c>
      <c r="H151" s="10"/>
      <c r="I151" s="10"/>
      <c r="J151" s="10"/>
    </row>
    <row r="152" spans="1:10" ht="15.6" x14ac:dyDescent="0.3">
      <c r="A152" s="9" t="s">
        <v>33</v>
      </c>
      <c r="B152" s="10">
        <v>70</v>
      </c>
      <c r="C152" s="10" t="s">
        <v>14</v>
      </c>
      <c r="D152" s="10">
        <v>5</v>
      </c>
      <c r="E152" s="10" t="s">
        <v>14</v>
      </c>
      <c r="F152" s="11">
        <v>1.05128205</v>
      </c>
      <c r="G152" s="11">
        <v>1.8363640000000001</v>
      </c>
      <c r="H152" s="10"/>
      <c r="I152" s="10"/>
      <c r="J152" s="10"/>
    </row>
    <row r="153" spans="1:10" ht="15.6" x14ac:dyDescent="0.3">
      <c r="A153" s="9" t="s">
        <v>33</v>
      </c>
      <c r="B153" s="10">
        <v>70</v>
      </c>
      <c r="C153" s="10" t="s">
        <v>15</v>
      </c>
      <c r="D153" s="10">
        <v>6</v>
      </c>
      <c r="E153" s="10" t="s">
        <v>16</v>
      </c>
      <c r="F153" s="11">
        <v>1.0441640400000001</v>
      </c>
      <c r="G153" s="11">
        <v>1.851351</v>
      </c>
      <c r="H153" s="10"/>
      <c r="I153" s="10"/>
      <c r="J153" s="10"/>
    </row>
    <row r="154" spans="1:10" ht="15.6" x14ac:dyDescent="0.3">
      <c r="A154" s="9" t="s">
        <v>33</v>
      </c>
      <c r="B154" s="10">
        <v>70</v>
      </c>
      <c r="C154" s="10" t="s">
        <v>17</v>
      </c>
      <c r="D154" s="10">
        <v>7.2</v>
      </c>
      <c r="E154" s="10" t="s">
        <v>17</v>
      </c>
      <c r="F154" s="11">
        <v>1.05059524</v>
      </c>
      <c r="G154" s="11">
        <v>1.848101</v>
      </c>
      <c r="H154" s="10"/>
      <c r="I154" s="10"/>
      <c r="J154" s="10"/>
    </row>
    <row r="155" spans="1:10" ht="15.6" x14ac:dyDescent="0.3">
      <c r="A155" s="9" t="s">
        <v>33</v>
      </c>
      <c r="B155" s="10">
        <v>70</v>
      </c>
      <c r="C155" s="10" t="s">
        <v>18</v>
      </c>
      <c r="D155" s="10">
        <v>10</v>
      </c>
      <c r="E155" s="10" t="s">
        <v>18</v>
      </c>
      <c r="F155" s="11">
        <v>1.05128205</v>
      </c>
      <c r="G155" s="11">
        <v>1.8363640000000001</v>
      </c>
      <c r="H155" s="10"/>
      <c r="I155" s="10"/>
      <c r="J155" s="10"/>
    </row>
    <row r="156" spans="1:10" ht="15.6" x14ac:dyDescent="0.3">
      <c r="A156" s="9" t="s">
        <v>33</v>
      </c>
      <c r="B156" s="10">
        <v>70</v>
      </c>
      <c r="C156" s="10" t="s">
        <v>16</v>
      </c>
      <c r="D156" s="10">
        <v>12</v>
      </c>
      <c r="E156" s="10" t="s">
        <v>19</v>
      </c>
      <c r="F156" s="11">
        <v>1.0464396300000001</v>
      </c>
      <c r="G156" s="11">
        <v>1.8666670000000001</v>
      </c>
      <c r="H156" s="10"/>
      <c r="I156" s="10"/>
      <c r="J156" s="10"/>
    </row>
    <row r="157" spans="1:10" ht="15.6" x14ac:dyDescent="0.3">
      <c r="A157" s="9" t="s">
        <v>33</v>
      </c>
      <c r="B157" s="10">
        <v>70</v>
      </c>
      <c r="C157" s="10" t="s">
        <v>20</v>
      </c>
      <c r="D157" s="10">
        <v>14.4</v>
      </c>
      <c r="E157" s="10" t="s">
        <v>20</v>
      </c>
      <c r="F157" s="11">
        <v>1.05</v>
      </c>
      <c r="G157" s="11">
        <v>1.857143</v>
      </c>
      <c r="H157" s="10"/>
      <c r="I157" s="10"/>
      <c r="J157" s="10"/>
    </row>
    <row r="158" spans="1:10" ht="15.6" x14ac:dyDescent="0.3">
      <c r="A158" s="9" t="s">
        <v>33</v>
      </c>
      <c r="B158" s="10">
        <v>70</v>
      </c>
      <c r="C158" s="10" t="s">
        <v>35</v>
      </c>
      <c r="D158" s="10">
        <v>38.4</v>
      </c>
      <c r="E158" s="10" t="s">
        <v>35</v>
      </c>
      <c r="F158" s="11">
        <v>1.04961832</v>
      </c>
      <c r="G158" s="11">
        <v>1.868852</v>
      </c>
      <c r="H158" s="10"/>
      <c r="I158" s="10"/>
      <c r="J158" s="10"/>
    </row>
    <row r="159" spans="1:10" ht="15.6" x14ac:dyDescent="0.3">
      <c r="A159" s="9" t="s">
        <v>33</v>
      </c>
      <c r="B159" s="10">
        <v>70</v>
      </c>
      <c r="C159" s="10" t="s">
        <v>22</v>
      </c>
      <c r="D159" s="10">
        <v>38.4</v>
      </c>
      <c r="E159" s="10" t="s">
        <v>36</v>
      </c>
      <c r="F159" s="11">
        <v>1.0449438200000001</v>
      </c>
      <c r="G159" s="11">
        <v>1.716418</v>
      </c>
      <c r="H159" s="10"/>
      <c r="I159" s="10"/>
      <c r="J159" s="10"/>
    </row>
    <row r="160" spans="1:10" ht="15.6" x14ac:dyDescent="0.3">
      <c r="A160" s="9" t="s">
        <v>33</v>
      </c>
      <c r="B160" s="10">
        <v>80</v>
      </c>
      <c r="C160" s="10" t="s">
        <v>13</v>
      </c>
      <c r="D160" s="10">
        <v>2</v>
      </c>
      <c r="E160" s="10" t="s">
        <v>13</v>
      </c>
      <c r="F160" s="11">
        <v>1.0430622000000001</v>
      </c>
      <c r="G160" s="11">
        <v>1.738318</v>
      </c>
      <c r="H160" s="10"/>
      <c r="I160" s="10"/>
      <c r="J160" s="10"/>
    </row>
    <row r="161" spans="1:10" ht="15.6" x14ac:dyDescent="0.3">
      <c r="A161" s="9" t="s">
        <v>33</v>
      </c>
      <c r="B161" s="10">
        <v>80</v>
      </c>
      <c r="C161" s="10" t="s">
        <v>26</v>
      </c>
      <c r="D161" s="10">
        <v>3.6</v>
      </c>
      <c r="E161" s="10" t="s">
        <v>26</v>
      </c>
      <c r="F161" s="11">
        <v>1.0443787</v>
      </c>
      <c r="G161" s="11">
        <v>1.739884</v>
      </c>
      <c r="H161" s="10"/>
      <c r="I161" s="10"/>
      <c r="J161" s="10"/>
    </row>
    <row r="162" spans="1:10" ht="15.6" x14ac:dyDescent="0.3">
      <c r="A162" s="9" t="s">
        <v>33</v>
      </c>
      <c r="B162" s="10">
        <v>80</v>
      </c>
      <c r="C162" s="10" t="s">
        <v>34</v>
      </c>
      <c r="D162" s="10">
        <v>4.8</v>
      </c>
      <c r="E162" s="10" t="s">
        <v>34</v>
      </c>
      <c r="F162" s="11">
        <v>1.0434083599999999</v>
      </c>
      <c r="G162" s="11">
        <v>1.742138</v>
      </c>
      <c r="H162" s="10"/>
      <c r="I162" s="10"/>
      <c r="J162" s="10"/>
    </row>
    <row r="163" spans="1:10" ht="15.6" x14ac:dyDescent="0.3">
      <c r="A163" s="9" t="s">
        <v>33</v>
      </c>
      <c r="B163" s="10">
        <v>80</v>
      </c>
      <c r="C163" s="10" t="s">
        <v>34</v>
      </c>
      <c r="D163" s="10">
        <v>4.8</v>
      </c>
      <c r="E163" s="10" t="s">
        <v>31</v>
      </c>
      <c r="F163" s="11">
        <v>1.03038674</v>
      </c>
      <c r="G163" s="11">
        <v>1.7377050000000001</v>
      </c>
      <c r="H163" s="10"/>
      <c r="I163" s="10"/>
      <c r="J163" s="10"/>
    </row>
    <row r="164" spans="1:10" ht="15.6" x14ac:dyDescent="0.3">
      <c r="A164" s="9" t="s">
        <v>33</v>
      </c>
      <c r="B164" s="10">
        <v>80</v>
      </c>
      <c r="C164" s="10" t="s">
        <v>14</v>
      </c>
      <c r="D164" s="10">
        <v>5</v>
      </c>
      <c r="E164" s="10" t="s">
        <v>14</v>
      </c>
      <c r="F164" s="11">
        <v>1.04266667</v>
      </c>
      <c r="G164" s="11">
        <v>1.7395830000000001</v>
      </c>
      <c r="H164" s="10"/>
      <c r="I164" s="10"/>
      <c r="J164" s="10"/>
    </row>
    <row r="165" spans="1:10" ht="15.6" x14ac:dyDescent="0.3">
      <c r="A165" s="9" t="s">
        <v>33</v>
      </c>
      <c r="B165" s="10">
        <v>80</v>
      </c>
      <c r="C165" s="10" t="s">
        <v>15</v>
      </c>
      <c r="D165" s="10">
        <v>6</v>
      </c>
      <c r="E165" s="10" t="s">
        <v>16</v>
      </c>
      <c r="F165" s="11">
        <v>1.0298804800000001</v>
      </c>
      <c r="G165" s="11">
        <v>1.740157</v>
      </c>
      <c r="H165" s="10"/>
      <c r="I165" s="10"/>
      <c r="J165" s="10"/>
    </row>
    <row r="166" spans="1:10" ht="15.6" x14ac:dyDescent="0.3">
      <c r="A166" s="9" t="s">
        <v>33</v>
      </c>
      <c r="B166" s="10">
        <v>80</v>
      </c>
      <c r="C166" s="10" t="s">
        <v>17</v>
      </c>
      <c r="D166" s="10">
        <v>7.2</v>
      </c>
      <c r="E166" s="10" t="s">
        <v>17</v>
      </c>
      <c r="F166" s="11">
        <v>1.04267161</v>
      </c>
      <c r="G166" s="11">
        <v>1.7391300000000001</v>
      </c>
      <c r="H166" s="10"/>
      <c r="I166" s="10"/>
      <c r="J166" s="10"/>
    </row>
    <row r="167" spans="1:10" ht="15.6" x14ac:dyDescent="0.3">
      <c r="A167" s="9" t="s">
        <v>33</v>
      </c>
      <c r="B167" s="10">
        <v>80</v>
      </c>
      <c r="C167" s="10" t="s">
        <v>18</v>
      </c>
      <c r="D167" s="10">
        <v>10</v>
      </c>
      <c r="E167" s="10" t="s">
        <v>18</v>
      </c>
      <c r="F167" s="11">
        <v>1.04266667</v>
      </c>
      <c r="G167" s="11">
        <v>1.7395830000000001</v>
      </c>
      <c r="H167" s="10"/>
      <c r="I167" s="10"/>
      <c r="J167" s="10"/>
    </row>
    <row r="168" spans="1:10" ht="15.6" x14ac:dyDescent="0.3">
      <c r="A168" s="9" t="s">
        <v>33</v>
      </c>
      <c r="B168" s="10">
        <v>80</v>
      </c>
      <c r="C168" s="10" t="s">
        <v>16</v>
      </c>
      <c r="D168" s="10">
        <v>12</v>
      </c>
      <c r="E168" s="10" t="s">
        <v>19</v>
      </c>
      <c r="F168" s="11">
        <v>1.02929688</v>
      </c>
      <c r="G168" s="11">
        <v>1.744186</v>
      </c>
      <c r="H168" s="10"/>
      <c r="I168" s="10"/>
      <c r="J168" s="10"/>
    </row>
    <row r="169" spans="1:10" ht="15.6" x14ac:dyDescent="0.3">
      <c r="A169" s="9" t="s">
        <v>33</v>
      </c>
      <c r="B169" s="10">
        <v>80</v>
      </c>
      <c r="C169" s="10" t="s">
        <v>20</v>
      </c>
      <c r="D169" s="10">
        <v>14.4</v>
      </c>
      <c r="E169" s="10" t="s">
        <v>20</v>
      </c>
      <c r="F169" s="11">
        <v>1.0436590400000001</v>
      </c>
      <c r="G169" s="11">
        <v>1.7398370000000001</v>
      </c>
      <c r="H169" s="10"/>
      <c r="I169" s="10"/>
      <c r="J169" s="10"/>
    </row>
    <row r="170" spans="1:10" ht="15.6" x14ac:dyDescent="0.3">
      <c r="A170" s="9" t="s">
        <v>33</v>
      </c>
      <c r="B170" s="10">
        <v>80</v>
      </c>
      <c r="C170" s="10" t="s">
        <v>35</v>
      </c>
      <c r="D170" s="10">
        <v>38.4</v>
      </c>
      <c r="E170" s="10" t="s">
        <v>35</v>
      </c>
      <c r="F170" s="11">
        <v>1.04285714</v>
      </c>
      <c r="G170" s="11">
        <v>1.731481</v>
      </c>
      <c r="H170" s="10"/>
      <c r="I170" s="10"/>
      <c r="J170" s="10"/>
    </row>
    <row r="171" spans="1:10" ht="15.6" x14ac:dyDescent="0.3">
      <c r="A171" s="9" t="s">
        <v>33</v>
      </c>
      <c r="B171" s="10">
        <v>80</v>
      </c>
      <c r="C171" s="10" t="s">
        <v>22</v>
      </c>
      <c r="D171" s="10">
        <v>38.4</v>
      </c>
      <c r="E171" s="10" t="s">
        <v>36</v>
      </c>
      <c r="F171" s="11">
        <v>1.02836879</v>
      </c>
      <c r="G171" s="11">
        <v>1.738318</v>
      </c>
      <c r="H171" s="10"/>
      <c r="I171" s="10"/>
      <c r="J171" s="10"/>
    </row>
    <row r="172" spans="1:10" ht="15.6" x14ac:dyDescent="0.3">
      <c r="A172" s="9" t="s">
        <v>33</v>
      </c>
      <c r="B172" s="10">
        <v>100</v>
      </c>
      <c r="C172" s="10" t="s">
        <v>13</v>
      </c>
      <c r="D172" s="10">
        <v>2</v>
      </c>
      <c r="E172" s="10" t="s">
        <v>13</v>
      </c>
      <c r="F172" s="11">
        <v>1.0248815200000001</v>
      </c>
      <c r="G172" s="11">
        <v>1.604938</v>
      </c>
      <c r="H172" s="10"/>
      <c r="I172" s="10"/>
      <c r="J172" s="10"/>
    </row>
    <row r="173" spans="1:10" ht="15.6" x14ac:dyDescent="0.3">
      <c r="A173" s="9" t="s">
        <v>33</v>
      </c>
      <c r="B173" s="10">
        <v>100</v>
      </c>
      <c r="C173" s="10" t="s">
        <v>26</v>
      </c>
      <c r="D173" s="10">
        <v>3.6</v>
      </c>
      <c r="E173" s="10" t="s">
        <v>26</v>
      </c>
      <c r="F173" s="11">
        <v>1.0248719799999999</v>
      </c>
      <c r="G173" s="11">
        <v>1.604061</v>
      </c>
      <c r="H173" s="10"/>
      <c r="I173" s="10"/>
      <c r="J173" s="10"/>
    </row>
    <row r="174" spans="1:10" ht="15.6" x14ac:dyDescent="0.3">
      <c r="A174" s="9" t="s">
        <v>33</v>
      </c>
      <c r="B174" s="10">
        <v>100</v>
      </c>
      <c r="C174" s="10" t="s">
        <v>34</v>
      </c>
      <c r="D174" s="10">
        <v>4.8</v>
      </c>
      <c r="E174" s="10" t="s">
        <v>34</v>
      </c>
      <c r="F174" s="11">
        <v>1.0254777100000001</v>
      </c>
      <c r="G174" s="11">
        <v>1.6049720000000001</v>
      </c>
      <c r="H174" s="10"/>
      <c r="I174" s="10"/>
      <c r="J174" s="10"/>
    </row>
    <row r="175" spans="1:10" ht="15.6" x14ac:dyDescent="0.3">
      <c r="A175" s="9" t="s">
        <v>33</v>
      </c>
      <c r="B175" s="10">
        <v>100</v>
      </c>
      <c r="C175" s="10" t="s">
        <v>34</v>
      </c>
      <c r="D175" s="10">
        <v>4.8</v>
      </c>
      <c r="E175" s="10" t="s">
        <v>31</v>
      </c>
      <c r="F175" s="11">
        <v>1.0163376399999999</v>
      </c>
      <c r="G175" s="11">
        <v>1.6109789999999999</v>
      </c>
      <c r="H175" s="10"/>
      <c r="I175" s="10"/>
      <c r="J175" s="10"/>
    </row>
    <row r="176" spans="1:10" ht="15.6" x14ac:dyDescent="0.3">
      <c r="A176" s="9" t="s">
        <v>33</v>
      </c>
      <c r="B176" s="10">
        <v>100</v>
      </c>
      <c r="C176" s="10" t="s">
        <v>14</v>
      </c>
      <c r="D176" s="10">
        <v>5</v>
      </c>
      <c r="E176" s="10" t="s">
        <v>14</v>
      </c>
      <c r="F176" s="11">
        <v>1.0250990799999999</v>
      </c>
      <c r="G176" s="11">
        <v>1.605505</v>
      </c>
      <c r="H176" s="10"/>
      <c r="I176" s="10"/>
      <c r="J176" s="10"/>
    </row>
    <row r="177" spans="1:10" ht="15.6" x14ac:dyDescent="0.3">
      <c r="A177" s="9" t="s">
        <v>33</v>
      </c>
      <c r="B177" s="10">
        <v>100</v>
      </c>
      <c r="C177" s="10" t="s">
        <v>15</v>
      </c>
      <c r="D177" s="10">
        <v>6</v>
      </c>
      <c r="E177" s="10" t="s">
        <v>16</v>
      </c>
      <c r="F177" s="11">
        <v>1.0157016699999999</v>
      </c>
      <c r="G177" s="11">
        <v>1.608247</v>
      </c>
      <c r="H177" s="10"/>
      <c r="I177" s="10"/>
      <c r="J177" s="10"/>
    </row>
    <row r="178" spans="1:10" ht="15.6" x14ac:dyDescent="0.3">
      <c r="A178" s="9" t="s">
        <v>33</v>
      </c>
      <c r="B178" s="10">
        <v>100</v>
      </c>
      <c r="C178" s="10" t="s">
        <v>17</v>
      </c>
      <c r="D178" s="10">
        <v>7.2</v>
      </c>
      <c r="E178" s="10" t="s">
        <v>17</v>
      </c>
      <c r="F178" s="11">
        <v>1.0247933899999999</v>
      </c>
      <c r="G178" s="11">
        <v>1.6019110000000001</v>
      </c>
      <c r="H178" s="10"/>
      <c r="I178" s="10"/>
      <c r="J178" s="10"/>
    </row>
    <row r="179" spans="1:10" ht="15.6" x14ac:dyDescent="0.3">
      <c r="A179" s="9" t="s">
        <v>33</v>
      </c>
      <c r="B179" s="10">
        <v>100</v>
      </c>
      <c r="C179" s="10" t="s">
        <v>18</v>
      </c>
      <c r="D179" s="10">
        <v>10</v>
      </c>
      <c r="E179" s="10" t="s">
        <v>18</v>
      </c>
      <c r="F179" s="11">
        <v>1.0250990799999999</v>
      </c>
      <c r="G179" s="11">
        <v>1.605505</v>
      </c>
      <c r="H179" s="10"/>
      <c r="I179" s="10"/>
      <c r="J179" s="10"/>
    </row>
    <row r="180" spans="1:10" ht="15.6" x14ac:dyDescent="0.3">
      <c r="A180" s="9" t="s">
        <v>33</v>
      </c>
      <c r="B180" s="10">
        <v>100</v>
      </c>
      <c r="C180" s="10" t="s">
        <v>16</v>
      </c>
      <c r="D180" s="10">
        <v>12</v>
      </c>
      <c r="E180" s="10" t="s">
        <v>19</v>
      </c>
      <c r="F180" s="11">
        <v>1.0163776499999999</v>
      </c>
      <c r="G180" s="11">
        <v>1.611486</v>
      </c>
      <c r="H180" s="10"/>
      <c r="I180" s="10"/>
      <c r="J180" s="10"/>
    </row>
    <row r="181" spans="1:10" ht="15.6" x14ac:dyDescent="0.3">
      <c r="A181" s="9" t="s">
        <v>33</v>
      </c>
      <c r="B181" s="10">
        <v>100</v>
      </c>
      <c r="C181" s="10" t="s">
        <v>20</v>
      </c>
      <c r="D181" s="10">
        <v>14.4</v>
      </c>
      <c r="E181" s="10" t="s">
        <v>20</v>
      </c>
      <c r="F181" s="11">
        <v>1.0257466500000001</v>
      </c>
      <c r="G181" s="11">
        <v>1.6035710000000001</v>
      </c>
      <c r="H181" s="10"/>
      <c r="I181" s="10"/>
      <c r="J181" s="10"/>
    </row>
    <row r="182" spans="1:10" ht="15.6" x14ac:dyDescent="0.3">
      <c r="A182" s="9" t="s">
        <v>33</v>
      </c>
      <c r="B182" s="10">
        <v>100</v>
      </c>
      <c r="C182" s="10" t="s">
        <v>35</v>
      </c>
      <c r="D182" s="10">
        <v>38.4</v>
      </c>
      <c r="E182" s="10" t="s">
        <v>35</v>
      </c>
      <c r="F182" s="11">
        <v>1.02476415</v>
      </c>
      <c r="G182" s="11">
        <v>1.606557</v>
      </c>
      <c r="H182" s="10"/>
      <c r="I182" s="10"/>
      <c r="J182" s="10"/>
    </row>
    <row r="183" spans="1:10" ht="15.6" x14ac:dyDescent="0.3">
      <c r="A183" s="9" t="s">
        <v>33</v>
      </c>
      <c r="B183" s="10">
        <v>100</v>
      </c>
      <c r="C183" s="10" t="s">
        <v>22</v>
      </c>
      <c r="D183" s="10">
        <v>38.4</v>
      </c>
      <c r="E183" s="10" t="s">
        <v>36</v>
      </c>
      <c r="F183" s="11">
        <v>1.01633606</v>
      </c>
      <c r="G183" s="11">
        <v>1.608163</v>
      </c>
      <c r="H183" s="10"/>
      <c r="I183" s="10"/>
      <c r="J183" s="10"/>
    </row>
    <row r="184" spans="1:10" ht="15.6" x14ac:dyDescent="0.3">
      <c r="A184" s="9" t="s">
        <v>33</v>
      </c>
      <c r="B184" s="10">
        <v>120</v>
      </c>
      <c r="C184" s="10" t="s">
        <v>13</v>
      </c>
      <c r="D184" s="10">
        <v>2</v>
      </c>
      <c r="E184" s="10" t="s">
        <v>13</v>
      </c>
      <c r="F184" s="11">
        <v>1.0187725599999999</v>
      </c>
      <c r="G184" s="11">
        <v>1.5443929999999999</v>
      </c>
      <c r="H184" s="10"/>
      <c r="I184" s="10"/>
      <c r="J184" s="10"/>
    </row>
    <row r="185" spans="1:10" ht="15.6" x14ac:dyDescent="0.3">
      <c r="A185" s="9" t="s">
        <v>33</v>
      </c>
      <c r="B185" s="10">
        <v>120</v>
      </c>
      <c r="C185" s="10" t="s">
        <v>26</v>
      </c>
      <c r="D185" s="10">
        <v>3.6</v>
      </c>
      <c r="E185" s="10" t="s">
        <v>26</v>
      </c>
      <c r="F185" s="11">
        <v>1.0191793</v>
      </c>
      <c r="G185" s="11">
        <v>1.5440119999999999</v>
      </c>
      <c r="H185" s="10"/>
      <c r="I185" s="10"/>
      <c r="J185" s="10"/>
    </row>
    <row r="186" spans="1:10" ht="15.6" x14ac:dyDescent="0.3">
      <c r="A186" s="9" t="s">
        <v>33</v>
      </c>
      <c r="B186" s="10">
        <v>120</v>
      </c>
      <c r="C186" s="10" t="s">
        <v>34</v>
      </c>
      <c r="D186" s="10">
        <v>4.8</v>
      </c>
      <c r="E186" s="10" t="s">
        <v>34</v>
      </c>
      <c r="F186" s="11">
        <v>1.01941748</v>
      </c>
      <c r="G186" s="11">
        <v>1.5447409999999999</v>
      </c>
      <c r="H186" s="10"/>
      <c r="I186" s="10"/>
      <c r="J186" s="10"/>
    </row>
    <row r="187" spans="1:10" ht="15.6" x14ac:dyDescent="0.3">
      <c r="A187" s="9" t="s">
        <v>33</v>
      </c>
      <c r="B187" s="10">
        <v>120</v>
      </c>
      <c r="C187" s="10" t="s">
        <v>34</v>
      </c>
      <c r="D187" s="10">
        <v>4.8</v>
      </c>
      <c r="E187" s="10" t="s">
        <v>31</v>
      </c>
      <c r="F187" s="11">
        <v>1.01233046</v>
      </c>
      <c r="G187" s="11">
        <v>1.54</v>
      </c>
      <c r="H187" s="10"/>
      <c r="I187" s="10"/>
      <c r="J187" s="10"/>
    </row>
    <row r="188" spans="1:10" ht="15.6" x14ac:dyDescent="0.3">
      <c r="A188" s="9" t="s">
        <v>33</v>
      </c>
      <c r="B188" s="10">
        <v>120</v>
      </c>
      <c r="C188" s="10" t="s">
        <v>14</v>
      </c>
      <c r="D188" s="10">
        <v>5</v>
      </c>
      <c r="E188" s="10" t="s">
        <v>14</v>
      </c>
      <c r="F188" s="11">
        <v>1.0193236699999999</v>
      </c>
      <c r="G188" s="11">
        <v>1.5442709999999999</v>
      </c>
      <c r="H188" s="10"/>
      <c r="I188" s="10"/>
      <c r="J188" s="10"/>
    </row>
    <row r="189" spans="1:10" ht="15.6" x14ac:dyDescent="0.3">
      <c r="A189" s="9" t="s">
        <v>33</v>
      </c>
      <c r="B189" s="10">
        <v>120</v>
      </c>
      <c r="C189" s="10" t="s">
        <v>15</v>
      </c>
      <c r="D189" s="10">
        <v>6</v>
      </c>
      <c r="E189" s="10" t="s">
        <v>16</v>
      </c>
      <c r="F189" s="11">
        <v>1.0124481299999999</v>
      </c>
      <c r="G189" s="11">
        <v>1.5403849999999999</v>
      </c>
      <c r="H189" s="10"/>
      <c r="I189" s="10"/>
      <c r="J189" s="10"/>
    </row>
    <row r="190" spans="1:10" ht="15.6" x14ac:dyDescent="0.3">
      <c r="A190" s="9" t="s">
        <v>33</v>
      </c>
      <c r="B190" s="10">
        <v>120</v>
      </c>
      <c r="C190" s="10" t="s">
        <v>17</v>
      </c>
      <c r="D190" s="10">
        <v>7.2</v>
      </c>
      <c r="E190" s="10" t="s">
        <v>17</v>
      </c>
      <c r="F190" s="11">
        <v>1.0190369500000001</v>
      </c>
      <c r="G190" s="11">
        <v>1.5452900000000001</v>
      </c>
      <c r="H190" s="10"/>
      <c r="I190" s="10"/>
      <c r="J190" s="10"/>
    </row>
    <row r="191" spans="1:10" ht="15.6" x14ac:dyDescent="0.3">
      <c r="A191" s="9" t="s">
        <v>33</v>
      </c>
      <c r="B191" s="10">
        <v>120</v>
      </c>
      <c r="C191" s="10" t="s">
        <v>18</v>
      </c>
      <c r="D191" s="10">
        <v>10</v>
      </c>
      <c r="E191" s="10" t="s">
        <v>18</v>
      </c>
      <c r="F191" s="11">
        <v>1.0193236699999999</v>
      </c>
      <c r="G191" s="11">
        <v>1.5442709999999999</v>
      </c>
      <c r="H191" s="10"/>
      <c r="I191" s="10"/>
      <c r="J191" s="10"/>
    </row>
    <row r="192" spans="1:10" ht="15.6" x14ac:dyDescent="0.3">
      <c r="A192" s="9" t="s">
        <v>33</v>
      </c>
      <c r="B192" s="10">
        <v>120</v>
      </c>
      <c r="C192" s="10" t="s">
        <v>16</v>
      </c>
      <c r="D192" s="10">
        <v>12</v>
      </c>
      <c r="E192" s="10" t="s">
        <v>19</v>
      </c>
      <c r="F192" s="11">
        <v>1.0127981399999999</v>
      </c>
      <c r="G192" s="11">
        <v>1.539623</v>
      </c>
      <c r="H192" s="10"/>
      <c r="I192" s="10"/>
      <c r="J192" s="10"/>
    </row>
    <row r="193" spans="1:10" ht="15.6" x14ac:dyDescent="0.3">
      <c r="A193" s="9" t="s">
        <v>33</v>
      </c>
      <c r="B193" s="10">
        <v>120</v>
      </c>
      <c r="C193" s="10" t="s">
        <v>20</v>
      </c>
      <c r="D193" s="10">
        <v>14.4</v>
      </c>
      <c r="E193" s="10" t="s">
        <v>20</v>
      </c>
      <c r="F193" s="11">
        <v>1.0194601400000001</v>
      </c>
      <c r="G193" s="11">
        <v>1.5436110000000001</v>
      </c>
      <c r="H193" s="10"/>
      <c r="I193" s="10"/>
      <c r="J193" s="10"/>
    </row>
    <row r="194" spans="1:10" ht="15.6" x14ac:dyDescent="0.3">
      <c r="A194" s="9" t="s">
        <v>33</v>
      </c>
      <c r="B194" s="10">
        <v>120</v>
      </c>
      <c r="C194" s="10" t="s">
        <v>35</v>
      </c>
      <c r="D194" s="10">
        <v>38.4</v>
      </c>
      <c r="E194" s="10" t="s">
        <v>35</v>
      </c>
      <c r="F194" s="11">
        <v>1.01869159</v>
      </c>
      <c r="G194" s="11">
        <v>1.5441860000000001</v>
      </c>
      <c r="H194" s="10"/>
      <c r="I194" s="10"/>
      <c r="J194" s="10"/>
    </row>
    <row r="195" spans="1:10" ht="15.6" x14ac:dyDescent="0.3">
      <c r="A195" s="9" t="s">
        <v>33</v>
      </c>
      <c r="B195" s="10">
        <v>120</v>
      </c>
      <c r="C195" s="10" t="s">
        <v>22</v>
      </c>
      <c r="D195" s="10">
        <v>38.4</v>
      </c>
      <c r="E195" s="10" t="s">
        <v>36</v>
      </c>
      <c r="F195" s="11">
        <v>1.0126849899999999</v>
      </c>
      <c r="G195" s="11">
        <v>1.5423340000000001</v>
      </c>
      <c r="H195" s="10"/>
      <c r="I195" s="10"/>
      <c r="J195" s="10"/>
    </row>
    <row r="196" spans="1:10" ht="15.6" x14ac:dyDescent="0.3">
      <c r="A196" s="9" t="s">
        <v>33</v>
      </c>
      <c r="B196" s="10">
        <v>140</v>
      </c>
      <c r="C196" s="10" t="s">
        <v>13</v>
      </c>
      <c r="D196" s="10">
        <v>2</v>
      </c>
      <c r="E196" s="10" t="s">
        <v>13</v>
      </c>
      <c r="F196" s="11">
        <v>1.01778656</v>
      </c>
      <c r="G196" s="11">
        <v>1.5129379999999999</v>
      </c>
      <c r="H196" s="10"/>
      <c r="I196" s="10"/>
      <c r="J196" s="10"/>
    </row>
    <row r="197" spans="1:10" ht="15.6" x14ac:dyDescent="0.3">
      <c r="A197" s="9" t="s">
        <v>33</v>
      </c>
      <c r="B197" s="10">
        <v>140</v>
      </c>
      <c r="C197" s="10" t="s">
        <v>26</v>
      </c>
      <c r="D197" s="10">
        <v>3.6</v>
      </c>
      <c r="E197" s="10" t="s">
        <v>26</v>
      </c>
      <c r="F197" s="11">
        <v>1.0176991200000001</v>
      </c>
      <c r="G197" s="11">
        <v>1.5122180000000001</v>
      </c>
      <c r="H197" s="10"/>
      <c r="I197" s="10"/>
      <c r="J197" s="10"/>
    </row>
    <row r="198" spans="1:10" ht="15.6" x14ac:dyDescent="0.3">
      <c r="A198" s="9" t="s">
        <v>33</v>
      </c>
      <c r="B198" s="10">
        <v>140</v>
      </c>
      <c r="C198" s="10" t="s">
        <v>34</v>
      </c>
      <c r="D198" s="10">
        <v>4.8</v>
      </c>
      <c r="E198" s="10" t="s">
        <v>34</v>
      </c>
      <c r="F198" s="11">
        <v>1.01759628</v>
      </c>
      <c r="G198" s="11">
        <v>1.51227</v>
      </c>
      <c r="H198" s="10"/>
      <c r="I198" s="10"/>
      <c r="J198" s="10"/>
    </row>
    <row r="199" spans="1:10" ht="15.6" x14ac:dyDescent="0.3">
      <c r="A199" s="9" t="s">
        <v>33</v>
      </c>
      <c r="B199" s="10">
        <v>140</v>
      </c>
      <c r="C199" s="10" t="s">
        <v>34</v>
      </c>
      <c r="D199" s="10">
        <v>4.8</v>
      </c>
      <c r="E199" s="10" t="s">
        <v>31</v>
      </c>
      <c r="F199" s="11">
        <v>1.0132743399999999</v>
      </c>
      <c r="G199" s="11">
        <v>1.520276</v>
      </c>
      <c r="H199" s="10"/>
      <c r="I199" s="10"/>
      <c r="J199" s="10"/>
    </row>
    <row r="200" spans="1:10" ht="15.6" x14ac:dyDescent="0.3">
      <c r="A200" s="9" t="s">
        <v>33</v>
      </c>
      <c r="B200" s="10">
        <v>140</v>
      </c>
      <c r="C200" s="10" t="s">
        <v>14</v>
      </c>
      <c r="D200" s="10">
        <v>5</v>
      </c>
      <c r="E200" s="10" t="s">
        <v>14</v>
      </c>
      <c r="F200" s="11">
        <v>1.0176211500000001</v>
      </c>
      <c r="G200" s="11">
        <v>1.5127330000000001</v>
      </c>
      <c r="H200" s="10"/>
      <c r="I200" s="10"/>
      <c r="J200" s="10"/>
    </row>
    <row r="201" spans="1:10" ht="15.6" x14ac:dyDescent="0.3">
      <c r="A201" s="9" t="s">
        <v>33</v>
      </c>
      <c r="B201" s="10">
        <v>140</v>
      </c>
      <c r="C201" s="10" t="s">
        <v>15</v>
      </c>
      <c r="D201" s="10">
        <v>6</v>
      </c>
      <c r="E201" s="10" t="s">
        <v>16</v>
      </c>
      <c r="F201" s="11">
        <v>1.0131631400000001</v>
      </c>
      <c r="G201" s="11">
        <v>1.521793</v>
      </c>
      <c r="H201" s="10"/>
      <c r="I201" s="10"/>
      <c r="J201" s="10"/>
    </row>
    <row r="202" spans="1:10" ht="15.6" x14ac:dyDescent="0.3">
      <c r="A202" s="9" t="s">
        <v>33</v>
      </c>
      <c r="B202" s="10">
        <v>140</v>
      </c>
      <c r="C202" s="10" t="s">
        <v>17</v>
      </c>
      <c r="D202" s="10">
        <v>7.2</v>
      </c>
      <c r="E202" s="10" t="s">
        <v>17</v>
      </c>
      <c r="F202" s="11">
        <v>1.0172347799999999</v>
      </c>
      <c r="G202" s="11">
        <v>1.512397</v>
      </c>
      <c r="H202" s="10"/>
      <c r="I202" s="10"/>
      <c r="J202" s="10"/>
    </row>
    <row r="203" spans="1:10" ht="15.6" x14ac:dyDescent="0.3">
      <c r="A203" s="9" t="s">
        <v>33</v>
      </c>
      <c r="B203" s="10">
        <v>140</v>
      </c>
      <c r="C203" s="10" t="s">
        <v>18</v>
      </c>
      <c r="D203" s="10">
        <v>10</v>
      </c>
      <c r="E203" s="10" t="s">
        <v>18</v>
      </c>
      <c r="F203" s="11">
        <v>1.0176211500000001</v>
      </c>
      <c r="G203" s="11">
        <v>1.5127330000000001</v>
      </c>
      <c r="H203" s="10"/>
      <c r="I203" s="10"/>
      <c r="J203" s="10"/>
    </row>
    <row r="204" spans="1:10" ht="15.6" x14ac:dyDescent="0.3">
      <c r="A204" s="9" t="s">
        <v>33</v>
      </c>
      <c r="B204" s="10">
        <v>140</v>
      </c>
      <c r="C204" s="10" t="s">
        <v>16</v>
      </c>
      <c r="D204" s="10">
        <v>12</v>
      </c>
      <c r="E204" s="10" t="s">
        <v>19</v>
      </c>
      <c r="F204" s="11">
        <v>1.0133072400000001</v>
      </c>
      <c r="G204" s="11">
        <v>1.5201469999999999</v>
      </c>
      <c r="H204" s="10"/>
      <c r="I204" s="10"/>
      <c r="J204" s="10"/>
    </row>
    <row r="205" spans="1:10" ht="15.6" x14ac:dyDescent="0.3">
      <c r="A205" s="9" t="s">
        <v>33</v>
      </c>
      <c r="B205" s="10">
        <v>140</v>
      </c>
      <c r="C205" s="10" t="s">
        <v>20</v>
      </c>
      <c r="D205" s="10">
        <v>14.4</v>
      </c>
      <c r="E205" s="10" t="s">
        <v>20</v>
      </c>
      <c r="F205" s="11">
        <v>1.0171673800000001</v>
      </c>
      <c r="G205" s="11">
        <v>1.5119050000000001</v>
      </c>
      <c r="H205" s="10"/>
      <c r="I205" s="10"/>
      <c r="J205" s="10"/>
    </row>
    <row r="206" spans="1:10" ht="15.6" x14ac:dyDescent="0.3">
      <c r="A206" s="9" t="s">
        <v>33</v>
      </c>
      <c r="B206" s="10">
        <v>140</v>
      </c>
      <c r="C206" s="10" t="s">
        <v>35</v>
      </c>
      <c r="D206" s="10">
        <v>38.4</v>
      </c>
      <c r="E206" s="10" t="s">
        <v>35</v>
      </c>
      <c r="F206" s="11">
        <v>1.01770782</v>
      </c>
      <c r="G206" s="11">
        <v>1.512121</v>
      </c>
      <c r="H206" s="10"/>
      <c r="I206" s="10"/>
      <c r="J206" s="10"/>
    </row>
    <row r="207" spans="1:10" ht="15.6" x14ac:dyDescent="0.3">
      <c r="A207" s="9" t="s">
        <v>33</v>
      </c>
      <c r="B207" s="10">
        <v>140</v>
      </c>
      <c r="C207" s="10" t="s">
        <v>22</v>
      </c>
      <c r="D207" s="10">
        <v>38.4</v>
      </c>
      <c r="E207" s="10" t="s">
        <v>36</v>
      </c>
      <c r="F207" s="11">
        <v>1.0132764299999999</v>
      </c>
      <c r="G207" s="11">
        <v>1.52071</v>
      </c>
      <c r="H207" s="10"/>
      <c r="I207" s="10"/>
      <c r="J207" s="10"/>
    </row>
    <row r="208" spans="1:10" ht="15.6" x14ac:dyDescent="0.3">
      <c r="A208" s="9" t="s">
        <v>37</v>
      </c>
      <c r="B208" s="10">
        <v>70</v>
      </c>
      <c r="C208" s="10" t="s">
        <v>13</v>
      </c>
      <c r="D208" s="10">
        <v>2</v>
      </c>
      <c r="E208" s="10" t="s">
        <v>13</v>
      </c>
      <c r="F208" s="11">
        <v>1.0750988100000001</v>
      </c>
      <c r="G208" s="11">
        <v>1.87931</v>
      </c>
      <c r="H208" s="10"/>
      <c r="I208" s="10"/>
      <c r="J208" s="10"/>
    </row>
    <row r="209" spans="1:10" ht="15.6" x14ac:dyDescent="0.3">
      <c r="A209" s="9" t="s">
        <v>37</v>
      </c>
      <c r="B209" s="10">
        <v>70</v>
      </c>
      <c r="C209" s="10" t="s">
        <v>26</v>
      </c>
      <c r="D209" s="10">
        <v>3.6</v>
      </c>
      <c r="E209" s="10" t="s">
        <v>26</v>
      </c>
      <c r="F209" s="11">
        <v>1.0760095000000001</v>
      </c>
      <c r="G209" s="11">
        <v>1.8659790000000001</v>
      </c>
      <c r="H209" s="10"/>
      <c r="I209" s="10"/>
      <c r="J209" s="10"/>
    </row>
    <row r="210" spans="1:10" ht="15.6" x14ac:dyDescent="0.3">
      <c r="A210" s="9" t="s">
        <v>37</v>
      </c>
      <c r="B210" s="10">
        <v>70</v>
      </c>
      <c r="C210" s="10" t="s">
        <v>14</v>
      </c>
      <c r="D210" s="10">
        <v>5</v>
      </c>
      <c r="E210" s="10" t="s">
        <v>14</v>
      </c>
      <c r="F210" s="11">
        <v>1.07786885</v>
      </c>
      <c r="G210" s="11">
        <v>1.875</v>
      </c>
      <c r="H210" s="10"/>
      <c r="I210" s="10"/>
      <c r="J210" s="10"/>
    </row>
    <row r="211" spans="1:10" ht="15.6" x14ac:dyDescent="0.3">
      <c r="A211" s="9" t="s">
        <v>37</v>
      </c>
      <c r="B211" s="10">
        <v>70</v>
      </c>
      <c r="C211" s="10" t="s">
        <v>18</v>
      </c>
      <c r="D211" s="10">
        <v>10</v>
      </c>
      <c r="E211" s="10" t="s">
        <v>18</v>
      </c>
      <c r="F211" s="11">
        <v>1.07786885</v>
      </c>
      <c r="G211" s="11">
        <v>1.875</v>
      </c>
      <c r="H211" s="10"/>
      <c r="I211" s="10"/>
      <c r="J211" s="10"/>
    </row>
    <row r="212" spans="1:10" ht="15.6" x14ac:dyDescent="0.3">
      <c r="A212" s="9" t="s">
        <v>37</v>
      </c>
      <c r="B212" s="10">
        <v>70</v>
      </c>
      <c r="C212" s="10" t="s">
        <v>20</v>
      </c>
      <c r="D212" s="10">
        <v>14.4</v>
      </c>
      <c r="E212" s="10" t="s">
        <v>20</v>
      </c>
      <c r="F212" s="11">
        <v>1.07758621</v>
      </c>
      <c r="G212" s="11">
        <v>1.875</v>
      </c>
      <c r="H212" s="10"/>
      <c r="I212" s="10"/>
      <c r="J212" s="10"/>
    </row>
    <row r="213" spans="1:10" ht="15.6" x14ac:dyDescent="0.3">
      <c r="A213" s="9" t="s">
        <v>37</v>
      </c>
      <c r="B213" s="10">
        <v>70</v>
      </c>
      <c r="C213" s="10" t="s">
        <v>21</v>
      </c>
      <c r="D213" s="10">
        <v>19.2</v>
      </c>
      <c r="E213" s="10" t="s">
        <v>21</v>
      </c>
      <c r="F213" s="11">
        <v>1.0763636400000001</v>
      </c>
      <c r="G213" s="11">
        <v>1.84375</v>
      </c>
      <c r="H213" s="10"/>
      <c r="I213" s="10"/>
      <c r="J213" s="10"/>
    </row>
    <row r="214" spans="1:10" ht="15.6" x14ac:dyDescent="0.3">
      <c r="A214" s="9" t="s">
        <v>37</v>
      </c>
      <c r="B214" s="10">
        <v>70</v>
      </c>
      <c r="C214" s="10" t="s">
        <v>21</v>
      </c>
      <c r="D214" s="10">
        <v>19.2</v>
      </c>
      <c r="E214" s="10" t="s">
        <v>22</v>
      </c>
      <c r="F214" s="11">
        <v>1.0743243200000001</v>
      </c>
      <c r="G214" s="11">
        <v>1.8676470000000001</v>
      </c>
      <c r="H214" s="10"/>
      <c r="I214" s="10"/>
      <c r="J214" s="10"/>
    </row>
    <row r="215" spans="1:10" ht="15.6" x14ac:dyDescent="0.3">
      <c r="A215" s="9" t="s">
        <v>37</v>
      </c>
      <c r="B215" s="10">
        <v>70</v>
      </c>
      <c r="C215" s="10" t="s">
        <v>21</v>
      </c>
      <c r="D215" s="10">
        <v>19.2</v>
      </c>
      <c r="E215" s="10" t="s">
        <v>22</v>
      </c>
      <c r="F215" s="11">
        <v>1.07738095</v>
      </c>
      <c r="G215" s="11">
        <v>1.8461540000000001</v>
      </c>
      <c r="H215" s="10"/>
      <c r="I215" s="10"/>
      <c r="J215" s="10"/>
    </row>
    <row r="216" spans="1:10" ht="15.6" x14ac:dyDescent="0.3">
      <c r="A216" s="9" t="s">
        <v>37</v>
      </c>
      <c r="B216" s="10">
        <v>70</v>
      </c>
      <c r="C216" s="10" t="s">
        <v>38</v>
      </c>
      <c r="D216" s="10">
        <v>28.8</v>
      </c>
      <c r="E216" s="10" t="s">
        <v>39</v>
      </c>
      <c r="F216" s="11">
        <v>1.0754098400000001</v>
      </c>
      <c r="G216" s="11">
        <v>1.871429</v>
      </c>
      <c r="H216" s="10"/>
      <c r="I216" s="10"/>
      <c r="J216" s="10"/>
    </row>
    <row r="217" spans="1:10" ht="15.6" x14ac:dyDescent="0.3">
      <c r="A217" s="9" t="s">
        <v>37</v>
      </c>
      <c r="B217" s="10">
        <v>70</v>
      </c>
      <c r="C217" s="10" t="s">
        <v>22</v>
      </c>
      <c r="D217" s="10">
        <v>38.4</v>
      </c>
      <c r="E217" s="10" t="s">
        <v>40</v>
      </c>
      <c r="F217" s="11">
        <v>1.0758620699999999</v>
      </c>
      <c r="G217" s="11">
        <v>1.850746</v>
      </c>
      <c r="H217" s="10"/>
      <c r="I217" s="10"/>
      <c r="J217" s="10"/>
    </row>
    <row r="218" spans="1:10" ht="15.6" x14ac:dyDescent="0.3">
      <c r="A218" s="9" t="s">
        <v>37</v>
      </c>
      <c r="B218" s="10">
        <v>70</v>
      </c>
      <c r="C218" s="10" t="s">
        <v>39</v>
      </c>
      <c r="D218" s="10">
        <v>57.6</v>
      </c>
      <c r="E218" s="10" t="s">
        <v>41</v>
      </c>
      <c r="F218" s="11">
        <v>1.0772058799999999</v>
      </c>
      <c r="G218" s="11">
        <v>1.857143</v>
      </c>
      <c r="H218" s="10"/>
      <c r="I218" s="10"/>
      <c r="J218" s="10"/>
    </row>
    <row r="219" spans="1:10" ht="15.6" x14ac:dyDescent="0.3">
      <c r="A219" s="9" t="s">
        <v>37</v>
      </c>
      <c r="B219" s="10">
        <v>70</v>
      </c>
      <c r="C219" s="10" t="s">
        <v>42</v>
      </c>
      <c r="D219" s="10">
        <v>28.8</v>
      </c>
      <c r="E219" s="10" t="s">
        <v>42</v>
      </c>
      <c r="F219" s="11">
        <v>1.07666667</v>
      </c>
      <c r="G219" s="11">
        <v>1.8695649999999999</v>
      </c>
      <c r="H219" s="10"/>
      <c r="I219" s="10"/>
      <c r="J219" s="10"/>
    </row>
    <row r="220" spans="1:10" ht="15.6" x14ac:dyDescent="0.3">
      <c r="A220" s="9" t="s">
        <v>37</v>
      </c>
      <c r="B220" s="10">
        <v>70</v>
      </c>
      <c r="C220" s="10" t="s">
        <v>43</v>
      </c>
      <c r="D220" s="10">
        <v>57.6</v>
      </c>
      <c r="E220" s="10" t="s">
        <v>43</v>
      </c>
      <c r="F220" s="11">
        <v>1.0732600699999999</v>
      </c>
      <c r="G220" s="11">
        <v>1.857143</v>
      </c>
      <c r="H220" s="10"/>
      <c r="I220" s="10"/>
      <c r="J220" s="10"/>
    </row>
    <row r="221" spans="1:10" ht="15.6" x14ac:dyDescent="0.3">
      <c r="A221" s="9" t="s">
        <v>37</v>
      </c>
      <c r="B221" s="10">
        <v>80</v>
      </c>
      <c r="C221" s="10" t="s">
        <v>13</v>
      </c>
      <c r="D221" s="10">
        <v>2</v>
      </c>
      <c r="E221" s="10" t="s">
        <v>13</v>
      </c>
      <c r="F221" s="11">
        <v>1.04950495</v>
      </c>
      <c r="G221" s="11">
        <v>1.7281550000000001</v>
      </c>
      <c r="H221" s="10"/>
      <c r="I221" s="10"/>
      <c r="J221" s="10"/>
    </row>
    <row r="222" spans="1:10" ht="15.6" x14ac:dyDescent="0.3">
      <c r="A222" s="9" t="s">
        <v>37</v>
      </c>
      <c r="B222" s="10">
        <v>80</v>
      </c>
      <c r="C222" s="10" t="s">
        <v>26</v>
      </c>
      <c r="D222" s="10">
        <v>3.6</v>
      </c>
      <c r="E222" s="10" t="s">
        <v>26</v>
      </c>
      <c r="F222" s="11">
        <v>1.05052006</v>
      </c>
      <c r="G222" s="11">
        <v>1.7267440000000001</v>
      </c>
      <c r="H222" s="10"/>
      <c r="I222" s="10"/>
      <c r="J222" s="10"/>
    </row>
    <row r="223" spans="1:10" ht="15.6" x14ac:dyDescent="0.3">
      <c r="A223" s="9" t="s">
        <v>37</v>
      </c>
      <c r="B223" s="10">
        <v>80</v>
      </c>
      <c r="C223" s="10" t="s">
        <v>14</v>
      </c>
      <c r="D223" s="10">
        <v>5</v>
      </c>
      <c r="E223" s="10" t="s">
        <v>14</v>
      </c>
      <c r="F223" s="11">
        <v>1.05128205</v>
      </c>
      <c r="G223" s="11">
        <v>1.72</v>
      </c>
      <c r="H223" s="10"/>
      <c r="I223" s="10"/>
      <c r="J223" s="10"/>
    </row>
    <row r="224" spans="1:10" ht="15.6" x14ac:dyDescent="0.3">
      <c r="A224" s="9" t="s">
        <v>37</v>
      </c>
      <c r="B224" s="10">
        <v>80</v>
      </c>
      <c r="C224" s="10" t="s">
        <v>18</v>
      </c>
      <c r="D224" s="10">
        <v>10</v>
      </c>
      <c r="E224" s="10" t="s">
        <v>18</v>
      </c>
      <c r="F224" s="11">
        <v>1.05128205</v>
      </c>
      <c r="G224" s="11">
        <v>1.72</v>
      </c>
      <c r="H224" s="10"/>
      <c r="I224" s="10"/>
      <c r="J224" s="10"/>
    </row>
    <row r="225" spans="1:10" ht="15.6" x14ac:dyDescent="0.3">
      <c r="A225" s="9" t="s">
        <v>37</v>
      </c>
      <c r="B225" s="10">
        <v>80</v>
      </c>
      <c r="C225" s="10" t="s">
        <v>20</v>
      </c>
      <c r="D225" s="10">
        <v>14.4</v>
      </c>
      <c r="E225" s="10" t="s">
        <v>20</v>
      </c>
      <c r="F225" s="11">
        <v>1.0521582700000001</v>
      </c>
      <c r="G225" s="11">
        <v>1.732394</v>
      </c>
      <c r="H225" s="10"/>
      <c r="I225" s="10"/>
      <c r="J225" s="10"/>
    </row>
    <row r="226" spans="1:10" ht="15.6" x14ac:dyDescent="0.3">
      <c r="A226" s="9" t="s">
        <v>37</v>
      </c>
      <c r="B226" s="10">
        <v>80</v>
      </c>
      <c r="C226" s="10" t="s">
        <v>21</v>
      </c>
      <c r="D226" s="10">
        <v>19.2</v>
      </c>
      <c r="E226" s="10" t="s">
        <v>21</v>
      </c>
      <c r="F226" s="11">
        <v>1.0522727300000001</v>
      </c>
      <c r="G226" s="11">
        <v>1.732143</v>
      </c>
      <c r="H226" s="10"/>
      <c r="I226" s="10"/>
      <c r="J226" s="10"/>
    </row>
    <row r="227" spans="1:10" ht="15.6" x14ac:dyDescent="0.3">
      <c r="A227" s="9" t="s">
        <v>37</v>
      </c>
      <c r="B227" s="10">
        <v>80</v>
      </c>
      <c r="C227" s="10" t="s">
        <v>21</v>
      </c>
      <c r="D227" s="10">
        <v>19.2</v>
      </c>
      <c r="E227" s="10" t="s">
        <v>22</v>
      </c>
      <c r="F227" s="11">
        <v>1.0529660999999999</v>
      </c>
      <c r="G227" s="11">
        <v>1.7190080000000001</v>
      </c>
      <c r="H227" s="10"/>
      <c r="I227" s="10"/>
      <c r="J227" s="10"/>
    </row>
    <row r="228" spans="1:10" ht="15.6" x14ac:dyDescent="0.3">
      <c r="A228" s="9" t="s">
        <v>37</v>
      </c>
      <c r="B228" s="10">
        <v>80</v>
      </c>
      <c r="C228" s="10" t="s">
        <v>21</v>
      </c>
      <c r="D228" s="10">
        <v>19.2</v>
      </c>
      <c r="E228" s="10" t="s">
        <v>22</v>
      </c>
      <c r="F228" s="11">
        <v>1.0521415300000001</v>
      </c>
      <c r="G228" s="11">
        <v>1.729927</v>
      </c>
      <c r="H228" s="10"/>
      <c r="I228" s="10"/>
      <c r="J228" s="10"/>
    </row>
    <row r="229" spans="1:10" ht="15.6" x14ac:dyDescent="0.3">
      <c r="A229" s="9" t="s">
        <v>37</v>
      </c>
      <c r="B229" s="10">
        <v>80</v>
      </c>
      <c r="C229" s="10" t="s">
        <v>38</v>
      </c>
      <c r="D229" s="10">
        <v>28.8</v>
      </c>
      <c r="E229" s="10" t="s">
        <v>39</v>
      </c>
      <c r="F229" s="11">
        <v>1.0513347</v>
      </c>
      <c r="G229" s="11">
        <v>1.7338709999999999</v>
      </c>
      <c r="H229" s="10"/>
      <c r="I229" s="10"/>
      <c r="J229" s="10"/>
    </row>
    <row r="230" spans="1:10" ht="15.6" x14ac:dyDescent="0.3">
      <c r="A230" s="9" t="s">
        <v>37</v>
      </c>
      <c r="B230" s="10">
        <v>80</v>
      </c>
      <c r="C230" s="10" t="s">
        <v>22</v>
      </c>
      <c r="D230" s="10">
        <v>38.4</v>
      </c>
      <c r="E230" s="10" t="s">
        <v>40</v>
      </c>
      <c r="F230" s="11">
        <v>1.05194805</v>
      </c>
      <c r="G230" s="11">
        <v>1.7288140000000001</v>
      </c>
      <c r="H230" s="10"/>
      <c r="I230" s="10"/>
      <c r="J230" s="10"/>
    </row>
    <row r="231" spans="1:10" ht="15.6" x14ac:dyDescent="0.3">
      <c r="A231" s="9" t="s">
        <v>37</v>
      </c>
      <c r="B231" s="10">
        <v>80</v>
      </c>
      <c r="C231" s="10" t="s">
        <v>39</v>
      </c>
      <c r="D231" s="10">
        <v>57.6</v>
      </c>
      <c r="E231" s="10" t="s">
        <v>41</v>
      </c>
      <c r="F231" s="11">
        <v>1.0528735600000001</v>
      </c>
      <c r="G231" s="11">
        <v>1.72973</v>
      </c>
      <c r="H231" s="10"/>
      <c r="I231" s="10"/>
      <c r="J231" s="10"/>
    </row>
    <row r="232" spans="1:10" ht="15.6" x14ac:dyDescent="0.3">
      <c r="A232" s="9" t="s">
        <v>37</v>
      </c>
      <c r="B232" s="10">
        <v>80</v>
      </c>
      <c r="C232" s="10" t="s">
        <v>42</v>
      </c>
      <c r="D232" s="10">
        <v>28.8</v>
      </c>
      <c r="E232" s="10" t="s">
        <v>42</v>
      </c>
      <c r="F232" s="11">
        <v>1.0501043800000001</v>
      </c>
      <c r="G232" s="11">
        <v>1.729508</v>
      </c>
      <c r="H232" s="10"/>
      <c r="I232" s="10"/>
      <c r="J232" s="10"/>
    </row>
    <row r="233" spans="1:10" ht="15.6" x14ac:dyDescent="0.3">
      <c r="A233" s="9" t="s">
        <v>37</v>
      </c>
      <c r="B233" s="10">
        <v>80</v>
      </c>
      <c r="C233" s="10" t="s">
        <v>43</v>
      </c>
      <c r="D233" s="10">
        <v>57.6</v>
      </c>
      <c r="E233" s="10" t="s">
        <v>43</v>
      </c>
      <c r="F233" s="11">
        <v>1.0528735600000001</v>
      </c>
      <c r="G233" s="11">
        <v>1.72973</v>
      </c>
      <c r="H233" s="10"/>
      <c r="I233" s="10"/>
      <c r="J233" s="10"/>
    </row>
    <row r="234" spans="1:10" ht="15.6" x14ac:dyDescent="0.3">
      <c r="A234" s="9" t="s">
        <v>37</v>
      </c>
      <c r="B234" s="10">
        <v>90</v>
      </c>
      <c r="C234" s="10" t="s">
        <v>13</v>
      </c>
      <c r="D234" s="10">
        <v>2</v>
      </c>
      <c r="E234" s="10" t="s">
        <v>13</v>
      </c>
      <c r="F234" s="11">
        <v>1.0252951100000001</v>
      </c>
      <c r="G234" s="11">
        <v>1.6543209999999999</v>
      </c>
      <c r="H234" s="10"/>
      <c r="I234" s="10"/>
      <c r="J234" s="10"/>
    </row>
    <row r="235" spans="1:10" ht="15.6" x14ac:dyDescent="0.3">
      <c r="A235" s="9" t="s">
        <v>37</v>
      </c>
      <c r="B235" s="10">
        <v>90</v>
      </c>
      <c r="C235" s="10" t="s">
        <v>26</v>
      </c>
      <c r="D235" s="10">
        <v>3.6</v>
      </c>
      <c r="E235" s="10" t="s">
        <v>26</v>
      </c>
      <c r="F235" s="11">
        <v>1.02530364</v>
      </c>
      <c r="G235" s="11">
        <v>1.6579930000000001</v>
      </c>
      <c r="H235" s="10"/>
      <c r="I235" s="10"/>
      <c r="J235" s="10"/>
    </row>
    <row r="236" spans="1:10" ht="15.6" x14ac:dyDescent="0.3">
      <c r="A236" s="9" t="s">
        <v>37</v>
      </c>
      <c r="B236" s="10">
        <v>90</v>
      </c>
      <c r="C236" s="10" t="s">
        <v>14</v>
      </c>
      <c r="D236" s="10">
        <v>5</v>
      </c>
      <c r="E236" s="10" t="s">
        <v>14</v>
      </c>
      <c r="F236" s="11">
        <v>1.02443281</v>
      </c>
      <c r="G236" s="11">
        <v>1.660256</v>
      </c>
      <c r="H236" s="10"/>
      <c r="I236" s="10"/>
      <c r="J236" s="10"/>
    </row>
    <row r="237" spans="1:10" ht="15.6" x14ac:dyDescent="0.3">
      <c r="A237" s="9" t="s">
        <v>37</v>
      </c>
      <c r="B237" s="10">
        <v>90</v>
      </c>
      <c r="C237" s="10" t="s">
        <v>18</v>
      </c>
      <c r="D237" s="10">
        <v>10</v>
      </c>
      <c r="E237" s="10" t="s">
        <v>18</v>
      </c>
      <c r="F237" s="11">
        <v>1.02443281</v>
      </c>
      <c r="G237" s="11">
        <v>1.660256</v>
      </c>
      <c r="H237" s="10"/>
      <c r="I237" s="10"/>
      <c r="J237" s="10"/>
    </row>
    <row r="238" spans="1:10" ht="15.6" x14ac:dyDescent="0.3">
      <c r="A238" s="9" t="s">
        <v>37</v>
      </c>
      <c r="B238" s="10">
        <v>90</v>
      </c>
      <c r="C238" s="10" t="s">
        <v>20</v>
      </c>
      <c r="D238" s="10">
        <v>14.4</v>
      </c>
      <c r="E238" s="10" t="s">
        <v>20</v>
      </c>
      <c r="F238" s="11">
        <v>1.0244797999999999</v>
      </c>
      <c r="G238" s="11">
        <v>1.654709</v>
      </c>
      <c r="H238" s="10"/>
      <c r="I238" s="10"/>
      <c r="J238" s="10"/>
    </row>
    <row r="239" spans="1:10" ht="15.6" x14ac:dyDescent="0.3">
      <c r="A239" s="9" t="s">
        <v>37</v>
      </c>
      <c r="B239" s="10">
        <v>90</v>
      </c>
      <c r="C239" s="10" t="s">
        <v>21</v>
      </c>
      <c r="D239" s="10">
        <v>19.2</v>
      </c>
      <c r="E239" s="10" t="s">
        <v>21</v>
      </c>
      <c r="F239" s="11">
        <v>1.0247678</v>
      </c>
      <c r="G239" s="11">
        <v>1.6590910000000001</v>
      </c>
      <c r="H239" s="10"/>
      <c r="I239" s="10"/>
      <c r="J239" s="10"/>
    </row>
    <row r="240" spans="1:10" ht="15.6" x14ac:dyDescent="0.3">
      <c r="A240" s="9" t="s">
        <v>37</v>
      </c>
      <c r="B240" s="10">
        <v>90</v>
      </c>
      <c r="C240" s="10" t="s">
        <v>21</v>
      </c>
      <c r="D240" s="10">
        <v>19.2</v>
      </c>
      <c r="E240" s="10" t="s">
        <v>22</v>
      </c>
      <c r="F240" s="11">
        <v>1.02449568</v>
      </c>
      <c r="G240" s="11">
        <v>1.656085</v>
      </c>
      <c r="H240" s="10"/>
      <c r="I240" s="10"/>
      <c r="J240" s="10"/>
    </row>
    <row r="241" spans="1:10" ht="15.6" x14ac:dyDescent="0.3">
      <c r="A241" s="9" t="s">
        <v>37</v>
      </c>
      <c r="B241" s="10">
        <v>90</v>
      </c>
      <c r="C241" s="10" t="s">
        <v>21</v>
      </c>
      <c r="D241" s="10">
        <v>19.2</v>
      </c>
      <c r="E241" s="10" t="s">
        <v>22</v>
      </c>
      <c r="F241" s="11">
        <v>1.02408112</v>
      </c>
      <c r="G241" s="11">
        <v>1.6558139999999999</v>
      </c>
      <c r="H241" s="10"/>
      <c r="I241" s="10"/>
      <c r="J241" s="10"/>
    </row>
    <row r="242" spans="1:10" ht="15.6" x14ac:dyDescent="0.3">
      <c r="A242" s="9" t="s">
        <v>37</v>
      </c>
      <c r="B242" s="10">
        <v>90</v>
      </c>
      <c r="C242" s="10" t="s">
        <v>38</v>
      </c>
      <c r="D242" s="10">
        <v>28.8</v>
      </c>
      <c r="E242" s="10" t="s">
        <v>39</v>
      </c>
      <c r="F242" s="11">
        <v>1.0237430199999999</v>
      </c>
      <c r="G242" s="11">
        <v>1.6564099999999999</v>
      </c>
      <c r="H242" s="10"/>
      <c r="I242" s="10"/>
      <c r="J242" s="10"/>
    </row>
    <row r="243" spans="1:10" ht="15.6" x14ac:dyDescent="0.3">
      <c r="A243" s="9" t="s">
        <v>37</v>
      </c>
      <c r="B243" s="10">
        <v>90</v>
      </c>
      <c r="C243" s="10" t="s">
        <v>22</v>
      </c>
      <c r="D243" s="10">
        <v>38.4</v>
      </c>
      <c r="E243" s="10" t="s">
        <v>40</v>
      </c>
      <c r="F243" s="11">
        <v>1.02503682</v>
      </c>
      <c r="G243" s="11">
        <v>1.659459</v>
      </c>
      <c r="H243" s="10"/>
      <c r="I243" s="10"/>
      <c r="J243" s="10"/>
    </row>
    <row r="244" spans="1:10" ht="15.6" x14ac:dyDescent="0.3">
      <c r="A244" s="9" t="s">
        <v>37</v>
      </c>
      <c r="B244" s="10">
        <v>90</v>
      </c>
      <c r="C244" s="10" t="s">
        <v>39</v>
      </c>
      <c r="D244" s="10">
        <v>57.6</v>
      </c>
      <c r="E244" s="10" t="s">
        <v>41</v>
      </c>
      <c r="F244" s="11">
        <v>1.02503912</v>
      </c>
      <c r="G244" s="11">
        <v>1.7</v>
      </c>
      <c r="H244" s="10"/>
      <c r="I244" s="10"/>
      <c r="J244" s="10"/>
    </row>
    <row r="245" spans="1:10" ht="15.6" x14ac:dyDescent="0.3">
      <c r="A245" s="9" t="s">
        <v>37</v>
      </c>
      <c r="B245" s="10">
        <v>90</v>
      </c>
      <c r="C245" s="10" t="s">
        <v>42</v>
      </c>
      <c r="D245" s="10">
        <v>28.8</v>
      </c>
      <c r="E245" s="10" t="s">
        <v>42</v>
      </c>
      <c r="F245" s="11">
        <v>1.0241820800000001</v>
      </c>
      <c r="G245" s="11">
        <v>1.65625</v>
      </c>
      <c r="H245" s="10"/>
      <c r="I245" s="10"/>
      <c r="J245" s="10"/>
    </row>
    <row r="246" spans="1:10" ht="15.6" x14ac:dyDescent="0.3">
      <c r="A246" s="9" t="s">
        <v>37</v>
      </c>
      <c r="B246" s="10">
        <v>90</v>
      </c>
      <c r="C246" s="10" t="s">
        <v>43</v>
      </c>
      <c r="D246" s="10">
        <v>57.6</v>
      </c>
      <c r="E246" s="10" t="s">
        <v>43</v>
      </c>
      <c r="F246" s="11">
        <v>1.0234375</v>
      </c>
      <c r="G246" s="11">
        <v>1.66092</v>
      </c>
      <c r="H246" s="10"/>
      <c r="I246" s="10"/>
      <c r="J246" s="10"/>
    </row>
    <row r="247" spans="1:10" ht="15.6" x14ac:dyDescent="0.3">
      <c r="A247" s="9" t="s">
        <v>37</v>
      </c>
      <c r="B247" s="10">
        <v>100</v>
      </c>
      <c r="C247" s="10" t="s">
        <v>13</v>
      </c>
      <c r="D247" s="10">
        <v>2</v>
      </c>
      <c r="E247" s="10" t="s">
        <v>13</v>
      </c>
      <c r="F247" s="11">
        <v>1.0185643600000001</v>
      </c>
      <c r="G247" s="11">
        <v>1.603448</v>
      </c>
      <c r="H247" s="10"/>
      <c r="I247" s="10"/>
      <c r="J247" s="10"/>
    </row>
    <row r="248" spans="1:10" ht="15.6" x14ac:dyDescent="0.3">
      <c r="A248" s="9" t="s">
        <v>37</v>
      </c>
      <c r="B248" s="10">
        <v>100</v>
      </c>
      <c r="C248" s="10" t="s">
        <v>26</v>
      </c>
      <c r="D248" s="10">
        <v>3.6</v>
      </c>
      <c r="E248" s="10" t="s">
        <v>26</v>
      </c>
      <c r="F248" s="11">
        <v>1.01855976</v>
      </c>
      <c r="G248" s="11">
        <v>1.6062179999999999</v>
      </c>
      <c r="H248" s="10"/>
      <c r="I248" s="10"/>
      <c r="J248" s="10"/>
    </row>
    <row r="249" spans="1:10" ht="15.6" x14ac:dyDescent="0.3">
      <c r="A249" s="9" t="s">
        <v>37</v>
      </c>
      <c r="B249" s="10">
        <v>100</v>
      </c>
      <c r="C249" s="10" t="s">
        <v>14</v>
      </c>
      <c r="D249" s="10">
        <v>5</v>
      </c>
      <c r="E249" s="10" t="s">
        <v>14</v>
      </c>
      <c r="F249" s="11">
        <v>1.0179257399999999</v>
      </c>
      <c r="G249" s="11">
        <v>1.602679</v>
      </c>
      <c r="H249" s="10"/>
      <c r="I249" s="10"/>
      <c r="J249" s="10"/>
    </row>
    <row r="250" spans="1:10" ht="15.6" x14ac:dyDescent="0.3">
      <c r="A250" s="9" t="s">
        <v>37</v>
      </c>
      <c r="B250" s="10">
        <v>100</v>
      </c>
      <c r="C250" s="10" t="s">
        <v>18</v>
      </c>
      <c r="D250" s="10">
        <v>10</v>
      </c>
      <c r="E250" s="10" t="s">
        <v>18</v>
      </c>
      <c r="F250" s="11">
        <v>1.0179257399999999</v>
      </c>
      <c r="G250" s="11">
        <v>1.602679</v>
      </c>
      <c r="H250" s="10"/>
      <c r="I250" s="10"/>
      <c r="J250" s="10"/>
    </row>
    <row r="251" spans="1:10" ht="15.6" x14ac:dyDescent="0.3">
      <c r="A251" s="9" t="s">
        <v>37</v>
      </c>
      <c r="B251" s="10">
        <v>100</v>
      </c>
      <c r="C251" s="10" t="s">
        <v>20</v>
      </c>
      <c r="D251" s="10">
        <v>14.4</v>
      </c>
      <c r="E251" s="10" t="s">
        <v>20</v>
      </c>
      <c r="F251" s="11">
        <v>1.0179533199999999</v>
      </c>
      <c r="G251" s="11">
        <v>1.60815</v>
      </c>
      <c r="H251" s="10"/>
      <c r="I251" s="10"/>
      <c r="J251" s="10"/>
    </row>
    <row r="252" spans="1:10" ht="15.6" x14ac:dyDescent="0.3">
      <c r="A252" s="9" t="s">
        <v>37</v>
      </c>
      <c r="B252" s="10">
        <v>100</v>
      </c>
      <c r="C252" s="10" t="s">
        <v>21</v>
      </c>
      <c r="D252" s="10">
        <v>19.2</v>
      </c>
      <c r="E252" s="10" t="s">
        <v>21</v>
      </c>
      <c r="F252" s="11">
        <v>1.0181611800000001</v>
      </c>
      <c r="G252" s="11">
        <v>1.607143</v>
      </c>
      <c r="H252" s="10"/>
      <c r="I252" s="10"/>
      <c r="J252" s="10"/>
    </row>
    <row r="253" spans="1:10" ht="15.6" x14ac:dyDescent="0.3">
      <c r="A253" s="9" t="s">
        <v>37</v>
      </c>
      <c r="B253" s="10">
        <v>100</v>
      </c>
      <c r="C253" s="10" t="s">
        <v>21</v>
      </c>
      <c r="D253" s="10">
        <v>19.2</v>
      </c>
      <c r="E253" s="10" t="s">
        <v>22</v>
      </c>
      <c r="F253" s="11">
        <v>1.01904762</v>
      </c>
      <c r="G253" s="11">
        <v>1.6051660000000001</v>
      </c>
      <c r="H253" s="10"/>
      <c r="I253" s="10"/>
      <c r="J253" s="10"/>
    </row>
    <row r="254" spans="1:10" ht="15.6" x14ac:dyDescent="0.3">
      <c r="A254" s="9" t="s">
        <v>37</v>
      </c>
      <c r="B254" s="10">
        <v>100</v>
      </c>
      <c r="C254" s="10" t="s">
        <v>21</v>
      </c>
      <c r="D254" s="10">
        <v>19.2</v>
      </c>
      <c r="E254" s="10" t="s">
        <v>22</v>
      </c>
      <c r="F254" s="11">
        <v>1.0186046499999999</v>
      </c>
      <c r="G254" s="11">
        <v>1.607143</v>
      </c>
      <c r="H254" s="10"/>
      <c r="I254" s="10"/>
      <c r="J254" s="10"/>
    </row>
    <row r="255" spans="1:10" ht="15.6" x14ac:dyDescent="0.3">
      <c r="A255" s="9" t="s">
        <v>37</v>
      </c>
      <c r="B255" s="10">
        <v>100</v>
      </c>
      <c r="C255" s="10" t="s">
        <v>38</v>
      </c>
      <c r="D255" s="10">
        <v>28.8</v>
      </c>
      <c r="E255" s="10" t="s">
        <v>39</v>
      </c>
      <c r="F255" s="11">
        <v>1.0184426200000001</v>
      </c>
      <c r="G255" s="11">
        <v>1.6035710000000001</v>
      </c>
      <c r="H255" s="10"/>
      <c r="I255" s="10"/>
      <c r="J255" s="10"/>
    </row>
    <row r="256" spans="1:10" ht="15.6" x14ac:dyDescent="0.3">
      <c r="A256" s="9" t="s">
        <v>37</v>
      </c>
      <c r="B256" s="10">
        <v>100</v>
      </c>
      <c r="C256" s="10" t="s">
        <v>22</v>
      </c>
      <c r="D256" s="10">
        <v>38.4</v>
      </c>
      <c r="E256" s="10" t="s">
        <v>40</v>
      </c>
      <c r="F256" s="11">
        <v>1.01835853</v>
      </c>
      <c r="G256" s="11">
        <v>1.6075470000000001</v>
      </c>
      <c r="H256" s="10"/>
      <c r="I256" s="10"/>
      <c r="J256" s="10"/>
    </row>
    <row r="257" spans="1:10" ht="15.6" x14ac:dyDescent="0.3">
      <c r="A257" s="9" t="s">
        <v>37</v>
      </c>
      <c r="B257" s="10">
        <v>100</v>
      </c>
      <c r="C257" s="10" t="s">
        <v>39</v>
      </c>
      <c r="D257" s="10">
        <v>57.6</v>
      </c>
      <c r="E257" s="10" t="s">
        <v>41</v>
      </c>
      <c r="F257" s="11">
        <v>1.0183696900000001</v>
      </c>
      <c r="G257" s="11">
        <v>1.6040000000000001</v>
      </c>
      <c r="H257" s="10"/>
      <c r="I257" s="10"/>
      <c r="J257" s="10"/>
    </row>
    <row r="258" spans="1:10" ht="15.6" x14ac:dyDescent="0.3">
      <c r="A258" s="9" t="s">
        <v>37</v>
      </c>
      <c r="B258" s="10">
        <v>100</v>
      </c>
      <c r="C258" s="10" t="s">
        <v>42</v>
      </c>
      <c r="D258" s="10">
        <v>28.8</v>
      </c>
      <c r="E258" s="10" t="s">
        <v>42</v>
      </c>
      <c r="F258" s="11">
        <v>1.01878914</v>
      </c>
      <c r="G258" s="11">
        <v>1.6036360000000001</v>
      </c>
      <c r="H258" s="10"/>
      <c r="I258" s="10"/>
      <c r="J258" s="10"/>
    </row>
    <row r="259" spans="1:10" ht="15.6" x14ac:dyDescent="0.3">
      <c r="A259" s="9" t="s">
        <v>37</v>
      </c>
      <c r="B259" s="10">
        <v>100</v>
      </c>
      <c r="C259" s="10" t="s">
        <v>43</v>
      </c>
      <c r="D259" s="10">
        <v>57.6</v>
      </c>
      <c r="E259" s="10" t="s">
        <v>43</v>
      </c>
      <c r="F259" s="11">
        <v>1.01834862</v>
      </c>
      <c r="G259" s="11">
        <v>1.6040000000000001</v>
      </c>
      <c r="H259" s="10"/>
      <c r="I259" s="10"/>
      <c r="J259" s="10"/>
    </row>
    <row r="260" spans="1:10" ht="15.6" x14ac:dyDescent="0.3">
      <c r="A260" s="9" t="s">
        <v>37</v>
      </c>
      <c r="B260" s="10">
        <v>110</v>
      </c>
      <c r="C260" s="10" t="s">
        <v>13</v>
      </c>
      <c r="D260" s="10">
        <v>2</v>
      </c>
      <c r="E260" s="10" t="s">
        <v>13</v>
      </c>
      <c r="F260" s="11">
        <v>1.0153110000000001</v>
      </c>
      <c r="G260" s="11">
        <v>1.55627</v>
      </c>
      <c r="H260" s="10"/>
      <c r="I260" s="10"/>
      <c r="J260" s="10"/>
    </row>
    <row r="261" spans="1:10" ht="15.6" x14ac:dyDescent="0.3">
      <c r="A261" s="9" t="s">
        <v>37</v>
      </c>
      <c r="B261" s="10">
        <v>110</v>
      </c>
      <c r="C261" s="10" t="s">
        <v>26</v>
      </c>
      <c r="D261" s="10">
        <v>3.6</v>
      </c>
      <c r="E261" s="10" t="s">
        <v>26</v>
      </c>
      <c r="F261" s="11">
        <v>1.01492537</v>
      </c>
      <c r="G261" s="11">
        <v>1.554913</v>
      </c>
      <c r="H261" s="10"/>
      <c r="I261" s="10"/>
      <c r="J261" s="10"/>
    </row>
    <row r="262" spans="1:10" ht="15.6" x14ac:dyDescent="0.3">
      <c r="A262" s="9" t="s">
        <v>37</v>
      </c>
      <c r="B262" s="10">
        <v>110</v>
      </c>
      <c r="C262" s="10" t="s">
        <v>14</v>
      </c>
      <c r="D262" s="10">
        <v>5</v>
      </c>
      <c r="E262" s="10" t="s">
        <v>14</v>
      </c>
      <c r="F262" s="11">
        <v>1.0148514900000001</v>
      </c>
      <c r="G262" s="11">
        <v>1.5548169999999999</v>
      </c>
      <c r="H262" s="10"/>
      <c r="I262" s="10"/>
      <c r="J262" s="10"/>
    </row>
    <row r="263" spans="1:10" ht="15.6" x14ac:dyDescent="0.3">
      <c r="A263" s="9" t="s">
        <v>37</v>
      </c>
      <c r="B263" s="10">
        <v>110</v>
      </c>
      <c r="C263" s="10" t="s">
        <v>18</v>
      </c>
      <c r="D263" s="10">
        <v>10</v>
      </c>
      <c r="E263" s="10" t="s">
        <v>18</v>
      </c>
      <c r="F263" s="11">
        <v>1.0148514900000001</v>
      </c>
      <c r="G263" s="11">
        <v>1.5548169999999999</v>
      </c>
      <c r="H263" s="10"/>
      <c r="I263" s="10"/>
      <c r="J263" s="10"/>
    </row>
    <row r="264" spans="1:10" ht="15.6" x14ac:dyDescent="0.3">
      <c r="A264" s="9" t="s">
        <v>37</v>
      </c>
      <c r="B264" s="10">
        <v>110</v>
      </c>
      <c r="C264" s="10" t="s">
        <v>20</v>
      </c>
      <c r="D264" s="10">
        <v>14.4</v>
      </c>
      <c r="E264" s="10" t="s">
        <v>20</v>
      </c>
      <c r="F264" s="11">
        <v>1.01457321</v>
      </c>
      <c r="G264" s="11">
        <v>1.5547789999999999</v>
      </c>
      <c r="H264" s="10"/>
      <c r="I264" s="10"/>
      <c r="J264" s="10"/>
    </row>
    <row r="265" spans="1:10" ht="15.6" x14ac:dyDescent="0.3">
      <c r="A265" s="9" t="s">
        <v>37</v>
      </c>
      <c r="B265" s="10">
        <v>110</v>
      </c>
      <c r="C265" s="10" t="s">
        <v>21</v>
      </c>
      <c r="D265" s="10">
        <v>19.2</v>
      </c>
      <c r="E265" s="10" t="s">
        <v>21</v>
      </c>
      <c r="F265" s="11">
        <v>1.01492537</v>
      </c>
      <c r="G265" s="11">
        <v>1.5575220000000001</v>
      </c>
      <c r="H265" s="10"/>
      <c r="I265" s="10"/>
      <c r="J265" s="10"/>
    </row>
    <row r="266" spans="1:10" ht="15.6" x14ac:dyDescent="0.3">
      <c r="A266" s="9" t="s">
        <v>37</v>
      </c>
      <c r="B266" s="10">
        <v>110</v>
      </c>
      <c r="C266" s="10" t="s">
        <v>21</v>
      </c>
      <c r="D266" s="10">
        <v>19.2</v>
      </c>
      <c r="E266" s="10" t="s">
        <v>22</v>
      </c>
      <c r="F266" s="11">
        <v>1.0147179099999999</v>
      </c>
      <c r="G266" s="11">
        <v>1.554945</v>
      </c>
      <c r="H266" s="10"/>
      <c r="I266" s="10"/>
      <c r="J266" s="10"/>
    </row>
    <row r="267" spans="1:10" ht="15.6" x14ac:dyDescent="0.3">
      <c r="A267" s="9" t="s">
        <v>37</v>
      </c>
      <c r="B267" s="10">
        <v>110</v>
      </c>
      <c r="C267" s="10" t="s">
        <v>21</v>
      </c>
      <c r="D267" s="10">
        <v>19.2</v>
      </c>
      <c r="E267" s="10" t="s">
        <v>22</v>
      </c>
      <c r="F267" s="11">
        <v>1.01437815</v>
      </c>
      <c r="G267" s="11">
        <v>1.5555559999999999</v>
      </c>
      <c r="H267" s="10"/>
      <c r="I267" s="10"/>
      <c r="J267" s="10"/>
    </row>
    <row r="268" spans="1:10" ht="15.6" x14ac:dyDescent="0.3">
      <c r="A268" s="9" t="s">
        <v>37</v>
      </c>
      <c r="B268" s="10">
        <v>110</v>
      </c>
      <c r="C268" s="10" t="s">
        <v>38</v>
      </c>
      <c r="D268" s="10">
        <v>28.8</v>
      </c>
      <c r="E268" s="10" t="s">
        <v>39</v>
      </c>
      <c r="F268" s="11">
        <v>1.0150554700000001</v>
      </c>
      <c r="G268" s="11">
        <v>1.5558510000000001</v>
      </c>
      <c r="H268" s="10"/>
      <c r="I268" s="10"/>
      <c r="J268" s="10"/>
    </row>
    <row r="269" spans="1:10" ht="15.6" x14ac:dyDescent="0.3">
      <c r="A269" s="9" t="s">
        <v>37</v>
      </c>
      <c r="B269" s="10">
        <v>110</v>
      </c>
      <c r="C269" s="10" t="s">
        <v>22</v>
      </c>
      <c r="D269" s="10">
        <v>38.4</v>
      </c>
      <c r="E269" s="10" t="s">
        <v>40</v>
      </c>
      <c r="F269" s="11">
        <v>1.01502504</v>
      </c>
      <c r="G269" s="11">
        <v>1.5546219999999999</v>
      </c>
      <c r="H269" s="10"/>
      <c r="I269" s="10"/>
      <c r="J269" s="10"/>
    </row>
    <row r="270" spans="1:10" ht="15.6" x14ac:dyDescent="0.3">
      <c r="A270" s="9" t="s">
        <v>37</v>
      </c>
      <c r="B270" s="10">
        <v>110</v>
      </c>
      <c r="C270" s="10" t="s">
        <v>39</v>
      </c>
      <c r="D270" s="10">
        <v>57.6</v>
      </c>
      <c r="E270" s="10" t="s">
        <v>41</v>
      </c>
      <c r="F270" s="11">
        <v>1.0150842899999999</v>
      </c>
      <c r="G270" s="11">
        <v>1.553571</v>
      </c>
      <c r="H270" s="10"/>
      <c r="I270" s="10"/>
      <c r="J270" s="10"/>
    </row>
    <row r="271" spans="1:10" ht="15.6" x14ac:dyDescent="0.3">
      <c r="A271" s="9" t="s">
        <v>37</v>
      </c>
      <c r="B271" s="10">
        <v>110</v>
      </c>
      <c r="C271" s="10" t="s">
        <v>42</v>
      </c>
      <c r="D271" s="10">
        <v>28.8</v>
      </c>
      <c r="E271" s="10" t="s">
        <v>42</v>
      </c>
      <c r="F271" s="11">
        <v>1.0145161300000001</v>
      </c>
      <c r="G271" s="11">
        <v>1.5555559999999999</v>
      </c>
      <c r="H271" s="10"/>
      <c r="I271" s="10"/>
      <c r="J271" s="10"/>
    </row>
    <row r="272" spans="1:10" ht="15.6" x14ac:dyDescent="0.3">
      <c r="A272" s="9" t="s">
        <v>37</v>
      </c>
      <c r="B272" s="10">
        <v>110</v>
      </c>
      <c r="C272" s="10" t="s">
        <v>43</v>
      </c>
      <c r="D272" s="10">
        <v>57.6</v>
      </c>
      <c r="E272" s="10" t="s">
        <v>43</v>
      </c>
      <c r="F272" s="11">
        <v>1.0150709200000001</v>
      </c>
      <c r="G272" s="11">
        <v>1.553571</v>
      </c>
      <c r="H272" s="10"/>
      <c r="I272" s="10"/>
      <c r="J272" s="10"/>
    </row>
    <row r="273" spans="1:10" ht="15.6" x14ac:dyDescent="0.3">
      <c r="A273" s="9" t="s">
        <v>37</v>
      </c>
      <c r="B273" s="10">
        <v>120</v>
      </c>
      <c r="C273" s="10" t="s">
        <v>13</v>
      </c>
      <c r="D273" s="10">
        <v>2</v>
      </c>
      <c r="E273" s="10" t="s">
        <v>13</v>
      </c>
      <c r="F273" s="11">
        <v>1.01225115</v>
      </c>
      <c r="G273" s="11">
        <v>1.542289</v>
      </c>
      <c r="H273" s="10"/>
      <c r="I273" s="10"/>
      <c r="J273" s="10"/>
    </row>
    <row r="274" spans="1:10" ht="15.6" x14ac:dyDescent="0.3">
      <c r="A274" s="9" t="s">
        <v>37</v>
      </c>
      <c r="B274" s="10">
        <v>120</v>
      </c>
      <c r="C274" s="10" t="s">
        <v>26</v>
      </c>
      <c r="D274" s="10">
        <v>3.6</v>
      </c>
      <c r="E274" s="10" t="s">
        <v>26</v>
      </c>
      <c r="F274" s="11">
        <v>1.01286765</v>
      </c>
      <c r="G274" s="11">
        <v>1.54559</v>
      </c>
      <c r="H274" s="10"/>
      <c r="I274" s="10"/>
      <c r="J274" s="10"/>
    </row>
    <row r="275" spans="1:10" ht="15.6" x14ac:dyDescent="0.3">
      <c r="A275" s="9" t="s">
        <v>37</v>
      </c>
      <c r="B275" s="10">
        <v>120</v>
      </c>
      <c r="C275" s="10" t="s">
        <v>14</v>
      </c>
      <c r="D275" s="10">
        <v>5</v>
      </c>
      <c r="E275" s="10" t="s">
        <v>14</v>
      </c>
      <c r="F275" s="11">
        <v>1.0118859</v>
      </c>
      <c r="G275" s="11">
        <v>1.543814</v>
      </c>
      <c r="H275" s="10"/>
      <c r="I275" s="10"/>
      <c r="J275" s="10"/>
    </row>
    <row r="276" spans="1:10" ht="15.6" x14ac:dyDescent="0.3">
      <c r="A276" s="9" t="s">
        <v>37</v>
      </c>
      <c r="B276" s="10">
        <v>120</v>
      </c>
      <c r="C276" s="10" t="s">
        <v>18</v>
      </c>
      <c r="D276" s="10">
        <v>10</v>
      </c>
      <c r="E276" s="10" t="s">
        <v>18</v>
      </c>
      <c r="F276" s="11">
        <v>1.0118859</v>
      </c>
      <c r="G276" s="11">
        <v>1.543814</v>
      </c>
      <c r="H276" s="10"/>
      <c r="I276" s="10"/>
      <c r="J276" s="10"/>
    </row>
    <row r="277" spans="1:10" ht="15.6" x14ac:dyDescent="0.3">
      <c r="A277" s="9" t="s">
        <v>37</v>
      </c>
      <c r="B277" s="10">
        <v>120</v>
      </c>
      <c r="C277" s="10" t="s">
        <v>20</v>
      </c>
      <c r="D277" s="10">
        <v>14.4</v>
      </c>
      <c r="E277" s="10" t="s">
        <v>20</v>
      </c>
      <c r="F277" s="11">
        <v>1.01222222</v>
      </c>
      <c r="G277" s="11">
        <v>1.5461119999999999</v>
      </c>
      <c r="H277" s="10"/>
      <c r="I277" s="10"/>
      <c r="J277" s="10"/>
    </row>
    <row r="278" spans="1:10" ht="15.6" x14ac:dyDescent="0.3">
      <c r="A278" s="9" t="s">
        <v>37</v>
      </c>
      <c r="B278" s="10">
        <v>120</v>
      </c>
      <c r="C278" s="10" t="s">
        <v>21</v>
      </c>
      <c r="D278" s="10">
        <v>19.2</v>
      </c>
      <c r="E278" s="10" t="s">
        <v>21</v>
      </c>
      <c r="F278" s="11">
        <v>1.0126493299999999</v>
      </c>
      <c r="G278" s="11">
        <v>1.5433790000000001</v>
      </c>
      <c r="H278" s="10"/>
      <c r="I278" s="10"/>
      <c r="J278" s="10"/>
    </row>
    <row r="279" spans="1:10" ht="15.6" x14ac:dyDescent="0.3">
      <c r="A279" s="9" t="s">
        <v>37</v>
      </c>
      <c r="B279" s="10">
        <v>120</v>
      </c>
      <c r="C279" s="10" t="s">
        <v>21</v>
      </c>
      <c r="D279" s="10">
        <v>19.2</v>
      </c>
      <c r="E279" s="10" t="s">
        <v>22</v>
      </c>
      <c r="F279" s="11">
        <v>1.01243455</v>
      </c>
      <c r="G279" s="11">
        <v>1.544681</v>
      </c>
      <c r="H279" s="10"/>
      <c r="I279" s="10"/>
      <c r="J279" s="10"/>
    </row>
    <row r="280" spans="1:10" ht="15.6" x14ac:dyDescent="0.3">
      <c r="A280" s="9" t="s">
        <v>37</v>
      </c>
      <c r="B280" s="10">
        <v>120</v>
      </c>
      <c r="C280" s="10" t="s">
        <v>21</v>
      </c>
      <c r="D280" s="10">
        <v>19.2</v>
      </c>
      <c r="E280" s="10" t="s">
        <v>22</v>
      </c>
      <c r="F280" s="11">
        <v>1.0126655200000001</v>
      </c>
      <c r="G280" s="11">
        <v>1.5449440000000001</v>
      </c>
      <c r="H280" s="10"/>
      <c r="I280" s="10"/>
      <c r="J280" s="10"/>
    </row>
    <row r="281" spans="1:10" ht="15.6" x14ac:dyDescent="0.3">
      <c r="A281" s="9" t="s">
        <v>37</v>
      </c>
      <c r="B281" s="10">
        <v>120</v>
      </c>
      <c r="C281" s="10" t="s">
        <v>38</v>
      </c>
      <c r="D281" s="10">
        <v>28.8</v>
      </c>
      <c r="E281" s="10" t="s">
        <v>39</v>
      </c>
      <c r="F281" s="11">
        <v>1.0126903599999999</v>
      </c>
      <c r="G281" s="11">
        <v>1.54433</v>
      </c>
      <c r="H281" s="10"/>
      <c r="I281" s="10"/>
      <c r="J281" s="10"/>
    </row>
    <row r="282" spans="1:10" ht="15.6" x14ac:dyDescent="0.3">
      <c r="A282" s="9" t="s">
        <v>37</v>
      </c>
      <c r="B282" s="10">
        <v>120</v>
      </c>
      <c r="C282" s="10" t="s">
        <v>22</v>
      </c>
      <c r="D282" s="10">
        <v>38.4</v>
      </c>
      <c r="E282" s="10" t="s">
        <v>40</v>
      </c>
      <c r="F282" s="11">
        <v>1.01270053</v>
      </c>
      <c r="G282" s="11">
        <v>1.545652</v>
      </c>
      <c r="H282" s="10"/>
      <c r="I282" s="10"/>
      <c r="J282" s="10"/>
    </row>
    <row r="283" spans="1:10" ht="15.6" x14ac:dyDescent="0.3">
      <c r="A283" s="9" t="s">
        <v>37</v>
      </c>
      <c r="B283" s="10">
        <v>120</v>
      </c>
      <c r="C283" s="10" t="s">
        <v>39</v>
      </c>
      <c r="D283" s="10">
        <v>57.6</v>
      </c>
      <c r="E283" s="10" t="s">
        <v>41</v>
      </c>
      <c r="F283" s="11">
        <v>1.0127931800000001</v>
      </c>
      <c r="G283" s="11">
        <v>1.5450349999999999</v>
      </c>
      <c r="H283" s="10"/>
      <c r="I283" s="10"/>
      <c r="J283" s="10"/>
    </row>
    <row r="284" spans="1:10" ht="15.6" x14ac:dyDescent="0.3">
      <c r="A284" s="9" t="s">
        <v>37</v>
      </c>
      <c r="B284" s="10">
        <v>120</v>
      </c>
      <c r="C284" s="10" t="s">
        <v>42</v>
      </c>
      <c r="D284" s="10">
        <v>28.8</v>
      </c>
      <c r="E284" s="10" t="s">
        <v>42</v>
      </c>
      <c r="F284" s="11">
        <v>1.01226598</v>
      </c>
      <c r="G284" s="11">
        <v>1.5462180000000001</v>
      </c>
      <c r="H284" s="10"/>
      <c r="I284" s="10"/>
      <c r="J284" s="10"/>
    </row>
    <row r="285" spans="1:10" ht="15.6" x14ac:dyDescent="0.3">
      <c r="A285" s="9" t="s">
        <v>37</v>
      </c>
      <c r="B285" s="10">
        <v>120</v>
      </c>
      <c r="C285" s="10" t="s">
        <v>43</v>
      </c>
      <c r="D285" s="10">
        <v>57.6</v>
      </c>
      <c r="E285" s="10" t="s">
        <v>43</v>
      </c>
      <c r="F285" s="11">
        <v>1.01206529</v>
      </c>
      <c r="G285" s="11">
        <v>1.5450349999999999</v>
      </c>
      <c r="H285" s="10"/>
      <c r="I285" s="10"/>
      <c r="J285" s="10"/>
    </row>
    <row r="286" spans="1:10" ht="15.6" x14ac:dyDescent="0.3">
      <c r="A286" s="9" t="s">
        <v>37</v>
      </c>
      <c r="B286" s="10">
        <v>130</v>
      </c>
      <c r="C286" s="10" t="s">
        <v>13</v>
      </c>
      <c r="D286" s="10">
        <v>2</v>
      </c>
      <c r="E286" s="10" t="s">
        <v>13</v>
      </c>
      <c r="F286" s="11">
        <v>1.0120788300000001</v>
      </c>
      <c r="G286" s="11">
        <v>1.5251509999999999</v>
      </c>
      <c r="H286" s="10"/>
      <c r="I286" s="10"/>
      <c r="J286" s="10"/>
    </row>
    <row r="287" spans="1:10" ht="15.6" x14ac:dyDescent="0.3">
      <c r="A287" s="9" t="s">
        <v>37</v>
      </c>
      <c r="B287" s="10">
        <v>130</v>
      </c>
      <c r="C287" s="10" t="s">
        <v>26</v>
      </c>
      <c r="D287" s="10">
        <v>3.6</v>
      </c>
      <c r="E287" s="10" t="s">
        <v>26</v>
      </c>
      <c r="F287" s="11">
        <v>1.0122090800000001</v>
      </c>
      <c r="G287" s="11">
        <v>1.5253620000000001</v>
      </c>
      <c r="H287" s="10"/>
      <c r="I287" s="10"/>
      <c r="J287" s="10"/>
    </row>
    <row r="288" spans="1:10" ht="15.6" x14ac:dyDescent="0.3">
      <c r="A288" s="9" t="s">
        <v>37</v>
      </c>
      <c r="B288" s="10">
        <v>130</v>
      </c>
      <c r="C288" s="10" t="s">
        <v>14</v>
      </c>
      <c r="D288" s="10">
        <v>5</v>
      </c>
      <c r="E288" s="10" t="s">
        <v>14</v>
      </c>
      <c r="F288" s="11">
        <v>1.0118421099999999</v>
      </c>
      <c r="G288" s="11">
        <v>1.5249999999999999</v>
      </c>
      <c r="H288" s="10"/>
      <c r="I288" s="10"/>
      <c r="J288" s="10"/>
    </row>
    <row r="289" spans="1:10" ht="15.6" x14ac:dyDescent="0.3">
      <c r="A289" s="9" t="s">
        <v>37</v>
      </c>
      <c r="B289" s="10">
        <v>130</v>
      </c>
      <c r="C289" s="10" t="s">
        <v>18</v>
      </c>
      <c r="D289" s="10">
        <v>10</v>
      </c>
      <c r="E289" s="10" t="s">
        <v>18</v>
      </c>
      <c r="F289" s="11">
        <v>1.0118421099999999</v>
      </c>
      <c r="G289" s="11">
        <v>1.5249999999999999</v>
      </c>
      <c r="H289" s="10"/>
      <c r="I289" s="10"/>
      <c r="J289" s="10"/>
    </row>
    <row r="290" spans="1:10" ht="15.6" x14ac:dyDescent="0.3">
      <c r="A290" s="9" t="s">
        <v>37</v>
      </c>
      <c r="B290" s="10">
        <v>130</v>
      </c>
      <c r="C290" s="10" t="s">
        <v>20</v>
      </c>
      <c r="D290" s="10">
        <v>14.4</v>
      </c>
      <c r="E290" s="10" t="s">
        <v>20</v>
      </c>
      <c r="F290" s="11">
        <v>1.0115313699999999</v>
      </c>
      <c r="G290" s="11">
        <v>1.526316</v>
      </c>
      <c r="H290" s="10"/>
      <c r="I290" s="10"/>
      <c r="J290" s="10"/>
    </row>
    <row r="291" spans="1:10" ht="15.6" x14ac:dyDescent="0.3">
      <c r="A291" s="9" t="s">
        <v>37</v>
      </c>
      <c r="B291" s="10">
        <v>130</v>
      </c>
      <c r="C291" s="10" t="s">
        <v>21</v>
      </c>
      <c r="D291" s="10">
        <v>19.2</v>
      </c>
      <c r="E291" s="10" t="s">
        <v>21</v>
      </c>
      <c r="F291" s="11">
        <v>1.0116686100000001</v>
      </c>
      <c r="G291" s="11">
        <v>1.526802</v>
      </c>
      <c r="H291" s="10"/>
      <c r="I291" s="10"/>
      <c r="J291" s="10"/>
    </row>
    <row r="292" spans="1:10" ht="15.6" x14ac:dyDescent="0.3">
      <c r="A292" s="9" t="s">
        <v>37</v>
      </c>
      <c r="B292" s="10">
        <v>130</v>
      </c>
      <c r="C292" s="10" t="s">
        <v>21</v>
      </c>
      <c r="D292" s="10">
        <v>19.2</v>
      </c>
      <c r="E292" s="10" t="s">
        <v>22</v>
      </c>
      <c r="F292" s="11">
        <v>1.01195652</v>
      </c>
      <c r="G292" s="11">
        <v>1.5249569999999999</v>
      </c>
      <c r="H292" s="10"/>
      <c r="I292" s="10"/>
      <c r="J292" s="10"/>
    </row>
    <row r="293" spans="1:10" ht="15.6" x14ac:dyDescent="0.3">
      <c r="A293" s="9" t="s">
        <v>37</v>
      </c>
      <c r="B293" s="10">
        <v>130</v>
      </c>
      <c r="C293" s="10" t="s">
        <v>21</v>
      </c>
      <c r="D293" s="10">
        <v>19.2</v>
      </c>
      <c r="E293" s="10" t="s">
        <v>22</v>
      </c>
      <c r="F293" s="11">
        <v>1.0119502899999999</v>
      </c>
      <c r="G293" s="11">
        <v>1.5272730000000001</v>
      </c>
      <c r="H293" s="10"/>
      <c r="I293" s="10"/>
      <c r="J293" s="10"/>
    </row>
    <row r="294" spans="1:10" ht="15.6" x14ac:dyDescent="0.3">
      <c r="A294" s="9" t="s">
        <v>37</v>
      </c>
      <c r="B294" s="10">
        <v>130</v>
      </c>
      <c r="C294" s="10" t="s">
        <v>38</v>
      </c>
      <c r="D294" s="10">
        <v>28.8</v>
      </c>
      <c r="E294" s="10" t="s">
        <v>39</v>
      </c>
      <c r="F294" s="11">
        <v>1.0115850399999999</v>
      </c>
      <c r="G294" s="11">
        <v>1.5275460000000001</v>
      </c>
      <c r="H294" s="10"/>
      <c r="I294" s="10"/>
      <c r="J294" s="10"/>
    </row>
    <row r="295" spans="1:10" ht="15.6" x14ac:dyDescent="0.3">
      <c r="A295" s="9" t="s">
        <v>37</v>
      </c>
      <c r="B295" s="10">
        <v>130</v>
      </c>
      <c r="C295" s="10" t="s">
        <v>22</v>
      </c>
      <c r="D295" s="10">
        <v>38.4</v>
      </c>
      <c r="E295" s="10" t="s">
        <v>40</v>
      </c>
      <c r="F295" s="11">
        <v>1.01220866</v>
      </c>
      <c r="G295" s="11">
        <v>1.5237259999999999</v>
      </c>
      <c r="H295" s="10"/>
      <c r="I295" s="10"/>
      <c r="J295" s="10"/>
    </row>
    <row r="296" spans="1:10" ht="15.6" x14ac:dyDescent="0.3">
      <c r="A296" s="9" t="s">
        <v>37</v>
      </c>
      <c r="B296" s="10">
        <v>130</v>
      </c>
      <c r="C296" s="10" t="s">
        <v>39</v>
      </c>
      <c r="D296" s="10">
        <v>57.6</v>
      </c>
      <c r="E296" s="10" t="s">
        <v>41</v>
      </c>
      <c r="F296" s="11">
        <v>1.0117994100000001</v>
      </c>
      <c r="G296" s="11">
        <v>1.5271030000000001</v>
      </c>
      <c r="H296" s="10"/>
      <c r="I296" s="10"/>
      <c r="J296" s="10"/>
    </row>
    <row r="297" spans="1:10" ht="15.6" x14ac:dyDescent="0.3">
      <c r="A297" s="9" t="s">
        <v>37</v>
      </c>
      <c r="B297" s="10">
        <v>130</v>
      </c>
      <c r="C297" s="10" t="s">
        <v>42</v>
      </c>
      <c r="D297" s="10">
        <v>28.8</v>
      </c>
      <c r="E297" s="10" t="s">
        <v>42</v>
      </c>
      <c r="F297" s="11">
        <v>1.01179625</v>
      </c>
      <c r="G297" s="11">
        <v>1.524618</v>
      </c>
      <c r="H297" s="10"/>
      <c r="I297" s="10"/>
      <c r="J297" s="10"/>
    </row>
    <row r="298" spans="1:10" ht="15.6" x14ac:dyDescent="0.3">
      <c r="A298" s="9" t="s">
        <v>37</v>
      </c>
      <c r="B298" s="10">
        <v>130</v>
      </c>
      <c r="C298" s="10" t="s">
        <v>43</v>
      </c>
      <c r="D298" s="10">
        <v>57.6</v>
      </c>
      <c r="E298" s="10" t="s">
        <v>43</v>
      </c>
      <c r="F298" s="11">
        <v>1.0117855</v>
      </c>
      <c r="G298" s="11">
        <v>1.524254</v>
      </c>
      <c r="H298" s="10"/>
      <c r="I298" s="10"/>
      <c r="J298" s="10"/>
    </row>
    <row r="299" spans="1:10" ht="15.6" x14ac:dyDescent="0.3">
      <c r="A299" s="9" t="s">
        <v>37</v>
      </c>
      <c r="B299" s="10">
        <v>140</v>
      </c>
      <c r="C299" s="10" t="s">
        <v>13</v>
      </c>
      <c r="D299" s="10">
        <v>2</v>
      </c>
      <c r="E299" s="10" t="s">
        <v>13</v>
      </c>
      <c r="F299" s="11">
        <v>1.0107816700000001</v>
      </c>
      <c r="G299" s="11">
        <v>1.5133779999999999</v>
      </c>
      <c r="H299" s="10"/>
      <c r="I299" s="10"/>
      <c r="J299" s="10"/>
    </row>
    <row r="300" spans="1:10" ht="15.6" x14ac:dyDescent="0.3">
      <c r="A300" s="9" t="s">
        <v>37</v>
      </c>
      <c r="B300" s="10">
        <v>140</v>
      </c>
      <c r="C300" s="10" t="s">
        <v>26</v>
      </c>
      <c r="D300" s="10">
        <v>3.6</v>
      </c>
      <c r="E300" s="10" t="s">
        <v>26</v>
      </c>
      <c r="F300" s="11">
        <v>1.0106727</v>
      </c>
      <c r="G300" s="11">
        <v>1.5125379999999999</v>
      </c>
      <c r="H300" s="10"/>
      <c r="I300" s="10"/>
      <c r="J300" s="10"/>
    </row>
    <row r="301" spans="1:10" ht="15.6" x14ac:dyDescent="0.3">
      <c r="A301" s="9" t="s">
        <v>37</v>
      </c>
      <c r="B301" s="10">
        <v>140</v>
      </c>
      <c r="C301" s="10" t="s">
        <v>14</v>
      </c>
      <c r="D301" s="10">
        <v>5</v>
      </c>
      <c r="E301" s="10" t="s">
        <v>14</v>
      </c>
      <c r="F301" s="11">
        <v>1.01059677</v>
      </c>
      <c r="G301" s="11">
        <v>1.512111</v>
      </c>
      <c r="H301" s="10"/>
      <c r="I301" s="10"/>
      <c r="J301" s="10"/>
    </row>
    <row r="302" spans="1:10" ht="15.6" x14ac:dyDescent="0.3">
      <c r="A302" s="9" t="s">
        <v>37</v>
      </c>
      <c r="B302" s="10">
        <v>140</v>
      </c>
      <c r="C302" s="10" t="s">
        <v>18</v>
      </c>
      <c r="D302" s="10">
        <v>10</v>
      </c>
      <c r="E302" s="10" t="s">
        <v>18</v>
      </c>
      <c r="F302" s="11">
        <v>1.01059677</v>
      </c>
      <c r="G302" s="11">
        <v>1.512111</v>
      </c>
      <c r="H302" s="10"/>
      <c r="I302" s="10"/>
      <c r="J302" s="10"/>
    </row>
    <row r="303" spans="1:10" ht="15.6" x14ac:dyDescent="0.3">
      <c r="A303" s="9" t="s">
        <v>37</v>
      </c>
      <c r="B303" s="10">
        <v>140</v>
      </c>
      <c r="C303" s="10" t="s">
        <v>20</v>
      </c>
      <c r="D303" s="10">
        <v>14.4</v>
      </c>
      <c r="E303" s="10" t="s">
        <v>20</v>
      </c>
      <c r="F303" s="11">
        <v>1.01055925</v>
      </c>
      <c r="G303" s="11">
        <v>1.5115149999999999</v>
      </c>
      <c r="H303" s="10"/>
      <c r="I303" s="10"/>
      <c r="J303" s="10"/>
    </row>
    <row r="304" spans="1:10" ht="15.6" x14ac:dyDescent="0.3">
      <c r="A304" s="9" t="s">
        <v>37</v>
      </c>
      <c r="B304" s="10">
        <v>140</v>
      </c>
      <c r="C304" s="10" t="s">
        <v>21</v>
      </c>
      <c r="D304" s="10">
        <v>19.2</v>
      </c>
      <c r="E304" s="10" t="s">
        <v>21</v>
      </c>
      <c r="F304" s="11">
        <v>1.0103857599999999</v>
      </c>
      <c r="G304" s="11">
        <v>1.51227</v>
      </c>
      <c r="H304" s="10"/>
      <c r="I304" s="10"/>
      <c r="J304" s="10"/>
    </row>
    <row r="305" spans="1:10" ht="15.6" x14ac:dyDescent="0.3">
      <c r="A305" s="9" t="s">
        <v>37</v>
      </c>
      <c r="B305" s="10">
        <v>140</v>
      </c>
      <c r="C305" s="10" t="s">
        <v>21</v>
      </c>
      <c r="D305" s="10">
        <v>19.2</v>
      </c>
      <c r="E305" s="10" t="s">
        <v>22</v>
      </c>
      <c r="F305" s="11">
        <v>1.01105991</v>
      </c>
      <c r="G305" s="11">
        <v>1.5114289999999999</v>
      </c>
      <c r="H305" s="10"/>
      <c r="I305" s="10"/>
      <c r="J305" s="10"/>
    </row>
    <row r="306" spans="1:10" ht="15.6" x14ac:dyDescent="0.3">
      <c r="A306" s="9" t="s">
        <v>37</v>
      </c>
      <c r="B306" s="10">
        <v>140</v>
      </c>
      <c r="C306" s="10" t="s">
        <v>21</v>
      </c>
      <c r="D306" s="10">
        <v>19.2</v>
      </c>
      <c r="E306" s="10" t="s">
        <v>22</v>
      </c>
      <c r="F306" s="11">
        <v>1.01053485</v>
      </c>
      <c r="G306" s="11">
        <v>1.511307</v>
      </c>
      <c r="H306" s="10"/>
      <c r="I306" s="10"/>
      <c r="J306" s="10"/>
    </row>
    <row r="307" spans="1:10" ht="15.6" x14ac:dyDescent="0.3">
      <c r="A307" s="9" t="s">
        <v>37</v>
      </c>
      <c r="B307" s="10">
        <v>140</v>
      </c>
      <c r="C307" s="10" t="s">
        <v>38</v>
      </c>
      <c r="D307" s="10">
        <v>28.8</v>
      </c>
      <c r="E307" s="10" t="s">
        <v>39</v>
      </c>
      <c r="F307" s="11">
        <v>1.0107142899999999</v>
      </c>
      <c r="G307" s="11">
        <v>1.510373</v>
      </c>
      <c r="H307" s="10"/>
      <c r="I307" s="10"/>
      <c r="J307" s="10"/>
    </row>
    <row r="308" spans="1:10" ht="15.6" x14ac:dyDescent="0.3">
      <c r="A308" s="9" t="s">
        <v>37</v>
      </c>
      <c r="B308" s="10">
        <v>140</v>
      </c>
      <c r="C308" s="10" t="s">
        <v>22</v>
      </c>
      <c r="D308" s="10">
        <v>38.4</v>
      </c>
      <c r="E308" s="10" t="s">
        <v>40</v>
      </c>
      <c r="F308" s="11">
        <v>1.01081844</v>
      </c>
      <c r="G308" s="11">
        <v>1.5102040000000001</v>
      </c>
      <c r="H308" s="10"/>
      <c r="I308" s="10"/>
      <c r="J308" s="10"/>
    </row>
    <row r="309" spans="1:10" ht="15.6" x14ac:dyDescent="0.3">
      <c r="A309" s="9" t="s">
        <v>37</v>
      </c>
      <c r="B309" s="10">
        <v>140</v>
      </c>
      <c r="C309" s="10" t="s">
        <v>39</v>
      </c>
      <c r="D309" s="10">
        <v>57.6</v>
      </c>
      <c r="E309" s="10" t="s">
        <v>41</v>
      </c>
      <c r="F309" s="11">
        <v>1.0105</v>
      </c>
      <c r="G309" s="11">
        <v>1.511628</v>
      </c>
      <c r="H309" s="10"/>
      <c r="I309" s="10"/>
      <c r="J309" s="10"/>
    </row>
    <row r="310" spans="1:10" ht="15.6" x14ac:dyDescent="0.3">
      <c r="A310" s="9" t="s">
        <v>37</v>
      </c>
      <c r="B310" s="10">
        <v>140</v>
      </c>
      <c r="C310" s="10" t="s">
        <v>42</v>
      </c>
      <c r="D310" s="10">
        <v>28.8</v>
      </c>
      <c r="E310" s="10" t="s">
        <v>42</v>
      </c>
      <c r="F310" s="11">
        <v>1.01090909</v>
      </c>
      <c r="G310" s="11">
        <v>1.5112680000000001</v>
      </c>
      <c r="H310" s="10"/>
      <c r="I310" s="10"/>
      <c r="J310" s="10"/>
    </row>
    <row r="311" spans="1:10" ht="15.6" x14ac:dyDescent="0.3">
      <c r="A311" s="9" t="s">
        <v>37</v>
      </c>
      <c r="B311" s="10">
        <v>140</v>
      </c>
      <c r="C311" s="10" t="s">
        <v>43</v>
      </c>
      <c r="D311" s="10">
        <v>57.6</v>
      </c>
      <c r="E311" s="10" t="s">
        <v>43</v>
      </c>
      <c r="F311" s="11">
        <v>1.0109945</v>
      </c>
      <c r="G311" s="11">
        <v>1.5108360000000001</v>
      </c>
      <c r="H311" s="10"/>
      <c r="I311" s="10"/>
      <c r="J311" s="10"/>
    </row>
    <row r="312" spans="1:10" ht="15.6" x14ac:dyDescent="0.3">
      <c r="A312" s="9" t="s">
        <v>37</v>
      </c>
      <c r="B312" s="10">
        <v>150</v>
      </c>
      <c r="C312" s="10" t="s">
        <v>13</v>
      </c>
      <c r="D312" s="10">
        <v>2</v>
      </c>
      <c r="E312" s="10" t="s">
        <v>13</v>
      </c>
      <c r="F312" s="11">
        <v>1.0111679899999999</v>
      </c>
      <c r="G312" s="11">
        <v>1.500707</v>
      </c>
      <c r="H312" s="10"/>
      <c r="I312" s="10"/>
      <c r="J312" s="10"/>
    </row>
    <row r="313" spans="1:10" ht="15.6" x14ac:dyDescent="0.3">
      <c r="A313" s="9" t="s">
        <v>37</v>
      </c>
      <c r="B313" s="10">
        <v>150</v>
      </c>
      <c r="C313" s="10" t="s">
        <v>26</v>
      </c>
      <c r="D313" s="10">
        <v>3.6</v>
      </c>
      <c r="E313" s="10" t="s">
        <v>26</v>
      </c>
      <c r="F313" s="11">
        <v>1.01116695</v>
      </c>
      <c r="G313" s="11">
        <v>1.499576</v>
      </c>
      <c r="H313" s="10"/>
      <c r="I313" s="10"/>
      <c r="J313" s="10"/>
    </row>
    <row r="314" spans="1:10" ht="15.6" x14ac:dyDescent="0.3">
      <c r="A314" s="9" t="s">
        <v>37</v>
      </c>
      <c r="B314" s="10">
        <v>150</v>
      </c>
      <c r="C314" s="10" t="s">
        <v>14</v>
      </c>
      <c r="D314" s="10">
        <v>5</v>
      </c>
      <c r="E314" s="10" t="s">
        <v>14</v>
      </c>
      <c r="F314" s="11">
        <v>1.0110736600000001</v>
      </c>
      <c r="G314" s="11">
        <v>1.500732</v>
      </c>
      <c r="H314" s="10"/>
      <c r="I314" s="10"/>
      <c r="J314" s="10"/>
    </row>
    <row r="315" spans="1:10" ht="15.6" x14ac:dyDescent="0.3">
      <c r="A315" s="9" t="s">
        <v>37</v>
      </c>
      <c r="B315" s="10">
        <v>150</v>
      </c>
      <c r="C315" s="10" t="s">
        <v>18</v>
      </c>
      <c r="D315" s="10">
        <v>10</v>
      </c>
      <c r="E315" s="10" t="s">
        <v>18</v>
      </c>
      <c r="F315" s="11">
        <v>1.0110736600000001</v>
      </c>
      <c r="G315" s="11">
        <v>1.500732</v>
      </c>
      <c r="H315" s="10"/>
      <c r="I315" s="10"/>
      <c r="J315" s="10"/>
    </row>
    <row r="316" spans="1:10" ht="15.6" x14ac:dyDescent="0.3">
      <c r="A316" s="9" t="s">
        <v>37</v>
      </c>
      <c r="B316" s="10">
        <v>150</v>
      </c>
      <c r="C316" s="10" t="s">
        <v>20</v>
      </c>
      <c r="D316" s="10">
        <v>14.4</v>
      </c>
      <c r="E316" s="10" t="s">
        <v>20</v>
      </c>
      <c r="F316" s="11">
        <v>1.01114112</v>
      </c>
      <c r="G316" s="11">
        <v>1.499487</v>
      </c>
      <c r="H316" s="10"/>
      <c r="I316" s="10"/>
      <c r="J316" s="10"/>
    </row>
    <row r="317" spans="1:10" ht="15.6" x14ac:dyDescent="0.3">
      <c r="A317" s="9" t="s">
        <v>37</v>
      </c>
      <c r="B317" s="10">
        <v>150</v>
      </c>
      <c r="C317" s="10" t="s">
        <v>21</v>
      </c>
      <c r="D317" s="10">
        <v>19.2</v>
      </c>
      <c r="E317" s="10" t="s">
        <v>21</v>
      </c>
      <c r="F317" s="11">
        <v>1.01110162</v>
      </c>
      <c r="G317" s="11">
        <v>1.4993510000000001</v>
      </c>
      <c r="H317" s="10"/>
      <c r="I317" s="10"/>
      <c r="J317" s="10"/>
    </row>
    <row r="318" spans="1:10" ht="15.6" x14ac:dyDescent="0.3">
      <c r="A318" s="9" t="s">
        <v>37</v>
      </c>
      <c r="B318" s="10">
        <v>150</v>
      </c>
      <c r="C318" s="10" t="s">
        <v>21</v>
      </c>
      <c r="D318" s="10">
        <v>19.2</v>
      </c>
      <c r="E318" s="10" t="s">
        <v>22</v>
      </c>
      <c r="F318" s="11">
        <v>1.0107355899999999</v>
      </c>
      <c r="G318" s="11">
        <v>1.5042420000000001</v>
      </c>
      <c r="H318" s="10"/>
      <c r="I318" s="10"/>
      <c r="J318" s="10"/>
    </row>
    <row r="319" spans="1:10" ht="15.6" x14ac:dyDescent="0.3">
      <c r="A319" s="9" t="s">
        <v>37</v>
      </c>
      <c r="B319" s="10">
        <v>150</v>
      </c>
      <c r="C319" s="10" t="s">
        <v>21</v>
      </c>
      <c r="D319" s="10">
        <v>19.2</v>
      </c>
      <c r="E319" s="10" t="s">
        <v>22</v>
      </c>
      <c r="F319" s="11">
        <v>1.0111927199999999</v>
      </c>
      <c r="G319" s="11">
        <v>1.4994689999999999</v>
      </c>
      <c r="H319" s="10"/>
      <c r="I319" s="10"/>
      <c r="J319" s="10"/>
    </row>
    <row r="320" spans="1:10" ht="15.6" x14ac:dyDescent="0.3">
      <c r="A320" s="9" t="s">
        <v>37</v>
      </c>
      <c r="B320" s="10">
        <v>150</v>
      </c>
      <c r="C320" s="10" t="s">
        <v>38</v>
      </c>
      <c r="D320" s="10">
        <v>28.8</v>
      </c>
      <c r="E320" s="10" t="s">
        <v>39</v>
      </c>
      <c r="F320" s="11">
        <v>1.0111753400000001</v>
      </c>
      <c r="G320" s="11">
        <v>1.5</v>
      </c>
      <c r="H320" s="10"/>
      <c r="I320" s="10"/>
      <c r="J320" s="10"/>
    </row>
    <row r="321" spans="1:10" ht="15.6" x14ac:dyDescent="0.3">
      <c r="A321" s="9" t="s">
        <v>37</v>
      </c>
      <c r="B321" s="10">
        <v>150</v>
      </c>
      <c r="C321" s="10" t="s">
        <v>22</v>
      </c>
      <c r="D321" s="10">
        <v>38.4</v>
      </c>
      <c r="E321" s="10" t="s">
        <v>40</v>
      </c>
      <c r="F321" s="11">
        <v>1.01096224</v>
      </c>
      <c r="G321" s="11">
        <v>1.4981500000000001</v>
      </c>
      <c r="H321" s="10"/>
      <c r="I321" s="10"/>
      <c r="J321" s="10"/>
    </row>
    <row r="322" spans="1:10" ht="15.6" x14ac:dyDescent="0.3">
      <c r="A322" s="9" t="s">
        <v>37</v>
      </c>
      <c r="B322" s="10">
        <v>150</v>
      </c>
      <c r="C322" s="10" t="s">
        <v>39</v>
      </c>
      <c r="D322" s="10">
        <v>57.6</v>
      </c>
      <c r="E322" s="10" t="s">
        <v>41</v>
      </c>
      <c r="F322" s="11">
        <v>1.0107898099999999</v>
      </c>
      <c r="G322" s="11">
        <v>1.3259860000000001</v>
      </c>
      <c r="H322" s="10"/>
      <c r="I322" s="10"/>
      <c r="J322" s="10"/>
    </row>
    <row r="323" spans="1:10" ht="15.6" x14ac:dyDescent="0.3">
      <c r="A323" s="9" t="s">
        <v>37</v>
      </c>
      <c r="B323" s="10">
        <v>150</v>
      </c>
      <c r="C323" s="10" t="s">
        <v>42</v>
      </c>
      <c r="D323" s="10">
        <v>28.8</v>
      </c>
      <c r="E323" s="10" t="s">
        <v>42</v>
      </c>
      <c r="F323" s="11">
        <v>1.0109847000000001</v>
      </c>
      <c r="G323" s="11">
        <v>1.499404</v>
      </c>
      <c r="H323" s="10"/>
      <c r="I323" s="10"/>
      <c r="J323" s="10"/>
    </row>
    <row r="324" spans="1:10" ht="15.6" x14ac:dyDescent="0.3">
      <c r="A324" s="9" t="s">
        <v>37</v>
      </c>
      <c r="B324" s="10">
        <v>150</v>
      </c>
      <c r="C324" s="10" t="s">
        <v>43</v>
      </c>
      <c r="D324" s="10">
        <v>57.6</v>
      </c>
      <c r="E324" s="10" t="s">
        <v>43</v>
      </c>
      <c r="F324" s="11">
        <v>1.01078051</v>
      </c>
      <c r="G324" s="11">
        <v>1.4993449999999999</v>
      </c>
      <c r="H324" s="10"/>
      <c r="I324" s="10"/>
      <c r="J324" s="10"/>
    </row>
    <row r="325" spans="1:10" ht="15.6" x14ac:dyDescent="0.3">
      <c r="A325" s="9" t="s">
        <v>37</v>
      </c>
      <c r="B325" s="10" t="s">
        <v>44</v>
      </c>
      <c r="C325" s="10" t="s">
        <v>13</v>
      </c>
      <c r="D325" s="10">
        <v>2</v>
      </c>
      <c r="E325" s="10" t="s">
        <v>13</v>
      </c>
      <c r="F325" s="11">
        <v>0.97468354000000001</v>
      </c>
      <c r="G325" s="11">
        <v>1.392857</v>
      </c>
      <c r="H325" s="10"/>
      <c r="I325" s="10"/>
      <c r="J325" s="10"/>
    </row>
    <row r="326" spans="1:10" ht="15.6" x14ac:dyDescent="0.3">
      <c r="A326" s="9" t="s">
        <v>37</v>
      </c>
      <c r="B326" s="10" t="s">
        <v>44</v>
      </c>
      <c r="C326" s="10" t="s">
        <v>26</v>
      </c>
      <c r="D326" s="10">
        <v>3.6</v>
      </c>
      <c r="E326" s="10" t="s">
        <v>26</v>
      </c>
      <c r="F326" s="11">
        <v>0.98473281999999995</v>
      </c>
      <c r="G326" s="11">
        <v>1.404255</v>
      </c>
      <c r="H326" s="10"/>
      <c r="I326" s="10"/>
      <c r="J326" s="10"/>
    </row>
    <row r="327" spans="1:10" ht="15.6" x14ac:dyDescent="0.3">
      <c r="A327" s="9" t="s">
        <v>37</v>
      </c>
      <c r="B327" s="10" t="s">
        <v>44</v>
      </c>
      <c r="C327" s="10" t="s">
        <v>14</v>
      </c>
      <c r="D327" s="10">
        <v>5</v>
      </c>
      <c r="E327" s="10" t="s">
        <v>14</v>
      </c>
      <c r="F327" s="11">
        <v>0.98684210999999999</v>
      </c>
      <c r="G327" s="11">
        <v>1.4074070000000001</v>
      </c>
      <c r="H327" s="10"/>
      <c r="I327" s="10"/>
      <c r="J327" s="10"/>
    </row>
    <row r="328" spans="1:10" ht="15.6" x14ac:dyDescent="0.3">
      <c r="A328" s="9" t="s">
        <v>37</v>
      </c>
      <c r="B328" s="10" t="s">
        <v>44</v>
      </c>
      <c r="C328" s="10" t="s">
        <v>18</v>
      </c>
      <c r="D328" s="10">
        <v>10</v>
      </c>
      <c r="E328" s="10" t="s">
        <v>18</v>
      </c>
      <c r="F328" s="11">
        <v>0.98684210999999999</v>
      </c>
      <c r="G328" s="11">
        <v>1.4074070000000001</v>
      </c>
      <c r="H328" s="10"/>
      <c r="I328" s="10"/>
      <c r="J328" s="10"/>
    </row>
    <row r="329" spans="1:10" ht="15.6" x14ac:dyDescent="0.3">
      <c r="A329" s="9" t="s">
        <v>37</v>
      </c>
      <c r="B329" s="10" t="s">
        <v>44</v>
      </c>
      <c r="C329" s="10" t="s">
        <v>20</v>
      </c>
      <c r="D329" s="10">
        <v>14.4</v>
      </c>
      <c r="E329" s="10" t="s">
        <v>20</v>
      </c>
      <c r="F329" s="11">
        <v>0.99074074000000001</v>
      </c>
      <c r="G329" s="11">
        <v>1.4210529999999999</v>
      </c>
      <c r="H329" s="10"/>
      <c r="I329" s="10"/>
      <c r="J329" s="10"/>
    </row>
    <row r="330" spans="1:10" ht="15.6" x14ac:dyDescent="0.3">
      <c r="A330" s="9" t="s">
        <v>37</v>
      </c>
      <c r="B330" s="10" t="s">
        <v>44</v>
      </c>
      <c r="C330" s="10" t="s">
        <v>21</v>
      </c>
      <c r="D330" s="10">
        <v>19.2</v>
      </c>
      <c r="E330" s="10" t="s">
        <v>21</v>
      </c>
      <c r="F330" s="11">
        <v>0.97674419000000001</v>
      </c>
      <c r="G330" s="11">
        <v>1.433333</v>
      </c>
      <c r="H330" s="10"/>
      <c r="I330" s="10"/>
      <c r="J330" s="10"/>
    </row>
    <row r="331" spans="1:10" ht="15.6" x14ac:dyDescent="0.3">
      <c r="A331" s="9" t="s">
        <v>37</v>
      </c>
      <c r="B331" s="10" t="s">
        <v>44</v>
      </c>
      <c r="C331" s="10" t="s">
        <v>21</v>
      </c>
      <c r="D331" s="10">
        <v>19.2</v>
      </c>
      <c r="E331" s="10" t="s">
        <v>22</v>
      </c>
      <c r="F331" s="11">
        <v>0.97826086999999995</v>
      </c>
      <c r="G331" s="11">
        <v>1.393939</v>
      </c>
      <c r="H331" s="10"/>
      <c r="I331" s="10"/>
      <c r="J331" s="10"/>
    </row>
    <row r="332" spans="1:10" ht="15.6" x14ac:dyDescent="0.3">
      <c r="A332" s="9" t="s">
        <v>37</v>
      </c>
      <c r="B332" s="10" t="s">
        <v>44</v>
      </c>
      <c r="C332" s="10" t="s">
        <v>21</v>
      </c>
      <c r="D332" s="10">
        <v>19.2</v>
      </c>
      <c r="E332" s="10" t="s">
        <v>22</v>
      </c>
      <c r="F332" s="11">
        <v>0.98095237999999996</v>
      </c>
      <c r="G332" s="11">
        <v>1.405405</v>
      </c>
      <c r="H332" s="10"/>
      <c r="I332" s="10"/>
      <c r="J332" s="10"/>
    </row>
    <row r="333" spans="1:10" ht="15.6" x14ac:dyDescent="0.3">
      <c r="A333" s="9" t="s">
        <v>37</v>
      </c>
      <c r="B333" s="10" t="s">
        <v>44</v>
      </c>
      <c r="C333" s="10" t="s">
        <v>38</v>
      </c>
      <c r="D333" s="10">
        <v>28.8</v>
      </c>
      <c r="E333" s="10" t="s">
        <v>39</v>
      </c>
      <c r="F333" s="11">
        <v>0.97894736999999998</v>
      </c>
      <c r="G333" s="11">
        <v>1.3823529999999999</v>
      </c>
      <c r="H333" s="10"/>
      <c r="I333" s="10"/>
      <c r="J333" s="10"/>
    </row>
    <row r="334" spans="1:10" ht="15.6" x14ac:dyDescent="0.3">
      <c r="A334" s="9" t="s">
        <v>37</v>
      </c>
      <c r="B334" s="10" t="s">
        <v>44</v>
      </c>
      <c r="C334" s="10" t="s">
        <v>22</v>
      </c>
      <c r="D334" s="10">
        <v>38.4</v>
      </c>
      <c r="E334" s="10" t="s">
        <v>40</v>
      </c>
      <c r="F334" s="11">
        <v>0.98888889000000002</v>
      </c>
      <c r="G334" s="11">
        <v>1.40625</v>
      </c>
      <c r="H334" s="10"/>
      <c r="I334" s="10"/>
      <c r="J334" s="10"/>
    </row>
    <row r="335" spans="1:10" ht="15.6" x14ac:dyDescent="0.3">
      <c r="A335" s="9" t="s">
        <v>37</v>
      </c>
      <c r="B335" s="10" t="s">
        <v>44</v>
      </c>
      <c r="C335" s="10" t="s">
        <v>39</v>
      </c>
      <c r="D335" s="10">
        <v>57.6</v>
      </c>
      <c r="E335" s="10" t="s">
        <v>41</v>
      </c>
      <c r="F335" s="11">
        <v>0.97647059000000003</v>
      </c>
      <c r="G335" s="11">
        <v>1.4</v>
      </c>
      <c r="H335" s="10"/>
      <c r="I335" s="10"/>
      <c r="J335" s="10"/>
    </row>
    <row r="336" spans="1:10" ht="15.6" x14ac:dyDescent="0.3">
      <c r="A336" s="9" t="s">
        <v>37</v>
      </c>
      <c r="B336" s="10" t="s">
        <v>44</v>
      </c>
      <c r="C336" s="10" t="s">
        <v>42</v>
      </c>
      <c r="D336" s="10">
        <v>28.8</v>
      </c>
      <c r="E336" s="10" t="s">
        <v>42</v>
      </c>
      <c r="F336" s="11">
        <v>0.98924730999999999</v>
      </c>
      <c r="G336" s="11">
        <v>1.424242</v>
      </c>
      <c r="H336" s="10"/>
      <c r="I336" s="10"/>
      <c r="J336" s="10"/>
    </row>
    <row r="337" spans="1:10" ht="15.6" x14ac:dyDescent="0.3">
      <c r="A337" s="9" t="s">
        <v>37</v>
      </c>
      <c r="B337" s="10" t="s">
        <v>44</v>
      </c>
      <c r="C337" s="10" t="s">
        <v>43</v>
      </c>
      <c r="D337" s="10">
        <v>57.6</v>
      </c>
      <c r="E337" s="10" t="s">
        <v>43</v>
      </c>
      <c r="F337" s="11">
        <v>0.97647059000000003</v>
      </c>
      <c r="G337" s="11">
        <v>1.4</v>
      </c>
      <c r="H337" s="10"/>
      <c r="I337" s="10"/>
      <c r="J337" s="10"/>
    </row>
    <row r="338" spans="1:10" ht="15.6" x14ac:dyDescent="0.3">
      <c r="A338" s="9" t="s">
        <v>37</v>
      </c>
      <c r="B338" s="10" t="s">
        <v>45</v>
      </c>
      <c r="C338" s="10" t="s">
        <v>13</v>
      </c>
      <c r="D338" s="10">
        <v>2</v>
      </c>
      <c r="E338" s="10" t="s">
        <v>13</v>
      </c>
      <c r="F338" s="11">
        <v>1.0040080199999999</v>
      </c>
      <c r="G338" s="11">
        <v>1.377551</v>
      </c>
      <c r="H338" s="10"/>
      <c r="I338" s="10"/>
      <c r="J338" s="10"/>
    </row>
    <row r="339" spans="1:10" ht="15.6" x14ac:dyDescent="0.3">
      <c r="A339" s="9" t="s">
        <v>37</v>
      </c>
      <c r="B339" s="10" t="s">
        <v>45</v>
      </c>
      <c r="C339" s="10" t="s">
        <v>26</v>
      </c>
      <c r="D339" s="10">
        <v>3.6</v>
      </c>
      <c r="E339" s="10" t="s">
        <v>26</v>
      </c>
      <c r="F339" s="11">
        <v>1.0048134799999999</v>
      </c>
      <c r="G339" s="11">
        <v>1.388379</v>
      </c>
      <c r="H339" s="10"/>
      <c r="I339" s="10"/>
      <c r="J339" s="10"/>
    </row>
    <row r="340" spans="1:10" ht="15.6" x14ac:dyDescent="0.3">
      <c r="A340" s="9" t="s">
        <v>37</v>
      </c>
      <c r="B340" s="10" t="s">
        <v>45</v>
      </c>
      <c r="C340" s="10" t="s">
        <v>14</v>
      </c>
      <c r="D340" s="10">
        <v>5</v>
      </c>
      <c r="E340" s="10" t="s">
        <v>14</v>
      </c>
      <c r="F340" s="11">
        <v>1.0041493800000001</v>
      </c>
      <c r="G340" s="11">
        <v>1.380952</v>
      </c>
      <c r="H340" s="10"/>
      <c r="I340" s="10"/>
      <c r="J340" s="10"/>
    </row>
    <row r="341" spans="1:10" ht="15.6" x14ac:dyDescent="0.3">
      <c r="A341" s="9" t="s">
        <v>37</v>
      </c>
      <c r="B341" s="10" t="s">
        <v>45</v>
      </c>
      <c r="C341" s="10" t="s">
        <v>18</v>
      </c>
      <c r="D341" s="10">
        <v>10</v>
      </c>
      <c r="E341" s="10" t="s">
        <v>18</v>
      </c>
      <c r="F341" s="11">
        <v>1.0041493800000001</v>
      </c>
      <c r="G341" s="11">
        <v>1.380952</v>
      </c>
      <c r="H341" s="10"/>
      <c r="I341" s="10"/>
      <c r="J341" s="10"/>
    </row>
    <row r="342" spans="1:10" ht="15.6" x14ac:dyDescent="0.3">
      <c r="A342" s="9" t="s">
        <v>37</v>
      </c>
      <c r="B342" s="10" t="s">
        <v>45</v>
      </c>
      <c r="C342" s="10" t="s">
        <v>20</v>
      </c>
      <c r="D342" s="10">
        <v>14.4</v>
      </c>
      <c r="E342" s="10" t="s">
        <v>20</v>
      </c>
      <c r="F342" s="11">
        <v>1.0043668100000001</v>
      </c>
      <c r="G342" s="11">
        <v>1.381481</v>
      </c>
      <c r="H342" s="10"/>
      <c r="I342" s="10"/>
      <c r="J342" s="10"/>
    </row>
    <row r="343" spans="1:10" ht="15.6" x14ac:dyDescent="0.3">
      <c r="A343" s="9" t="s">
        <v>37</v>
      </c>
      <c r="B343" s="10" t="s">
        <v>45</v>
      </c>
      <c r="C343" s="10" t="s">
        <v>21</v>
      </c>
      <c r="D343" s="10">
        <v>19.2</v>
      </c>
      <c r="E343" s="10" t="s">
        <v>21</v>
      </c>
      <c r="F343" s="11">
        <v>1.00552486</v>
      </c>
      <c r="G343" s="11">
        <v>1.3785050000000001</v>
      </c>
      <c r="H343" s="10"/>
      <c r="I343" s="10"/>
      <c r="J343" s="10"/>
    </row>
    <row r="344" spans="1:10" ht="15.6" x14ac:dyDescent="0.3">
      <c r="A344" s="9" t="s">
        <v>37</v>
      </c>
      <c r="B344" s="10" t="s">
        <v>45</v>
      </c>
      <c r="C344" s="10" t="s">
        <v>21</v>
      </c>
      <c r="D344" s="10">
        <v>19.2</v>
      </c>
      <c r="E344" s="10" t="s">
        <v>22</v>
      </c>
      <c r="F344" s="11">
        <v>1.0051458</v>
      </c>
      <c r="G344" s="11">
        <v>1.3799129999999999</v>
      </c>
      <c r="H344" s="10"/>
      <c r="I344" s="10"/>
      <c r="J344" s="10"/>
    </row>
    <row r="345" spans="1:10" ht="15.6" x14ac:dyDescent="0.3">
      <c r="A345" s="9" t="s">
        <v>37</v>
      </c>
      <c r="B345" s="10" t="s">
        <v>45</v>
      </c>
      <c r="C345" s="10" t="s">
        <v>21</v>
      </c>
      <c r="D345" s="10">
        <v>19.2</v>
      </c>
      <c r="E345" s="10" t="s">
        <v>22</v>
      </c>
      <c r="F345" s="11">
        <v>1.0045248899999999</v>
      </c>
      <c r="G345" s="11">
        <v>1.37931</v>
      </c>
      <c r="H345" s="10"/>
      <c r="I345" s="10"/>
      <c r="J345" s="10"/>
    </row>
    <row r="346" spans="1:10" ht="15.6" x14ac:dyDescent="0.3">
      <c r="A346" s="9" t="s">
        <v>37</v>
      </c>
      <c r="B346" s="10" t="s">
        <v>45</v>
      </c>
      <c r="C346" s="10" t="s">
        <v>38</v>
      </c>
      <c r="D346" s="10">
        <v>28.8</v>
      </c>
      <c r="E346" s="10" t="s">
        <v>39</v>
      </c>
      <c r="F346" s="11">
        <v>1.00498339</v>
      </c>
      <c r="G346" s="11">
        <v>1.3755269999999999</v>
      </c>
      <c r="H346" s="10"/>
      <c r="I346" s="10"/>
      <c r="J346" s="10"/>
    </row>
    <row r="347" spans="1:10" ht="15.6" x14ac:dyDescent="0.3">
      <c r="A347" s="9" t="s">
        <v>37</v>
      </c>
      <c r="B347" s="10" t="s">
        <v>45</v>
      </c>
      <c r="C347" s="10" t="s">
        <v>22</v>
      </c>
      <c r="D347" s="10">
        <v>38.4</v>
      </c>
      <c r="E347" s="10" t="s">
        <v>40</v>
      </c>
      <c r="F347" s="11">
        <v>1.00525394</v>
      </c>
      <c r="G347" s="11">
        <v>1.3777779999999999</v>
      </c>
      <c r="H347" s="10"/>
      <c r="I347" s="10"/>
      <c r="J347" s="10"/>
    </row>
    <row r="348" spans="1:10" ht="15.6" x14ac:dyDescent="0.3">
      <c r="A348" s="9" t="s">
        <v>37</v>
      </c>
      <c r="B348" s="10" t="s">
        <v>45</v>
      </c>
      <c r="C348" s="10" t="s">
        <v>39</v>
      </c>
      <c r="D348" s="10">
        <v>57.6</v>
      </c>
      <c r="E348" s="10" t="s">
        <v>41</v>
      </c>
      <c r="F348" s="11">
        <v>1.00371747</v>
      </c>
      <c r="G348" s="11">
        <v>1.3838859999999999</v>
      </c>
      <c r="H348" s="10"/>
      <c r="I348" s="10"/>
      <c r="J348" s="10"/>
    </row>
    <row r="349" spans="1:10" ht="15.6" x14ac:dyDescent="0.3">
      <c r="A349" s="9" t="s">
        <v>37</v>
      </c>
      <c r="B349" s="10" t="s">
        <v>45</v>
      </c>
      <c r="C349" s="10" t="s">
        <v>42</v>
      </c>
      <c r="D349" s="10">
        <v>28.8</v>
      </c>
      <c r="E349" s="10" t="s">
        <v>42</v>
      </c>
      <c r="F349" s="11">
        <v>1.0050761399999999</v>
      </c>
      <c r="G349" s="11">
        <v>1.383621</v>
      </c>
      <c r="H349" s="10"/>
      <c r="I349" s="10"/>
      <c r="J349" s="10"/>
    </row>
    <row r="350" spans="1:10" ht="15.6" x14ac:dyDescent="0.3">
      <c r="A350" s="9" t="s">
        <v>37</v>
      </c>
      <c r="B350" s="10" t="s">
        <v>45</v>
      </c>
      <c r="C350" s="10" t="s">
        <v>43</v>
      </c>
      <c r="D350" s="10">
        <v>57.6</v>
      </c>
      <c r="E350" s="10" t="s">
        <v>43</v>
      </c>
      <c r="F350" s="11">
        <v>1.00371747</v>
      </c>
      <c r="G350" s="11">
        <v>1.3838859999999999</v>
      </c>
      <c r="H350" s="10"/>
      <c r="I350" s="10"/>
      <c r="J350" s="10"/>
    </row>
    <row r="351" spans="1:10" ht="15.6" x14ac:dyDescent="0.3">
      <c r="A351" s="9" t="s">
        <v>37</v>
      </c>
      <c r="B351" s="10" t="s">
        <v>46</v>
      </c>
      <c r="C351" s="10" t="s">
        <v>21</v>
      </c>
      <c r="D351" s="10">
        <v>19.2</v>
      </c>
      <c r="E351" s="10" t="s">
        <v>22</v>
      </c>
      <c r="F351" s="11"/>
      <c r="G351" s="11">
        <v>1.699381</v>
      </c>
      <c r="H351" s="10"/>
      <c r="I351" s="10"/>
      <c r="J351" s="10"/>
    </row>
    <row r="352" spans="1:10" ht="15.6" x14ac:dyDescent="0.3">
      <c r="A352" s="9" t="s">
        <v>37</v>
      </c>
      <c r="B352" s="10" t="s">
        <v>46</v>
      </c>
      <c r="C352" s="10" t="s">
        <v>22</v>
      </c>
      <c r="D352" s="10">
        <v>38.4</v>
      </c>
      <c r="E352" s="10" t="s">
        <v>40</v>
      </c>
      <c r="F352" s="11"/>
      <c r="G352" s="11">
        <v>1.697495</v>
      </c>
      <c r="H352" s="10"/>
      <c r="I352" s="10"/>
      <c r="J352" s="10"/>
    </row>
    <row r="353" spans="1:10" ht="15.6" x14ac:dyDescent="0.3">
      <c r="A353" s="9" t="s">
        <v>37</v>
      </c>
      <c r="B353" s="10" t="s">
        <v>46</v>
      </c>
      <c r="C353" s="10" t="s">
        <v>39</v>
      </c>
      <c r="D353" s="10">
        <v>57.6</v>
      </c>
      <c r="E353" s="10" t="s">
        <v>41</v>
      </c>
      <c r="F353" s="11"/>
      <c r="G353" s="11">
        <v>1.737806</v>
      </c>
      <c r="H353" s="10"/>
      <c r="I353" s="10"/>
      <c r="J353" s="10"/>
    </row>
    <row r="354" spans="1:10" ht="15.6" x14ac:dyDescent="0.3">
      <c r="A354" s="9" t="s">
        <v>37</v>
      </c>
      <c r="B354" s="10" t="s">
        <v>47</v>
      </c>
      <c r="C354" s="10" t="s">
        <v>21</v>
      </c>
      <c r="D354" s="10">
        <v>19.2</v>
      </c>
      <c r="E354" s="10" t="s">
        <v>22</v>
      </c>
      <c r="F354" s="11"/>
      <c r="G354" s="11">
        <v>1.679189</v>
      </c>
      <c r="H354" s="10"/>
      <c r="I354" s="10"/>
      <c r="J354" s="10"/>
    </row>
    <row r="355" spans="1:10" ht="15.6" x14ac:dyDescent="0.3">
      <c r="A355" s="9" t="s">
        <v>37</v>
      </c>
      <c r="B355" s="10" t="s">
        <v>47</v>
      </c>
      <c r="C355" s="10" t="s">
        <v>22</v>
      </c>
      <c r="D355" s="10">
        <v>38.4</v>
      </c>
      <c r="E355" s="10" t="s">
        <v>40</v>
      </c>
      <c r="F355" s="11"/>
      <c r="G355" s="11">
        <v>1.657135</v>
      </c>
      <c r="H355" s="10"/>
      <c r="I355" s="10"/>
      <c r="J355" s="10"/>
    </row>
    <row r="356" spans="1:10" ht="15.6" x14ac:dyDescent="0.3">
      <c r="A356" s="9" t="s">
        <v>37</v>
      </c>
      <c r="B356" s="10" t="s">
        <v>47</v>
      </c>
      <c r="C356" s="10" t="s">
        <v>39</v>
      </c>
      <c r="D356" s="10">
        <v>57.6</v>
      </c>
      <c r="E356" s="10" t="s">
        <v>41</v>
      </c>
      <c r="F356" s="11"/>
      <c r="G356" s="11">
        <v>1.672563</v>
      </c>
      <c r="H356" s="10"/>
      <c r="I356" s="10"/>
      <c r="J356" s="10"/>
    </row>
    <row r="357" spans="1:10" ht="15.6" x14ac:dyDescent="0.3">
      <c r="A357" s="9" t="s">
        <v>37</v>
      </c>
      <c r="B357" s="10" t="s">
        <v>48</v>
      </c>
      <c r="C357" s="10" t="s">
        <v>21</v>
      </c>
      <c r="D357" s="10">
        <v>19.2</v>
      </c>
      <c r="E357" s="10" t="s">
        <v>22</v>
      </c>
      <c r="F357" s="11"/>
      <c r="G357" s="11">
        <v>1.6911929999999999</v>
      </c>
      <c r="H357" s="10"/>
      <c r="I357" s="10"/>
      <c r="J357" s="10"/>
    </row>
    <row r="358" spans="1:10" ht="15.6" x14ac:dyDescent="0.3">
      <c r="A358" s="9" t="s">
        <v>37</v>
      </c>
      <c r="B358" s="10" t="s">
        <v>48</v>
      </c>
      <c r="C358" s="10" t="s">
        <v>22</v>
      </c>
      <c r="D358" s="10">
        <v>38.4</v>
      </c>
      <c r="E358" s="10" t="s">
        <v>40</v>
      </c>
      <c r="F358" s="11"/>
      <c r="G358" s="11">
        <v>1.6095379999999999</v>
      </c>
      <c r="H358" s="10"/>
      <c r="I358" s="10"/>
      <c r="J358" s="10"/>
    </row>
    <row r="359" spans="1:10" ht="15.6" x14ac:dyDescent="0.3">
      <c r="A359" s="9" t="s">
        <v>37</v>
      </c>
      <c r="B359" s="10" t="s">
        <v>48</v>
      </c>
      <c r="C359" s="10" t="s">
        <v>39</v>
      </c>
      <c r="D359" s="10">
        <v>57.6</v>
      </c>
      <c r="E359" s="10" t="s">
        <v>41</v>
      </c>
      <c r="F359" s="11"/>
      <c r="G359" s="11">
        <v>1.6803410000000001</v>
      </c>
      <c r="H359" s="10"/>
      <c r="I359" s="10"/>
      <c r="J359" s="10"/>
    </row>
    <row r="360" spans="1:10" ht="15.6" x14ac:dyDescent="0.3">
      <c r="A360" s="9" t="s">
        <v>49</v>
      </c>
      <c r="B360" s="10">
        <v>70</v>
      </c>
      <c r="C360" s="10" t="s">
        <v>13</v>
      </c>
      <c r="D360" s="10">
        <v>2</v>
      </c>
      <c r="E360" s="10" t="s">
        <v>13</v>
      </c>
      <c r="F360" s="11"/>
      <c r="G360" s="11">
        <v>2.4285709999999998</v>
      </c>
      <c r="H360" s="10"/>
      <c r="I360" s="10"/>
      <c r="J360" s="10"/>
    </row>
    <row r="361" spans="1:10" ht="15.6" x14ac:dyDescent="0.3">
      <c r="A361" s="9" t="s">
        <v>49</v>
      </c>
      <c r="B361" s="10">
        <v>70</v>
      </c>
      <c r="C361" s="10" t="s">
        <v>26</v>
      </c>
      <c r="D361" s="10">
        <v>3.6</v>
      </c>
      <c r="E361" s="10" t="s">
        <v>26</v>
      </c>
      <c r="F361" s="11"/>
      <c r="G361" s="11">
        <v>2.25</v>
      </c>
      <c r="H361" s="10"/>
      <c r="I361" s="10"/>
      <c r="J361" s="10"/>
    </row>
    <row r="362" spans="1:10" ht="15.6" x14ac:dyDescent="0.3">
      <c r="A362" s="9" t="s">
        <v>49</v>
      </c>
      <c r="B362" s="10">
        <v>70</v>
      </c>
      <c r="C362" s="10" t="s">
        <v>34</v>
      </c>
      <c r="D362" s="10">
        <v>2.4</v>
      </c>
      <c r="E362" s="10" t="s">
        <v>31</v>
      </c>
      <c r="F362" s="11"/>
      <c r="G362" s="11">
        <v>2.4166669999999999</v>
      </c>
      <c r="H362" s="10"/>
      <c r="I362" s="10"/>
      <c r="J362" s="10"/>
    </row>
    <row r="363" spans="1:10" ht="15.6" x14ac:dyDescent="0.3">
      <c r="A363" s="9" t="s">
        <v>49</v>
      </c>
      <c r="B363" s="10">
        <v>70</v>
      </c>
      <c r="C363" s="10" t="s">
        <v>14</v>
      </c>
      <c r="D363" s="10">
        <v>5</v>
      </c>
      <c r="E363" s="10" t="s">
        <v>14</v>
      </c>
      <c r="F363" s="11"/>
      <c r="G363" s="11">
        <v>2.5</v>
      </c>
      <c r="H363" s="10"/>
      <c r="I363" s="10"/>
      <c r="J363" s="10"/>
    </row>
    <row r="364" spans="1:10" ht="15.6" x14ac:dyDescent="0.3">
      <c r="A364" s="9" t="s">
        <v>49</v>
      </c>
      <c r="B364" s="10">
        <v>70</v>
      </c>
      <c r="C364" s="10" t="s">
        <v>15</v>
      </c>
      <c r="D364" s="10">
        <v>6</v>
      </c>
      <c r="E364" s="10" t="s">
        <v>16</v>
      </c>
      <c r="F364" s="11"/>
      <c r="G364" s="11">
        <v>2.2222219999999999</v>
      </c>
      <c r="H364" s="10"/>
      <c r="I364" s="10"/>
      <c r="J364" s="10"/>
    </row>
    <row r="365" spans="1:10" ht="15.6" x14ac:dyDescent="0.3">
      <c r="A365" s="9" t="s">
        <v>49</v>
      </c>
      <c r="B365" s="10">
        <v>70</v>
      </c>
      <c r="C365" s="10" t="s">
        <v>18</v>
      </c>
      <c r="D365" s="10">
        <v>10</v>
      </c>
      <c r="E365" s="10" t="s">
        <v>18</v>
      </c>
      <c r="F365" s="11"/>
      <c r="G365" s="11">
        <v>2.5</v>
      </c>
      <c r="H365" s="10"/>
      <c r="I365" s="10"/>
      <c r="J365" s="10"/>
    </row>
    <row r="366" spans="1:10" ht="15.6" x14ac:dyDescent="0.3">
      <c r="A366" s="9" t="s">
        <v>49</v>
      </c>
      <c r="B366" s="10">
        <v>70</v>
      </c>
      <c r="C366" s="10" t="s">
        <v>20</v>
      </c>
      <c r="D366" s="10">
        <v>14.4</v>
      </c>
      <c r="E366" s="10" t="s">
        <v>20</v>
      </c>
      <c r="F366" s="11"/>
      <c r="G366" s="11">
        <v>2.5</v>
      </c>
      <c r="H366" s="10"/>
      <c r="I366" s="10"/>
      <c r="J366" s="10"/>
    </row>
    <row r="367" spans="1:10" ht="15.6" x14ac:dyDescent="0.3">
      <c r="A367" s="9" t="s">
        <v>49</v>
      </c>
      <c r="B367" s="10">
        <v>70</v>
      </c>
      <c r="C367" s="10" t="s">
        <v>16</v>
      </c>
      <c r="D367" s="10">
        <v>12</v>
      </c>
      <c r="E367" s="10" t="s">
        <v>19</v>
      </c>
      <c r="F367" s="11"/>
      <c r="G367" s="11">
        <v>2.3333330000000001</v>
      </c>
      <c r="H367" s="10"/>
      <c r="I367" s="10"/>
      <c r="J367" s="10"/>
    </row>
    <row r="368" spans="1:10" ht="15.6" x14ac:dyDescent="0.3">
      <c r="A368" s="9" t="s">
        <v>49</v>
      </c>
      <c r="B368" s="10">
        <v>70</v>
      </c>
      <c r="C368" s="10" t="s">
        <v>21</v>
      </c>
      <c r="D368" s="10">
        <v>19.2</v>
      </c>
      <c r="E368" s="10" t="s">
        <v>22</v>
      </c>
      <c r="F368" s="11"/>
      <c r="G368" s="11">
        <v>2.375</v>
      </c>
      <c r="H368" s="10"/>
      <c r="I368" s="10"/>
      <c r="J368" s="10"/>
    </row>
    <row r="369" spans="1:10" ht="15.6" x14ac:dyDescent="0.3">
      <c r="A369" s="9" t="s">
        <v>49</v>
      </c>
      <c r="B369" s="10">
        <v>70</v>
      </c>
      <c r="C369" s="10" t="s">
        <v>35</v>
      </c>
      <c r="D369" s="10">
        <v>38.4</v>
      </c>
      <c r="E369" s="10" t="s">
        <v>35</v>
      </c>
      <c r="F369" s="11"/>
      <c r="G369" s="11">
        <v>2.4285709999999998</v>
      </c>
      <c r="H369" s="10"/>
      <c r="I369" s="10"/>
      <c r="J369" s="10"/>
    </row>
    <row r="370" spans="1:10" ht="15.6" x14ac:dyDescent="0.3">
      <c r="A370" s="9" t="s">
        <v>49</v>
      </c>
      <c r="B370" s="10">
        <v>70</v>
      </c>
      <c r="C370" s="10" t="s">
        <v>22</v>
      </c>
      <c r="D370" s="10">
        <v>38.4</v>
      </c>
      <c r="E370" s="10" t="s">
        <v>40</v>
      </c>
      <c r="F370" s="11"/>
      <c r="G370" s="11">
        <v>2.4285709999999998</v>
      </c>
      <c r="H370" s="10"/>
      <c r="I370" s="10"/>
      <c r="J370" s="10"/>
    </row>
    <row r="371" spans="1:10" ht="15.6" x14ac:dyDescent="0.3">
      <c r="A371" s="9" t="s">
        <v>49</v>
      </c>
      <c r="B371" s="10">
        <v>80</v>
      </c>
      <c r="C371" s="10" t="s">
        <v>13</v>
      </c>
      <c r="D371" s="10">
        <v>2</v>
      </c>
      <c r="E371" s="10" t="s">
        <v>13</v>
      </c>
      <c r="F371" s="11"/>
      <c r="G371" s="11">
        <v>2.1666669999999999</v>
      </c>
      <c r="H371" s="10"/>
      <c r="I371" s="10"/>
      <c r="J371" s="10"/>
    </row>
    <row r="372" spans="1:10" ht="15.6" x14ac:dyDescent="0.3">
      <c r="A372" s="9" t="s">
        <v>49</v>
      </c>
      <c r="B372" s="10">
        <v>80</v>
      </c>
      <c r="C372" s="10" t="s">
        <v>26</v>
      </c>
      <c r="D372" s="10">
        <v>3.6</v>
      </c>
      <c r="E372" s="10" t="s">
        <v>26</v>
      </c>
      <c r="F372" s="11"/>
      <c r="G372" s="11">
        <v>2.15</v>
      </c>
      <c r="H372" s="10"/>
      <c r="I372" s="10"/>
      <c r="J372" s="10"/>
    </row>
    <row r="373" spans="1:10" ht="15.6" x14ac:dyDescent="0.3">
      <c r="A373" s="9" t="s">
        <v>49</v>
      </c>
      <c r="B373" s="10">
        <v>80</v>
      </c>
      <c r="C373" s="10" t="s">
        <v>34</v>
      </c>
      <c r="D373" s="10">
        <v>2.4</v>
      </c>
      <c r="E373" s="10" t="s">
        <v>31</v>
      </c>
      <c r="F373" s="11"/>
      <c r="G373" s="11">
        <v>2.1428569999999998</v>
      </c>
      <c r="H373" s="10"/>
      <c r="I373" s="10"/>
      <c r="J373" s="10"/>
    </row>
    <row r="374" spans="1:10" ht="15.6" x14ac:dyDescent="0.3">
      <c r="A374" s="9" t="s">
        <v>49</v>
      </c>
      <c r="B374" s="10">
        <v>80</v>
      </c>
      <c r="C374" s="10" t="s">
        <v>14</v>
      </c>
      <c r="D374" s="10">
        <v>5</v>
      </c>
      <c r="E374" s="10" t="s">
        <v>14</v>
      </c>
      <c r="F374" s="11"/>
      <c r="G374" s="11">
        <v>2.1818179999999998</v>
      </c>
      <c r="H374" s="10"/>
      <c r="I374" s="10"/>
      <c r="J374" s="10"/>
    </row>
    <row r="375" spans="1:10" ht="15.6" x14ac:dyDescent="0.3">
      <c r="A375" s="9" t="s">
        <v>49</v>
      </c>
      <c r="B375" s="10">
        <v>80</v>
      </c>
      <c r="C375" s="10" t="s">
        <v>15</v>
      </c>
      <c r="D375" s="10">
        <v>6</v>
      </c>
      <c r="E375" s="10" t="s">
        <v>16</v>
      </c>
      <c r="F375" s="11"/>
      <c r="G375" s="11">
        <v>2.0666669999999998</v>
      </c>
      <c r="H375" s="10"/>
      <c r="I375" s="10"/>
      <c r="J375" s="10"/>
    </row>
    <row r="376" spans="1:10" ht="15.6" x14ac:dyDescent="0.3">
      <c r="A376" s="9" t="s">
        <v>49</v>
      </c>
      <c r="B376" s="10">
        <v>80</v>
      </c>
      <c r="C376" s="10" t="s">
        <v>18</v>
      </c>
      <c r="D376" s="10">
        <v>10</v>
      </c>
      <c r="E376" s="10" t="s">
        <v>18</v>
      </c>
      <c r="F376" s="11"/>
      <c r="G376" s="11">
        <v>2.1818179999999998</v>
      </c>
      <c r="H376" s="10"/>
      <c r="I376" s="10"/>
      <c r="J376" s="10"/>
    </row>
    <row r="377" spans="1:10" ht="15.6" x14ac:dyDescent="0.3">
      <c r="A377" s="9" t="s">
        <v>49</v>
      </c>
      <c r="B377" s="10">
        <v>80</v>
      </c>
      <c r="C377" s="10" t="s">
        <v>20</v>
      </c>
      <c r="D377" s="10">
        <v>14.4</v>
      </c>
      <c r="E377" s="10" t="s">
        <v>20</v>
      </c>
      <c r="F377" s="11"/>
      <c r="G377" s="11">
        <v>2.1428569999999998</v>
      </c>
      <c r="H377" s="10"/>
      <c r="I377" s="10"/>
      <c r="J377" s="10"/>
    </row>
    <row r="378" spans="1:10" ht="15.6" x14ac:dyDescent="0.3">
      <c r="A378" s="9" t="s">
        <v>49</v>
      </c>
      <c r="B378" s="10">
        <v>80</v>
      </c>
      <c r="C378" s="10" t="s">
        <v>16</v>
      </c>
      <c r="D378" s="10">
        <v>12</v>
      </c>
      <c r="E378" s="10" t="s">
        <v>19</v>
      </c>
      <c r="F378" s="11"/>
      <c r="G378" s="11">
        <v>2.1333329999999999</v>
      </c>
      <c r="H378" s="10"/>
      <c r="I378" s="10"/>
      <c r="J378" s="10"/>
    </row>
    <row r="379" spans="1:10" ht="15.6" x14ac:dyDescent="0.3">
      <c r="A379" s="9" t="s">
        <v>49</v>
      </c>
      <c r="B379" s="10">
        <v>80</v>
      </c>
      <c r="C379" s="10" t="s">
        <v>21</v>
      </c>
      <c r="D379" s="10">
        <v>19.2</v>
      </c>
      <c r="E379" s="10" t="s">
        <v>22</v>
      </c>
      <c r="F379" s="11"/>
      <c r="G379" s="11">
        <v>2.0714290000000002</v>
      </c>
      <c r="H379" s="10"/>
      <c r="I379" s="10"/>
      <c r="J379" s="10"/>
    </row>
    <row r="380" spans="1:10" ht="15.6" x14ac:dyDescent="0.3">
      <c r="A380" s="9" t="s">
        <v>49</v>
      </c>
      <c r="B380" s="10">
        <v>80</v>
      </c>
      <c r="C380" s="10" t="s">
        <v>35</v>
      </c>
      <c r="D380" s="10">
        <v>38.4</v>
      </c>
      <c r="E380" s="10" t="s">
        <v>35</v>
      </c>
      <c r="F380" s="11"/>
      <c r="G380" s="11">
        <v>2.1666669999999999</v>
      </c>
      <c r="H380" s="10"/>
      <c r="I380" s="10"/>
      <c r="J380" s="10"/>
    </row>
    <row r="381" spans="1:10" ht="15.6" x14ac:dyDescent="0.3">
      <c r="A381" s="9" t="s">
        <v>49</v>
      </c>
      <c r="B381" s="10">
        <v>80</v>
      </c>
      <c r="C381" s="10" t="s">
        <v>22</v>
      </c>
      <c r="D381" s="10">
        <v>38.4</v>
      </c>
      <c r="E381" s="10" t="s">
        <v>40</v>
      </c>
      <c r="F381" s="11"/>
      <c r="G381" s="11">
        <v>2.1666669999999999</v>
      </c>
      <c r="H381" s="10"/>
      <c r="I381" s="10"/>
      <c r="J381" s="10"/>
    </row>
    <row r="382" spans="1:10" ht="15.6" x14ac:dyDescent="0.3">
      <c r="A382" s="9" t="s">
        <v>49</v>
      </c>
      <c r="B382" s="10">
        <v>100</v>
      </c>
      <c r="C382" s="10" t="s">
        <v>13</v>
      </c>
      <c r="D382" s="10">
        <v>2</v>
      </c>
      <c r="E382" s="10" t="s">
        <v>13</v>
      </c>
      <c r="F382" s="11"/>
      <c r="G382" s="11">
        <v>1.925926</v>
      </c>
      <c r="H382" s="10"/>
      <c r="I382" s="10"/>
      <c r="J382" s="10"/>
    </row>
    <row r="383" spans="1:10" ht="15.6" x14ac:dyDescent="0.3">
      <c r="A383" s="9" t="s">
        <v>49</v>
      </c>
      <c r="B383" s="10">
        <v>100</v>
      </c>
      <c r="C383" s="10" t="s">
        <v>26</v>
      </c>
      <c r="D383" s="10">
        <v>3.6</v>
      </c>
      <c r="E383" s="10" t="s">
        <v>26</v>
      </c>
      <c r="F383" s="11"/>
      <c r="G383" s="11">
        <v>1.9090910000000001</v>
      </c>
      <c r="H383" s="10"/>
      <c r="I383" s="10"/>
      <c r="J383" s="10"/>
    </row>
    <row r="384" spans="1:10" ht="15.6" x14ac:dyDescent="0.3">
      <c r="A384" s="9" t="s">
        <v>49</v>
      </c>
      <c r="B384" s="10">
        <v>100</v>
      </c>
      <c r="C384" s="10" t="s">
        <v>34</v>
      </c>
      <c r="D384" s="10">
        <v>2.4</v>
      </c>
      <c r="E384" s="10" t="s">
        <v>31</v>
      </c>
      <c r="F384" s="11"/>
      <c r="G384" s="11">
        <v>1.8936170000000001</v>
      </c>
      <c r="H384" s="10"/>
      <c r="I384" s="10"/>
      <c r="J384" s="10"/>
    </row>
    <row r="385" spans="1:10" ht="15.6" x14ac:dyDescent="0.3">
      <c r="A385" s="9" t="s">
        <v>49</v>
      </c>
      <c r="B385" s="10">
        <v>100</v>
      </c>
      <c r="C385" s="10" t="s">
        <v>14</v>
      </c>
      <c r="D385" s="10">
        <v>5</v>
      </c>
      <c r="E385" s="10" t="s">
        <v>14</v>
      </c>
      <c r="F385" s="11"/>
      <c r="G385" s="11">
        <v>1.84</v>
      </c>
      <c r="H385" s="10"/>
      <c r="I385" s="10"/>
      <c r="J385" s="10"/>
    </row>
    <row r="386" spans="1:10" ht="15.6" x14ac:dyDescent="0.3">
      <c r="A386" s="9" t="s">
        <v>49</v>
      </c>
      <c r="B386" s="10">
        <v>100</v>
      </c>
      <c r="C386" s="10" t="s">
        <v>15</v>
      </c>
      <c r="D386" s="10">
        <v>6</v>
      </c>
      <c r="E386" s="10" t="s">
        <v>16</v>
      </c>
      <c r="F386" s="11"/>
      <c r="G386" s="11">
        <v>1.8484849999999999</v>
      </c>
      <c r="H386" s="10"/>
      <c r="I386" s="10"/>
      <c r="J386" s="10"/>
    </row>
    <row r="387" spans="1:10" ht="15.6" x14ac:dyDescent="0.3">
      <c r="A387" s="9" t="s">
        <v>49</v>
      </c>
      <c r="B387" s="10">
        <v>100</v>
      </c>
      <c r="C387" s="10" t="s">
        <v>18</v>
      </c>
      <c r="D387" s="10">
        <v>10</v>
      </c>
      <c r="E387" s="10" t="s">
        <v>18</v>
      </c>
      <c r="F387" s="11"/>
      <c r="G387" s="11">
        <v>1.84</v>
      </c>
      <c r="H387" s="10"/>
      <c r="I387" s="10"/>
      <c r="J387" s="10"/>
    </row>
    <row r="388" spans="1:10" ht="15.6" x14ac:dyDescent="0.3">
      <c r="A388" s="9" t="s">
        <v>49</v>
      </c>
      <c r="B388" s="10">
        <v>100</v>
      </c>
      <c r="C388" s="10" t="s">
        <v>20</v>
      </c>
      <c r="D388" s="10">
        <v>14.4</v>
      </c>
      <c r="E388" s="10" t="s">
        <v>20</v>
      </c>
      <c r="F388" s="11"/>
      <c r="G388" s="11">
        <v>1.875</v>
      </c>
      <c r="H388" s="10"/>
      <c r="I388" s="10"/>
      <c r="J388" s="10"/>
    </row>
    <row r="389" spans="1:10" ht="15.6" x14ac:dyDescent="0.3">
      <c r="A389" s="9" t="s">
        <v>49</v>
      </c>
      <c r="B389" s="10">
        <v>100</v>
      </c>
      <c r="C389" s="10" t="s">
        <v>16</v>
      </c>
      <c r="D389" s="10">
        <v>12</v>
      </c>
      <c r="E389" s="10" t="s">
        <v>19</v>
      </c>
      <c r="F389" s="11"/>
      <c r="G389" s="11">
        <v>1.9090910000000001</v>
      </c>
      <c r="H389" s="10"/>
      <c r="I389" s="10"/>
      <c r="J389" s="10"/>
    </row>
    <row r="390" spans="1:10" ht="15.6" x14ac:dyDescent="0.3">
      <c r="A390" s="9" t="s">
        <v>49</v>
      </c>
      <c r="B390" s="10">
        <v>100</v>
      </c>
      <c r="C390" s="10" t="s">
        <v>21</v>
      </c>
      <c r="D390" s="10">
        <v>19.2</v>
      </c>
      <c r="E390" s="10" t="s">
        <v>22</v>
      </c>
      <c r="F390" s="11"/>
      <c r="G390" s="11">
        <v>1.870968</v>
      </c>
      <c r="H390" s="10"/>
      <c r="I390" s="10"/>
      <c r="J390" s="10"/>
    </row>
    <row r="391" spans="1:10" ht="15.6" x14ac:dyDescent="0.3">
      <c r="A391" s="9" t="s">
        <v>49</v>
      </c>
      <c r="B391" s="10">
        <v>100</v>
      </c>
      <c r="C391" s="10" t="s">
        <v>35</v>
      </c>
      <c r="D391" s="10">
        <v>38.4</v>
      </c>
      <c r="E391" s="10" t="s">
        <v>35</v>
      </c>
      <c r="F391" s="11"/>
      <c r="G391" s="11">
        <v>1.857143</v>
      </c>
      <c r="H391" s="10"/>
      <c r="I391" s="10"/>
      <c r="J391" s="10"/>
    </row>
    <row r="392" spans="1:10" ht="15.6" x14ac:dyDescent="0.3">
      <c r="A392" s="9" t="s">
        <v>49</v>
      </c>
      <c r="B392" s="10">
        <v>100</v>
      </c>
      <c r="C392" s="10" t="s">
        <v>22</v>
      </c>
      <c r="D392" s="10">
        <v>38.4</v>
      </c>
      <c r="E392" s="10" t="s">
        <v>40</v>
      </c>
      <c r="F392" s="11"/>
      <c r="G392" s="11">
        <v>1.888889</v>
      </c>
      <c r="H392" s="10"/>
      <c r="I392" s="10"/>
      <c r="J392" s="10"/>
    </row>
    <row r="393" spans="1:10" ht="15.6" x14ac:dyDescent="0.3">
      <c r="A393" s="9" t="s">
        <v>49</v>
      </c>
      <c r="B393" s="10">
        <v>120</v>
      </c>
      <c r="C393" s="10" t="s">
        <v>13</v>
      </c>
      <c r="D393" s="10">
        <v>2</v>
      </c>
      <c r="E393" s="10" t="s">
        <v>13</v>
      </c>
      <c r="F393" s="11"/>
      <c r="G393" s="11">
        <v>1.765957</v>
      </c>
      <c r="H393" s="10"/>
      <c r="I393" s="10"/>
      <c r="J393" s="10"/>
    </row>
    <row r="394" spans="1:10" ht="15.6" x14ac:dyDescent="0.3">
      <c r="A394" s="9" t="s">
        <v>49</v>
      </c>
      <c r="B394" s="10">
        <v>120</v>
      </c>
      <c r="C394" s="10" t="s">
        <v>26</v>
      </c>
      <c r="D394" s="10">
        <v>3.6</v>
      </c>
      <c r="E394" s="10" t="s">
        <v>26</v>
      </c>
      <c r="F394" s="11"/>
      <c r="G394" s="11">
        <v>1.763158</v>
      </c>
      <c r="H394" s="10"/>
      <c r="I394" s="10"/>
      <c r="J394" s="10"/>
    </row>
    <row r="395" spans="1:10" ht="15.6" x14ac:dyDescent="0.3">
      <c r="A395" s="9" t="s">
        <v>49</v>
      </c>
      <c r="B395" s="10">
        <v>120</v>
      </c>
      <c r="C395" s="10" t="s">
        <v>34</v>
      </c>
      <c r="D395" s="10">
        <v>2.4</v>
      </c>
      <c r="E395" s="10" t="s">
        <v>31</v>
      </c>
      <c r="F395" s="11"/>
      <c r="G395" s="11">
        <v>1.7749999999999999</v>
      </c>
      <c r="H395" s="10"/>
      <c r="I395" s="10"/>
      <c r="J395" s="10"/>
    </row>
    <row r="396" spans="1:10" ht="15.6" x14ac:dyDescent="0.3">
      <c r="A396" s="9" t="s">
        <v>49</v>
      </c>
      <c r="B396" s="10">
        <v>120</v>
      </c>
      <c r="C396" s="10" t="s">
        <v>14</v>
      </c>
      <c r="D396" s="10">
        <v>5</v>
      </c>
      <c r="E396" s="10" t="s">
        <v>14</v>
      </c>
      <c r="F396" s="11"/>
      <c r="G396" s="11">
        <v>1.7619050000000001</v>
      </c>
      <c r="H396" s="10"/>
      <c r="I396" s="10"/>
      <c r="J396" s="10"/>
    </row>
    <row r="397" spans="1:10" ht="15.6" x14ac:dyDescent="0.3">
      <c r="A397" s="9" t="s">
        <v>49</v>
      </c>
      <c r="B397" s="10">
        <v>120</v>
      </c>
      <c r="C397" s="10" t="s">
        <v>15</v>
      </c>
      <c r="D397" s="10">
        <v>6</v>
      </c>
      <c r="E397" s="10" t="s">
        <v>16</v>
      </c>
      <c r="F397" s="11"/>
      <c r="G397" s="11">
        <v>1.767857</v>
      </c>
      <c r="H397" s="10"/>
      <c r="I397" s="10"/>
      <c r="J397" s="10"/>
    </row>
    <row r="398" spans="1:10" ht="15.6" x14ac:dyDescent="0.3">
      <c r="A398" s="9" t="s">
        <v>49</v>
      </c>
      <c r="B398" s="10">
        <v>120</v>
      </c>
      <c r="C398" s="10" t="s">
        <v>18</v>
      </c>
      <c r="D398" s="10">
        <v>10</v>
      </c>
      <c r="E398" s="10" t="s">
        <v>18</v>
      </c>
      <c r="F398" s="11"/>
      <c r="G398" s="11">
        <v>1.7619050000000001</v>
      </c>
      <c r="H398" s="10"/>
      <c r="I398" s="10"/>
      <c r="J398" s="10"/>
    </row>
    <row r="399" spans="1:10" ht="15.6" x14ac:dyDescent="0.3">
      <c r="A399" s="9" t="s">
        <v>49</v>
      </c>
      <c r="B399" s="10">
        <v>120</v>
      </c>
      <c r="C399" s="10" t="s">
        <v>20</v>
      </c>
      <c r="D399" s="10">
        <v>14.4</v>
      </c>
      <c r="E399" s="10" t="s">
        <v>20</v>
      </c>
      <c r="F399" s="11"/>
      <c r="G399" s="11">
        <v>1.7777780000000001</v>
      </c>
      <c r="H399" s="10"/>
      <c r="I399" s="10"/>
      <c r="J399" s="10"/>
    </row>
    <row r="400" spans="1:10" ht="15.6" x14ac:dyDescent="0.3">
      <c r="A400" s="9" t="s">
        <v>49</v>
      </c>
      <c r="B400" s="10">
        <v>120</v>
      </c>
      <c r="C400" s="10" t="s">
        <v>16</v>
      </c>
      <c r="D400" s="10">
        <v>12</v>
      </c>
      <c r="E400" s="10" t="s">
        <v>19</v>
      </c>
      <c r="F400" s="11"/>
      <c r="G400" s="11">
        <v>1.754386</v>
      </c>
      <c r="H400" s="10"/>
      <c r="I400" s="10"/>
      <c r="J400" s="10"/>
    </row>
    <row r="401" spans="1:10" ht="15.6" x14ac:dyDescent="0.3">
      <c r="A401" s="9" t="s">
        <v>49</v>
      </c>
      <c r="B401" s="10">
        <v>120</v>
      </c>
      <c r="C401" s="10" t="s">
        <v>21</v>
      </c>
      <c r="D401" s="10">
        <v>19.2</v>
      </c>
      <c r="E401" s="10" t="s">
        <v>22</v>
      </c>
      <c r="F401" s="11"/>
      <c r="G401" s="11">
        <v>1.773585</v>
      </c>
      <c r="H401" s="10"/>
      <c r="I401" s="10"/>
      <c r="J401" s="10"/>
    </row>
    <row r="402" spans="1:10" ht="15.6" x14ac:dyDescent="0.3">
      <c r="A402" s="9" t="s">
        <v>49</v>
      </c>
      <c r="B402" s="10">
        <v>120</v>
      </c>
      <c r="C402" s="10" t="s">
        <v>35</v>
      </c>
      <c r="D402" s="10">
        <v>38.4</v>
      </c>
      <c r="E402" s="10" t="s">
        <v>35</v>
      </c>
      <c r="F402" s="11"/>
      <c r="G402" s="11">
        <v>1.765957</v>
      </c>
      <c r="H402" s="10"/>
      <c r="I402" s="10"/>
      <c r="J402" s="10"/>
    </row>
    <row r="403" spans="1:10" ht="15.6" x14ac:dyDescent="0.3">
      <c r="A403" s="9" t="s">
        <v>49</v>
      </c>
      <c r="B403" s="10">
        <v>120</v>
      </c>
      <c r="C403" s="10" t="s">
        <v>22</v>
      </c>
      <c r="D403" s="10">
        <v>38.4</v>
      </c>
      <c r="E403" s="10" t="s">
        <v>40</v>
      </c>
      <c r="F403" s="11"/>
      <c r="G403" s="11">
        <v>1.7826090000000001</v>
      </c>
      <c r="H403" s="10"/>
      <c r="I403" s="10"/>
      <c r="J403" s="10"/>
    </row>
    <row r="404" spans="1:10" ht="15.6" x14ac:dyDescent="0.3">
      <c r="A404" s="9" t="s">
        <v>49</v>
      </c>
      <c r="B404" s="10">
        <v>140</v>
      </c>
      <c r="C404" s="10" t="s">
        <v>13</v>
      </c>
      <c r="D404" s="10">
        <v>2</v>
      </c>
      <c r="E404" s="10" t="s">
        <v>13</v>
      </c>
      <c r="F404" s="11"/>
      <c r="G404" s="11">
        <v>1.6986300000000001</v>
      </c>
      <c r="H404" s="10"/>
      <c r="I404" s="10"/>
      <c r="J404" s="10"/>
    </row>
    <row r="405" spans="1:10" ht="15.6" x14ac:dyDescent="0.3">
      <c r="A405" s="9" t="s">
        <v>49</v>
      </c>
      <c r="B405" s="10">
        <v>140</v>
      </c>
      <c r="C405" s="10" t="s">
        <v>26</v>
      </c>
      <c r="D405" s="10">
        <v>3.6</v>
      </c>
      <c r="E405" s="10" t="s">
        <v>26</v>
      </c>
      <c r="F405" s="11"/>
      <c r="G405" s="11">
        <v>1.70339</v>
      </c>
      <c r="H405" s="10"/>
      <c r="I405" s="10"/>
      <c r="J405" s="10"/>
    </row>
    <row r="406" spans="1:10" ht="15.6" x14ac:dyDescent="0.3">
      <c r="A406" s="9" t="s">
        <v>49</v>
      </c>
      <c r="B406" s="10">
        <v>140</v>
      </c>
      <c r="C406" s="10" t="s">
        <v>34</v>
      </c>
      <c r="D406" s="10">
        <v>2.4</v>
      </c>
      <c r="E406" s="10" t="s">
        <v>31</v>
      </c>
      <c r="F406" s="11"/>
      <c r="G406" s="11">
        <v>1.6825399999999999</v>
      </c>
      <c r="H406" s="10"/>
      <c r="I406" s="10"/>
      <c r="J406" s="10"/>
    </row>
    <row r="407" spans="1:10" ht="15.6" x14ac:dyDescent="0.3">
      <c r="A407" s="9" t="s">
        <v>49</v>
      </c>
      <c r="B407" s="10">
        <v>140</v>
      </c>
      <c r="C407" s="10" t="s">
        <v>14</v>
      </c>
      <c r="D407" s="10">
        <v>5</v>
      </c>
      <c r="E407" s="10" t="s">
        <v>14</v>
      </c>
      <c r="F407" s="11"/>
      <c r="G407" s="11">
        <v>1.681818</v>
      </c>
      <c r="H407" s="10"/>
      <c r="I407" s="10"/>
      <c r="J407" s="10"/>
    </row>
    <row r="408" spans="1:10" ht="15.6" x14ac:dyDescent="0.3">
      <c r="A408" s="9" t="s">
        <v>49</v>
      </c>
      <c r="B408" s="10">
        <v>140</v>
      </c>
      <c r="C408" s="10" t="s">
        <v>15</v>
      </c>
      <c r="D408" s="10">
        <v>6</v>
      </c>
      <c r="E408" s="10" t="s">
        <v>16</v>
      </c>
      <c r="F408" s="11"/>
      <c r="G408" s="11">
        <v>1.6896549999999999</v>
      </c>
      <c r="H408" s="10"/>
      <c r="I408" s="10"/>
      <c r="J408" s="10"/>
    </row>
    <row r="409" spans="1:10" ht="15.6" x14ac:dyDescent="0.3">
      <c r="A409" s="9" t="s">
        <v>49</v>
      </c>
      <c r="B409" s="10">
        <v>140</v>
      </c>
      <c r="C409" s="10" t="s">
        <v>18</v>
      </c>
      <c r="D409" s="10">
        <v>10</v>
      </c>
      <c r="E409" s="10" t="s">
        <v>18</v>
      </c>
      <c r="F409" s="11"/>
      <c r="G409" s="11">
        <v>1.681818</v>
      </c>
      <c r="H409" s="10"/>
      <c r="I409" s="10"/>
      <c r="J409" s="10"/>
    </row>
    <row r="410" spans="1:10" ht="15.6" x14ac:dyDescent="0.3">
      <c r="A410" s="9" t="s">
        <v>49</v>
      </c>
      <c r="B410" s="10">
        <v>140</v>
      </c>
      <c r="C410" s="10" t="s">
        <v>20</v>
      </c>
      <c r="D410" s="10">
        <v>14.4</v>
      </c>
      <c r="E410" s="10" t="s">
        <v>20</v>
      </c>
      <c r="F410" s="11"/>
      <c r="G410" s="11">
        <v>1.7023809999999999</v>
      </c>
      <c r="H410" s="10"/>
      <c r="I410" s="10"/>
      <c r="J410" s="10"/>
    </row>
    <row r="411" spans="1:10" ht="15.6" x14ac:dyDescent="0.3">
      <c r="A411" s="9" t="s">
        <v>49</v>
      </c>
      <c r="B411" s="10">
        <v>140</v>
      </c>
      <c r="C411" s="10" t="s">
        <v>16</v>
      </c>
      <c r="D411" s="10">
        <v>12</v>
      </c>
      <c r="E411" s="10" t="s">
        <v>19</v>
      </c>
      <c r="F411" s="11"/>
      <c r="G411" s="11">
        <v>1.6853929999999999</v>
      </c>
      <c r="H411" s="10"/>
      <c r="I411" s="10"/>
      <c r="J411" s="10"/>
    </row>
    <row r="412" spans="1:10" ht="15.6" x14ac:dyDescent="0.3">
      <c r="A412" s="9" t="s">
        <v>49</v>
      </c>
      <c r="B412" s="10">
        <v>140</v>
      </c>
      <c r="C412" s="10" t="s">
        <v>21</v>
      </c>
      <c r="D412" s="10">
        <v>19.2</v>
      </c>
      <c r="E412" s="10" t="s">
        <v>22</v>
      </c>
      <c r="F412" s="11"/>
      <c r="G412" s="11">
        <v>1.686747</v>
      </c>
      <c r="H412" s="10"/>
      <c r="I412" s="10"/>
      <c r="J412" s="10"/>
    </row>
    <row r="413" spans="1:10" ht="15.6" x14ac:dyDescent="0.3">
      <c r="A413" s="9" t="s">
        <v>49</v>
      </c>
      <c r="B413" s="10">
        <v>140</v>
      </c>
      <c r="C413" s="10" t="s">
        <v>35</v>
      </c>
      <c r="D413" s="10">
        <v>38.4</v>
      </c>
      <c r="E413" s="10" t="s">
        <v>35</v>
      </c>
      <c r="F413" s="11"/>
      <c r="G413" s="11">
        <v>1.712329</v>
      </c>
      <c r="H413" s="10"/>
      <c r="I413" s="10"/>
      <c r="J413" s="10"/>
    </row>
    <row r="414" spans="1:10" ht="15.6" x14ac:dyDescent="0.3">
      <c r="A414" s="9" t="s">
        <v>49</v>
      </c>
      <c r="B414" s="10">
        <v>140</v>
      </c>
      <c r="C414" s="10" t="s">
        <v>22</v>
      </c>
      <c r="D414" s="10">
        <v>38.4</v>
      </c>
      <c r="E414" s="10" t="s">
        <v>40</v>
      </c>
      <c r="F414" s="11"/>
      <c r="G414" s="11">
        <v>1.6944440000000001</v>
      </c>
      <c r="H414" s="10"/>
      <c r="I414" s="10"/>
      <c r="J414" s="10"/>
    </row>
    <row r="415" spans="1:10" ht="15.6" x14ac:dyDescent="0.3">
      <c r="A415" s="9" t="s">
        <v>49</v>
      </c>
      <c r="B415" s="10" t="s">
        <v>50</v>
      </c>
      <c r="C415" s="10" t="s">
        <v>13</v>
      </c>
      <c r="D415" s="10">
        <v>2</v>
      </c>
      <c r="E415" s="10" t="s">
        <v>13</v>
      </c>
      <c r="F415" s="11"/>
      <c r="G415" s="11">
        <v>1.48</v>
      </c>
      <c r="H415" s="10"/>
      <c r="I415" s="10"/>
      <c r="J415" s="10"/>
    </row>
    <row r="416" spans="1:10" ht="15.6" x14ac:dyDescent="0.3">
      <c r="A416" s="9" t="s">
        <v>49</v>
      </c>
      <c r="B416" s="10" t="s">
        <v>50</v>
      </c>
      <c r="C416" s="10" t="s">
        <v>26</v>
      </c>
      <c r="D416" s="10">
        <v>3.6</v>
      </c>
      <c r="E416" s="10" t="s">
        <v>26</v>
      </c>
      <c r="F416" s="11"/>
      <c r="G416" s="11">
        <v>1.4634149999999999</v>
      </c>
      <c r="H416" s="10"/>
      <c r="I416" s="10"/>
      <c r="J416" s="10"/>
    </row>
    <row r="417" spans="1:10" ht="15.6" x14ac:dyDescent="0.3">
      <c r="A417" s="9" t="s">
        <v>49</v>
      </c>
      <c r="B417" s="10" t="s">
        <v>50</v>
      </c>
      <c r="C417" s="10" t="s">
        <v>34</v>
      </c>
      <c r="D417" s="10">
        <v>2.4</v>
      </c>
      <c r="E417" s="10" t="s">
        <v>31</v>
      </c>
      <c r="F417" s="11"/>
      <c r="G417" s="11">
        <v>1.4651160000000001</v>
      </c>
      <c r="H417" s="10"/>
      <c r="I417" s="10"/>
      <c r="J417" s="10"/>
    </row>
    <row r="418" spans="1:10" ht="15.6" x14ac:dyDescent="0.3">
      <c r="A418" s="9" t="s">
        <v>49</v>
      </c>
      <c r="B418" s="10" t="s">
        <v>50</v>
      </c>
      <c r="C418" s="10" t="s">
        <v>14</v>
      </c>
      <c r="D418" s="10">
        <v>5</v>
      </c>
      <c r="E418" s="10" t="s">
        <v>14</v>
      </c>
      <c r="F418" s="11"/>
      <c r="G418" s="11">
        <v>1.4347829999999999</v>
      </c>
      <c r="H418" s="10"/>
      <c r="I418" s="10"/>
      <c r="J418" s="10"/>
    </row>
    <row r="419" spans="1:10" ht="15.6" x14ac:dyDescent="0.3">
      <c r="A419" s="9" t="s">
        <v>49</v>
      </c>
      <c r="B419" s="10" t="s">
        <v>50</v>
      </c>
      <c r="C419" s="10" t="s">
        <v>15</v>
      </c>
      <c r="D419" s="10">
        <v>6</v>
      </c>
      <c r="E419" s="10" t="s">
        <v>16</v>
      </c>
      <c r="F419" s="11"/>
      <c r="G419" s="11">
        <v>1.4666669999999999</v>
      </c>
      <c r="H419" s="10"/>
      <c r="I419" s="10"/>
      <c r="J419" s="10"/>
    </row>
    <row r="420" spans="1:10" ht="15.6" x14ac:dyDescent="0.3">
      <c r="A420" s="9" t="s">
        <v>49</v>
      </c>
      <c r="B420" s="10" t="s">
        <v>50</v>
      </c>
      <c r="C420" s="10" t="s">
        <v>18</v>
      </c>
      <c r="D420" s="10">
        <v>10</v>
      </c>
      <c r="E420" s="10" t="s">
        <v>18</v>
      </c>
      <c r="F420" s="11"/>
      <c r="G420" s="11">
        <v>1.4347829999999999</v>
      </c>
      <c r="H420" s="10"/>
      <c r="I420" s="10"/>
      <c r="J420" s="10"/>
    </row>
    <row r="421" spans="1:10" ht="15.6" x14ac:dyDescent="0.3">
      <c r="A421" s="9" t="s">
        <v>49</v>
      </c>
      <c r="B421" s="10" t="s">
        <v>50</v>
      </c>
      <c r="C421" s="10" t="s">
        <v>20</v>
      </c>
      <c r="D421" s="10">
        <v>14.4</v>
      </c>
      <c r="E421" s="10" t="s">
        <v>20</v>
      </c>
      <c r="F421" s="11"/>
      <c r="G421" s="11">
        <v>1.4482759999999999</v>
      </c>
      <c r="H421" s="10"/>
      <c r="I421" s="10"/>
      <c r="J421" s="10"/>
    </row>
    <row r="422" spans="1:10" ht="15.6" x14ac:dyDescent="0.3">
      <c r="A422" s="9" t="s">
        <v>49</v>
      </c>
      <c r="B422" s="10" t="s">
        <v>50</v>
      </c>
      <c r="C422" s="10" t="s">
        <v>16</v>
      </c>
      <c r="D422" s="10">
        <v>12</v>
      </c>
      <c r="E422" s="10" t="s">
        <v>19</v>
      </c>
      <c r="F422" s="11"/>
      <c r="G422" s="11">
        <v>1.451613</v>
      </c>
      <c r="H422" s="10"/>
      <c r="I422" s="10"/>
      <c r="J422" s="10"/>
    </row>
    <row r="423" spans="1:10" ht="15.6" x14ac:dyDescent="0.3">
      <c r="A423" s="9" t="s">
        <v>49</v>
      </c>
      <c r="B423" s="10" t="s">
        <v>50</v>
      </c>
      <c r="C423" s="10" t="s">
        <v>21</v>
      </c>
      <c r="D423" s="10">
        <v>19.2</v>
      </c>
      <c r="E423" s="10" t="s">
        <v>22</v>
      </c>
      <c r="F423" s="11"/>
      <c r="G423" s="11">
        <v>1.464286</v>
      </c>
      <c r="H423" s="10"/>
      <c r="I423" s="10"/>
      <c r="J423" s="10"/>
    </row>
    <row r="424" spans="1:10" ht="15.6" x14ac:dyDescent="0.3">
      <c r="A424" s="9" t="s">
        <v>49</v>
      </c>
      <c r="B424" s="10" t="s">
        <v>50</v>
      </c>
      <c r="C424" s="10" t="s">
        <v>35</v>
      </c>
      <c r="D424" s="10">
        <v>38.4</v>
      </c>
      <c r="E424" s="10" t="s">
        <v>35</v>
      </c>
      <c r="F424" s="11"/>
      <c r="G424" s="11">
        <v>1.48</v>
      </c>
      <c r="H424" s="10"/>
      <c r="I424" s="10"/>
      <c r="J424" s="10"/>
    </row>
    <row r="425" spans="1:10" ht="15.6" x14ac:dyDescent="0.3">
      <c r="A425" s="9" t="s">
        <v>49</v>
      </c>
      <c r="B425" s="10" t="s">
        <v>50</v>
      </c>
      <c r="C425" s="10" t="s">
        <v>22</v>
      </c>
      <c r="D425" s="10">
        <v>38.4</v>
      </c>
      <c r="E425" s="10" t="s">
        <v>40</v>
      </c>
      <c r="F425" s="11"/>
      <c r="G425" s="11">
        <v>1.44</v>
      </c>
      <c r="H425" s="10"/>
      <c r="I425" s="10"/>
      <c r="J425" s="10"/>
    </row>
    <row r="426" spans="1:10" ht="15.6" x14ac:dyDescent="0.3">
      <c r="A426" s="9" t="s">
        <v>51</v>
      </c>
      <c r="B426" s="10">
        <v>70</v>
      </c>
      <c r="C426" s="10" t="s">
        <v>13</v>
      </c>
      <c r="D426" s="10">
        <v>2</v>
      </c>
      <c r="E426" s="10" t="s">
        <v>13</v>
      </c>
      <c r="F426" s="11">
        <v>1.1379310300000001</v>
      </c>
      <c r="G426" s="11">
        <v>2.1666669999999999</v>
      </c>
      <c r="H426" s="10"/>
      <c r="I426" s="10"/>
      <c r="J426" s="10"/>
    </row>
    <row r="427" spans="1:10" ht="15.6" x14ac:dyDescent="0.3">
      <c r="A427" s="9" t="s">
        <v>51</v>
      </c>
      <c r="B427" s="10">
        <v>70</v>
      </c>
      <c r="C427" s="10" t="s">
        <v>26</v>
      </c>
      <c r="D427" s="10">
        <v>3.6</v>
      </c>
      <c r="E427" s="10" t="s">
        <v>26</v>
      </c>
      <c r="F427" s="11">
        <v>1.1276595700000001</v>
      </c>
      <c r="G427" s="11">
        <v>2.1</v>
      </c>
      <c r="H427" s="10"/>
      <c r="I427" s="10"/>
      <c r="J427" s="10"/>
    </row>
    <row r="428" spans="1:10" ht="15.6" x14ac:dyDescent="0.3">
      <c r="A428" s="9" t="s">
        <v>51</v>
      </c>
      <c r="B428" s="10">
        <v>70</v>
      </c>
      <c r="C428" s="10" t="s">
        <v>34</v>
      </c>
      <c r="D428" s="10">
        <v>2.4</v>
      </c>
      <c r="E428" s="10" t="s">
        <v>31</v>
      </c>
      <c r="F428" s="11">
        <v>1.1200000000000001</v>
      </c>
      <c r="G428" s="11">
        <v>2</v>
      </c>
      <c r="H428" s="10"/>
      <c r="I428" s="10"/>
      <c r="J428" s="10"/>
    </row>
    <row r="429" spans="1:10" ht="15.6" x14ac:dyDescent="0.3">
      <c r="A429" s="9" t="s">
        <v>51</v>
      </c>
      <c r="B429" s="10">
        <v>70</v>
      </c>
      <c r="C429" s="10" t="s">
        <v>14</v>
      </c>
      <c r="D429" s="10">
        <v>5</v>
      </c>
      <c r="E429" s="10" t="s">
        <v>14</v>
      </c>
      <c r="F429" s="11">
        <v>1.1153846199999999</v>
      </c>
      <c r="G429" s="11">
        <v>1.8333330000000001</v>
      </c>
      <c r="H429" s="10"/>
      <c r="I429" s="10"/>
      <c r="J429" s="10"/>
    </row>
    <row r="430" spans="1:10" ht="15.6" x14ac:dyDescent="0.3">
      <c r="A430" s="9" t="s">
        <v>51</v>
      </c>
      <c r="B430" s="10">
        <v>70</v>
      </c>
      <c r="C430" s="10" t="s">
        <v>15</v>
      </c>
      <c r="D430" s="10">
        <v>6</v>
      </c>
      <c r="E430" s="10" t="s">
        <v>16</v>
      </c>
      <c r="F430" s="11">
        <v>1.14705882</v>
      </c>
      <c r="G430" s="11">
        <v>1.875</v>
      </c>
      <c r="H430" s="10"/>
      <c r="I430" s="10"/>
      <c r="J430" s="10"/>
    </row>
    <row r="431" spans="1:10" ht="15.6" x14ac:dyDescent="0.3">
      <c r="A431" s="9" t="s">
        <v>51</v>
      </c>
      <c r="B431" s="10">
        <v>70</v>
      </c>
      <c r="C431" s="10" t="s">
        <v>18</v>
      </c>
      <c r="D431" s="10">
        <v>10</v>
      </c>
      <c r="E431" s="10" t="s">
        <v>18</v>
      </c>
      <c r="F431" s="11">
        <v>1.1153846199999999</v>
      </c>
      <c r="G431" s="11">
        <v>1.8333330000000001</v>
      </c>
      <c r="H431" s="10"/>
      <c r="I431" s="10"/>
      <c r="J431" s="10"/>
    </row>
    <row r="432" spans="1:10" ht="15.6" x14ac:dyDescent="0.3">
      <c r="A432" s="9" t="s">
        <v>51</v>
      </c>
      <c r="B432" s="10">
        <v>70</v>
      </c>
      <c r="C432" s="10" t="s">
        <v>20</v>
      </c>
      <c r="D432" s="10">
        <v>14.4</v>
      </c>
      <c r="E432" s="10" t="s">
        <v>20</v>
      </c>
      <c r="F432" s="11">
        <v>1.15151515</v>
      </c>
      <c r="G432" s="11">
        <v>2.1428569999999998</v>
      </c>
      <c r="H432" s="10"/>
      <c r="I432" s="10"/>
      <c r="J432" s="10"/>
    </row>
    <row r="433" spans="1:10" ht="15.6" x14ac:dyDescent="0.3">
      <c r="A433" s="9" t="s">
        <v>51</v>
      </c>
      <c r="B433" s="10">
        <v>70</v>
      </c>
      <c r="C433" s="10" t="s">
        <v>16</v>
      </c>
      <c r="D433" s="10">
        <v>12</v>
      </c>
      <c r="E433" s="10" t="s">
        <v>19</v>
      </c>
      <c r="F433" s="11">
        <v>1.14285714</v>
      </c>
      <c r="G433" s="11">
        <v>1.875</v>
      </c>
      <c r="H433" s="10"/>
      <c r="I433" s="10"/>
      <c r="J433" s="10"/>
    </row>
    <row r="434" spans="1:10" ht="15.6" x14ac:dyDescent="0.3">
      <c r="A434" s="9" t="s">
        <v>51</v>
      </c>
      <c r="B434" s="10">
        <v>70</v>
      </c>
      <c r="C434" s="10" t="s">
        <v>21</v>
      </c>
      <c r="D434" s="10">
        <v>19.2</v>
      </c>
      <c r="E434" s="10" t="s">
        <v>22</v>
      </c>
      <c r="F434" s="11">
        <v>1.12121212</v>
      </c>
      <c r="G434" s="11">
        <v>2</v>
      </c>
      <c r="H434" s="10"/>
      <c r="I434" s="10"/>
      <c r="J434" s="10"/>
    </row>
    <row r="435" spans="1:10" ht="15.6" x14ac:dyDescent="0.3">
      <c r="A435" s="9" t="s">
        <v>51</v>
      </c>
      <c r="B435" s="10">
        <v>70</v>
      </c>
      <c r="C435" s="10" t="s">
        <v>35</v>
      </c>
      <c r="D435" s="10">
        <v>38.4</v>
      </c>
      <c r="E435" s="10" t="s">
        <v>35</v>
      </c>
      <c r="F435" s="11">
        <v>1.1379310300000001</v>
      </c>
      <c r="G435" s="11">
        <v>2.1666669999999999</v>
      </c>
      <c r="H435" s="10"/>
      <c r="I435" s="10"/>
      <c r="J435" s="10"/>
    </row>
    <row r="436" spans="1:10" ht="15.6" x14ac:dyDescent="0.3">
      <c r="A436" s="9" t="s">
        <v>51</v>
      </c>
      <c r="B436" s="10">
        <v>70</v>
      </c>
      <c r="C436" s="10" t="s">
        <v>22</v>
      </c>
      <c r="D436" s="10">
        <v>38.4</v>
      </c>
      <c r="E436" s="10" t="s">
        <v>40</v>
      </c>
      <c r="F436" s="11">
        <v>1.14285714</v>
      </c>
      <c r="G436" s="11">
        <v>2</v>
      </c>
      <c r="H436" s="10"/>
      <c r="I436" s="10"/>
      <c r="J436" s="10"/>
    </row>
    <row r="437" spans="1:10" ht="15.6" x14ac:dyDescent="0.3">
      <c r="A437" s="9" t="s">
        <v>51</v>
      </c>
      <c r="B437" s="10">
        <v>80</v>
      </c>
      <c r="C437" s="10" t="s">
        <v>13</v>
      </c>
      <c r="D437" s="10">
        <v>2</v>
      </c>
      <c r="E437" s="10" t="s">
        <v>13</v>
      </c>
      <c r="F437" s="11">
        <v>1.08695652</v>
      </c>
      <c r="G437" s="11">
        <v>1.818182</v>
      </c>
      <c r="H437" s="10"/>
      <c r="I437" s="10"/>
      <c r="J437" s="10"/>
    </row>
    <row r="438" spans="1:10" ht="15.6" x14ac:dyDescent="0.3">
      <c r="A438" s="9" t="s">
        <v>51</v>
      </c>
      <c r="B438" s="10">
        <v>80</v>
      </c>
      <c r="C438" s="10" t="s">
        <v>26</v>
      </c>
      <c r="D438" s="10">
        <v>3.6</v>
      </c>
      <c r="E438" s="10" t="s">
        <v>26</v>
      </c>
      <c r="F438" s="11">
        <v>1.1081081100000001</v>
      </c>
      <c r="G438" s="11">
        <v>1.7777780000000001</v>
      </c>
      <c r="H438" s="10"/>
      <c r="I438" s="10"/>
      <c r="J438" s="10"/>
    </row>
    <row r="439" spans="1:10" ht="15.6" x14ac:dyDescent="0.3">
      <c r="A439" s="9" t="s">
        <v>51</v>
      </c>
      <c r="B439" s="10">
        <v>80</v>
      </c>
      <c r="C439" s="10" t="s">
        <v>34</v>
      </c>
      <c r="D439" s="10">
        <v>2.4</v>
      </c>
      <c r="E439" s="10" t="s">
        <v>31</v>
      </c>
      <c r="F439" s="11">
        <v>1.0886075900000001</v>
      </c>
      <c r="G439" s="11">
        <v>1.789474</v>
      </c>
      <c r="H439" s="10"/>
      <c r="I439" s="10"/>
      <c r="J439" s="10"/>
    </row>
    <row r="440" spans="1:10" ht="15.6" x14ac:dyDescent="0.3">
      <c r="A440" s="9" t="s">
        <v>51</v>
      </c>
      <c r="B440" s="10">
        <v>80</v>
      </c>
      <c r="C440" s="10" t="s">
        <v>14</v>
      </c>
      <c r="D440" s="10">
        <v>5</v>
      </c>
      <c r="E440" s="10" t="s">
        <v>14</v>
      </c>
      <c r="F440" s="11">
        <v>1.0975609799999999</v>
      </c>
      <c r="G440" s="11">
        <v>1.8</v>
      </c>
      <c r="H440" s="10"/>
      <c r="I440" s="10"/>
      <c r="J440" s="10"/>
    </row>
    <row r="441" spans="1:10" ht="15.6" x14ac:dyDescent="0.3">
      <c r="A441" s="9" t="s">
        <v>51</v>
      </c>
      <c r="B441" s="10">
        <v>80</v>
      </c>
      <c r="C441" s="10" t="s">
        <v>15</v>
      </c>
      <c r="D441" s="10">
        <v>6</v>
      </c>
      <c r="E441" s="10" t="s">
        <v>16</v>
      </c>
      <c r="F441" s="11">
        <v>1.11111111</v>
      </c>
      <c r="G441" s="11">
        <v>1.8461540000000001</v>
      </c>
      <c r="H441" s="10"/>
      <c r="I441" s="10"/>
      <c r="J441" s="10"/>
    </row>
    <row r="442" spans="1:10" ht="15.6" x14ac:dyDescent="0.3">
      <c r="A442" s="9" t="s">
        <v>51</v>
      </c>
      <c r="B442" s="10">
        <v>80</v>
      </c>
      <c r="C442" s="10" t="s">
        <v>18</v>
      </c>
      <c r="D442" s="10">
        <v>10</v>
      </c>
      <c r="E442" s="10" t="s">
        <v>18</v>
      </c>
      <c r="F442" s="11">
        <v>1.0975609799999999</v>
      </c>
      <c r="G442" s="11">
        <v>1.8</v>
      </c>
      <c r="H442" s="10"/>
      <c r="I442" s="10"/>
      <c r="J442" s="10"/>
    </row>
    <row r="443" spans="1:10" ht="15.6" x14ac:dyDescent="0.3">
      <c r="A443" s="9" t="s">
        <v>51</v>
      </c>
      <c r="B443" s="10">
        <v>80</v>
      </c>
      <c r="C443" s="10" t="s">
        <v>20</v>
      </c>
      <c r="D443" s="10">
        <v>14.4</v>
      </c>
      <c r="E443" s="10" t="s">
        <v>20</v>
      </c>
      <c r="F443" s="11">
        <v>1.09433962</v>
      </c>
      <c r="G443" s="11">
        <v>1.769231</v>
      </c>
      <c r="H443" s="10"/>
      <c r="I443" s="10"/>
      <c r="J443" s="10"/>
    </row>
    <row r="444" spans="1:10" ht="15.6" x14ac:dyDescent="0.3">
      <c r="A444" s="9" t="s">
        <v>51</v>
      </c>
      <c r="B444" s="10">
        <v>80</v>
      </c>
      <c r="C444" s="10" t="s">
        <v>16</v>
      </c>
      <c r="D444" s="10">
        <v>12</v>
      </c>
      <c r="E444" s="10" t="s">
        <v>19</v>
      </c>
      <c r="F444" s="11">
        <v>1.08928571</v>
      </c>
      <c r="G444" s="11">
        <v>1.8461540000000001</v>
      </c>
      <c r="H444" s="10"/>
      <c r="I444" s="10"/>
      <c r="J444" s="10"/>
    </row>
    <row r="445" spans="1:10" ht="15.6" x14ac:dyDescent="0.3">
      <c r="A445" s="9" t="s">
        <v>51</v>
      </c>
      <c r="B445" s="10">
        <v>80</v>
      </c>
      <c r="C445" s="10" t="s">
        <v>21</v>
      </c>
      <c r="D445" s="10">
        <v>19.2</v>
      </c>
      <c r="E445" s="10" t="s">
        <v>22</v>
      </c>
      <c r="F445" s="11">
        <v>1.0961538500000001</v>
      </c>
      <c r="G445" s="11">
        <v>1.8333330000000001</v>
      </c>
      <c r="H445" s="10"/>
      <c r="I445" s="10"/>
      <c r="J445" s="10"/>
    </row>
    <row r="446" spans="1:10" ht="15.6" x14ac:dyDescent="0.3">
      <c r="A446" s="9" t="s">
        <v>51</v>
      </c>
      <c r="B446" s="10">
        <v>80</v>
      </c>
      <c r="C446" s="10" t="s">
        <v>35</v>
      </c>
      <c r="D446" s="10">
        <v>38.4</v>
      </c>
      <c r="E446" s="10" t="s">
        <v>35</v>
      </c>
      <c r="F446" s="11">
        <v>1.10869565</v>
      </c>
      <c r="G446" s="11">
        <v>1.818182</v>
      </c>
      <c r="H446" s="10"/>
      <c r="I446" s="10"/>
      <c r="J446" s="10"/>
    </row>
    <row r="447" spans="1:10" ht="15.6" x14ac:dyDescent="0.3">
      <c r="A447" s="9" t="s">
        <v>51</v>
      </c>
      <c r="B447" s="10">
        <v>80</v>
      </c>
      <c r="C447" s="10" t="s">
        <v>22</v>
      </c>
      <c r="D447" s="10">
        <v>38.4</v>
      </c>
      <c r="E447" s="10" t="s">
        <v>40</v>
      </c>
      <c r="F447" s="11">
        <v>1.11111111</v>
      </c>
      <c r="G447" s="11">
        <v>1.818182</v>
      </c>
      <c r="H447" s="10"/>
      <c r="I447" s="10"/>
      <c r="J447" s="10"/>
    </row>
    <row r="448" spans="1:10" ht="15.6" x14ac:dyDescent="0.3">
      <c r="A448" s="9" t="s">
        <v>51</v>
      </c>
      <c r="B448" s="10">
        <v>100</v>
      </c>
      <c r="C448" s="10" t="s">
        <v>13</v>
      </c>
      <c r="D448" s="10">
        <v>2</v>
      </c>
      <c r="E448" s="10" t="s">
        <v>13</v>
      </c>
      <c r="F448" s="11">
        <v>1.0652173899999999</v>
      </c>
      <c r="G448" s="11">
        <v>1.68</v>
      </c>
      <c r="H448" s="10"/>
      <c r="I448" s="10"/>
      <c r="J448" s="10"/>
    </row>
    <row r="449" spans="1:10" ht="15.6" x14ac:dyDescent="0.3">
      <c r="A449" s="9" t="s">
        <v>51</v>
      </c>
      <c r="B449" s="10">
        <v>100</v>
      </c>
      <c r="C449" s="10" t="s">
        <v>26</v>
      </c>
      <c r="D449" s="10">
        <v>3.6</v>
      </c>
      <c r="E449" s="10" t="s">
        <v>26</v>
      </c>
      <c r="F449" s="11">
        <v>1.06711409</v>
      </c>
      <c r="G449" s="11">
        <v>1.6585369999999999</v>
      </c>
      <c r="H449" s="10"/>
      <c r="I449" s="10"/>
      <c r="J449" s="10"/>
    </row>
    <row r="450" spans="1:10" ht="15.6" x14ac:dyDescent="0.3">
      <c r="A450" s="9" t="s">
        <v>51</v>
      </c>
      <c r="B450" s="10">
        <v>100</v>
      </c>
      <c r="C450" s="10" t="s">
        <v>34</v>
      </c>
      <c r="D450" s="10">
        <v>2.4</v>
      </c>
      <c r="E450" s="10" t="s">
        <v>31</v>
      </c>
      <c r="F450" s="11">
        <v>1.06329114</v>
      </c>
      <c r="G450" s="11">
        <v>1.6744190000000001</v>
      </c>
      <c r="H450" s="10"/>
      <c r="I450" s="10"/>
      <c r="J450" s="10"/>
    </row>
    <row r="451" spans="1:10" ht="15.6" x14ac:dyDescent="0.3">
      <c r="A451" s="9" t="s">
        <v>51</v>
      </c>
      <c r="B451" s="10">
        <v>100</v>
      </c>
      <c r="C451" s="10" t="s">
        <v>14</v>
      </c>
      <c r="D451" s="10">
        <v>5</v>
      </c>
      <c r="E451" s="10" t="s">
        <v>14</v>
      </c>
      <c r="F451" s="11">
        <v>1.07317073</v>
      </c>
      <c r="G451" s="11">
        <v>1.652174</v>
      </c>
      <c r="H451" s="10"/>
      <c r="I451" s="10"/>
      <c r="J451" s="10"/>
    </row>
    <row r="452" spans="1:10" ht="15.6" x14ac:dyDescent="0.3">
      <c r="A452" s="9" t="s">
        <v>51</v>
      </c>
      <c r="B452" s="10">
        <v>100</v>
      </c>
      <c r="C452" s="10" t="s">
        <v>15</v>
      </c>
      <c r="D452" s="10">
        <v>6</v>
      </c>
      <c r="E452" s="10" t="s">
        <v>16</v>
      </c>
      <c r="F452" s="11">
        <v>1.06422018</v>
      </c>
      <c r="G452" s="11">
        <v>1.6666669999999999</v>
      </c>
      <c r="H452" s="10"/>
      <c r="I452" s="10"/>
      <c r="J452" s="10"/>
    </row>
    <row r="453" spans="1:10" ht="15.6" x14ac:dyDescent="0.3">
      <c r="A453" s="9" t="s">
        <v>51</v>
      </c>
      <c r="B453" s="10">
        <v>100</v>
      </c>
      <c r="C453" s="10" t="s">
        <v>18</v>
      </c>
      <c r="D453" s="10">
        <v>10</v>
      </c>
      <c r="E453" s="10" t="s">
        <v>18</v>
      </c>
      <c r="F453" s="11">
        <v>1.07317073</v>
      </c>
      <c r="G453" s="11">
        <v>1.652174</v>
      </c>
      <c r="H453" s="10"/>
      <c r="I453" s="10"/>
      <c r="J453" s="10"/>
    </row>
    <row r="454" spans="1:10" ht="15.6" x14ac:dyDescent="0.3">
      <c r="A454" s="9" t="s">
        <v>51</v>
      </c>
      <c r="B454" s="10">
        <v>100</v>
      </c>
      <c r="C454" s="10" t="s">
        <v>20</v>
      </c>
      <c r="D454" s="10">
        <v>14.4</v>
      </c>
      <c r="E454" s="10" t="s">
        <v>20</v>
      </c>
      <c r="F454" s="11">
        <v>1.0660377400000001</v>
      </c>
      <c r="G454" s="11">
        <v>1.6551720000000001</v>
      </c>
      <c r="H454" s="10"/>
      <c r="I454" s="10"/>
      <c r="J454" s="10"/>
    </row>
    <row r="455" spans="1:10" ht="15.6" x14ac:dyDescent="0.3">
      <c r="A455" s="9" t="s">
        <v>51</v>
      </c>
      <c r="B455" s="10">
        <v>100</v>
      </c>
      <c r="C455" s="10" t="s">
        <v>16</v>
      </c>
      <c r="D455" s="10">
        <v>12</v>
      </c>
      <c r="E455" s="10" t="s">
        <v>19</v>
      </c>
      <c r="F455" s="11">
        <v>1.0625</v>
      </c>
      <c r="G455" s="11">
        <v>1.6451610000000001</v>
      </c>
      <c r="H455" s="10"/>
      <c r="I455" s="10"/>
      <c r="J455" s="10"/>
    </row>
    <row r="456" spans="1:10" ht="15.6" x14ac:dyDescent="0.3">
      <c r="A456" s="9" t="s">
        <v>51</v>
      </c>
      <c r="B456" s="10">
        <v>100</v>
      </c>
      <c r="C456" s="10" t="s">
        <v>21</v>
      </c>
      <c r="D456" s="10">
        <v>19.2</v>
      </c>
      <c r="E456" s="10" t="s">
        <v>22</v>
      </c>
      <c r="F456" s="11">
        <v>1.05769231</v>
      </c>
      <c r="G456" s="11">
        <v>1.62069</v>
      </c>
      <c r="H456" s="10"/>
      <c r="I456" s="10"/>
      <c r="J456" s="10"/>
    </row>
    <row r="457" spans="1:10" ht="15.6" x14ac:dyDescent="0.3">
      <c r="A457" s="9" t="s">
        <v>51</v>
      </c>
      <c r="B457" s="10">
        <v>100</v>
      </c>
      <c r="C457" s="10" t="s">
        <v>35</v>
      </c>
      <c r="D457" s="10">
        <v>38.4</v>
      </c>
      <c r="E457" s="10" t="s">
        <v>35</v>
      </c>
      <c r="F457" s="11">
        <v>1.0652173899999999</v>
      </c>
      <c r="G457" s="11">
        <v>1.68</v>
      </c>
      <c r="H457" s="10"/>
      <c r="I457" s="10"/>
      <c r="J457" s="10"/>
    </row>
    <row r="458" spans="1:10" ht="15.6" x14ac:dyDescent="0.3">
      <c r="A458" s="9" t="s">
        <v>51</v>
      </c>
      <c r="B458" s="10">
        <v>100</v>
      </c>
      <c r="C458" s="10" t="s">
        <v>22</v>
      </c>
      <c r="D458" s="10">
        <v>38.4</v>
      </c>
      <c r="E458" s="10" t="s">
        <v>40</v>
      </c>
      <c r="F458" s="11">
        <v>1.0549450499999999</v>
      </c>
      <c r="G458" s="11">
        <v>1.64</v>
      </c>
      <c r="H458" s="10"/>
      <c r="I458" s="10"/>
      <c r="J458" s="10"/>
    </row>
    <row r="459" spans="1:10" ht="15.6" x14ac:dyDescent="0.3">
      <c r="A459" s="9" t="s">
        <v>51</v>
      </c>
      <c r="B459" s="10">
        <v>120</v>
      </c>
      <c r="C459" s="10" t="s">
        <v>13</v>
      </c>
      <c r="D459" s="10">
        <v>2</v>
      </c>
      <c r="E459" s="10" t="s">
        <v>13</v>
      </c>
      <c r="F459" s="11">
        <v>1.0472973000000001</v>
      </c>
      <c r="G459" s="11">
        <v>1.568182</v>
      </c>
      <c r="H459" s="10"/>
      <c r="I459" s="10"/>
      <c r="J459" s="10"/>
    </row>
    <row r="460" spans="1:10" ht="15.6" x14ac:dyDescent="0.3">
      <c r="A460" s="9" t="s">
        <v>51</v>
      </c>
      <c r="B460" s="10">
        <v>120</v>
      </c>
      <c r="C460" s="10" t="s">
        <v>26</v>
      </c>
      <c r="D460" s="10">
        <v>3.6</v>
      </c>
      <c r="E460" s="10" t="s">
        <v>26</v>
      </c>
      <c r="F460" s="11">
        <v>1.05020921</v>
      </c>
      <c r="G460" s="11">
        <v>1.56338</v>
      </c>
      <c r="H460" s="10"/>
      <c r="I460" s="10"/>
      <c r="J460" s="10"/>
    </row>
    <row r="461" spans="1:10" ht="15.6" x14ac:dyDescent="0.3">
      <c r="A461" s="9" t="s">
        <v>51</v>
      </c>
      <c r="B461" s="10">
        <v>120</v>
      </c>
      <c r="C461" s="10" t="s">
        <v>34</v>
      </c>
      <c r="D461" s="10">
        <v>2.4</v>
      </c>
      <c r="E461" s="10" t="s">
        <v>31</v>
      </c>
      <c r="F461" s="11">
        <v>1.04724409</v>
      </c>
      <c r="G461" s="11">
        <v>1.56</v>
      </c>
      <c r="H461" s="10"/>
      <c r="I461" s="10"/>
      <c r="J461" s="10"/>
    </row>
    <row r="462" spans="1:10" ht="15.6" x14ac:dyDescent="0.3">
      <c r="A462" s="9" t="s">
        <v>51</v>
      </c>
      <c r="B462" s="10">
        <v>120</v>
      </c>
      <c r="C462" s="10" t="s">
        <v>14</v>
      </c>
      <c r="D462" s="10">
        <v>5</v>
      </c>
      <c r="E462" s="10" t="s">
        <v>14</v>
      </c>
      <c r="F462" s="11">
        <v>1.04511278</v>
      </c>
      <c r="G462" s="11">
        <v>1.589744</v>
      </c>
      <c r="H462" s="10"/>
      <c r="I462" s="10"/>
      <c r="J462" s="10"/>
    </row>
    <row r="463" spans="1:10" ht="15.6" x14ac:dyDescent="0.3">
      <c r="A463" s="9" t="s">
        <v>51</v>
      </c>
      <c r="B463" s="10">
        <v>120</v>
      </c>
      <c r="C463" s="10" t="s">
        <v>15</v>
      </c>
      <c r="D463" s="10">
        <v>6</v>
      </c>
      <c r="E463" s="10" t="s">
        <v>16</v>
      </c>
      <c r="F463" s="11">
        <v>1.0454545500000001</v>
      </c>
      <c r="G463" s="11">
        <v>1.5576920000000001</v>
      </c>
      <c r="H463" s="10"/>
      <c r="I463" s="10"/>
      <c r="J463" s="10"/>
    </row>
    <row r="464" spans="1:10" ht="15.6" x14ac:dyDescent="0.3">
      <c r="A464" s="9" t="s">
        <v>51</v>
      </c>
      <c r="B464" s="10">
        <v>120</v>
      </c>
      <c r="C464" s="10" t="s">
        <v>18</v>
      </c>
      <c r="D464" s="10">
        <v>10</v>
      </c>
      <c r="E464" s="10" t="s">
        <v>18</v>
      </c>
      <c r="F464" s="11">
        <v>1.04511278</v>
      </c>
      <c r="G464" s="11">
        <v>1.589744</v>
      </c>
      <c r="H464" s="10"/>
      <c r="I464" s="10"/>
      <c r="J464" s="10"/>
    </row>
    <row r="465" spans="1:10" ht="15.6" x14ac:dyDescent="0.3">
      <c r="A465" s="9" t="s">
        <v>51</v>
      </c>
      <c r="B465" s="10">
        <v>120</v>
      </c>
      <c r="C465" s="10" t="s">
        <v>20</v>
      </c>
      <c r="D465" s="10">
        <v>14.4</v>
      </c>
      <c r="E465" s="10" t="s">
        <v>20</v>
      </c>
      <c r="F465" s="11">
        <v>1.0470588199999999</v>
      </c>
      <c r="G465" s="11">
        <v>1.58</v>
      </c>
      <c r="H465" s="10"/>
      <c r="I465" s="10"/>
      <c r="J465" s="10"/>
    </row>
    <row r="466" spans="1:10" ht="15.6" x14ac:dyDescent="0.3">
      <c r="A466" s="9" t="s">
        <v>51</v>
      </c>
      <c r="B466" s="10">
        <v>120</v>
      </c>
      <c r="C466" s="10" t="s">
        <v>16</v>
      </c>
      <c r="D466" s="10">
        <v>12</v>
      </c>
      <c r="E466" s="10" t="s">
        <v>19</v>
      </c>
      <c r="F466" s="11">
        <v>1.05027933</v>
      </c>
      <c r="G466" s="11">
        <v>1.566038</v>
      </c>
      <c r="H466" s="10"/>
      <c r="I466" s="10"/>
      <c r="J466" s="10"/>
    </row>
    <row r="467" spans="1:10" ht="15.6" x14ac:dyDescent="0.3">
      <c r="A467" s="9" t="s">
        <v>51</v>
      </c>
      <c r="B467" s="10">
        <v>120</v>
      </c>
      <c r="C467" s="10" t="s">
        <v>21</v>
      </c>
      <c r="D467" s="10">
        <v>19.2</v>
      </c>
      <c r="E467" s="10" t="s">
        <v>22</v>
      </c>
      <c r="F467" s="11">
        <v>1.0479041899999999</v>
      </c>
      <c r="G467" s="11">
        <v>1.571429</v>
      </c>
      <c r="H467" s="10"/>
      <c r="I467" s="10"/>
      <c r="J467" s="10"/>
    </row>
    <row r="468" spans="1:10" ht="15.6" x14ac:dyDescent="0.3">
      <c r="A468" s="9" t="s">
        <v>51</v>
      </c>
      <c r="B468" s="10">
        <v>120</v>
      </c>
      <c r="C468" s="10" t="s">
        <v>35</v>
      </c>
      <c r="D468" s="10">
        <v>38.4</v>
      </c>
      <c r="E468" s="10" t="s">
        <v>35</v>
      </c>
      <c r="F468" s="11">
        <v>1.05405405</v>
      </c>
      <c r="G468" s="11">
        <v>1.568182</v>
      </c>
      <c r="H468" s="10"/>
      <c r="I468" s="10"/>
      <c r="J468" s="10"/>
    </row>
    <row r="469" spans="1:10" ht="15.6" x14ac:dyDescent="0.3">
      <c r="A469" s="9" t="s">
        <v>51</v>
      </c>
      <c r="B469" s="10">
        <v>120</v>
      </c>
      <c r="C469" s="10" t="s">
        <v>22</v>
      </c>
      <c r="D469" s="10">
        <v>38.4</v>
      </c>
      <c r="E469" s="10" t="s">
        <v>40</v>
      </c>
      <c r="F469" s="11">
        <v>1.04794521</v>
      </c>
      <c r="G469" s="11">
        <v>1.5581400000000001</v>
      </c>
      <c r="H469" s="10"/>
      <c r="I469" s="10"/>
      <c r="J469" s="10"/>
    </row>
    <row r="470" spans="1:10" ht="15.6" x14ac:dyDescent="0.3">
      <c r="A470" s="9" t="s">
        <v>51</v>
      </c>
      <c r="B470" s="10">
        <v>140</v>
      </c>
      <c r="C470" s="10" t="s">
        <v>13</v>
      </c>
      <c r="D470" s="10">
        <v>2</v>
      </c>
      <c r="E470" s="10" t="s">
        <v>13</v>
      </c>
      <c r="F470" s="11">
        <v>1.04090909</v>
      </c>
      <c r="G470" s="11">
        <v>1.538462</v>
      </c>
      <c r="H470" s="10"/>
      <c r="I470" s="10"/>
      <c r="J470" s="10"/>
    </row>
    <row r="471" spans="1:10" ht="15.6" x14ac:dyDescent="0.3">
      <c r="A471" s="9" t="s">
        <v>51</v>
      </c>
      <c r="B471" s="10">
        <v>140</v>
      </c>
      <c r="C471" s="10" t="s">
        <v>26</v>
      </c>
      <c r="D471" s="10">
        <v>3.6</v>
      </c>
      <c r="E471" s="10" t="s">
        <v>26</v>
      </c>
      <c r="F471" s="11">
        <v>1.04213483</v>
      </c>
      <c r="G471" s="11">
        <v>1.528302</v>
      </c>
      <c r="H471" s="10"/>
      <c r="I471" s="10"/>
      <c r="J471" s="10"/>
    </row>
    <row r="472" spans="1:10" ht="15.6" x14ac:dyDescent="0.3">
      <c r="A472" s="9" t="s">
        <v>51</v>
      </c>
      <c r="B472" s="10">
        <v>140</v>
      </c>
      <c r="C472" s="10" t="s">
        <v>34</v>
      </c>
      <c r="D472" s="10">
        <v>2.4</v>
      </c>
      <c r="E472" s="10" t="s">
        <v>31</v>
      </c>
      <c r="F472" s="11">
        <v>1.03968254</v>
      </c>
      <c r="G472" s="11">
        <v>1.526786</v>
      </c>
      <c r="H472" s="10"/>
      <c r="I472" s="10"/>
      <c r="J472" s="10"/>
    </row>
    <row r="473" spans="1:10" ht="15.6" x14ac:dyDescent="0.3">
      <c r="A473" s="9" t="s">
        <v>51</v>
      </c>
      <c r="B473" s="10">
        <v>140</v>
      </c>
      <c r="C473" s="10" t="s">
        <v>14</v>
      </c>
      <c r="D473" s="10">
        <v>5</v>
      </c>
      <c r="E473" s="10" t="s">
        <v>14</v>
      </c>
      <c r="F473" s="11">
        <v>1.0406091399999999</v>
      </c>
      <c r="G473" s="11">
        <v>1.5254239999999999</v>
      </c>
      <c r="H473" s="10"/>
      <c r="I473" s="10"/>
      <c r="J473" s="10"/>
    </row>
    <row r="474" spans="1:10" ht="15.6" x14ac:dyDescent="0.3">
      <c r="A474" s="9" t="s">
        <v>51</v>
      </c>
      <c r="B474" s="10">
        <v>140</v>
      </c>
      <c r="C474" s="10" t="s">
        <v>15</v>
      </c>
      <c r="D474" s="10">
        <v>6</v>
      </c>
      <c r="E474" s="10" t="s">
        <v>16</v>
      </c>
      <c r="F474" s="11">
        <v>1.0381679399999999</v>
      </c>
      <c r="G474" s="11">
        <v>1.512821</v>
      </c>
      <c r="H474" s="10"/>
      <c r="I474" s="10"/>
      <c r="J474" s="10"/>
    </row>
    <row r="475" spans="1:10" ht="15.6" x14ac:dyDescent="0.3">
      <c r="A475" s="9" t="s">
        <v>51</v>
      </c>
      <c r="B475" s="10">
        <v>140</v>
      </c>
      <c r="C475" s="10" t="s">
        <v>18</v>
      </c>
      <c r="D475" s="10">
        <v>10</v>
      </c>
      <c r="E475" s="10" t="s">
        <v>18</v>
      </c>
      <c r="F475" s="11">
        <v>1.0406091399999999</v>
      </c>
      <c r="G475" s="11">
        <v>1.5254239999999999</v>
      </c>
      <c r="H475" s="10"/>
      <c r="I475" s="10"/>
      <c r="J475" s="10"/>
    </row>
    <row r="476" spans="1:10" ht="15.6" x14ac:dyDescent="0.3">
      <c r="A476" s="9" t="s">
        <v>51</v>
      </c>
      <c r="B476" s="10">
        <v>140</v>
      </c>
      <c r="C476" s="10" t="s">
        <v>20</v>
      </c>
      <c r="D476" s="10">
        <v>14.4</v>
      </c>
      <c r="E476" s="10" t="s">
        <v>20</v>
      </c>
      <c r="F476" s="11">
        <v>1.0395256900000001</v>
      </c>
      <c r="G476" s="11">
        <v>1.5333330000000001</v>
      </c>
      <c r="H476" s="10"/>
      <c r="I476" s="10"/>
      <c r="J476" s="10"/>
    </row>
    <row r="477" spans="1:10" ht="15.6" x14ac:dyDescent="0.3">
      <c r="A477" s="9" t="s">
        <v>51</v>
      </c>
      <c r="B477" s="10">
        <v>140</v>
      </c>
      <c r="C477" s="10" t="s">
        <v>16</v>
      </c>
      <c r="D477" s="10">
        <v>12</v>
      </c>
      <c r="E477" s="10" t="s">
        <v>19</v>
      </c>
      <c r="F477" s="11">
        <v>1.0411984999999999</v>
      </c>
      <c r="G477" s="11">
        <v>1.5316460000000001</v>
      </c>
      <c r="H477" s="10"/>
      <c r="I477" s="10"/>
      <c r="J477" s="10"/>
    </row>
    <row r="478" spans="1:10" ht="15.6" x14ac:dyDescent="0.3">
      <c r="A478" s="9" t="s">
        <v>51</v>
      </c>
      <c r="B478" s="10">
        <v>140</v>
      </c>
      <c r="C478" s="10" t="s">
        <v>21</v>
      </c>
      <c r="D478" s="10">
        <v>19.2</v>
      </c>
      <c r="E478" s="10" t="s">
        <v>22</v>
      </c>
      <c r="F478" s="11">
        <v>1.0401606400000001</v>
      </c>
      <c r="G478" s="11">
        <v>1.513514</v>
      </c>
      <c r="H478" s="10"/>
      <c r="I478" s="10"/>
      <c r="J478" s="10"/>
    </row>
    <row r="479" spans="1:10" ht="15.6" x14ac:dyDescent="0.3">
      <c r="A479" s="9" t="s">
        <v>51</v>
      </c>
      <c r="B479" s="10">
        <v>140</v>
      </c>
      <c r="C479" s="10" t="s">
        <v>35</v>
      </c>
      <c r="D479" s="10">
        <v>38.4</v>
      </c>
      <c r="E479" s="10" t="s">
        <v>35</v>
      </c>
      <c r="F479" s="11">
        <v>1.0407239800000001</v>
      </c>
      <c r="G479" s="11">
        <v>1.5151520000000001</v>
      </c>
      <c r="H479" s="10"/>
      <c r="I479" s="10"/>
      <c r="J479" s="10"/>
    </row>
    <row r="480" spans="1:10" ht="15.6" x14ac:dyDescent="0.3">
      <c r="A480" s="9" t="s">
        <v>51</v>
      </c>
      <c r="B480" s="10">
        <v>140</v>
      </c>
      <c r="C480" s="10" t="s">
        <v>22</v>
      </c>
      <c r="D480" s="10">
        <v>38.4</v>
      </c>
      <c r="E480" s="10" t="s">
        <v>40</v>
      </c>
      <c r="F480" s="11">
        <v>1.03669725</v>
      </c>
      <c r="G480" s="11">
        <v>1.507692</v>
      </c>
      <c r="H480" s="10"/>
      <c r="I480" s="10"/>
      <c r="J480" s="10"/>
    </row>
    <row r="481" spans="1:10" ht="15.6" x14ac:dyDescent="0.3">
      <c r="A481" s="9" t="s">
        <v>51</v>
      </c>
      <c r="B481" s="10" t="s">
        <v>52</v>
      </c>
      <c r="C481" s="10" t="s">
        <v>21</v>
      </c>
      <c r="D481" s="10">
        <v>19.2</v>
      </c>
      <c r="E481" s="10" t="s">
        <v>22</v>
      </c>
      <c r="F481" s="11"/>
      <c r="G481" s="11">
        <v>1.718259</v>
      </c>
      <c r="H481" s="10"/>
      <c r="I481" s="10"/>
      <c r="J481" s="10"/>
    </row>
    <row r="482" spans="1:10" ht="15.6" x14ac:dyDescent="0.3">
      <c r="A482" s="9" t="s">
        <v>51</v>
      </c>
      <c r="B482" s="10" t="s">
        <v>53</v>
      </c>
      <c r="C482" s="10" t="s">
        <v>21</v>
      </c>
      <c r="D482" s="10">
        <v>19.2</v>
      </c>
      <c r="E482" s="10" t="s">
        <v>22</v>
      </c>
      <c r="F482" s="11"/>
      <c r="G482" s="11">
        <v>1.6565129999999999</v>
      </c>
      <c r="H482" s="10"/>
      <c r="I482" s="10"/>
      <c r="J482" s="10"/>
    </row>
    <row r="483" spans="1:10" ht="15.6" x14ac:dyDescent="0.3">
      <c r="A483" s="9" t="s">
        <v>51</v>
      </c>
      <c r="B483" s="10" t="s">
        <v>54</v>
      </c>
      <c r="C483" s="10" t="s">
        <v>21</v>
      </c>
      <c r="D483" s="10">
        <v>19.2</v>
      </c>
      <c r="E483" s="10" t="s">
        <v>22</v>
      </c>
      <c r="F483" s="11"/>
      <c r="G483" s="11">
        <v>1.8719190000000001</v>
      </c>
      <c r="H483" s="10"/>
      <c r="I483" s="10"/>
      <c r="J483" s="10"/>
    </row>
    <row r="484" spans="1:10" ht="15.6" x14ac:dyDescent="0.3">
      <c r="A484" s="9" t="s">
        <v>49</v>
      </c>
      <c r="B484" s="10" t="s">
        <v>50</v>
      </c>
      <c r="C484" s="10" t="s">
        <v>13</v>
      </c>
      <c r="D484" s="10">
        <v>2</v>
      </c>
      <c r="E484" s="10" t="s">
        <v>13</v>
      </c>
      <c r="F484" s="11">
        <v>1</v>
      </c>
      <c r="G484" s="11"/>
      <c r="H484" s="10"/>
      <c r="I484" s="10"/>
      <c r="J484" s="10"/>
    </row>
    <row r="485" spans="1:10" ht="15.6" x14ac:dyDescent="0.3">
      <c r="A485" s="9" t="s">
        <v>49</v>
      </c>
      <c r="B485" s="10" t="s">
        <v>50</v>
      </c>
      <c r="C485" s="10" t="s">
        <v>26</v>
      </c>
      <c r="D485" s="10">
        <v>3.6</v>
      </c>
      <c r="E485" s="10" t="s">
        <v>26</v>
      </c>
      <c r="F485" s="11">
        <v>1.00943396</v>
      </c>
      <c r="G485" s="11"/>
      <c r="H485" s="10"/>
      <c r="I485" s="10"/>
      <c r="J485" s="10"/>
    </row>
    <row r="486" spans="1:10" ht="15.6" x14ac:dyDescent="0.3">
      <c r="A486" s="9" t="s">
        <v>49</v>
      </c>
      <c r="B486" s="10" t="s">
        <v>50</v>
      </c>
      <c r="C486" s="10" t="s">
        <v>34</v>
      </c>
      <c r="D486" s="10">
        <v>2.4</v>
      </c>
      <c r="E486" s="10" t="s">
        <v>31</v>
      </c>
      <c r="F486" s="11">
        <v>1.00884956</v>
      </c>
      <c r="G486" s="11"/>
      <c r="H486" s="10"/>
      <c r="I486" s="10"/>
      <c r="J486" s="10"/>
    </row>
    <row r="487" spans="1:10" ht="15.6" x14ac:dyDescent="0.3">
      <c r="A487" s="9" t="s">
        <v>49</v>
      </c>
      <c r="B487" s="10" t="s">
        <v>50</v>
      </c>
      <c r="C487" s="10" t="s">
        <v>14</v>
      </c>
      <c r="D487" s="10">
        <v>5</v>
      </c>
      <c r="E487" s="10" t="s">
        <v>14</v>
      </c>
      <c r="F487" s="11">
        <v>1</v>
      </c>
      <c r="G487" s="11"/>
      <c r="H487" s="10"/>
      <c r="I487" s="10"/>
      <c r="J487" s="10"/>
    </row>
    <row r="488" spans="1:10" ht="15.6" x14ac:dyDescent="0.3">
      <c r="A488" s="9" t="s">
        <v>49</v>
      </c>
      <c r="B488" s="10" t="s">
        <v>50</v>
      </c>
      <c r="C488" s="10" t="s">
        <v>15</v>
      </c>
      <c r="D488" s="10">
        <v>6</v>
      </c>
      <c r="E488" s="10" t="s">
        <v>16</v>
      </c>
      <c r="F488" s="11">
        <v>1.0128205100000001</v>
      </c>
      <c r="G488" s="11"/>
      <c r="H488" s="10"/>
      <c r="I488" s="10"/>
      <c r="J488" s="10"/>
    </row>
    <row r="489" spans="1:10" ht="15.6" x14ac:dyDescent="0.3">
      <c r="A489" s="9" t="s">
        <v>49</v>
      </c>
      <c r="B489" s="10" t="s">
        <v>50</v>
      </c>
      <c r="C489" s="10" t="s">
        <v>18</v>
      </c>
      <c r="D489" s="10">
        <v>10</v>
      </c>
      <c r="E489" s="10" t="s">
        <v>18</v>
      </c>
      <c r="F489" s="11">
        <v>1</v>
      </c>
      <c r="G489" s="11"/>
      <c r="H489" s="10"/>
      <c r="I489" s="10"/>
      <c r="J489" s="10"/>
    </row>
    <row r="490" spans="1:10" ht="15.6" x14ac:dyDescent="0.3">
      <c r="A490" s="9" t="s">
        <v>49</v>
      </c>
      <c r="B490" s="10" t="s">
        <v>50</v>
      </c>
      <c r="C490" s="10" t="s">
        <v>20</v>
      </c>
      <c r="D490" s="10">
        <v>14.4</v>
      </c>
      <c r="E490" s="10" t="s">
        <v>20</v>
      </c>
      <c r="F490" s="11">
        <v>1.01333333</v>
      </c>
      <c r="G490" s="11"/>
      <c r="H490" s="10"/>
      <c r="I490" s="10"/>
      <c r="J490" s="10"/>
    </row>
    <row r="491" spans="1:10" ht="15.6" x14ac:dyDescent="0.3">
      <c r="A491" s="9" t="s">
        <v>49</v>
      </c>
      <c r="B491" s="10" t="s">
        <v>50</v>
      </c>
      <c r="C491" s="10" t="s">
        <v>16</v>
      </c>
      <c r="D491" s="10">
        <v>12</v>
      </c>
      <c r="E491" s="10" t="s">
        <v>19</v>
      </c>
      <c r="F491" s="11">
        <v>1</v>
      </c>
      <c r="G491" s="11"/>
      <c r="H491" s="10"/>
      <c r="I491" s="10"/>
      <c r="J491" s="10"/>
    </row>
    <row r="492" spans="1:10" ht="15.6" x14ac:dyDescent="0.3">
      <c r="A492" s="9" t="s">
        <v>49</v>
      </c>
      <c r="B492" s="10" t="s">
        <v>50</v>
      </c>
      <c r="C492" s="10" t="s">
        <v>21</v>
      </c>
      <c r="D492" s="10">
        <v>19.2</v>
      </c>
      <c r="E492" s="10" t="s">
        <v>22</v>
      </c>
      <c r="F492" s="11">
        <v>1.0135135099999999</v>
      </c>
      <c r="G492" s="11"/>
      <c r="H492" s="10"/>
      <c r="I492" s="10"/>
      <c r="J492" s="10"/>
    </row>
    <row r="493" spans="1:10" ht="15.6" x14ac:dyDescent="0.3">
      <c r="A493" s="9" t="s">
        <v>49</v>
      </c>
      <c r="B493" s="10" t="s">
        <v>50</v>
      </c>
      <c r="C493" s="10" t="s">
        <v>35</v>
      </c>
      <c r="D493" s="10">
        <v>38.4</v>
      </c>
      <c r="E493" s="10" t="s">
        <v>35</v>
      </c>
      <c r="F493" s="11">
        <v>1</v>
      </c>
      <c r="G493" s="11"/>
      <c r="H493" s="10"/>
      <c r="I493" s="10"/>
      <c r="J493" s="10"/>
    </row>
    <row r="494" spans="1:10" ht="15.6" x14ac:dyDescent="0.3">
      <c r="A494" s="9" t="s">
        <v>49</v>
      </c>
      <c r="B494" s="10" t="s">
        <v>50</v>
      </c>
      <c r="C494" s="10" t="s">
        <v>22</v>
      </c>
      <c r="D494" s="10">
        <v>38.4</v>
      </c>
      <c r="E494" s="10" t="s">
        <v>40</v>
      </c>
      <c r="F494" s="11">
        <v>1</v>
      </c>
      <c r="G494" s="11"/>
      <c r="H494" s="10"/>
      <c r="I494" s="10"/>
      <c r="J494" s="10"/>
    </row>
    <row r="495" spans="1:10" ht="15.6" x14ac:dyDescent="0.3">
      <c r="A495" s="9" t="s">
        <v>55</v>
      </c>
      <c r="B495" s="10">
        <v>70</v>
      </c>
      <c r="C495" s="10" t="s">
        <v>13</v>
      </c>
      <c r="D495" s="10">
        <v>2</v>
      </c>
      <c r="E495" s="10" t="s">
        <v>13</v>
      </c>
      <c r="F495" s="11">
        <v>1.05384615</v>
      </c>
      <c r="G495" s="11">
        <v>1.8524590000000001</v>
      </c>
      <c r="H495" s="10"/>
      <c r="I495" s="10"/>
      <c r="J495" s="10"/>
    </row>
    <row r="496" spans="1:10" ht="15.6" x14ac:dyDescent="0.3">
      <c r="A496" s="9" t="s">
        <v>55</v>
      </c>
      <c r="B496" s="10">
        <v>70</v>
      </c>
      <c r="C496" s="10" t="s">
        <v>26</v>
      </c>
      <c r="D496" s="10">
        <v>3.6</v>
      </c>
      <c r="E496" s="10" t="s">
        <v>26</v>
      </c>
      <c r="F496" s="11">
        <v>1.04976303</v>
      </c>
      <c r="G496" s="11">
        <v>1.8484849999999999</v>
      </c>
      <c r="H496" s="10"/>
      <c r="I496" s="10"/>
      <c r="J496" s="10"/>
    </row>
    <row r="497" spans="1:10" ht="15.6" x14ac:dyDescent="0.3">
      <c r="A497" s="9" t="s">
        <v>55</v>
      </c>
      <c r="B497" s="10">
        <v>70</v>
      </c>
      <c r="C497" s="10" t="s">
        <v>34</v>
      </c>
      <c r="D497" s="10">
        <v>4.8</v>
      </c>
      <c r="E497" s="10" t="s">
        <v>34</v>
      </c>
      <c r="F497" s="11">
        <v>1.0489690700000001</v>
      </c>
      <c r="G497" s="11">
        <v>1.8461540000000001</v>
      </c>
      <c r="H497" s="10"/>
      <c r="I497" s="10"/>
      <c r="J497" s="10"/>
    </row>
    <row r="498" spans="1:10" ht="15.6" x14ac:dyDescent="0.3">
      <c r="A498" s="9" t="s">
        <v>55</v>
      </c>
      <c r="B498" s="10">
        <v>70</v>
      </c>
      <c r="C498" s="10" t="s">
        <v>34</v>
      </c>
      <c r="D498" s="10">
        <v>4.8</v>
      </c>
      <c r="E498" s="10" t="s">
        <v>31</v>
      </c>
      <c r="F498" s="11">
        <v>1.04366812</v>
      </c>
      <c r="G498" s="11">
        <v>1.841121</v>
      </c>
      <c r="H498" s="10"/>
      <c r="I498" s="10"/>
      <c r="J498" s="10"/>
    </row>
    <row r="499" spans="1:10" ht="15.6" x14ac:dyDescent="0.3">
      <c r="A499" s="9" t="s">
        <v>55</v>
      </c>
      <c r="B499" s="10">
        <v>70</v>
      </c>
      <c r="C499" s="10" t="s">
        <v>14</v>
      </c>
      <c r="D499" s="10">
        <v>5</v>
      </c>
      <c r="E499" s="10" t="s">
        <v>14</v>
      </c>
      <c r="F499" s="11">
        <v>1.05128205</v>
      </c>
      <c r="G499" s="11">
        <v>1.8363640000000001</v>
      </c>
      <c r="H499" s="10"/>
      <c r="I499" s="10"/>
      <c r="J499" s="10"/>
    </row>
    <row r="500" spans="1:10" ht="15.6" x14ac:dyDescent="0.3">
      <c r="A500" s="9" t="s">
        <v>55</v>
      </c>
      <c r="B500" s="10">
        <v>70</v>
      </c>
      <c r="C500" s="10" t="s">
        <v>15</v>
      </c>
      <c r="D500" s="10">
        <v>6</v>
      </c>
      <c r="E500" s="10" t="s">
        <v>16</v>
      </c>
      <c r="F500" s="11">
        <v>1.0441640400000001</v>
      </c>
      <c r="G500" s="11">
        <v>1.851351</v>
      </c>
      <c r="H500" s="10"/>
      <c r="I500" s="10"/>
      <c r="J500" s="10"/>
    </row>
    <row r="501" spans="1:10" ht="15.6" x14ac:dyDescent="0.3">
      <c r="A501" s="9" t="s">
        <v>55</v>
      </c>
      <c r="B501" s="10">
        <v>70</v>
      </c>
      <c r="C501" s="10" t="s">
        <v>17</v>
      </c>
      <c r="D501" s="10">
        <v>7.2</v>
      </c>
      <c r="E501" s="10" t="s">
        <v>17</v>
      </c>
      <c r="F501" s="11">
        <v>1.0151515200000001</v>
      </c>
      <c r="G501" s="11">
        <v>1.848101</v>
      </c>
      <c r="H501" s="10"/>
      <c r="I501" s="10"/>
      <c r="J501" s="10"/>
    </row>
    <row r="502" spans="1:10" ht="15.6" x14ac:dyDescent="0.3">
      <c r="A502" s="9" t="s">
        <v>55</v>
      </c>
      <c r="B502" s="10">
        <v>70</v>
      </c>
      <c r="C502" s="10" t="s">
        <v>18</v>
      </c>
      <c r="D502" s="10">
        <v>10</v>
      </c>
      <c r="E502" s="10" t="s">
        <v>18</v>
      </c>
      <c r="F502" s="11">
        <v>1.05128205</v>
      </c>
      <c r="G502" s="11">
        <v>1.8363640000000001</v>
      </c>
      <c r="H502" s="10"/>
      <c r="I502" s="10"/>
      <c r="J502" s="10"/>
    </row>
    <row r="503" spans="1:10" ht="15.6" x14ac:dyDescent="0.3">
      <c r="A503" s="9" t="s">
        <v>55</v>
      </c>
      <c r="B503" s="10">
        <v>70</v>
      </c>
      <c r="C503" s="10" t="s">
        <v>16</v>
      </c>
      <c r="D503" s="10">
        <v>12</v>
      </c>
      <c r="E503" s="10" t="s">
        <v>19</v>
      </c>
      <c r="F503" s="11">
        <v>1.0464396300000001</v>
      </c>
      <c r="G503" s="11">
        <v>1.8666670000000001</v>
      </c>
      <c r="H503" s="10"/>
      <c r="I503" s="10"/>
      <c r="J503" s="10"/>
    </row>
    <row r="504" spans="1:10" ht="15.6" x14ac:dyDescent="0.3">
      <c r="A504" s="9" t="s">
        <v>55</v>
      </c>
      <c r="B504" s="10">
        <v>70</v>
      </c>
      <c r="C504" s="10" t="s">
        <v>20</v>
      </c>
      <c r="D504" s="10">
        <v>14.4</v>
      </c>
      <c r="E504" s="10" t="s">
        <v>20</v>
      </c>
      <c r="F504" s="11">
        <v>1.05</v>
      </c>
      <c r="G504" s="11">
        <v>1.857143</v>
      </c>
      <c r="H504" s="10"/>
      <c r="I504" s="10"/>
      <c r="J504" s="10"/>
    </row>
    <row r="505" spans="1:10" ht="15.6" x14ac:dyDescent="0.3">
      <c r="A505" s="9" t="s">
        <v>55</v>
      </c>
      <c r="B505" s="10">
        <v>70</v>
      </c>
      <c r="C505" s="10" t="s">
        <v>21</v>
      </c>
      <c r="D505" s="10">
        <v>38.4</v>
      </c>
      <c r="E505" s="10" t="s">
        <v>35</v>
      </c>
      <c r="F505" s="11">
        <v>1.0465116299999999</v>
      </c>
      <c r="G505" s="11">
        <v>1.868852</v>
      </c>
      <c r="H505" s="10"/>
      <c r="I505" s="10"/>
      <c r="J505" s="10"/>
    </row>
    <row r="506" spans="1:10" ht="15.6" x14ac:dyDescent="0.3">
      <c r="A506" s="9" t="s">
        <v>55</v>
      </c>
      <c r="B506" s="10">
        <v>70</v>
      </c>
      <c r="C506" s="10" t="s">
        <v>22</v>
      </c>
      <c r="D506" s="10">
        <v>38.4</v>
      </c>
      <c r="E506" s="10" t="s">
        <v>40</v>
      </c>
      <c r="F506" s="11">
        <v>1.04878049</v>
      </c>
      <c r="G506" s="11">
        <v>1.8548389999999999</v>
      </c>
      <c r="H506" s="10"/>
      <c r="I506" s="10"/>
      <c r="J506" s="10"/>
    </row>
    <row r="507" spans="1:10" ht="15.6" x14ac:dyDescent="0.3">
      <c r="A507" s="9" t="s">
        <v>55</v>
      </c>
      <c r="B507" s="10">
        <v>80</v>
      </c>
      <c r="C507" s="10" t="s">
        <v>13</v>
      </c>
      <c r="D507" s="10">
        <v>2</v>
      </c>
      <c r="E507" s="10" t="s">
        <v>13</v>
      </c>
      <c r="F507" s="11">
        <v>1.0430622000000001</v>
      </c>
      <c r="G507" s="11">
        <v>1.738318</v>
      </c>
      <c r="H507" s="10"/>
      <c r="I507" s="10"/>
      <c r="J507" s="10"/>
    </row>
    <row r="508" spans="1:10" ht="15.6" x14ac:dyDescent="0.3">
      <c r="A508" s="9" t="s">
        <v>55</v>
      </c>
      <c r="B508" s="10">
        <v>80</v>
      </c>
      <c r="C508" s="10" t="s">
        <v>26</v>
      </c>
      <c r="D508" s="10">
        <v>3.6</v>
      </c>
      <c r="E508" s="10" t="s">
        <v>26</v>
      </c>
      <c r="F508" s="11">
        <v>1.0443787</v>
      </c>
      <c r="G508" s="11">
        <v>1.739884</v>
      </c>
      <c r="H508" s="10"/>
      <c r="I508" s="10"/>
      <c r="J508" s="10"/>
    </row>
    <row r="509" spans="1:10" ht="15.6" x14ac:dyDescent="0.3">
      <c r="A509" s="9" t="s">
        <v>55</v>
      </c>
      <c r="B509" s="10">
        <v>80</v>
      </c>
      <c r="C509" s="10" t="s">
        <v>34</v>
      </c>
      <c r="D509" s="10">
        <v>4.8</v>
      </c>
      <c r="E509" s="10" t="s">
        <v>34</v>
      </c>
      <c r="F509" s="11">
        <v>1.0434083599999999</v>
      </c>
      <c r="G509" s="11">
        <v>1.742138</v>
      </c>
      <c r="H509" s="10"/>
      <c r="I509" s="10"/>
      <c r="J509" s="10"/>
    </row>
    <row r="510" spans="1:10" ht="15.6" x14ac:dyDescent="0.3">
      <c r="A510" s="9" t="s">
        <v>55</v>
      </c>
      <c r="B510" s="10">
        <v>80</v>
      </c>
      <c r="C510" s="10" t="s">
        <v>34</v>
      </c>
      <c r="D510" s="10">
        <v>4.8</v>
      </c>
      <c r="E510" s="10" t="s">
        <v>31</v>
      </c>
      <c r="F510" s="11">
        <v>1.03038674</v>
      </c>
      <c r="G510" s="11">
        <v>1.7377050000000001</v>
      </c>
      <c r="H510" s="10"/>
      <c r="I510" s="10"/>
      <c r="J510" s="10"/>
    </row>
    <row r="511" spans="1:10" ht="15.6" x14ac:dyDescent="0.3">
      <c r="A511" s="9" t="s">
        <v>55</v>
      </c>
      <c r="B511" s="10">
        <v>80</v>
      </c>
      <c r="C511" s="10" t="s">
        <v>14</v>
      </c>
      <c r="D511" s="10">
        <v>5</v>
      </c>
      <c r="E511" s="10" t="s">
        <v>14</v>
      </c>
      <c r="F511" s="11">
        <v>1.04266667</v>
      </c>
      <c r="G511" s="11">
        <v>1.7395830000000001</v>
      </c>
      <c r="H511" s="10"/>
      <c r="I511" s="10"/>
      <c r="J511" s="10"/>
    </row>
    <row r="512" spans="1:10" ht="15.6" x14ac:dyDescent="0.3">
      <c r="A512" s="9" t="s">
        <v>55</v>
      </c>
      <c r="B512" s="10">
        <v>80</v>
      </c>
      <c r="C512" s="10" t="s">
        <v>15</v>
      </c>
      <c r="D512" s="10">
        <v>6</v>
      </c>
      <c r="E512" s="10" t="s">
        <v>16</v>
      </c>
      <c r="F512" s="11">
        <v>1.0298804800000001</v>
      </c>
      <c r="G512" s="11">
        <v>1.740157</v>
      </c>
      <c r="H512" s="10"/>
      <c r="I512" s="10"/>
      <c r="J512" s="10"/>
    </row>
    <row r="513" spans="1:10" ht="15.6" x14ac:dyDescent="0.3">
      <c r="A513" s="9" t="s">
        <v>55</v>
      </c>
      <c r="B513" s="10">
        <v>80</v>
      </c>
      <c r="C513" s="10" t="s">
        <v>17</v>
      </c>
      <c r="D513" s="10">
        <v>7.2</v>
      </c>
      <c r="E513" s="10" t="s">
        <v>17</v>
      </c>
      <c r="F513" s="11">
        <v>1.04267161</v>
      </c>
      <c r="G513" s="11">
        <v>1.7391300000000001</v>
      </c>
      <c r="H513" s="10"/>
      <c r="I513" s="10"/>
      <c r="J513" s="10"/>
    </row>
    <row r="514" spans="1:10" ht="15.6" x14ac:dyDescent="0.3">
      <c r="A514" s="9" t="s">
        <v>55</v>
      </c>
      <c r="B514" s="10">
        <v>80</v>
      </c>
      <c r="C514" s="10" t="s">
        <v>18</v>
      </c>
      <c r="D514" s="10">
        <v>10</v>
      </c>
      <c r="E514" s="10" t="s">
        <v>18</v>
      </c>
      <c r="F514" s="11">
        <v>1.04266667</v>
      </c>
      <c r="G514" s="11">
        <v>1.7395830000000001</v>
      </c>
      <c r="H514" s="10"/>
      <c r="I514" s="10"/>
      <c r="J514" s="10"/>
    </row>
    <row r="515" spans="1:10" ht="15.6" x14ac:dyDescent="0.3">
      <c r="A515" s="9" t="s">
        <v>55</v>
      </c>
      <c r="B515" s="10">
        <v>80</v>
      </c>
      <c r="C515" s="10" t="s">
        <v>16</v>
      </c>
      <c r="D515" s="10">
        <v>12</v>
      </c>
      <c r="E515" s="10" t="s">
        <v>19</v>
      </c>
      <c r="F515" s="11">
        <v>1.02929688</v>
      </c>
      <c r="G515" s="11">
        <v>1.744186</v>
      </c>
      <c r="H515" s="10"/>
      <c r="I515" s="10"/>
      <c r="J515" s="10"/>
    </row>
    <row r="516" spans="1:10" ht="15.6" x14ac:dyDescent="0.3">
      <c r="A516" s="9" t="s">
        <v>55</v>
      </c>
      <c r="B516" s="10">
        <v>80</v>
      </c>
      <c r="C516" s="10" t="s">
        <v>20</v>
      </c>
      <c r="D516" s="10">
        <v>14.4</v>
      </c>
      <c r="E516" s="10" t="s">
        <v>20</v>
      </c>
      <c r="F516" s="11">
        <v>1.0436590400000001</v>
      </c>
      <c r="G516" s="11">
        <v>1.7398370000000001</v>
      </c>
      <c r="H516" s="10"/>
      <c r="I516" s="10"/>
      <c r="J516" s="10"/>
    </row>
    <row r="517" spans="1:10" ht="15.6" x14ac:dyDescent="0.3">
      <c r="A517" s="9" t="s">
        <v>55</v>
      </c>
      <c r="B517" s="10">
        <v>80</v>
      </c>
      <c r="C517" s="10" t="s">
        <v>21</v>
      </c>
      <c r="D517" s="10">
        <v>38.4</v>
      </c>
      <c r="E517" s="10" t="s">
        <v>35</v>
      </c>
      <c r="F517" s="11">
        <v>1.0293501</v>
      </c>
      <c r="G517" s="11">
        <v>1.731481</v>
      </c>
      <c r="H517" s="10"/>
      <c r="I517" s="10"/>
      <c r="J517" s="10"/>
    </row>
    <row r="518" spans="1:10" ht="15.6" x14ac:dyDescent="0.3">
      <c r="A518" s="9" t="s">
        <v>55</v>
      </c>
      <c r="B518" s="10">
        <v>80</v>
      </c>
      <c r="C518" s="10" t="s">
        <v>22</v>
      </c>
      <c r="D518" s="10">
        <v>38.4</v>
      </c>
      <c r="E518" s="10" t="s">
        <v>40</v>
      </c>
      <c r="F518" s="11">
        <v>1.0434782600000001</v>
      </c>
      <c r="G518" s="11">
        <v>1.738318</v>
      </c>
      <c r="H518" s="10"/>
      <c r="I518" s="10"/>
      <c r="J518" s="10"/>
    </row>
    <row r="519" spans="1:10" ht="15.6" x14ac:dyDescent="0.3">
      <c r="A519" s="9" t="s">
        <v>55</v>
      </c>
      <c r="B519" s="10">
        <v>100</v>
      </c>
      <c r="C519" s="10" t="s">
        <v>13</v>
      </c>
      <c r="D519" s="10">
        <v>2</v>
      </c>
      <c r="E519" s="10" t="s">
        <v>13</v>
      </c>
      <c r="F519" s="11">
        <v>1.0248815200000001</v>
      </c>
      <c r="G519" s="11">
        <v>1.604938</v>
      </c>
      <c r="H519" s="10"/>
      <c r="I519" s="10"/>
      <c r="J519" s="10"/>
    </row>
    <row r="520" spans="1:10" ht="15.6" x14ac:dyDescent="0.3">
      <c r="A520" s="9" t="s">
        <v>55</v>
      </c>
      <c r="B520" s="10">
        <v>100</v>
      </c>
      <c r="C520" s="10" t="s">
        <v>26</v>
      </c>
      <c r="D520" s="10">
        <v>3.6</v>
      </c>
      <c r="E520" s="10" t="s">
        <v>26</v>
      </c>
      <c r="F520" s="11">
        <v>1.0248719799999999</v>
      </c>
      <c r="G520" s="11">
        <v>1.604061</v>
      </c>
      <c r="H520" s="10"/>
      <c r="I520" s="10"/>
      <c r="J520" s="10"/>
    </row>
    <row r="521" spans="1:10" ht="15.6" x14ac:dyDescent="0.3">
      <c r="A521" s="9" t="s">
        <v>55</v>
      </c>
      <c r="B521" s="10">
        <v>100</v>
      </c>
      <c r="C521" s="10" t="s">
        <v>34</v>
      </c>
      <c r="D521" s="10">
        <v>4.8</v>
      </c>
      <c r="E521" s="10" t="s">
        <v>34</v>
      </c>
      <c r="F521" s="11">
        <v>1.0254777100000001</v>
      </c>
      <c r="G521" s="11">
        <v>1.6049720000000001</v>
      </c>
      <c r="H521" s="10"/>
      <c r="I521" s="10"/>
      <c r="J521" s="10"/>
    </row>
    <row r="522" spans="1:10" ht="15.6" x14ac:dyDescent="0.3">
      <c r="A522" s="9" t="s">
        <v>55</v>
      </c>
      <c r="B522" s="10">
        <v>100</v>
      </c>
      <c r="C522" s="10" t="s">
        <v>34</v>
      </c>
      <c r="D522" s="10">
        <v>4.8</v>
      </c>
      <c r="E522" s="10" t="s">
        <v>31</v>
      </c>
      <c r="F522" s="11">
        <v>1.0163376399999999</v>
      </c>
      <c r="G522" s="11">
        <v>1.6109789999999999</v>
      </c>
      <c r="H522" s="10"/>
      <c r="I522" s="10"/>
      <c r="J522" s="10"/>
    </row>
    <row r="523" spans="1:10" ht="15.6" x14ac:dyDescent="0.3">
      <c r="A523" s="9" t="s">
        <v>55</v>
      </c>
      <c r="B523" s="10">
        <v>100</v>
      </c>
      <c r="C523" s="10" t="s">
        <v>14</v>
      </c>
      <c r="D523" s="10">
        <v>5</v>
      </c>
      <c r="E523" s="10" t="s">
        <v>14</v>
      </c>
      <c r="F523" s="11">
        <v>1.0250990799999999</v>
      </c>
      <c r="G523" s="11">
        <v>1.605505</v>
      </c>
      <c r="H523" s="10"/>
      <c r="I523" s="10"/>
      <c r="J523" s="10"/>
    </row>
    <row r="524" spans="1:10" ht="15.6" x14ac:dyDescent="0.3">
      <c r="A524" s="9" t="s">
        <v>55</v>
      </c>
      <c r="B524" s="10">
        <v>100</v>
      </c>
      <c r="C524" s="10" t="s">
        <v>15</v>
      </c>
      <c r="D524" s="10">
        <v>6</v>
      </c>
      <c r="E524" s="10" t="s">
        <v>16</v>
      </c>
      <c r="F524" s="11">
        <v>1.0157016699999999</v>
      </c>
      <c r="G524" s="11">
        <v>1.608247</v>
      </c>
      <c r="H524" s="10"/>
      <c r="I524" s="10"/>
      <c r="J524" s="10"/>
    </row>
    <row r="525" spans="1:10" ht="15.6" x14ac:dyDescent="0.3">
      <c r="A525" s="9" t="s">
        <v>55</v>
      </c>
      <c r="B525" s="10">
        <v>100</v>
      </c>
      <c r="C525" s="10" t="s">
        <v>17</v>
      </c>
      <c r="D525" s="10">
        <v>7.2</v>
      </c>
      <c r="E525" s="10" t="s">
        <v>17</v>
      </c>
      <c r="F525" s="11">
        <v>1.0247933899999999</v>
      </c>
      <c r="G525" s="11">
        <v>1.6019110000000001</v>
      </c>
      <c r="H525" s="10"/>
      <c r="I525" s="10"/>
      <c r="J525" s="10"/>
    </row>
    <row r="526" spans="1:10" ht="15.6" x14ac:dyDescent="0.3">
      <c r="A526" s="9" t="s">
        <v>55</v>
      </c>
      <c r="B526" s="10">
        <v>100</v>
      </c>
      <c r="C526" s="10" t="s">
        <v>18</v>
      </c>
      <c r="D526" s="10">
        <v>10</v>
      </c>
      <c r="E526" s="10" t="s">
        <v>18</v>
      </c>
      <c r="F526" s="11">
        <v>1.0250990799999999</v>
      </c>
      <c r="G526" s="11">
        <v>1.605505</v>
      </c>
      <c r="H526" s="10"/>
      <c r="I526" s="10"/>
      <c r="J526" s="10"/>
    </row>
    <row r="527" spans="1:10" ht="15.6" x14ac:dyDescent="0.3">
      <c r="A527" s="9" t="s">
        <v>55</v>
      </c>
      <c r="B527" s="10">
        <v>100</v>
      </c>
      <c r="C527" s="10" t="s">
        <v>16</v>
      </c>
      <c r="D527" s="10">
        <v>12</v>
      </c>
      <c r="E527" s="10" t="s">
        <v>19</v>
      </c>
      <c r="F527" s="11">
        <v>1.0163776499999999</v>
      </c>
      <c r="G527" s="11">
        <v>1.611486</v>
      </c>
      <c r="H527" s="10"/>
      <c r="I527" s="10"/>
      <c r="J527" s="10"/>
    </row>
    <row r="528" spans="1:10" ht="15.6" x14ac:dyDescent="0.3">
      <c r="A528" s="9" t="s">
        <v>55</v>
      </c>
      <c r="B528" s="10">
        <v>100</v>
      </c>
      <c r="C528" s="10" t="s">
        <v>20</v>
      </c>
      <c r="D528" s="10">
        <v>14.4</v>
      </c>
      <c r="E528" s="10" t="s">
        <v>20</v>
      </c>
      <c r="F528" s="11">
        <v>1.0257466500000001</v>
      </c>
      <c r="G528" s="11">
        <v>1.6035710000000001</v>
      </c>
      <c r="H528" s="10"/>
      <c r="I528" s="10"/>
      <c r="J528" s="10"/>
    </row>
    <row r="529" spans="1:10" ht="15.6" x14ac:dyDescent="0.3">
      <c r="A529" s="9" t="s">
        <v>55</v>
      </c>
      <c r="B529" s="10">
        <v>100</v>
      </c>
      <c r="C529" s="10" t="s">
        <v>21</v>
      </c>
      <c r="D529" s="10">
        <v>38.4</v>
      </c>
      <c r="E529" s="10" t="s">
        <v>35</v>
      </c>
      <c r="F529" s="11">
        <v>1.02476415</v>
      </c>
      <c r="G529" s="11">
        <v>1.606557</v>
      </c>
      <c r="H529" s="10"/>
      <c r="I529" s="10"/>
      <c r="J529" s="10"/>
    </row>
    <row r="530" spans="1:10" ht="15.6" x14ac:dyDescent="0.3">
      <c r="A530" s="9" t="s">
        <v>55</v>
      </c>
      <c r="B530" s="10">
        <v>100</v>
      </c>
      <c r="C530" s="10" t="s">
        <v>22</v>
      </c>
      <c r="D530" s="10">
        <v>38.4</v>
      </c>
      <c r="E530" s="10" t="s">
        <v>40</v>
      </c>
      <c r="F530" s="11">
        <v>1.01633606</v>
      </c>
      <c r="G530" s="11">
        <v>1.608163</v>
      </c>
      <c r="H530" s="10"/>
      <c r="I530" s="10"/>
      <c r="J530" s="10"/>
    </row>
    <row r="531" spans="1:10" ht="15.6" x14ac:dyDescent="0.3">
      <c r="A531" s="9" t="s">
        <v>55</v>
      </c>
      <c r="B531" s="10">
        <v>120</v>
      </c>
      <c r="C531" s="10" t="s">
        <v>13</v>
      </c>
      <c r="D531" s="10">
        <v>2</v>
      </c>
      <c r="E531" s="10" t="s">
        <v>13</v>
      </c>
      <c r="F531" s="11">
        <v>1.0187725599999999</v>
      </c>
      <c r="G531" s="11">
        <v>1.5443929999999999</v>
      </c>
      <c r="H531" s="10"/>
      <c r="I531" s="10"/>
      <c r="J531" s="10"/>
    </row>
    <row r="532" spans="1:10" ht="15.6" x14ac:dyDescent="0.3">
      <c r="A532" s="9" t="s">
        <v>55</v>
      </c>
      <c r="B532" s="10">
        <v>120</v>
      </c>
      <c r="C532" s="10" t="s">
        <v>26</v>
      </c>
      <c r="D532" s="10">
        <v>3.6</v>
      </c>
      <c r="E532" s="10" t="s">
        <v>26</v>
      </c>
      <c r="F532" s="11">
        <v>1.0191793</v>
      </c>
      <c r="G532" s="11">
        <v>1.5440119999999999</v>
      </c>
      <c r="H532" s="10"/>
      <c r="I532" s="10"/>
      <c r="J532" s="10"/>
    </row>
    <row r="533" spans="1:10" ht="15.6" x14ac:dyDescent="0.3">
      <c r="A533" s="9" t="s">
        <v>55</v>
      </c>
      <c r="B533" s="10">
        <v>120</v>
      </c>
      <c r="C533" s="10" t="s">
        <v>34</v>
      </c>
      <c r="D533" s="10">
        <v>4.8</v>
      </c>
      <c r="E533" s="10" t="s">
        <v>34</v>
      </c>
      <c r="F533" s="11">
        <v>1.01941748</v>
      </c>
      <c r="G533" s="11">
        <v>1.5447409999999999</v>
      </c>
      <c r="H533" s="10"/>
      <c r="I533" s="10"/>
      <c r="J533" s="10"/>
    </row>
    <row r="534" spans="1:10" ht="15.6" x14ac:dyDescent="0.3">
      <c r="A534" s="9" t="s">
        <v>55</v>
      </c>
      <c r="B534" s="10">
        <v>120</v>
      </c>
      <c r="C534" s="10" t="s">
        <v>34</v>
      </c>
      <c r="D534" s="10">
        <v>4.8</v>
      </c>
      <c r="E534" s="10" t="s">
        <v>31</v>
      </c>
      <c r="F534" s="11">
        <v>1.01233046</v>
      </c>
      <c r="G534" s="11">
        <v>1.54</v>
      </c>
      <c r="H534" s="10"/>
      <c r="I534" s="10"/>
      <c r="J534" s="10"/>
    </row>
    <row r="535" spans="1:10" ht="15.6" x14ac:dyDescent="0.3">
      <c r="A535" s="9" t="s">
        <v>55</v>
      </c>
      <c r="B535" s="10">
        <v>120</v>
      </c>
      <c r="C535" s="10" t="s">
        <v>14</v>
      </c>
      <c r="D535" s="10">
        <v>5</v>
      </c>
      <c r="E535" s="10" t="s">
        <v>14</v>
      </c>
      <c r="F535" s="11">
        <v>1.0193236699999999</v>
      </c>
      <c r="G535" s="11">
        <v>1.5442709999999999</v>
      </c>
      <c r="H535" s="10"/>
      <c r="I535" s="10"/>
      <c r="J535" s="10"/>
    </row>
    <row r="536" spans="1:10" ht="15.6" x14ac:dyDescent="0.3">
      <c r="A536" s="9" t="s">
        <v>55</v>
      </c>
      <c r="B536" s="10">
        <v>120</v>
      </c>
      <c r="C536" s="10" t="s">
        <v>15</v>
      </c>
      <c r="D536" s="10">
        <v>6</v>
      </c>
      <c r="E536" s="10" t="s">
        <v>16</v>
      </c>
      <c r="F536" s="11">
        <v>1.0124481299999999</v>
      </c>
      <c r="G536" s="11">
        <v>1.6020000000000001</v>
      </c>
      <c r="H536" s="10"/>
      <c r="I536" s="10"/>
      <c r="J536" s="10"/>
    </row>
    <row r="537" spans="1:10" ht="15.6" x14ac:dyDescent="0.3">
      <c r="A537" s="9" t="s">
        <v>55</v>
      </c>
      <c r="B537" s="10">
        <v>120</v>
      </c>
      <c r="C537" s="10" t="s">
        <v>17</v>
      </c>
      <c r="D537" s="10">
        <v>7.2</v>
      </c>
      <c r="E537" s="10" t="s">
        <v>17</v>
      </c>
      <c r="F537" s="11">
        <v>1.0190369500000001</v>
      </c>
      <c r="G537" s="11">
        <v>1.5452900000000001</v>
      </c>
      <c r="H537" s="10"/>
      <c r="I537" s="10"/>
      <c r="J537" s="10"/>
    </row>
    <row r="538" spans="1:10" ht="15.6" x14ac:dyDescent="0.3">
      <c r="A538" s="9" t="s">
        <v>55</v>
      </c>
      <c r="B538" s="10">
        <v>120</v>
      </c>
      <c r="C538" s="10" t="s">
        <v>18</v>
      </c>
      <c r="D538" s="10">
        <v>10</v>
      </c>
      <c r="E538" s="10" t="s">
        <v>18</v>
      </c>
      <c r="F538" s="11">
        <v>1.0193236699999999</v>
      </c>
      <c r="G538" s="11">
        <v>1.5442709999999999</v>
      </c>
      <c r="H538" s="10"/>
      <c r="I538" s="10"/>
      <c r="J538" s="10"/>
    </row>
    <row r="539" spans="1:10" ht="15.6" x14ac:dyDescent="0.3">
      <c r="A539" s="9" t="s">
        <v>55</v>
      </c>
      <c r="B539" s="10">
        <v>120</v>
      </c>
      <c r="C539" s="10" t="s">
        <v>16</v>
      </c>
      <c r="D539" s="10">
        <v>12</v>
      </c>
      <c r="E539" s="10" t="s">
        <v>19</v>
      </c>
      <c r="F539" s="11">
        <v>1.0127981399999999</v>
      </c>
      <c r="G539" s="11">
        <v>1.539623</v>
      </c>
      <c r="H539" s="10"/>
      <c r="I539" s="10"/>
      <c r="J539" s="10"/>
    </row>
    <row r="540" spans="1:10" ht="15.6" x14ac:dyDescent="0.3">
      <c r="A540" s="9" t="s">
        <v>55</v>
      </c>
      <c r="B540" s="10">
        <v>120</v>
      </c>
      <c r="C540" s="10" t="s">
        <v>20</v>
      </c>
      <c r="D540" s="10">
        <v>14.4</v>
      </c>
      <c r="E540" s="10" t="s">
        <v>20</v>
      </c>
      <c r="F540" s="11">
        <v>1.0194601400000001</v>
      </c>
      <c r="G540" s="11">
        <v>1.5436110000000001</v>
      </c>
      <c r="H540" s="10"/>
      <c r="I540" s="10"/>
      <c r="J540" s="10"/>
    </row>
    <row r="541" spans="1:10" ht="15.6" x14ac:dyDescent="0.3">
      <c r="A541" s="9" t="s">
        <v>55</v>
      </c>
      <c r="B541" s="10">
        <v>120</v>
      </c>
      <c r="C541" s="10" t="s">
        <v>21</v>
      </c>
      <c r="D541" s="10">
        <v>38.4</v>
      </c>
      <c r="E541" s="10" t="s">
        <v>35</v>
      </c>
      <c r="F541" s="11">
        <v>1.01869159</v>
      </c>
      <c r="G541" s="11">
        <v>1.5441860000000001</v>
      </c>
      <c r="H541" s="10"/>
      <c r="I541" s="10"/>
      <c r="J541" s="10"/>
    </row>
    <row r="542" spans="1:10" ht="15.6" x14ac:dyDescent="0.3">
      <c r="A542" s="9" t="s">
        <v>55</v>
      </c>
      <c r="B542" s="10">
        <v>120</v>
      </c>
      <c r="C542" s="10" t="s">
        <v>22</v>
      </c>
      <c r="D542" s="10">
        <v>38.4</v>
      </c>
      <c r="E542" s="10" t="s">
        <v>40</v>
      </c>
      <c r="F542" s="11">
        <v>1.0126849899999999</v>
      </c>
      <c r="G542" s="11">
        <v>1.5423340000000001</v>
      </c>
      <c r="H542" s="10"/>
      <c r="I542" s="10"/>
      <c r="J542" s="10"/>
    </row>
    <row r="543" spans="1:10" ht="15.6" x14ac:dyDescent="0.3">
      <c r="A543" s="9" t="s">
        <v>55</v>
      </c>
      <c r="B543" s="10">
        <v>140</v>
      </c>
      <c r="C543" s="10" t="s">
        <v>13</v>
      </c>
      <c r="D543" s="10">
        <v>2</v>
      </c>
      <c r="E543" s="10" t="s">
        <v>13</v>
      </c>
      <c r="F543" s="11">
        <v>1.01778656</v>
      </c>
      <c r="G543" s="11">
        <v>1.5129379999999999</v>
      </c>
      <c r="H543" s="10"/>
      <c r="I543" s="10"/>
      <c r="J543" s="10"/>
    </row>
    <row r="544" spans="1:10" ht="15.6" x14ac:dyDescent="0.3">
      <c r="A544" s="9" t="s">
        <v>55</v>
      </c>
      <c r="B544" s="10">
        <v>140</v>
      </c>
      <c r="C544" s="10" t="s">
        <v>26</v>
      </c>
      <c r="D544" s="10">
        <v>3.6</v>
      </c>
      <c r="E544" s="10" t="s">
        <v>26</v>
      </c>
      <c r="F544" s="11">
        <v>1.0176991200000001</v>
      </c>
      <c r="G544" s="11">
        <v>1.5122180000000001</v>
      </c>
      <c r="H544" s="10"/>
      <c r="I544" s="10"/>
      <c r="J544" s="10"/>
    </row>
    <row r="545" spans="1:10" ht="15.6" x14ac:dyDescent="0.3">
      <c r="A545" s="9" t="s">
        <v>55</v>
      </c>
      <c r="B545" s="10">
        <v>140</v>
      </c>
      <c r="C545" s="10" t="s">
        <v>34</v>
      </c>
      <c r="D545" s="10">
        <v>4.8</v>
      </c>
      <c r="E545" s="10" t="s">
        <v>34</v>
      </c>
      <c r="F545" s="11">
        <v>1.01759628</v>
      </c>
      <c r="G545" s="11">
        <v>1.51227</v>
      </c>
      <c r="H545" s="10"/>
      <c r="I545" s="10"/>
      <c r="J545" s="10"/>
    </row>
    <row r="546" spans="1:10" ht="15.6" x14ac:dyDescent="0.3">
      <c r="A546" s="9" t="s">
        <v>55</v>
      </c>
      <c r="B546" s="10">
        <v>140</v>
      </c>
      <c r="C546" s="10" t="s">
        <v>34</v>
      </c>
      <c r="D546" s="10">
        <v>4.8</v>
      </c>
      <c r="E546" s="10" t="s">
        <v>31</v>
      </c>
      <c r="F546" s="11">
        <v>1.01216814</v>
      </c>
      <c r="G546" s="11">
        <v>1.520276</v>
      </c>
      <c r="H546" s="10"/>
      <c r="I546" s="10"/>
      <c r="J546" s="10"/>
    </row>
    <row r="547" spans="1:10" ht="15.6" x14ac:dyDescent="0.3">
      <c r="A547" s="9" t="s">
        <v>55</v>
      </c>
      <c r="B547" s="10">
        <v>140</v>
      </c>
      <c r="C547" s="10" t="s">
        <v>14</v>
      </c>
      <c r="D547" s="10">
        <v>5</v>
      </c>
      <c r="E547" s="10" t="s">
        <v>14</v>
      </c>
      <c r="F547" s="11">
        <v>1.0176211500000001</v>
      </c>
      <c r="G547" s="11">
        <v>1.5127330000000001</v>
      </c>
      <c r="H547" s="10"/>
      <c r="I547" s="10"/>
      <c r="J547" s="10"/>
    </row>
    <row r="548" spans="1:10" ht="15.6" x14ac:dyDescent="0.3">
      <c r="A548" s="9" t="s">
        <v>55</v>
      </c>
      <c r="B548" s="10">
        <v>140</v>
      </c>
      <c r="C548" s="10" t="s">
        <v>15</v>
      </c>
      <c r="D548" s="10">
        <v>6</v>
      </c>
      <c r="E548" s="10" t="s">
        <v>16</v>
      </c>
      <c r="F548" s="11">
        <v>1.0131631400000001</v>
      </c>
      <c r="G548" s="11">
        <v>1.521793</v>
      </c>
      <c r="H548" s="10"/>
      <c r="I548" s="10"/>
      <c r="J548" s="10"/>
    </row>
    <row r="549" spans="1:10" ht="15.6" x14ac:dyDescent="0.3">
      <c r="A549" s="9" t="s">
        <v>55</v>
      </c>
      <c r="B549" s="10">
        <v>140</v>
      </c>
      <c r="C549" s="10" t="s">
        <v>17</v>
      </c>
      <c r="D549" s="10">
        <v>7.2</v>
      </c>
      <c r="E549" s="10" t="s">
        <v>17</v>
      </c>
      <c r="F549" s="11">
        <v>1.0172347799999999</v>
      </c>
      <c r="G549" s="11">
        <v>1.512397</v>
      </c>
      <c r="H549" s="10"/>
      <c r="I549" s="10"/>
      <c r="J549" s="10"/>
    </row>
    <row r="550" spans="1:10" ht="15.6" x14ac:dyDescent="0.3">
      <c r="A550" s="9" t="s">
        <v>55</v>
      </c>
      <c r="B550" s="10">
        <v>140</v>
      </c>
      <c r="C550" s="10" t="s">
        <v>18</v>
      </c>
      <c r="D550" s="10">
        <v>10</v>
      </c>
      <c r="E550" s="10" t="s">
        <v>18</v>
      </c>
      <c r="F550" s="11">
        <v>1.0176211500000001</v>
      </c>
      <c r="G550" s="11">
        <v>1.5127330000000001</v>
      </c>
      <c r="H550" s="10"/>
      <c r="I550" s="10"/>
      <c r="J550" s="10"/>
    </row>
    <row r="551" spans="1:10" ht="15.6" x14ac:dyDescent="0.3">
      <c r="A551" s="9" t="s">
        <v>55</v>
      </c>
      <c r="B551" s="10">
        <v>140</v>
      </c>
      <c r="C551" s="10" t="s">
        <v>16</v>
      </c>
      <c r="D551" s="10">
        <v>12</v>
      </c>
      <c r="E551" s="10" t="s">
        <v>19</v>
      </c>
      <c r="F551" s="11">
        <v>1.0133072400000001</v>
      </c>
      <c r="G551" s="11">
        <v>1.5201469999999999</v>
      </c>
      <c r="H551" s="10"/>
      <c r="I551" s="10"/>
      <c r="J551" s="10"/>
    </row>
    <row r="552" spans="1:10" ht="15.6" x14ac:dyDescent="0.3">
      <c r="A552" s="9" t="s">
        <v>55</v>
      </c>
      <c r="B552" s="10">
        <v>140</v>
      </c>
      <c r="C552" s="10" t="s">
        <v>20</v>
      </c>
      <c r="D552" s="10">
        <v>14.4</v>
      </c>
      <c r="E552" s="10" t="s">
        <v>20</v>
      </c>
      <c r="F552" s="11">
        <v>1.0171673800000001</v>
      </c>
      <c r="G552" s="11">
        <v>1.5119050000000001</v>
      </c>
      <c r="H552" s="10"/>
      <c r="I552" s="10"/>
      <c r="J552" s="10"/>
    </row>
    <row r="553" spans="1:10" ht="15.6" x14ac:dyDescent="0.3">
      <c r="A553" s="9" t="s">
        <v>55</v>
      </c>
      <c r="B553" s="10">
        <v>140</v>
      </c>
      <c r="C553" s="10" t="s">
        <v>21</v>
      </c>
      <c r="D553" s="10">
        <v>38.4</v>
      </c>
      <c r="E553" s="10" t="s">
        <v>35</v>
      </c>
      <c r="F553" s="11">
        <v>1.01770782</v>
      </c>
      <c r="G553" s="11">
        <v>1.512121</v>
      </c>
      <c r="H553" s="10"/>
      <c r="I553" s="10"/>
      <c r="J553" s="10"/>
    </row>
    <row r="554" spans="1:10" ht="15.6" x14ac:dyDescent="0.3">
      <c r="A554" s="9" t="s">
        <v>55</v>
      </c>
      <c r="B554" s="10">
        <v>140</v>
      </c>
      <c r="C554" s="10" t="s">
        <v>22</v>
      </c>
      <c r="D554" s="10">
        <v>38.4</v>
      </c>
      <c r="E554" s="10" t="s">
        <v>40</v>
      </c>
      <c r="F554" s="11">
        <v>1.0132764299999999</v>
      </c>
      <c r="G554" s="11">
        <v>1.52071</v>
      </c>
      <c r="H554" s="10"/>
      <c r="I554" s="10"/>
      <c r="J554" s="10"/>
    </row>
    <row r="555" spans="1:10" ht="15.6" x14ac:dyDescent="0.3">
      <c r="A555" s="9" t="s">
        <v>56</v>
      </c>
      <c r="B555" s="10">
        <v>90</v>
      </c>
      <c r="C555" s="10" t="s">
        <v>14</v>
      </c>
      <c r="D555" s="10">
        <v>5</v>
      </c>
      <c r="E555" s="10" t="s">
        <v>14</v>
      </c>
      <c r="F555" s="11">
        <v>1.0434782600000001</v>
      </c>
      <c r="G555" s="11">
        <v>1.752688</v>
      </c>
      <c r="H555" s="10"/>
      <c r="I555" s="10"/>
      <c r="J555" s="10"/>
    </row>
    <row r="556" spans="1:10" ht="15.6" x14ac:dyDescent="0.3">
      <c r="A556" s="9" t="s">
        <v>56</v>
      </c>
      <c r="B556" s="10">
        <v>90</v>
      </c>
      <c r="C556" s="10" t="s">
        <v>57</v>
      </c>
      <c r="D556" s="10">
        <v>7.2</v>
      </c>
      <c r="E556" s="10" t="s">
        <v>57</v>
      </c>
      <c r="F556" s="11">
        <v>1.04340568</v>
      </c>
      <c r="G556" s="11">
        <v>1.745223</v>
      </c>
      <c r="H556" s="10"/>
      <c r="I556" s="10"/>
      <c r="J556" s="10"/>
    </row>
    <row r="557" spans="1:10" ht="15.6" x14ac:dyDescent="0.3">
      <c r="A557" s="9" t="s">
        <v>56</v>
      </c>
      <c r="B557" s="10">
        <v>90</v>
      </c>
      <c r="C557" s="10" t="s">
        <v>58</v>
      </c>
      <c r="D557" s="10">
        <v>14.4</v>
      </c>
      <c r="E557" s="10" t="s">
        <v>58</v>
      </c>
      <c r="F557" s="11">
        <v>1.04365482</v>
      </c>
      <c r="G557" s="11">
        <v>1.748062</v>
      </c>
      <c r="H557" s="10"/>
      <c r="I557" s="10"/>
      <c r="J557" s="10"/>
    </row>
    <row r="558" spans="1:10" ht="15.6" x14ac:dyDescent="0.3">
      <c r="A558" s="9" t="s">
        <v>56</v>
      </c>
      <c r="B558" s="10">
        <v>90</v>
      </c>
      <c r="C558" s="10" t="s">
        <v>59</v>
      </c>
      <c r="D558" s="10">
        <v>19.2</v>
      </c>
      <c r="E558" s="10" t="s">
        <v>59</v>
      </c>
      <c r="F558" s="11">
        <v>1.0428101000000001</v>
      </c>
      <c r="G558" s="11">
        <v>1.7521009999999999</v>
      </c>
      <c r="H558" s="10"/>
      <c r="I558" s="10"/>
      <c r="J558" s="10"/>
    </row>
    <row r="559" spans="1:10" ht="15.6" x14ac:dyDescent="0.3">
      <c r="A559" s="9" t="s">
        <v>56</v>
      </c>
      <c r="B559" s="10">
        <v>90</v>
      </c>
      <c r="C559" s="10" t="s">
        <v>60</v>
      </c>
      <c r="D559" s="10">
        <v>24</v>
      </c>
      <c r="E559" s="10" t="s">
        <v>60</v>
      </c>
      <c r="F559" s="11">
        <v>1.04292929</v>
      </c>
      <c r="G559" s="11">
        <v>1.7487919999999999</v>
      </c>
      <c r="H559" s="10"/>
      <c r="I559" s="10"/>
      <c r="J559" s="10"/>
    </row>
    <row r="560" spans="1:10" ht="15.6" x14ac:dyDescent="0.3">
      <c r="A560" s="9" t="s">
        <v>56</v>
      </c>
      <c r="B560" s="10">
        <v>90</v>
      </c>
      <c r="C560" s="10" t="s">
        <v>61</v>
      </c>
      <c r="D560" s="10">
        <v>28.8</v>
      </c>
      <c r="E560" s="10" t="s">
        <v>61</v>
      </c>
      <c r="F560" s="11">
        <v>1.04467354</v>
      </c>
      <c r="G560" s="11">
        <v>1.754386</v>
      </c>
      <c r="H560" s="10"/>
      <c r="I560" s="10"/>
      <c r="J560" s="10"/>
    </row>
    <row r="561" spans="1:10" ht="15.6" x14ac:dyDescent="0.3">
      <c r="A561" s="9" t="s">
        <v>56</v>
      </c>
      <c r="B561" s="10">
        <v>90</v>
      </c>
      <c r="C561" s="10" t="s">
        <v>62</v>
      </c>
      <c r="D561" s="10">
        <v>38.4</v>
      </c>
      <c r="E561" s="10" t="s">
        <v>62</v>
      </c>
      <c r="F561" s="11">
        <v>1.0435308299999999</v>
      </c>
      <c r="G561" s="11">
        <v>1.75</v>
      </c>
      <c r="H561" s="10"/>
      <c r="I561" s="10"/>
      <c r="J561" s="10"/>
    </row>
    <row r="562" spans="1:10" ht="15.6" x14ac:dyDescent="0.3">
      <c r="A562" s="9" t="s">
        <v>56</v>
      </c>
      <c r="B562" s="10">
        <v>90</v>
      </c>
      <c r="C562" s="10" t="s">
        <v>63</v>
      </c>
      <c r="D562" s="10">
        <v>57.6</v>
      </c>
      <c r="E562" s="10" t="s">
        <v>63</v>
      </c>
      <c r="F562" s="11">
        <v>1.04358974</v>
      </c>
      <c r="G562" s="11">
        <v>1.75</v>
      </c>
      <c r="H562" s="10"/>
      <c r="I562" s="10"/>
      <c r="J562" s="10"/>
    </row>
    <row r="563" spans="1:10" ht="15.6" x14ac:dyDescent="0.3">
      <c r="A563" s="9" t="s">
        <v>56</v>
      </c>
      <c r="B563" s="10">
        <v>120</v>
      </c>
      <c r="C563" s="10" t="s">
        <v>14</v>
      </c>
      <c r="D563" s="10">
        <v>5</v>
      </c>
      <c r="E563" s="10" t="s">
        <v>14</v>
      </c>
      <c r="F563" s="11">
        <v>1.0279255300000001</v>
      </c>
      <c r="G563" s="11">
        <v>1.6174500000000001</v>
      </c>
      <c r="H563" s="10"/>
      <c r="I563" s="10"/>
      <c r="J563" s="10"/>
    </row>
    <row r="564" spans="1:10" ht="15.6" x14ac:dyDescent="0.3">
      <c r="A564" s="9" t="s">
        <v>56</v>
      </c>
      <c r="B564" s="10">
        <v>120</v>
      </c>
      <c r="C564" s="10" t="s">
        <v>57</v>
      </c>
      <c r="D564" s="10">
        <v>7.2</v>
      </c>
      <c r="E564" s="10" t="s">
        <v>57</v>
      </c>
      <c r="F564" s="11">
        <v>1.0276898699999999</v>
      </c>
      <c r="G564" s="11">
        <v>1.6143620000000001</v>
      </c>
      <c r="H564" s="10"/>
      <c r="I564" s="10"/>
      <c r="J564" s="10"/>
    </row>
    <row r="565" spans="1:10" ht="15.6" x14ac:dyDescent="0.3">
      <c r="A565" s="9" t="s">
        <v>56</v>
      </c>
      <c r="B565" s="10">
        <v>120</v>
      </c>
      <c r="C565" s="10" t="s">
        <v>58</v>
      </c>
      <c r="D565" s="10">
        <v>14.4</v>
      </c>
      <c r="E565" s="10" t="s">
        <v>58</v>
      </c>
      <c r="F565" s="11">
        <v>1.0274170300000001</v>
      </c>
      <c r="G565" s="11">
        <v>1.6165050000000001</v>
      </c>
      <c r="H565" s="10"/>
      <c r="I565" s="10"/>
      <c r="J565" s="10"/>
    </row>
    <row r="566" spans="1:10" ht="15.6" x14ac:dyDescent="0.3">
      <c r="A566" s="9" t="s">
        <v>56</v>
      </c>
      <c r="B566" s="10">
        <v>120</v>
      </c>
      <c r="C566" s="10" t="s">
        <v>59</v>
      </c>
      <c r="D566" s="10">
        <v>19.2</v>
      </c>
      <c r="E566" s="10" t="s">
        <v>59</v>
      </c>
      <c r="F566" s="11">
        <v>1.0275898000000001</v>
      </c>
      <c r="G566" s="11">
        <v>1.6164620000000001</v>
      </c>
      <c r="H566" s="10"/>
      <c r="I566" s="10"/>
      <c r="J566" s="10"/>
    </row>
    <row r="567" spans="1:10" ht="15.6" x14ac:dyDescent="0.3">
      <c r="A567" s="9" t="s">
        <v>56</v>
      </c>
      <c r="B567" s="10">
        <v>120</v>
      </c>
      <c r="C567" s="10" t="s">
        <v>60</v>
      </c>
      <c r="D567" s="10">
        <v>24</v>
      </c>
      <c r="E567" s="10" t="s">
        <v>60</v>
      </c>
      <c r="F567" s="11">
        <v>1.0281437099999999</v>
      </c>
      <c r="G567" s="11">
        <v>1.615694</v>
      </c>
      <c r="H567" s="10"/>
      <c r="I567" s="10"/>
      <c r="J567" s="10"/>
    </row>
    <row r="568" spans="1:10" ht="15.6" x14ac:dyDescent="0.3">
      <c r="A568" s="9" t="s">
        <v>56</v>
      </c>
      <c r="B568" s="10">
        <v>120</v>
      </c>
      <c r="C568" s="10" t="s">
        <v>61</v>
      </c>
      <c r="D568" s="10">
        <v>28.8</v>
      </c>
      <c r="E568" s="10" t="s">
        <v>61</v>
      </c>
      <c r="F568" s="11">
        <v>1.02823018</v>
      </c>
      <c r="G568" s="11">
        <v>1.6149640000000001</v>
      </c>
      <c r="H568" s="10"/>
      <c r="I568" s="10"/>
      <c r="J568" s="10"/>
    </row>
    <row r="569" spans="1:10" ht="15.6" x14ac:dyDescent="0.3">
      <c r="A569" s="9" t="s">
        <v>56</v>
      </c>
      <c r="B569" s="10">
        <v>120</v>
      </c>
      <c r="C569" s="10" t="s">
        <v>62</v>
      </c>
      <c r="D569" s="10">
        <v>38.4</v>
      </c>
      <c r="E569" s="10" t="s">
        <v>62</v>
      </c>
      <c r="F569" s="11">
        <v>1.0281124500000001</v>
      </c>
      <c r="G569" s="11">
        <v>1.617761</v>
      </c>
      <c r="H569" s="10"/>
      <c r="I569" s="10"/>
      <c r="J569" s="10"/>
    </row>
    <row r="570" spans="1:10" ht="15.6" x14ac:dyDescent="0.3">
      <c r="A570" s="9" t="s">
        <v>56</v>
      </c>
      <c r="B570" s="10">
        <v>120</v>
      </c>
      <c r="C570" s="10" t="s">
        <v>63</v>
      </c>
      <c r="D570" s="10">
        <v>57.6</v>
      </c>
      <c r="E570" s="10" t="s">
        <v>63</v>
      </c>
      <c r="F570" s="11">
        <v>1.02735562</v>
      </c>
      <c r="G570" s="11">
        <v>1.615542</v>
      </c>
      <c r="H570" s="10"/>
      <c r="I570" s="10"/>
      <c r="J570" s="10"/>
    </row>
    <row r="571" spans="1:10" ht="15.6" x14ac:dyDescent="0.3">
      <c r="A571" s="9" t="s">
        <v>56</v>
      </c>
      <c r="B571" s="10">
        <v>140</v>
      </c>
      <c r="C571" s="10" t="s">
        <v>14</v>
      </c>
      <c r="D571" s="10">
        <v>5</v>
      </c>
      <c r="E571" s="10" t="s">
        <v>14</v>
      </c>
      <c r="F571" s="11">
        <v>1.02195236</v>
      </c>
      <c r="G571" s="11">
        <v>1.5710010000000001</v>
      </c>
      <c r="H571" s="10"/>
      <c r="I571" s="10"/>
      <c r="J571" s="10"/>
    </row>
    <row r="572" spans="1:10" ht="15.6" x14ac:dyDescent="0.3">
      <c r="A572" s="9" t="s">
        <v>56</v>
      </c>
      <c r="B572" s="10">
        <v>140</v>
      </c>
      <c r="C572" s="10" t="s">
        <v>57</v>
      </c>
      <c r="D572" s="10">
        <v>7.2</v>
      </c>
      <c r="E572" s="10" t="s">
        <v>57</v>
      </c>
      <c r="F572" s="11">
        <v>1.02223457</v>
      </c>
      <c r="G572" s="11">
        <v>1.57016</v>
      </c>
      <c r="H572" s="10"/>
      <c r="I572" s="10"/>
      <c r="J572" s="10"/>
    </row>
    <row r="573" spans="1:10" ht="15.6" x14ac:dyDescent="0.3">
      <c r="A573" s="9" t="s">
        <v>56</v>
      </c>
      <c r="B573" s="10">
        <v>140</v>
      </c>
      <c r="C573" s="10" t="s">
        <v>58</v>
      </c>
      <c r="D573" s="10">
        <v>14.4</v>
      </c>
      <c r="E573" s="10" t="s">
        <v>58</v>
      </c>
      <c r="F573" s="11">
        <v>1.0219668799999999</v>
      </c>
      <c r="G573" s="11">
        <v>1.570811</v>
      </c>
      <c r="H573" s="10"/>
      <c r="I573" s="10"/>
      <c r="J573" s="10"/>
    </row>
    <row r="574" spans="1:10" ht="15.6" x14ac:dyDescent="0.3">
      <c r="A574" s="9" t="s">
        <v>56</v>
      </c>
      <c r="B574" s="10">
        <v>140</v>
      </c>
      <c r="C574" s="10" t="s">
        <v>59</v>
      </c>
      <c r="D574" s="10">
        <v>19.2</v>
      </c>
      <c r="E574" s="10" t="s">
        <v>59</v>
      </c>
      <c r="F574" s="11">
        <v>1.0185927800000001</v>
      </c>
      <c r="G574" s="11">
        <v>1.5707599999999999</v>
      </c>
      <c r="H574" s="10"/>
      <c r="I574" s="10"/>
      <c r="J574" s="10"/>
    </row>
    <row r="575" spans="1:10" ht="15.6" x14ac:dyDescent="0.3">
      <c r="A575" s="9" t="s">
        <v>56</v>
      </c>
      <c r="B575" s="10">
        <v>140</v>
      </c>
      <c r="C575" s="10" t="s">
        <v>60</v>
      </c>
      <c r="D575" s="10">
        <v>24</v>
      </c>
      <c r="E575" s="10" t="s">
        <v>60</v>
      </c>
      <c r="F575" s="11">
        <v>1.02186712</v>
      </c>
      <c r="G575" s="11">
        <v>1.5698920000000001</v>
      </c>
      <c r="H575" s="10"/>
      <c r="I575" s="10"/>
      <c r="J575" s="10"/>
    </row>
    <row r="576" spans="1:10" ht="15.6" x14ac:dyDescent="0.3">
      <c r="A576" s="9" t="s">
        <v>56</v>
      </c>
      <c r="B576" s="10">
        <v>140</v>
      </c>
      <c r="C576" s="10" t="s">
        <v>61</v>
      </c>
      <c r="D576" s="10">
        <v>28.8</v>
      </c>
      <c r="E576" s="10" t="s">
        <v>61</v>
      </c>
      <c r="F576" s="11">
        <v>1.02173084</v>
      </c>
      <c r="G576" s="11">
        <v>1.570732</v>
      </c>
      <c r="H576" s="10"/>
      <c r="I576" s="10"/>
      <c r="J576" s="10"/>
    </row>
    <row r="577" spans="1:10" ht="15.6" x14ac:dyDescent="0.3">
      <c r="A577" s="9" t="s">
        <v>56</v>
      </c>
      <c r="B577" s="10">
        <v>140</v>
      </c>
      <c r="C577" s="10" t="s">
        <v>62</v>
      </c>
      <c r="D577" s="10">
        <v>38.4</v>
      </c>
      <c r="E577" s="10" t="s">
        <v>62</v>
      </c>
      <c r="F577" s="11">
        <v>1.0217566499999999</v>
      </c>
      <c r="G577" s="11">
        <v>1.5708759999999999</v>
      </c>
      <c r="H577" s="10"/>
      <c r="I577" s="10"/>
      <c r="J577" s="10"/>
    </row>
    <row r="578" spans="1:10" ht="15.6" x14ac:dyDescent="0.3">
      <c r="A578" s="9" t="s">
        <v>56</v>
      </c>
      <c r="B578" s="10">
        <v>140</v>
      </c>
      <c r="C578" s="10" t="s">
        <v>63</v>
      </c>
      <c r="D578" s="10">
        <v>57.6</v>
      </c>
      <c r="E578" s="10" t="s">
        <v>63</v>
      </c>
      <c r="F578" s="11">
        <v>1.0217855600000001</v>
      </c>
      <c r="G578" s="11">
        <v>1.5710379999999999</v>
      </c>
      <c r="H578" s="10"/>
      <c r="I578" s="10"/>
      <c r="J578" s="10"/>
    </row>
    <row r="579" spans="1:10" ht="15.6" x14ac:dyDescent="0.3">
      <c r="A579" s="9" t="s">
        <v>56</v>
      </c>
      <c r="B579" s="10" t="s">
        <v>44</v>
      </c>
      <c r="C579" s="10" t="s">
        <v>14</v>
      </c>
      <c r="D579" s="10">
        <v>5</v>
      </c>
      <c r="E579" s="10" t="s">
        <v>14</v>
      </c>
      <c r="F579" s="11">
        <v>1</v>
      </c>
      <c r="G579" s="11">
        <v>1.471698</v>
      </c>
      <c r="H579" s="10"/>
      <c r="I579" s="10"/>
      <c r="J579" s="10"/>
    </row>
    <row r="580" spans="1:10" ht="15.6" x14ac:dyDescent="0.3">
      <c r="A580" s="9" t="s">
        <v>56</v>
      </c>
      <c r="B580" s="10" t="s">
        <v>44</v>
      </c>
      <c r="C580" s="10" t="s">
        <v>57</v>
      </c>
      <c r="D580" s="10">
        <v>7.2</v>
      </c>
      <c r="E580" s="10" t="s">
        <v>57</v>
      </c>
      <c r="F580" s="11">
        <v>1</v>
      </c>
      <c r="G580" s="11">
        <v>1.5</v>
      </c>
      <c r="H580" s="10"/>
      <c r="I580" s="10"/>
      <c r="J580" s="10"/>
    </row>
    <row r="581" spans="1:10" ht="15.6" x14ac:dyDescent="0.3">
      <c r="A581" s="9" t="s">
        <v>56</v>
      </c>
      <c r="B581" s="10" t="s">
        <v>44</v>
      </c>
      <c r="C581" s="10" t="s">
        <v>58</v>
      </c>
      <c r="D581" s="10">
        <v>14.4</v>
      </c>
      <c r="E581" s="10" t="s">
        <v>58</v>
      </c>
      <c r="F581" s="11">
        <v>1.00943396</v>
      </c>
      <c r="G581" s="11">
        <v>1.479452</v>
      </c>
      <c r="H581" s="10"/>
      <c r="I581" s="10"/>
      <c r="J581" s="10"/>
    </row>
    <row r="582" spans="1:10" ht="15.6" x14ac:dyDescent="0.3">
      <c r="A582" s="9" t="s">
        <v>56</v>
      </c>
      <c r="B582" s="10" t="s">
        <v>44</v>
      </c>
      <c r="C582" s="10" t="s">
        <v>59</v>
      </c>
      <c r="D582" s="10">
        <v>19.2</v>
      </c>
      <c r="E582" s="10" t="s">
        <v>59</v>
      </c>
      <c r="F582" s="11">
        <v>1</v>
      </c>
      <c r="G582" s="11">
        <v>1.492537</v>
      </c>
      <c r="H582" s="10"/>
      <c r="I582" s="10"/>
      <c r="J582" s="10"/>
    </row>
    <row r="583" spans="1:10" ht="15.6" x14ac:dyDescent="0.3">
      <c r="A583" s="9" t="s">
        <v>56</v>
      </c>
      <c r="B583" s="10" t="s">
        <v>44</v>
      </c>
      <c r="C583" s="10" t="s">
        <v>60</v>
      </c>
      <c r="D583" s="10">
        <v>24</v>
      </c>
      <c r="E583" s="10" t="s">
        <v>60</v>
      </c>
      <c r="F583" s="11">
        <v>1</v>
      </c>
      <c r="G583" s="11">
        <v>1.4745760000000001</v>
      </c>
      <c r="H583" s="10"/>
      <c r="I583" s="10"/>
      <c r="J583" s="10"/>
    </row>
    <row r="584" spans="1:10" ht="15.6" x14ac:dyDescent="0.3">
      <c r="A584" s="9" t="s">
        <v>56</v>
      </c>
      <c r="B584" s="10" t="s">
        <v>44</v>
      </c>
      <c r="C584" s="10" t="s">
        <v>61</v>
      </c>
      <c r="D584" s="10">
        <v>28.8</v>
      </c>
      <c r="E584" s="10" t="s">
        <v>61</v>
      </c>
      <c r="F584" s="11">
        <v>1</v>
      </c>
      <c r="G584" s="11">
        <v>1.476923</v>
      </c>
      <c r="H584" s="10"/>
      <c r="I584" s="10"/>
      <c r="J584" s="10"/>
    </row>
    <row r="585" spans="1:10" ht="15.6" x14ac:dyDescent="0.3">
      <c r="A585" s="9" t="s">
        <v>56</v>
      </c>
      <c r="B585" s="10" t="s">
        <v>44</v>
      </c>
      <c r="C585" s="10" t="s">
        <v>62</v>
      </c>
      <c r="D585" s="10">
        <v>38.4</v>
      </c>
      <c r="E585" s="10" t="s">
        <v>62</v>
      </c>
      <c r="F585" s="11">
        <v>1</v>
      </c>
      <c r="G585" s="11">
        <v>1.4754100000000001</v>
      </c>
      <c r="H585" s="10"/>
      <c r="I585" s="10"/>
      <c r="J585" s="10"/>
    </row>
    <row r="586" spans="1:10" ht="15.6" x14ac:dyDescent="0.3">
      <c r="A586" s="9" t="s">
        <v>56</v>
      </c>
      <c r="B586" s="10" t="s">
        <v>44</v>
      </c>
      <c r="C586" s="10" t="s">
        <v>63</v>
      </c>
      <c r="D586" s="10">
        <v>57.6</v>
      </c>
      <c r="E586" s="10" t="s">
        <v>63</v>
      </c>
      <c r="F586" s="11">
        <v>1</v>
      </c>
      <c r="G586" s="11">
        <v>1.465517</v>
      </c>
      <c r="H586" s="10"/>
      <c r="I586" s="10"/>
      <c r="J586" s="10"/>
    </row>
    <row r="587" spans="1:10" ht="15.6" x14ac:dyDescent="0.3">
      <c r="A587" s="9" t="s">
        <v>56</v>
      </c>
      <c r="B587" s="10" t="s">
        <v>50</v>
      </c>
      <c r="C587" s="10" t="s">
        <v>14</v>
      </c>
      <c r="D587" s="10">
        <v>5</v>
      </c>
      <c r="E587" s="10" t="s">
        <v>14</v>
      </c>
      <c r="F587" s="11">
        <v>1.0099502499999999</v>
      </c>
      <c r="G587" s="11">
        <v>1.4424779999999999</v>
      </c>
      <c r="H587" s="10"/>
      <c r="I587" s="10"/>
      <c r="J587" s="10"/>
    </row>
    <row r="588" spans="1:10" ht="15.6" x14ac:dyDescent="0.3">
      <c r="A588" s="9" t="s">
        <v>56</v>
      </c>
      <c r="B588" s="10" t="s">
        <v>50</v>
      </c>
      <c r="C588" s="10" t="s">
        <v>57</v>
      </c>
      <c r="D588" s="10">
        <v>7.2</v>
      </c>
      <c r="E588" s="10" t="s">
        <v>57</v>
      </c>
      <c r="F588" s="11">
        <v>1.00986193</v>
      </c>
      <c r="G588" s="11">
        <v>1.442105</v>
      </c>
      <c r="H588" s="10"/>
      <c r="I588" s="10"/>
      <c r="J588" s="10"/>
    </row>
    <row r="589" spans="1:10" ht="15.6" x14ac:dyDescent="0.3">
      <c r="A589" s="9" t="s">
        <v>56</v>
      </c>
      <c r="B589" s="10" t="s">
        <v>50</v>
      </c>
      <c r="C589" s="10" t="s">
        <v>58</v>
      </c>
      <c r="D589" s="10">
        <v>14.4</v>
      </c>
      <c r="E589" s="10" t="s">
        <v>58</v>
      </c>
      <c r="F589" s="11">
        <v>1.00959233</v>
      </c>
      <c r="G589" s="11">
        <v>1.4423079999999999</v>
      </c>
      <c r="H589" s="10"/>
      <c r="I589" s="10"/>
      <c r="J589" s="10"/>
    </row>
    <row r="590" spans="1:10" ht="15.6" x14ac:dyDescent="0.3">
      <c r="A590" s="9" t="s">
        <v>56</v>
      </c>
      <c r="B590" s="10" t="s">
        <v>50</v>
      </c>
      <c r="C590" s="10" t="s">
        <v>59</v>
      </c>
      <c r="D590" s="10">
        <v>19.2</v>
      </c>
      <c r="E590" s="10" t="s">
        <v>59</v>
      </c>
      <c r="F590" s="11">
        <v>1.01038961</v>
      </c>
      <c r="G590" s="11">
        <v>1.439446</v>
      </c>
      <c r="H590" s="10"/>
      <c r="I590" s="10"/>
      <c r="J590" s="10"/>
    </row>
    <row r="591" spans="1:10" ht="15.6" x14ac:dyDescent="0.3">
      <c r="A591" s="9" t="s">
        <v>56</v>
      </c>
      <c r="B591" s="10" t="s">
        <v>50</v>
      </c>
      <c r="C591" s="10" t="s">
        <v>60</v>
      </c>
      <c r="D591" s="10">
        <v>24</v>
      </c>
      <c r="E591" s="10" t="s">
        <v>60</v>
      </c>
      <c r="F591" s="11">
        <v>1.0104477599999999</v>
      </c>
      <c r="G591" s="11">
        <v>1.442231</v>
      </c>
      <c r="H591" s="10"/>
      <c r="I591" s="10"/>
      <c r="J591" s="10"/>
    </row>
    <row r="592" spans="1:10" ht="15.6" x14ac:dyDescent="0.3">
      <c r="A592" s="9" t="s">
        <v>56</v>
      </c>
      <c r="B592" s="10" t="s">
        <v>50</v>
      </c>
      <c r="C592" s="10" t="s">
        <v>61</v>
      </c>
      <c r="D592" s="10">
        <v>28.8</v>
      </c>
      <c r="E592" s="10" t="s">
        <v>61</v>
      </c>
      <c r="F592" s="11">
        <v>1.0094722599999999</v>
      </c>
      <c r="G592" s="11">
        <v>1.4404330000000001</v>
      </c>
      <c r="H592" s="10"/>
      <c r="I592" s="10"/>
      <c r="J592" s="10"/>
    </row>
    <row r="593" spans="1:10" ht="15.6" x14ac:dyDescent="0.3">
      <c r="A593" s="9" t="s">
        <v>56</v>
      </c>
      <c r="B593" s="10" t="s">
        <v>50</v>
      </c>
      <c r="C593" s="10" t="s">
        <v>62</v>
      </c>
      <c r="D593" s="10">
        <v>38.4</v>
      </c>
      <c r="E593" s="10" t="s">
        <v>62</v>
      </c>
      <c r="F593" s="11">
        <v>1.0100143100000001</v>
      </c>
      <c r="G593" s="11">
        <v>1.4427479999999999</v>
      </c>
      <c r="H593" s="10"/>
      <c r="I593" s="10"/>
      <c r="J593" s="10"/>
    </row>
    <row r="594" spans="1:10" ht="15.6" x14ac:dyDescent="0.3">
      <c r="A594" s="9" t="s">
        <v>56</v>
      </c>
      <c r="B594" s="10" t="s">
        <v>50</v>
      </c>
      <c r="C594" s="10" t="s">
        <v>63</v>
      </c>
      <c r="D594" s="10">
        <v>57.6</v>
      </c>
      <c r="E594" s="10" t="s">
        <v>63</v>
      </c>
      <c r="F594" s="11">
        <v>1.0106221500000001</v>
      </c>
      <c r="G594" s="11">
        <v>1.4412959999999999</v>
      </c>
      <c r="H594" s="10"/>
      <c r="I594" s="10"/>
      <c r="J594" s="10"/>
    </row>
    <row r="595" spans="1:10" ht="15.6" x14ac:dyDescent="0.3">
      <c r="A595" s="9" t="s">
        <v>64</v>
      </c>
      <c r="B595" s="10">
        <v>70</v>
      </c>
      <c r="C595" s="10" t="s">
        <v>13</v>
      </c>
      <c r="D595" s="10">
        <v>2</v>
      </c>
      <c r="E595" s="10" t="s">
        <v>13</v>
      </c>
      <c r="F595" s="11">
        <v>1.04669261</v>
      </c>
      <c r="G595" s="11">
        <v>1.8103450000000001</v>
      </c>
      <c r="H595" s="10"/>
      <c r="I595" s="10"/>
      <c r="J595" s="10"/>
    </row>
    <row r="596" spans="1:10" ht="15.6" x14ac:dyDescent="0.3">
      <c r="A596" s="9" t="s">
        <v>64</v>
      </c>
      <c r="B596" s="10">
        <v>70</v>
      </c>
      <c r="C596" s="10" t="s">
        <v>26</v>
      </c>
      <c r="D596" s="10">
        <v>3.6</v>
      </c>
      <c r="E596" s="10" t="s">
        <v>26</v>
      </c>
      <c r="F596" s="11">
        <v>1.0431654699999999</v>
      </c>
      <c r="G596" s="11">
        <v>1.808511</v>
      </c>
      <c r="H596" s="10"/>
      <c r="I596" s="10"/>
      <c r="J596" s="10"/>
    </row>
    <row r="597" spans="1:10" ht="15.6" x14ac:dyDescent="0.3">
      <c r="A597" s="9" t="s">
        <v>64</v>
      </c>
      <c r="B597" s="10">
        <v>70</v>
      </c>
      <c r="C597" s="10" t="s">
        <v>34</v>
      </c>
      <c r="D597" s="10">
        <v>4.8</v>
      </c>
      <c r="E597" s="10" t="s">
        <v>31</v>
      </c>
      <c r="F597" s="11">
        <v>1.03872437</v>
      </c>
      <c r="G597" s="11">
        <v>1.808081</v>
      </c>
      <c r="H597" s="10"/>
      <c r="I597" s="10"/>
      <c r="J597" s="10"/>
    </row>
    <row r="598" spans="1:10" ht="15.6" x14ac:dyDescent="0.3">
      <c r="A598" s="9" t="s">
        <v>64</v>
      </c>
      <c r="B598" s="10">
        <v>70</v>
      </c>
      <c r="C598" s="10" t="s">
        <v>14</v>
      </c>
      <c r="D598" s="10">
        <v>5</v>
      </c>
      <c r="E598" s="10" t="s">
        <v>14</v>
      </c>
      <c r="F598" s="11">
        <v>1.04329004</v>
      </c>
      <c r="G598" s="11">
        <v>1.8076920000000001</v>
      </c>
      <c r="H598" s="10"/>
      <c r="I598" s="10"/>
      <c r="J598" s="10"/>
    </row>
    <row r="599" spans="1:10" ht="15.6" x14ac:dyDescent="0.3">
      <c r="A599" s="9" t="s">
        <v>64</v>
      </c>
      <c r="B599" s="10">
        <v>70</v>
      </c>
      <c r="C599" s="10" t="s">
        <v>15</v>
      </c>
      <c r="D599" s="10">
        <v>6</v>
      </c>
      <c r="E599" s="10" t="s">
        <v>16</v>
      </c>
      <c r="F599" s="11">
        <v>1.03947368</v>
      </c>
      <c r="G599" s="11">
        <v>1.7971010000000001</v>
      </c>
      <c r="H599" s="10"/>
      <c r="I599" s="10"/>
      <c r="J599" s="10"/>
    </row>
    <row r="600" spans="1:10" ht="15.6" x14ac:dyDescent="0.3">
      <c r="A600" s="9" t="s">
        <v>64</v>
      </c>
      <c r="B600" s="10">
        <v>70</v>
      </c>
      <c r="C600" s="10" t="s">
        <v>18</v>
      </c>
      <c r="D600" s="10">
        <v>10</v>
      </c>
      <c r="E600" s="10" t="s">
        <v>18</v>
      </c>
      <c r="F600" s="11">
        <v>1.04329004</v>
      </c>
      <c r="G600" s="11">
        <v>1.8076920000000001</v>
      </c>
      <c r="H600" s="10"/>
      <c r="I600" s="10"/>
      <c r="J600" s="10"/>
    </row>
    <row r="601" spans="1:10" ht="15.6" x14ac:dyDescent="0.3">
      <c r="A601" s="9" t="s">
        <v>64</v>
      </c>
      <c r="B601" s="10">
        <v>70</v>
      </c>
      <c r="C601" s="10" t="s">
        <v>20</v>
      </c>
      <c r="D601" s="10">
        <v>14.4</v>
      </c>
      <c r="E601" s="10" t="s">
        <v>20</v>
      </c>
      <c r="F601" s="11">
        <v>1.0439189200000001</v>
      </c>
      <c r="G601" s="11">
        <v>1.8333330000000001</v>
      </c>
      <c r="H601" s="10"/>
      <c r="I601" s="10"/>
      <c r="J601" s="10"/>
    </row>
    <row r="602" spans="1:10" ht="15.6" x14ac:dyDescent="0.3">
      <c r="A602" s="9" t="s">
        <v>64</v>
      </c>
      <c r="B602" s="10">
        <v>70</v>
      </c>
      <c r="C602" s="10" t="s">
        <v>16</v>
      </c>
      <c r="D602" s="10">
        <v>12</v>
      </c>
      <c r="E602" s="10" t="s">
        <v>19</v>
      </c>
      <c r="F602" s="11">
        <v>1.03870968</v>
      </c>
      <c r="G602" s="11">
        <v>1.8142860000000001</v>
      </c>
      <c r="H602" s="10"/>
      <c r="I602" s="10"/>
      <c r="J602" s="10"/>
    </row>
    <row r="603" spans="1:10" ht="15.6" x14ac:dyDescent="0.3">
      <c r="A603" s="9" t="s">
        <v>64</v>
      </c>
      <c r="B603" s="10">
        <v>70</v>
      </c>
      <c r="C603" s="10" t="s">
        <v>21</v>
      </c>
      <c r="D603" s="10">
        <v>19.2</v>
      </c>
      <c r="E603" s="10" t="s">
        <v>22</v>
      </c>
      <c r="F603" s="11">
        <v>1.0419580399999999</v>
      </c>
      <c r="G603" s="11">
        <v>1.828125</v>
      </c>
      <c r="H603" s="10"/>
      <c r="I603" s="10"/>
      <c r="J603" s="10"/>
    </row>
    <row r="604" spans="1:10" ht="15.6" x14ac:dyDescent="0.3">
      <c r="A604" s="9" t="s">
        <v>64</v>
      </c>
      <c r="B604" s="10">
        <v>70</v>
      </c>
      <c r="C604" s="10" t="s">
        <v>20</v>
      </c>
      <c r="D604" s="10">
        <v>14.4</v>
      </c>
      <c r="E604" s="10" t="s">
        <v>20</v>
      </c>
      <c r="F604" s="11">
        <v>1.0424710399999999</v>
      </c>
      <c r="G604" s="11">
        <v>1.8103450000000001</v>
      </c>
      <c r="H604" s="10"/>
      <c r="I604" s="10"/>
      <c r="J604" s="10"/>
    </row>
    <row r="605" spans="1:10" ht="15.6" x14ac:dyDescent="0.3">
      <c r="A605" s="9" t="s">
        <v>64</v>
      </c>
      <c r="B605" s="10">
        <v>70</v>
      </c>
      <c r="C605" s="10" t="s">
        <v>22</v>
      </c>
      <c r="D605" s="10">
        <v>38.4</v>
      </c>
      <c r="E605" s="10" t="s">
        <v>40</v>
      </c>
      <c r="F605" s="11">
        <v>1.03968254</v>
      </c>
      <c r="G605" s="11">
        <v>1.807018</v>
      </c>
      <c r="H605" s="10"/>
      <c r="I605" s="10"/>
      <c r="J605" s="10"/>
    </row>
    <row r="606" spans="1:10" ht="15.6" x14ac:dyDescent="0.3">
      <c r="A606" s="9" t="s">
        <v>64</v>
      </c>
      <c r="B606" s="10">
        <v>80</v>
      </c>
      <c r="C606" s="10" t="s">
        <v>13</v>
      </c>
      <c r="D606" s="10">
        <v>2</v>
      </c>
      <c r="E606" s="10" t="s">
        <v>13</v>
      </c>
      <c r="F606" s="11">
        <v>1.02912621</v>
      </c>
      <c r="G606" s="11">
        <v>1.7211540000000001</v>
      </c>
      <c r="H606" s="10"/>
      <c r="I606" s="10"/>
      <c r="J606" s="10"/>
    </row>
    <row r="607" spans="1:10" ht="15.6" x14ac:dyDescent="0.3">
      <c r="A607" s="9" t="s">
        <v>64</v>
      </c>
      <c r="B607" s="10">
        <v>80</v>
      </c>
      <c r="C607" s="10" t="s">
        <v>26</v>
      </c>
      <c r="D607" s="10">
        <v>3.6</v>
      </c>
      <c r="E607" s="10" t="s">
        <v>26</v>
      </c>
      <c r="F607" s="11">
        <v>1.0315315300000001</v>
      </c>
      <c r="G607" s="11">
        <v>1.7159759999999999</v>
      </c>
      <c r="H607" s="10"/>
      <c r="I607" s="10"/>
      <c r="J607" s="10"/>
    </row>
    <row r="608" spans="1:10" ht="15.6" x14ac:dyDescent="0.3">
      <c r="A608" s="9" t="s">
        <v>64</v>
      </c>
      <c r="B608" s="10">
        <v>80</v>
      </c>
      <c r="C608" s="10" t="s">
        <v>34</v>
      </c>
      <c r="D608" s="10">
        <v>4.8</v>
      </c>
      <c r="E608" s="10" t="s">
        <v>31</v>
      </c>
      <c r="F608" s="11">
        <v>1.0256045499999999</v>
      </c>
      <c r="G608" s="11">
        <v>1.6983239999999999</v>
      </c>
      <c r="H608" s="10"/>
      <c r="I608" s="10"/>
      <c r="J608" s="10"/>
    </row>
    <row r="609" spans="1:10" ht="15.6" x14ac:dyDescent="0.3">
      <c r="A609" s="9" t="s">
        <v>64</v>
      </c>
      <c r="B609" s="10">
        <v>80</v>
      </c>
      <c r="C609" s="10" t="s">
        <v>14</v>
      </c>
      <c r="D609" s="10">
        <v>5</v>
      </c>
      <c r="E609" s="10" t="s">
        <v>14</v>
      </c>
      <c r="F609" s="11">
        <v>1.0298103000000001</v>
      </c>
      <c r="G609" s="11">
        <v>1.7021280000000001</v>
      </c>
      <c r="H609" s="10"/>
      <c r="I609" s="10"/>
      <c r="J609" s="10"/>
    </row>
    <row r="610" spans="1:10" ht="15.6" x14ac:dyDescent="0.3">
      <c r="A610" s="9" t="s">
        <v>64</v>
      </c>
      <c r="B610" s="10">
        <v>80</v>
      </c>
      <c r="C610" s="10" t="s">
        <v>15</v>
      </c>
      <c r="D610" s="10">
        <v>6</v>
      </c>
      <c r="E610" s="10" t="s">
        <v>16</v>
      </c>
      <c r="F610" s="11">
        <v>1.0266940499999999</v>
      </c>
      <c r="G610" s="11">
        <v>1.701613</v>
      </c>
      <c r="H610" s="10"/>
      <c r="I610" s="10"/>
      <c r="J610" s="10"/>
    </row>
    <row r="611" spans="1:10" ht="15.6" x14ac:dyDescent="0.3">
      <c r="A611" s="9" t="s">
        <v>64</v>
      </c>
      <c r="B611" s="10">
        <v>80</v>
      </c>
      <c r="C611" s="10" t="s">
        <v>18</v>
      </c>
      <c r="D611" s="10">
        <v>10</v>
      </c>
      <c r="E611" s="10" t="s">
        <v>18</v>
      </c>
      <c r="F611" s="11">
        <v>1.0298103000000001</v>
      </c>
      <c r="G611" s="11">
        <v>1.7021280000000001</v>
      </c>
      <c r="H611" s="10"/>
      <c r="I611" s="10"/>
      <c r="J611" s="10"/>
    </row>
    <row r="612" spans="1:10" ht="15.6" x14ac:dyDescent="0.3">
      <c r="A612" s="9" t="s">
        <v>64</v>
      </c>
      <c r="B612" s="10">
        <v>80</v>
      </c>
      <c r="C612" s="10" t="s">
        <v>20</v>
      </c>
      <c r="D612" s="10">
        <v>14.4</v>
      </c>
      <c r="E612" s="10" t="s">
        <v>20</v>
      </c>
      <c r="F612" s="11">
        <v>1.02953586</v>
      </c>
      <c r="G612" s="11">
        <v>1.7166669999999999</v>
      </c>
      <c r="H612" s="10"/>
      <c r="I612" s="10"/>
      <c r="J612" s="10"/>
    </row>
    <row r="613" spans="1:10" ht="15.6" x14ac:dyDescent="0.3">
      <c r="A613" s="9" t="s">
        <v>64</v>
      </c>
      <c r="B613" s="10">
        <v>80</v>
      </c>
      <c r="C613" s="10" t="s">
        <v>16</v>
      </c>
      <c r="D613" s="10">
        <v>12</v>
      </c>
      <c r="E613" s="10" t="s">
        <v>19</v>
      </c>
      <c r="F613" s="11">
        <v>1.0261569399999999</v>
      </c>
      <c r="G613" s="11">
        <v>1.7063489999999999</v>
      </c>
      <c r="H613" s="10"/>
      <c r="I613" s="10"/>
      <c r="J613" s="10"/>
    </row>
    <row r="614" spans="1:10" ht="15.6" x14ac:dyDescent="0.3">
      <c r="A614" s="9" t="s">
        <v>64</v>
      </c>
      <c r="B614" s="10">
        <v>80</v>
      </c>
      <c r="C614" s="10" t="s">
        <v>21</v>
      </c>
      <c r="D614" s="10">
        <v>19.2</v>
      </c>
      <c r="E614" s="10" t="s">
        <v>22</v>
      </c>
      <c r="F614" s="11">
        <v>1.02838428</v>
      </c>
      <c r="G614" s="11">
        <v>1.715517</v>
      </c>
      <c r="H614" s="10"/>
      <c r="I614" s="10"/>
      <c r="J614" s="10"/>
    </row>
    <row r="615" spans="1:10" ht="15.6" x14ac:dyDescent="0.3">
      <c r="A615" s="9" t="s">
        <v>64</v>
      </c>
      <c r="B615" s="10">
        <v>80</v>
      </c>
      <c r="C615" s="10" t="s">
        <v>20</v>
      </c>
      <c r="D615" s="10">
        <v>14.4</v>
      </c>
      <c r="E615" s="10" t="s">
        <v>20</v>
      </c>
      <c r="F615" s="11">
        <v>1.031477</v>
      </c>
      <c r="G615" s="11">
        <v>1.714286</v>
      </c>
      <c r="H615" s="10"/>
      <c r="I615" s="10"/>
      <c r="J615" s="10"/>
    </row>
    <row r="616" spans="1:10" ht="15.6" x14ac:dyDescent="0.3">
      <c r="A616" s="9" t="s">
        <v>64</v>
      </c>
      <c r="B616" s="10">
        <v>80</v>
      </c>
      <c r="C616" s="10" t="s">
        <v>22</v>
      </c>
      <c r="D616" s="10">
        <v>38.4</v>
      </c>
      <c r="E616" s="10" t="s">
        <v>40</v>
      </c>
      <c r="F616" s="11">
        <v>1.02722772</v>
      </c>
      <c r="G616" s="11">
        <v>1.6990289999999999</v>
      </c>
      <c r="H616" s="10"/>
      <c r="I616" s="10"/>
      <c r="J616" s="10"/>
    </row>
    <row r="617" spans="1:10" ht="15.6" x14ac:dyDescent="0.3">
      <c r="A617" s="9" t="s">
        <v>64</v>
      </c>
      <c r="B617" s="10">
        <v>90</v>
      </c>
      <c r="C617" s="10" t="s">
        <v>13</v>
      </c>
      <c r="D617" s="10">
        <v>2</v>
      </c>
      <c r="E617" s="10" t="s">
        <v>13</v>
      </c>
      <c r="F617" s="11">
        <v>1.0231023100000001</v>
      </c>
      <c r="G617" s="11">
        <v>1.6445780000000001</v>
      </c>
      <c r="H617" s="10"/>
      <c r="I617" s="10"/>
      <c r="J617" s="10"/>
    </row>
    <row r="618" spans="1:10" ht="15.6" x14ac:dyDescent="0.3">
      <c r="A618" s="9" t="s">
        <v>64</v>
      </c>
      <c r="B618" s="10">
        <v>90</v>
      </c>
      <c r="C618" s="10" t="s">
        <v>26</v>
      </c>
      <c r="D618" s="10">
        <v>3.6</v>
      </c>
      <c r="E618" s="10" t="s">
        <v>26</v>
      </c>
      <c r="F618" s="11">
        <v>1.0193679899999999</v>
      </c>
      <c r="G618" s="11">
        <v>1.649254</v>
      </c>
      <c r="H618" s="10"/>
      <c r="I618" s="10"/>
      <c r="J618" s="10"/>
    </row>
    <row r="619" spans="1:10" ht="15.6" x14ac:dyDescent="0.3">
      <c r="A619" s="9" t="s">
        <v>64</v>
      </c>
      <c r="B619" s="10">
        <v>90</v>
      </c>
      <c r="C619" s="10" t="s">
        <v>34</v>
      </c>
      <c r="D619" s="10">
        <v>4.8</v>
      </c>
      <c r="E619" s="10" t="s">
        <v>31</v>
      </c>
      <c r="F619" s="11">
        <v>1.0192307700000001</v>
      </c>
      <c r="G619" s="11">
        <v>1.6338029999999999</v>
      </c>
      <c r="H619" s="10"/>
      <c r="I619" s="10"/>
      <c r="J619" s="10"/>
    </row>
    <row r="620" spans="1:10" ht="15.6" x14ac:dyDescent="0.3">
      <c r="A620" s="9" t="s">
        <v>64</v>
      </c>
      <c r="B620" s="10">
        <v>90</v>
      </c>
      <c r="C620" s="10" t="s">
        <v>14</v>
      </c>
      <c r="D620" s="10">
        <v>5</v>
      </c>
      <c r="E620" s="10" t="s">
        <v>14</v>
      </c>
      <c r="F620" s="11">
        <v>1.02205882</v>
      </c>
      <c r="G620" s="11">
        <v>1.6442950000000001</v>
      </c>
      <c r="H620" s="10"/>
      <c r="I620" s="10"/>
      <c r="J620" s="10"/>
    </row>
    <row r="621" spans="1:10" ht="15.6" x14ac:dyDescent="0.3">
      <c r="A621" s="9" t="s">
        <v>64</v>
      </c>
      <c r="B621" s="10">
        <v>90</v>
      </c>
      <c r="C621" s="10" t="s">
        <v>15</v>
      </c>
      <c r="D621" s="10">
        <v>6</v>
      </c>
      <c r="E621" s="10" t="s">
        <v>16</v>
      </c>
      <c r="F621" s="11">
        <v>1.01808067</v>
      </c>
      <c r="G621" s="11">
        <v>1.6345179999999999</v>
      </c>
      <c r="H621" s="10"/>
      <c r="I621" s="10"/>
      <c r="J621" s="10"/>
    </row>
    <row r="622" spans="1:10" ht="15.6" x14ac:dyDescent="0.3">
      <c r="A622" s="9" t="s">
        <v>64</v>
      </c>
      <c r="B622" s="10">
        <v>90</v>
      </c>
      <c r="C622" s="10" t="s">
        <v>18</v>
      </c>
      <c r="D622" s="10">
        <v>10</v>
      </c>
      <c r="E622" s="10" t="s">
        <v>18</v>
      </c>
      <c r="F622" s="11">
        <v>1.02205882</v>
      </c>
      <c r="G622" s="11">
        <v>1.6442950000000001</v>
      </c>
      <c r="H622" s="10"/>
      <c r="I622" s="10"/>
      <c r="J622" s="10"/>
    </row>
    <row r="623" spans="1:10" ht="15.6" x14ac:dyDescent="0.3">
      <c r="A623" s="9" t="s">
        <v>64</v>
      </c>
      <c r="B623" s="10">
        <v>90</v>
      </c>
      <c r="C623" s="10" t="s">
        <v>20</v>
      </c>
      <c r="D623" s="10">
        <v>14.4</v>
      </c>
      <c r="E623" s="10" t="s">
        <v>20</v>
      </c>
      <c r="F623" s="11">
        <v>1.02295552</v>
      </c>
      <c r="G623" s="11">
        <v>1.6439790000000001</v>
      </c>
      <c r="H623" s="10"/>
      <c r="I623" s="10"/>
      <c r="J623" s="10"/>
    </row>
    <row r="624" spans="1:10" ht="15.6" x14ac:dyDescent="0.3">
      <c r="A624" s="9" t="s">
        <v>64</v>
      </c>
      <c r="B624" s="10">
        <v>90</v>
      </c>
      <c r="C624" s="10" t="s">
        <v>16</v>
      </c>
      <c r="D624" s="10">
        <v>12</v>
      </c>
      <c r="E624" s="10" t="s">
        <v>19</v>
      </c>
      <c r="F624" s="11">
        <v>1.01773533</v>
      </c>
      <c r="G624" s="11">
        <v>1.64</v>
      </c>
      <c r="H624" s="10"/>
      <c r="I624" s="10"/>
      <c r="J624" s="10"/>
    </row>
    <row r="625" spans="1:10" ht="15.6" x14ac:dyDescent="0.3">
      <c r="A625" s="9" t="s">
        <v>64</v>
      </c>
      <c r="B625" s="10">
        <v>90</v>
      </c>
      <c r="C625" s="10" t="s">
        <v>21</v>
      </c>
      <c r="D625" s="10">
        <v>19.2</v>
      </c>
      <c r="E625" s="10" t="s">
        <v>22</v>
      </c>
      <c r="F625" s="11">
        <v>1.0207407399999999</v>
      </c>
      <c r="G625" s="11">
        <v>1.6378379999999999</v>
      </c>
      <c r="H625" s="10"/>
      <c r="I625" s="10"/>
      <c r="J625" s="10"/>
    </row>
    <row r="626" spans="1:10" ht="15.6" x14ac:dyDescent="0.3">
      <c r="A626" s="9" t="s">
        <v>64</v>
      </c>
      <c r="B626" s="10">
        <v>90</v>
      </c>
      <c r="C626" s="10" t="s">
        <v>20</v>
      </c>
      <c r="D626" s="10">
        <v>14.4</v>
      </c>
      <c r="E626" s="10" t="s">
        <v>20</v>
      </c>
      <c r="F626" s="11">
        <v>1.0213464699999999</v>
      </c>
      <c r="G626" s="11">
        <v>1.6506019999999999</v>
      </c>
      <c r="H626" s="10"/>
      <c r="I626" s="10"/>
      <c r="J626" s="10"/>
    </row>
    <row r="627" spans="1:10" ht="15.6" x14ac:dyDescent="0.3">
      <c r="A627" s="9" t="s">
        <v>64</v>
      </c>
      <c r="B627" s="10">
        <v>90</v>
      </c>
      <c r="C627" s="10" t="s">
        <v>22</v>
      </c>
      <c r="D627" s="10">
        <v>38.4</v>
      </c>
      <c r="E627" s="10" t="s">
        <v>40</v>
      </c>
      <c r="F627" s="11">
        <v>1.0167504199999999</v>
      </c>
      <c r="G627" s="11">
        <v>1.638037</v>
      </c>
      <c r="H627" s="10"/>
      <c r="I627" s="10"/>
      <c r="J627" s="10"/>
    </row>
    <row r="628" spans="1:10" ht="15.6" x14ac:dyDescent="0.3">
      <c r="A628" s="9" t="s">
        <v>64</v>
      </c>
      <c r="B628" s="10">
        <v>100</v>
      </c>
      <c r="C628" s="10" t="s">
        <v>13</v>
      </c>
      <c r="D628" s="10">
        <v>2</v>
      </c>
      <c r="E628" s="10" t="s">
        <v>13</v>
      </c>
      <c r="F628" s="11">
        <v>1.0167664700000001</v>
      </c>
      <c r="G628" s="11">
        <v>1.60084</v>
      </c>
      <c r="H628" s="10"/>
      <c r="I628" s="10"/>
      <c r="J628" s="10"/>
    </row>
    <row r="629" spans="1:10" ht="15.6" x14ac:dyDescent="0.3">
      <c r="A629" s="9" t="s">
        <v>64</v>
      </c>
      <c r="B629" s="10">
        <v>100</v>
      </c>
      <c r="C629" s="10" t="s">
        <v>26</v>
      </c>
      <c r="D629" s="10">
        <v>3.6</v>
      </c>
      <c r="E629" s="10" t="s">
        <v>26</v>
      </c>
      <c r="F629" s="11">
        <v>1.02222222</v>
      </c>
      <c r="G629" s="11">
        <v>1.602597</v>
      </c>
      <c r="H629" s="10"/>
      <c r="I629" s="10"/>
      <c r="J629" s="10"/>
    </row>
    <row r="630" spans="1:10" ht="15.6" x14ac:dyDescent="0.3">
      <c r="A630" s="9" t="s">
        <v>64</v>
      </c>
      <c r="B630" s="10">
        <v>100</v>
      </c>
      <c r="C630" s="10" t="s">
        <v>34</v>
      </c>
      <c r="D630" s="10">
        <v>4.8</v>
      </c>
      <c r="E630" s="10" t="s">
        <v>31</v>
      </c>
      <c r="F630" s="11">
        <v>1.01398601</v>
      </c>
      <c r="G630" s="11">
        <v>1.5921380000000001</v>
      </c>
      <c r="H630" s="10"/>
      <c r="I630" s="10"/>
      <c r="J630" s="10"/>
    </row>
    <row r="631" spans="1:10" ht="15.6" x14ac:dyDescent="0.3">
      <c r="A631" s="9" t="s">
        <v>64</v>
      </c>
      <c r="B631" s="10">
        <v>100</v>
      </c>
      <c r="C631" s="10" t="s">
        <v>14</v>
      </c>
      <c r="D631" s="10">
        <v>5</v>
      </c>
      <c r="E631" s="10" t="s">
        <v>14</v>
      </c>
      <c r="F631" s="11">
        <v>1.0173564799999999</v>
      </c>
      <c r="G631" s="11">
        <v>1.605634</v>
      </c>
      <c r="H631" s="10"/>
      <c r="I631" s="10"/>
      <c r="J631" s="10"/>
    </row>
    <row r="632" spans="1:10" ht="15.6" x14ac:dyDescent="0.3">
      <c r="A632" s="9" t="s">
        <v>64</v>
      </c>
      <c r="B632" s="10">
        <v>100</v>
      </c>
      <c r="C632" s="10" t="s">
        <v>15</v>
      </c>
      <c r="D632" s="10">
        <v>6</v>
      </c>
      <c r="E632" s="10" t="s">
        <v>16</v>
      </c>
      <c r="F632" s="11">
        <v>1.0090817400000001</v>
      </c>
      <c r="G632" s="11">
        <v>1.595745</v>
      </c>
      <c r="H632" s="10"/>
      <c r="I632" s="10"/>
      <c r="J632" s="10"/>
    </row>
    <row r="633" spans="1:10" ht="15.6" x14ac:dyDescent="0.3">
      <c r="A633" s="9" t="s">
        <v>64</v>
      </c>
      <c r="B633" s="10">
        <v>100</v>
      </c>
      <c r="C633" s="10" t="s">
        <v>18</v>
      </c>
      <c r="D633" s="10">
        <v>10</v>
      </c>
      <c r="E633" s="10" t="s">
        <v>18</v>
      </c>
      <c r="F633" s="11">
        <v>1.0173564799999999</v>
      </c>
      <c r="G633" s="11">
        <v>1.605634</v>
      </c>
      <c r="H633" s="10"/>
      <c r="I633" s="10"/>
      <c r="J633" s="10"/>
    </row>
    <row r="634" spans="1:10" ht="15.6" x14ac:dyDescent="0.3">
      <c r="A634" s="9" t="s">
        <v>64</v>
      </c>
      <c r="B634" s="10">
        <v>100</v>
      </c>
      <c r="C634" s="10" t="s">
        <v>20</v>
      </c>
      <c r="D634" s="10">
        <v>14.4</v>
      </c>
      <c r="E634" s="10" t="s">
        <v>20</v>
      </c>
      <c r="F634" s="11">
        <v>1.01770833</v>
      </c>
      <c r="G634" s="11">
        <v>1.6080589999999999</v>
      </c>
      <c r="H634" s="10"/>
      <c r="I634" s="10"/>
      <c r="J634" s="10"/>
    </row>
    <row r="635" spans="1:10" ht="15.6" x14ac:dyDescent="0.3">
      <c r="A635" s="9" t="s">
        <v>64</v>
      </c>
      <c r="B635" s="10">
        <v>100</v>
      </c>
      <c r="C635" s="10" t="s">
        <v>16</v>
      </c>
      <c r="D635" s="10">
        <v>12</v>
      </c>
      <c r="E635" s="10" t="s">
        <v>19</v>
      </c>
      <c r="F635" s="11">
        <v>1.00990099</v>
      </c>
      <c r="G635" s="11">
        <v>1.5902780000000001</v>
      </c>
      <c r="H635" s="10"/>
      <c r="I635" s="10"/>
      <c r="J635" s="10"/>
    </row>
    <row r="636" spans="1:10" ht="15.6" x14ac:dyDescent="0.3">
      <c r="A636" s="9" t="s">
        <v>64</v>
      </c>
      <c r="B636" s="10">
        <v>100</v>
      </c>
      <c r="C636" s="10" t="s">
        <v>21</v>
      </c>
      <c r="D636" s="10">
        <v>19.2</v>
      </c>
      <c r="E636" s="10" t="s">
        <v>22</v>
      </c>
      <c r="F636" s="11">
        <v>1.01505376</v>
      </c>
      <c r="G636" s="11">
        <v>1.5962259999999999</v>
      </c>
      <c r="H636" s="10"/>
      <c r="I636" s="10"/>
      <c r="J636" s="10"/>
    </row>
    <row r="637" spans="1:10" ht="15.6" x14ac:dyDescent="0.3">
      <c r="A637" s="9" t="s">
        <v>64</v>
      </c>
      <c r="B637" s="10">
        <v>100</v>
      </c>
      <c r="C637" s="10" t="s">
        <v>20</v>
      </c>
      <c r="D637" s="10">
        <v>14.4</v>
      </c>
      <c r="E637" s="10" t="s">
        <v>20</v>
      </c>
      <c r="F637" s="11">
        <v>1.0178997599999999</v>
      </c>
      <c r="G637" s="11">
        <v>1.6025100000000001</v>
      </c>
      <c r="H637" s="10"/>
      <c r="I637" s="10"/>
      <c r="J637" s="10"/>
    </row>
    <row r="638" spans="1:10" ht="15.6" x14ac:dyDescent="0.3">
      <c r="A638" s="9" t="s">
        <v>64</v>
      </c>
      <c r="B638" s="10">
        <v>100</v>
      </c>
      <c r="C638" s="10" t="s">
        <v>22</v>
      </c>
      <c r="D638" s="10">
        <v>38.4</v>
      </c>
      <c r="E638" s="10" t="s">
        <v>40</v>
      </c>
      <c r="F638" s="11">
        <v>1.0121654499999999</v>
      </c>
      <c r="G638" s="11">
        <v>1.594017</v>
      </c>
      <c r="H638" s="10"/>
      <c r="I638" s="10"/>
      <c r="J638" s="10"/>
    </row>
    <row r="639" spans="1:10" ht="15.6" x14ac:dyDescent="0.3">
      <c r="A639" s="9" t="s">
        <v>64</v>
      </c>
      <c r="B639" s="10">
        <v>110</v>
      </c>
      <c r="C639" s="10" t="s">
        <v>13</v>
      </c>
      <c r="D639" s="10">
        <v>2</v>
      </c>
      <c r="E639" s="10" t="s">
        <v>13</v>
      </c>
      <c r="F639" s="11">
        <v>1.01785714</v>
      </c>
      <c r="G639" s="11">
        <v>1.5731710000000001</v>
      </c>
      <c r="H639" s="10"/>
      <c r="I639" s="10"/>
      <c r="J639" s="10"/>
    </row>
    <row r="640" spans="1:10" ht="15.6" x14ac:dyDescent="0.3">
      <c r="A640" s="9" t="s">
        <v>64</v>
      </c>
      <c r="B640" s="10">
        <v>110</v>
      </c>
      <c r="C640" s="10" t="s">
        <v>26</v>
      </c>
      <c r="D640" s="10">
        <v>3.6</v>
      </c>
      <c r="E640" s="10" t="s">
        <v>26</v>
      </c>
      <c r="F640" s="11">
        <v>1.0165745900000001</v>
      </c>
      <c r="G640" s="11">
        <v>1.5743879999999999</v>
      </c>
      <c r="H640" s="10"/>
      <c r="I640" s="10"/>
      <c r="J640" s="10"/>
    </row>
    <row r="641" spans="1:10" ht="15.6" x14ac:dyDescent="0.3">
      <c r="A641" s="9" t="s">
        <v>64</v>
      </c>
      <c r="B641" s="10">
        <v>110</v>
      </c>
      <c r="C641" s="10" t="s">
        <v>34</v>
      </c>
      <c r="D641" s="10">
        <v>4.8</v>
      </c>
      <c r="E641" s="10" t="s">
        <v>31</v>
      </c>
      <c r="F641" s="11">
        <v>1.0104166699999999</v>
      </c>
      <c r="G641" s="11">
        <v>1.5604979999999999</v>
      </c>
      <c r="H641" s="10"/>
      <c r="I641" s="10"/>
      <c r="J641" s="10"/>
    </row>
    <row r="642" spans="1:10" ht="15.6" x14ac:dyDescent="0.3">
      <c r="A642" s="9" t="s">
        <v>64</v>
      </c>
      <c r="B642" s="10">
        <v>110</v>
      </c>
      <c r="C642" s="10" t="s">
        <v>14</v>
      </c>
      <c r="D642" s="10">
        <v>5</v>
      </c>
      <c r="E642" s="10" t="s">
        <v>14</v>
      </c>
      <c r="F642" s="11">
        <v>1.00990099</v>
      </c>
      <c r="G642" s="11">
        <v>1.57483</v>
      </c>
      <c r="H642" s="10"/>
      <c r="I642" s="10"/>
      <c r="J642" s="10"/>
    </row>
    <row r="643" spans="1:10" ht="15.6" x14ac:dyDescent="0.3">
      <c r="A643" s="9" t="s">
        <v>64</v>
      </c>
      <c r="B643" s="10">
        <v>110</v>
      </c>
      <c r="C643" s="10" t="s">
        <v>15</v>
      </c>
      <c r="D643" s="10">
        <v>6</v>
      </c>
      <c r="E643" s="10" t="s">
        <v>16</v>
      </c>
      <c r="F643" s="11">
        <v>1.0075187999999999</v>
      </c>
      <c r="G643" s="11">
        <v>1.5589740000000001</v>
      </c>
      <c r="H643" s="10"/>
      <c r="I643" s="10"/>
      <c r="J643" s="10"/>
    </row>
    <row r="644" spans="1:10" ht="15.6" x14ac:dyDescent="0.3">
      <c r="A644" s="9" t="s">
        <v>64</v>
      </c>
      <c r="B644" s="10">
        <v>110</v>
      </c>
      <c r="C644" s="10" t="s">
        <v>18</v>
      </c>
      <c r="D644" s="10">
        <v>10</v>
      </c>
      <c r="E644" s="10" t="s">
        <v>18</v>
      </c>
      <c r="F644" s="11">
        <v>1.00990099</v>
      </c>
      <c r="G644" s="11">
        <v>1.57483</v>
      </c>
      <c r="H644" s="10"/>
      <c r="I644" s="10"/>
      <c r="J644" s="10"/>
    </row>
    <row r="645" spans="1:10" ht="15.6" x14ac:dyDescent="0.3">
      <c r="A645" s="9" t="s">
        <v>64</v>
      </c>
      <c r="B645" s="10">
        <v>110</v>
      </c>
      <c r="C645" s="10" t="s">
        <v>20</v>
      </c>
      <c r="D645" s="10">
        <v>14.4</v>
      </c>
      <c r="E645" s="10" t="s">
        <v>20</v>
      </c>
      <c r="F645" s="11">
        <v>1.01550388</v>
      </c>
      <c r="G645" s="11">
        <v>1.5755969999999999</v>
      </c>
      <c r="H645" s="10"/>
      <c r="I645" s="10"/>
      <c r="J645" s="10"/>
    </row>
    <row r="646" spans="1:10" ht="15.6" x14ac:dyDescent="0.3">
      <c r="A646" s="9" t="s">
        <v>64</v>
      </c>
      <c r="B646" s="10">
        <v>110</v>
      </c>
      <c r="C646" s="10" t="s">
        <v>16</v>
      </c>
      <c r="D646" s="10">
        <v>12</v>
      </c>
      <c r="E646" s="10" t="s">
        <v>19</v>
      </c>
      <c r="F646" s="11">
        <v>1.0148148100000001</v>
      </c>
      <c r="G646" s="11">
        <v>1.5617129999999999</v>
      </c>
      <c r="H646" s="10"/>
      <c r="I646" s="10"/>
      <c r="J646" s="10"/>
    </row>
    <row r="647" spans="1:10" ht="15.6" x14ac:dyDescent="0.3">
      <c r="A647" s="9" t="s">
        <v>64</v>
      </c>
      <c r="B647" s="10">
        <v>110</v>
      </c>
      <c r="C647" s="10" t="s">
        <v>21</v>
      </c>
      <c r="D647" s="10">
        <v>19.2</v>
      </c>
      <c r="E647" s="10" t="s">
        <v>22</v>
      </c>
      <c r="F647" s="11">
        <v>1.008</v>
      </c>
      <c r="G647" s="11">
        <v>1.565574</v>
      </c>
      <c r="H647" s="10"/>
      <c r="I647" s="10"/>
      <c r="J647" s="10"/>
    </row>
    <row r="648" spans="1:10" ht="15.6" x14ac:dyDescent="0.3">
      <c r="A648" s="9" t="s">
        <v>64</v>
      </c>
      <c r="B648" s="10">
        <v>110</v>
      </c>
      <c r="C648" s="10" t="s">
        <v>20</v>
      </c>
      <c r="D648" s="10">
        <v>14.4</v>
      </c>
      <c r="E648" s="10" t="s">
        <v>20</v>
      </c>
      <c r="F648" s="11">
        <v>1.00884956</v>
      </c>
      <c r="G648" s="11">
        <v>1.574468</v>
      </c>
      <c r="H648" s="10"/>
      <c r="I648" s="10"/>
      <c r="J648" s="10"/>
    </row>
    <row r="649" spans="1:10" ht="15.6" x14ac:dyDescent="0.3">
      <c r="A649" s="9" t="s">
        <v>64</v>
      </c>
      <c r="B649" s="10">
        <v>110</v>
      </c>
      <c r="C649" s="10" t="s">
        <v>22</v>
      </c>
      <c r="D649" s="10">
        <v>38.4</v>
      </c>
      <c r="E649" s="10" t="s">
        <v>40</v>
      </c>
      <c r="F649" s="11">
        <v>1.0090909100000001</v>
      </c>
      <c r="G649" s="11">
        <v>1.5603720000000001</v>
      </c>
      <c r="H649" s="10"/>
      <c r="I649" s="10"/>
      <c r="J649" s="10"/>
    </row>
    <row r="650" spans="1:10" ht="15.6" x14ac:dyDescent="0.3">
      <c r="A650" s="9" t="s">
        <v>64</v>
      </c>
      <c r="B650" s="10">
        <v>120</v>
      </c>
      <c r="C650" s="10" t="s">
        <v>13</v>
      </c>
      <c r="D650" s="10">
        <v>2</v>
      </c>
      <c r="E650" s="10" t="s">
        <v>13</v>
      </c>
      <c r="F650" s="11">
        <v>1.01428571</v>
      </c>
      <c r="G650" s="11">
        <v>1.547393</v>
      </c>
      <c r="H650" s="10"/>
      <c r="I650" s="10"/>
      <c r="J650" s="10"/>
    </row>
    <row r="651" spans="1:10" ht="15.6" x14ac:dyDescent="0.3">
      <c r="A651" s="9" t="s">
        <v>64</v>
      </c>
      <c r="B651" s="10">
        <v>120</v>
      </c>
      <c r="C651" s="10" t="s">
        <v>26</v>
      </c>
      <c r="D651" s="10">
        <v>3.6</v>
      </c>
      <c r="E651" s="10" t="s">
        <v>26</v>
      </c>
      <c r="F651" s="11">
        <v>1.0132158600000001</v>
      </c>
      <c r="G651" s="11">
        <v>1.5497080000000001</v>
      </c>
      <c r="H651" s="10"/>
      <c r="I651" s="10"/>
      <c r="J651" s="10"/>
    </row>
    <row r="652" spans="1:10" ht="15.6" x14ac:dyDescent="0.3">
      <c r="A652" s="9" t="s">
        <v>64</v>
      </c>
      <c r="B652" s="10">
        <v>120</v>
      </c>
      <c r="C652" s="10" t="s">
        <v>34</v>
      </c>
      <c r="D652" s="10">
        <v>4.8</v>
      </c>
      <c r="E652" s="10" t="s">
        <v>31</v>
      </c>
      <c r="F652" s="11">
        <v>1.0083682</v>
      </c>
      <c r="G652" s="11">
        <v>1.5352699999999999</v>
      </c>
      <c r="H652" s="10"/>
      <c r="I652" s="10"/>
      <c r="J652" s="10"/>
    </row>
    <row r="653" spans="1:10" ht="15.6" x14ac:dyDescent="0.3">
      <c r="A653" s="9" t="s">
        <v>64</v>
      </c>
      <c r="B653" s="10">
        <v>120</v>
      </c>
      <c r="C653" s="10" t="s">
        <v>14</v>
      </c>
      <c r="D653" s="10">
        <v>5</v>
      </c>
      <c r="E653" s="10" t="s">
        <v>14</v>
      </c>
      <c r="F653" s="11">
        <v>1.00793651</v>
      </c>
      <c r="G653" s="11">
        <v>1.5461739999999999</v>
      </c>
      <c r="H653" s="10"/>
      <c r="I653" s="10"/>
      <c r="J653" s="10"/>
    </row>
    <row r="654" spans="1:10" ht="15.6" x14ac:dyDescent="0.3">
      <c r="A654" s="9" t="s">
        <v>64</v>
      </c>
      <c r="B654" s="10">
        <v>120</v>
      </c>
      <c r="C654" s="10" t="s">
        <v>15</v>
      </c>
      <c r="D654" s="10">
        <v>6</v>
      </c>
      <c r="E654" s="10" t="s">
        <v>16</v>
      </c>
      <c r="F654" s="11">
        <v>1.0060241000000001</v>
      </c>
      <c r="G654" s="11">
        <v>1.536926</v>
      </c>
      <c r="H654" s="10"/>
      <c r="I654" s="10"/>
      <c r="J654" s="10"/>
    </row>
    <row r="655" spans="1:10" ht="15.6" x14ac:dyDescent="0.3">
      <c r="A655" s="9" t="s">
        <v>64</v>
      </c>
      <c r="B655" s="10">
        <v>120</v>
      </c>
      <c r="C655" s="10" t="s">
        <v>18</v>
      </c>
      <c r="D655" s="10">
        <v>10</v>
      </c>
      <c r="E655" s="10" t="s">
        <v>18</v>
      </c>
      <c r="F655" s="11">
        <v>1.00793651</v>
      </c>
      <c r="G655" s="11">
        <v>1.5461739999999999</v>
      </c>
      <c r="H655" s="10"/>
      <c r="I655" s="10"/>
      <c r="J655" s="10"/>
    </row>
    <row r="656" spans="1:10" ht="15.6" x14ac:dyDescent="0.3">
      <c r="A656" s="9" t="s">
        <v>64</v>
      </c>
      <c r="B656" s="10">
        <v>120</v>
      </c>
      <c r="C656" s="10" t="s">
        <v>20</v>
      </c>
      <c r="D656" s="10">
        <v>14.4</v>
      </c>
      <c r="E656" s="10" t="s">
        <v>20</v>
      </c>
      <c r="F656" s="11">
        <v>1.01242236</v>
      </c>
      <c r="G656" s="11">
        <v>1.5473250000000001</v>
      </c>
      <c r="H656" s="10"/>
      <c r="I656" s="10"/>
      <c r="J656" s="10"/>
    </row>
    <row r="657" spans="1:10" ht="15.6" x14ac:dyDescent="0.3">
      <c r="A657" s="9" t="s">
        <v>64</v>
      </c>
      <c r="B657" s="10">
        <v>120</v>
      </c>
      <c r="C657" s="10" t="s">
        <v>16</v>
      </c>
      <c r="D657" s="10">
        <v>12</v>
      </c>
      <c r="E657" s="10" t="s">
        <v>19</v>
      </c>
      <c r="F657" s="11">
        <v>1.01183432</v>
      </c>
      <c r="G657" s="11">
        <v>1.5362039999999999</v>
      </c>
      <c r="H657" s="10"/>
      <c r="I657" s="10"/>
      <c r="J657" s="10"/>
    </row>
    <row r="658" spans="1:10" ht="15.6" x14ac:dyDescent="0.3">
      <c r="A658" s="9" t="s">
        <v>64</v>
      </c>
      <c r="B658" s="10">
        <v>120</v>
      </c>
      <c r="C658" s="10" t="s">
        <v>21</v>
      </c>
      <c r="D658" s="10">
        <v>19.2</v>
      </c>
      <c r="E658" s="10" t="s">
        <v>22</v>
      </c>
      <c r="F658" s="11">
        <v>1.0128205100000001</v>
      </c>
      <c r="G658" s="11">
        <v>1.5425530000000001</v>
      </c>
      <c r="H658" s="10"/>
      <c r="I658" s="10"/>
      <c r="J658" s="10"/>
    </row>
    <row r="659" spans="1:10" ht="15.6" x14ac:dyDescent="0.3">
      <c r="A659" s="9" t="s">
        <v>64</v>
      </c>
      <c r="B659" s="10">
        <v>120</v>
      </c>
      <c r="C659" s="10" t="s">
        <v>20</v>
      </c>
      <c r="D659" s="10">
        <v>14.4</v>
      </c>
      <c r="E659" s="10" t="s">
        <v>20</v>
      </c>
      <c r="F659" s="11">
        <v>1.0070922</v>
      </c>
      <c r="G659" s="11">
        <v>1.5471699999999999</v>
      </c>
      <c r="H659" s="10"/>
      <c r="I659" s="10"/>
      <c r="J659" s="10"/>
    </row>
    <row r="660" spans="1:10" ht="15.6" x14ac:dyDescent="0.3">
      <c r="A660" s="9" t="s">
        <v>64</v>
      </c>
      <c r="B660" s="10">
        <v>120</v>
      </c>
      <c r="C660" s="10" t="s">
        <v>22</v>
      </c>
      <c r="D660" s="10">
        <v>38.4</v>
      </c>
      <c r="E660" s="10" t="s">
        <v>40</v>
      </c>
      <c r="F660" s="11">
        <v>1.00724638</v>
      </c>
      <c r="G660" s="11">
        <v>1.5360579999999999</v>
      </c>
      <c r="H660" s="10"/>
      <c r="I660" s="10"/>
      <c r="J660" s="10"/>
    </row>
    <row r="661" spans="1:10" ht="15.6" x14ac:dyDescent="0.3">
      <c r="A661" s="9" t="s">
        <v>64</v>
      </c>
      <c r="B661" s="10">
        <v>130</v>
      </c>
      <c r="C661" s="10" t="s">
        <v>13</v>
      </c>
      <c r="D661" s="10">
        <v>2</v>
      </c>
      <c r="E661" s="10" t="s">
        <v>13</v>
      </c>
      <c r="F661" s="11">
        <v>1.01775148</v>
      </c>
      <c r="G661" s="11">
        <v>1.531191</v>
      </c>
      <c r="H661" s="10"/>
      <c r="I661" s="10"/>
      <c r="J661" s="10"/>
    </row>
    <row r="662" spans="1:10" ht="15.6" x14ac:dyDescent="0.3">
      <c r="A662" s="9" t="s">
        <v>64</v>
      </c>
      <c r="B662" s="10">
        <v>130</v>
      </c>
      <c r="C662" s="10" t="s">
        <v>26</v>
      </c>
      <c r="D662" s="10">
        <v>3.6</v>
      </c>
      <c r="E662" s="10" t="s">
        <v>26</v>
      </c>
      <c r="F662" s="11">
        <v>1.0145985399999999</v>
      </c>
      <c r="G662" s="11">
        <v>1.5285880000000001</v>
      </c>
      <c r="H662" s="10"/>
      <c r="I662" s="10"/>
      <c r="J662" s="10"/>
    </row>
    <row r="663" spans="1:10" ht="15.6" x14ac:dyDescent="0.3">
      <c r="A663" s="9" t="s">
        <v>64</v>
      </c>
      <c r="B663" s="10">
        <v>130</v>
      </c>
      <c r="C663" s="10" t="s">
        <v>34</v>
      </c>
      <c r="D663" s="10">
        <v>4.8</v>
      </c>
      <c r="E663" s="10" t="s">
        <v>31</v>
      </c>
      <c r="F663" s="11">
        <v>1.01034483</v>
      </c>
      <c r="G663" s="11">
        <v>1.5214989999999999</v>
      </c>
      <c r="H663" s="10"/>
      <c r="I663" s="10"/>
      <c r="J663" s="10"/>
    </row>
    <row r="664" spans="1:10" ht="15.6" x14ac:dyDescent="0.3">
      <c r="A664" s="9" t="s">
        <v>64</v>
      </c>
      <c r="B664" s="10">
        <v>130</v>
      </c>
      <c r="C664" s="10" t="s">
        <v>14</v>
      </c>
      <c r="D664" s="10">
        <v>5</v>
      </c>
      <c r="E664" s="10" t="s">
        <v>14</v>
      </c>
      <c r="F664" s="11">
        <v>1.01315789</v>
      </c>
      <c r="G664" s="11">
        <v>1.528421</v>
      </c>
      <c r="H664" s="10"/>
      <c r="I664" s="10"/>
      <c r="J664" s="10"/>
    </row>
    <row r="665" spans="1:10" ht="15.6" x14ac:dyDescent="0.3">
      <c r="A665" s="9" t="s">
        <v>64</v>
      </c>
      <c r="B665" s="10">
        <v>130</v>
      </c>
      <c r="C665" s="10" t="s">
        <v>15</v>
      </c>
      <c r="D665" s="10">
        <v>6</v>
      </c>
      <c r="E665" s="10" t="s">
        <v>16</v>
      </c>
      <c r="F665" s="11">
        <v>1.0099502499999999</v>
      </c>
      <c r="G665" s="11">
        <v>1.518283</v>
      </c>
      <c r="H665" s="10"/>
      <c r="I665" s="10"/>
      <c r="J665" s="10"/>
    </row>
    <row r="666" spans="1:10" ht="15.6" x14ac:dyDescent="0.3">
      <c r="A666" s="9" t="s">
        <v>64</v>
      </c>
      <c r="B666" s="10">
        <v>130</v>
      </c>
      <c r="C666" s="10" t="s">
        <v>18</v>
      </c>
      <c r="D666" s="10">
        <v>10</v>
      </c>
      <c r="E666" s="10" t="s">
        <v>18</v>
      </c>
      <c r="F666" s="11">
        <v>1.01315789</v>
      </c>
      <c r="G666" s="11">
        <v>1.528421</v>
      </c>
      <c r="H666" s="10"/>
      <c r="I666" s="10"/>
      <c r="J666" s="10"/>
    </row>
    <row r="667" spans="1:10" ht="15.6" x14ac:dyDescent="0.3">
      <c r="A667" s="9" t="s">
        <v>64</v>
      </c>
      <c r="B667" s="10">
        <v>130</v>
      </c>
      <c r="C667" s="10" t="s">
        <v>20</v>
      </c>
      <c r="D667" s="10">
        <v>14.4</v>
      </c>
      <c r="E667" s="10" t="s">
        <v>20</v>
      </c>
      <c r="F667" s="11">
        <v>1.0153846200000001</v>
      </c>
      <c r="G667" s="11">
        <v>1.530378</v>
      </c>
      <c r="H667" s="10"/>
      <c r="I667" s="10"/>
      <c r="J667" s="10"/>
    </row>
    <row r="668" spans="1:10" ht="15.6" x14ac:dyDescent="0.3">
      <c r="A668" s="9" t="s">
        <v>64</v>
      </c>
      <c r="B668" s="10">
        <v>130</v>
      </c>
      <c r="C668" s="10" t="s">
        <v>16</v>
      </c>
      <c r="D668" s="10">
        <v>12</v>
      </c>
      <c r="E668" s="10" t="s">
        <v>19</v>
      </c>
      <c r="F668" s="11">
        <v>1.0097560999999999</v>
      </c>
      <c r="G668" s="11">
        <v>1.519501</v>
      </c>
      <c r="H668" s="10"/>
      <c r="I668" s="10"/>
      <c r="J668" s="10"/>
    </row>
    <row r="669" spans="1:10" ht="15.6" x14ac:dyDescent="0.3">
      <c r="A669" s="9" t="s">
        <v>64</v>
      </c>
      <c r="B669" s="10">
        <v>130</v>
      </c>
      <c r="C669" s="10" t="s">
        <v>21</v>
      </c>
      <c r="D669" s="10">
        <v>19.2</v>
      </c>
      <c r="E669" s="10" t="s">
        <v>22</v>
      </c>
      <c r="F669" s="11">
        <v>1.01058201</v>
      </c>
      <c r="G669" s="11">
        <v>1.5237289999999999</v>
      </c>
      <c r="H669" s="10"/>
      <c r="I669" s="10"/>
      <c r="J669" s="10"/>
    </row>
    <row r="670" spans="1:10" ht="15.6" x14ac:dyDescent="0.3">
      <c r="A670" s="9" t="s">
        <v>64</v>
      </c>
      <c r="B670" s="10">
        <v>130</v>
      </c>
      <c r="C670" s="10" t="s">
        <v>20</v>
      </c>
      <c r="D670" s="10">
        <v>14.4</v>
      </c>
      <c r="E670" s="10" t="s">
        <v>20</v>
      </c>
      <c r="F670" s="11">
        <v>1.01764706</v>
      </c>
      <c r="G670" s="11">
        <v>1.5310729999999999</v>
      </c>
      <c r="H670" s="10"/>
      <c r="I670" s="10"/>
      <c r="J670" s="10"/>
    </row>
    <row r="671" spans="1:10" ht="15.6" x14ac:dyDescent="0.3">
      <c r="A671" s="9" t="s">
        <v>64</v>
      </c>
      <c r="B671" s="10">
        <v>130</v>
      </c>
      <c r="C671" s="10" t="s">
        <v>22</v>
      </c>
      <c r="D671" s="10">
        <v>38.4</v>
      </c>
      <c r="E671" s="10" t="s">
        <v>40</v>
      </c>
      <c r="F671" s="11">
        <v>1.00598802</v>
      </c>
      <c r="G671" s="11">
        <v>1.5172410000000001</v>
      </c>
      <c r="H671" s="10"/>
      <c r="I671" s="10"/>
      <c r="J671" s="10"/>
    </row>
    <row r="672" spans="1:10" ht="15.6" x14ac:dyDescent="0.3">
      <c r="A672" s="9" t="s">
        <v>64</v>
      </c>
      <c r="B672" s="10">
        <v>140</v>
      </c>
      <c r="C672" s="10" t="s">
        <v>13</v>
      </c>
      <c r="D672" s="10">
        <v>2</v>
      </c>
      <c r="E672" s="10" t="s">
        <v>13</v>
      </c>
      <c r="F672" s="11">
        <v>1.00985222</v>
      </c>
      <c r="G672" s="11">
        <v>1.5161789999999999</v>
      </c>
      <c r="H672" s="10"/>
      <c r="I672" s="10"/>
      <c r="J672" s="10"/>
    </row>
    <row r="673" spans="1:10" ht="15.6" x14ac:dyDescent="0.3">
      <c r="A673" s="9" t="s">
        <v>64</v>
      </c>
      <c r="B673" s="10">
        <v>140</v>
      </c>
      <c r="C673" s="10" t="s">
        <v>26</v>
      </c>
      <c r="D673" s="10">
        <v>3.6</v>
      </c>
      <c r="E673" s="10" t="s">
        <v>26</v>
      </c>
      <c r="F673" s="11">
        <v>1.01215805</v>
      </c>
      <c r="G673" s="11">
        <v>1.514286</v>
      </c>
      <c r="H673" s="10"/>
      <c r="I673" s="10"/>
      <c r="J673" s="10"/>
    </row>
    <row r="674" spans="1:10" ht="15.6" x14ac:dyDescent="0.3">
      <c r="A674" s="9" t="s">
        <v>64</v>
      </c>
      <c r="B674" s="10">
        <v>140</v>
      </c>
      <c r="C674" s="10" t="s">
        <v>34</v>
      </c>
      <c r="D674" s="10">
        <v>4.8</v>
      </c>
      <c r="E674" s="10" t="s">
        <v>31</v>
      </c>
      <c r="F674" s="11">
        <v>1.0086206900000001</v>
      </c>
      <c r="G674" s="11">
        <v>1.504505</v>
      </c>
      <c r="H674" s="10"/>
      <c r="I674" s="10"/>
      <c r="J674" s="10"/>
    </row>
    <row r="675" spans="1:10" ht="15.6" x14ac:dyDescent="0.3">
      <c r="A675" s="9" t="s">
        <v>64</v>
      </c>
      <c r="B675" s="10">
        <v>140</v>
      </c>
      <c r="C675" s="10" t="s">
        <v>14</v>
      </c>
      <c r="D675" s="10">
        <v>5</v>
      </c>
      <c r="E675" s="10" t="s">
        <v>14</v>
      </c>
      <c r="F675" s="11">
        <v>1.0109890100000001</v>
      </c>
      <c r="G675" s="11">
        <v>1.517182</v>
      </c>
      <c r="H675" s="10"/>
      <c r="I675" s="10"/>
      <c r="J675" s="10"/>
    </row>
    <row r="676" spans="1:10" ht="15.6" x14ac:dyDescent="0.3">
      <c r="A676" s="9" t="s">
        <v>64</v>
      </c>
      <c r="B676" s="10">
        <v>140</v>
      </c>
      <c r="C676" s="10" t="s">
        <v>15</v>
      </c>
      <c r="D676" s="10">
        <v>6</v>
      </c>
      <c r="E676" s="10" t="s">
        <v>16</v>
      </c>
      <c r="F676" s="11">
        <v>1.00829876</v>
      </c>
      <c r="G676" s="11">
        <v>1.502591</v>
      </c>
      <c r="H676" s="10"/>
      <c r="I676" s="10"/>
      <c r="J676" s="10"/>
    </row>
    <row r="677" spans="1:10" ht="15.6" x14ac:dyDescent="0.3">
      <c r="A677" s="9" t="s">
        <v>64</v>
      </c>
      <c r="B677" s="10">
        <v>140</v>
      </c>
      <c r="C677" s="10" t="s">
        <v>18</v>
      </c>
      <c r="D677" s="10">
        <v>10</v>
      </c>
      <c r="E677" s="10" t="s">
        <v>18</v>
      </c>
      <c r="F677" s="11">
        <v>1.0109890100000001</v>
      </c>
      <c r="G677" s="11">
        <v>1.517182</v>
      </c>
      <c r="H677" s="10"/>
      <c r="I677" s="10"/>
      <c r="J677" s="10"/>
    </row>
    <row r="678" spans="1:10" ht="15.6" x14ac:dyDescent="0.3">
      <c r="A678" s="9" t="s">
        <v>64</v>
      </c>
      <c r="B678" s="10">
        <v>140</v>
      </c>
      <c r="C678" s="10" t="s">
        <v>20</v>
      </c>
      <c r="D678" s="10">
        <v>14.4</v>
      </c>
      <c r="E678" s="10" t="s">
        <v>20</v>
      </c>
      <c r="F678" s="11">
        <v>1.00854701</v>
      </c>
      <c r="G678" s="11">
        <v>1.512718</v>
      </c>
      <c r="H678" s="10"/>
      <c r="I678" s="10"/>
      <c r="J678" s="10"/>
    </row>
    <row r="679" spans="1:10" ht="15.6" x14ac:dyDescent="0.3">
      <c r="A679" s="9" t="s">
        <v>64</v>
      </c>
      <c r="B679" s="10">
        <v>140</v>
      </c>
      <c r="C679" s="10" t="s">
        <v>16</v>
      </c>
      <c r="D679" s="10">
        <v>12</v>
      </c>
      <c r="E679" s="10" t="s">
        <v>19</v>
      </c>
      <c r="F679" s="11">
        <v>1.0081300799999999</v>
      </c>
      <c r="G679" s="11">
        <v>1.5012719999999999</v>
      </c>
      <c r="H679" s="10"/>
      <c r="I679" s="10"/>
      <c r="J679" s="10"/>
    </row>
    <row r="680" spans="1:10" ht="15.6" x14ac:dyDescent="0.3">
      <c r="A680" s="9" t="s">
        <v>64</v>
      </c>
      <c r="B680" s="10">
        <v>140</v>
      </c>
      <c r="C680" s="10" t="s">
        <v>21</v>
      </c>
      <c r="D680" s="10">
        <v>19.2</v>
      </c>
      <c r="E680" s="10" t="s">
        <v>22</v>
      </c>
      <c r="F680" s="11">
        <v>1.0132743399999999</v>
      </c>
      <c r="G680" s="11">
        <v>1.505525</v>
      </c>
      <c r="H680" s="10"/>
      <c r="I680" s="10"/>
      <c r="J680" s="10"/>
    </row>
    <row r="681" spans="1:10" ht="15.6" x14ac:dyDescent="0.3">
      <c r="A681" s="9" t="s">
        <v>64</v>
      </c>
      <c r="B681" s="10">
        <v>140</v>
      </c>
      <c r="C681" s="10" t="s">
        <v>20</v>
      </c>
      <c r="D681" s="10">
        <v>14.4</v>
      </c>
      <c r="E681" s="10" t="s">
        <v>20</v>
      </c>
      <c r="F681" s="11">
        <v>1.0245097999999999</v>
      </c>
      <c r="G681" s="11">
        <v>1.5168710000000001</v>
      </c>
      <c r="H681" s="10"/>
      <c r="I681" s="10"/>
      <c r="J681" s="10"/>
    </row>
    <row r="682" spans="1:10" ht="15.6" x14ac:dyDescent="0.3">
      <c r="A682" s="9" t="s">
        <v>64</v>
      </c>
      <c r="B682" s="10">
        <v>140</v>
      </c>
      <c r="C682" s="10" t="s">
        <v>22</v>
      </c>
      <c r="D682" s="10">
        <v>38.4</v>
      </c>
      <c r="E682" s="10" t="s">
        <v>40</v>
      </c>
      <c r="F682" s="11">
        <v>1.01</v>
      </c>
      <c r="G682" s="11">
        <v>1.504688</v>
      </c>
      <c r="H682" s="10"/>
      <c r="I682" s="10"/>
      <c r="J682" s="10"/>
    </row>
    <row r="683" spans="1:10" ht="15.6" x14ac:dyDescent="0.3">
      <c r="A683" s="9" t="s">
        <v>64</v>
      </c>
      <c r="B683" s="10" t="s">
        <v>44</v>
      </c>
      <c r="C683" s="10" t="s">
        <v>13</v>
      </c>
      <c r="D683" s="10">
        <v>2</v>
      </c>
      <c r="E683" s="10" t="s">
        <v>13</v>
      </c>
      <c r="F683" s="11">
        <v>1</v>
      </c>
      <c r="G683" s="11">
        <v>1.425926</v>
      </c>
      <c r="H683" s="10"/>
      <c r="I683" s="10"/>
      <c r="J683" s="10"/>
    </row>
    <row r="684" spans="1:10" ht="15.6" x14ac:dyDescent="0.3">
      <c r="A684" s="9" t="s">
        <v>64</v>
      </c>
      <c r="B684" s="10" t="s">
        <v>44</v>
      </c>
      <c r="C684" s="10" t="s">
        <v>26</v>
      </c>
      <c r="D684" s="10">
        <v>3.6</v>
      </c>
      <c r="E684" s="10" t="s">
        <v>26</v>
      </c>
      <c r="F684" s="11">
        <v>0.996</v>
      </c>
      <c r="G684" s="11">
        <v>1.436782</v>
      </c>
      <c r="H684" s="10"/>
      <c r="I684" s="10"/>
      <c r="J684" s="10"/>
    </row>
    <row r="685" spans="1:10" ht="15.6" x14ac:dyDescent="0.3">
      <c r="A685" s="9" t="s">
        <v>64</v>
      </c>
      <c r="B685" s="10" t="s">
        <v>44</v>
      </c>
      <c r="C685" s="10" t="s">
        <v>34</v>
      </c>
      <c r="D685" s="10">
        <v>4.8</v>
      </c>
      <c r="E685" s="10" t="s">
        <v>31</v>
      </c>
      <c r="F685" s="11">
        <v>0.99245282999999995</v>
      </c>
      <c r="G685" s="11">
        <v>1.4347829999999999</v>
      </c>
      <c r="H685" s="10"/>
      <c r="I685" s="10"/>
      <c r="J685" s="10"/>
    </row>
    <row r="686" spans="1:10" ht="15.6" x14ac:dyDescent="0.3">
      <c r="A686" s="9" t="s">
        <v>64</v>
      </c>
      <c r="B686" s="10" t="s">
        <v>44</v>
      </c>
      <c r="C686" s="10" t="s">
        <v>14</v>
      </c>
      <c r="D686" s="10">
        <v>5</v>
      </c>
      <c r="E686" s="10" t="s">
        <v>14</v>
      </c>
      <c r="F686" s="11">
        <v>1</v>
      </c>
      <c r="G686" s="11">
        <v>1.4375</v>
      </c>
      <c r="H686" s="10"/>
      <c r="I686" s="10"/>
      <c r="J686" s="10"/>
    </row>
    <row r="687" spans="1:10" ht="15.6" x14ac:dyDescent="0.3">
      <c r="A687" s="9" t="s">
        <v>64</v>
      </c>
      <c r="B687" s="10" t="s">
        <v>44</v>
      </c>
      <c r="C687" s="10" t="s">
        <v>15</v>
      </c>
      <c r="D687" s="10">
        <v>6</v>
      </c>
      <c r="E687" s="10" t="s">
        <v>16</v>
      </c>
      <c r="F687" s="11">
        <v>0.98913043</v>
      </c>
      <c r="G687" s="11">
        <v>1.421875</v>
      </c>
      <c r="H687" s="10"/>
      <c r="I687" s="10"/>
      <c r="J687" s="10"/>
    </row>
    <row r="688" spans="1:10" ht="15.6" x14ac:dyDescent="0.3">
      <c r="A688" s="9" t="s">
        <v>64</v>
      </c>
      <c r="B688" s="10" t="s">
        <v>44</v>
      </c>
      <c r="C688" s="10" t="s">
        <v>18</v>
      </c>
      <c r="D688" s="10">
        <v>10</v>
      </c>
      <c r="E688" s="10" t="s">
        <v>18</v>
      </c>
      <c r="F688" s="11">
        <v>1</v>
      </c>
      <c r="G688" s="11">
        <v>1.4375</v>
      </c>
      <c r="H688" s="10"/>
      <c r="I688" s="10"/>
      <c r="J688" s="10"/>
    </row>
    <row r="689" spans="1:10" ht="15.6" x14ac:dyDescent="0.3">
      <c r="A689" s="9" t="s">
        <v>64</v>
      </c>
      <c r="B689" s="10" t="s">
        <v>44</v>
      </c>
      <c r="C689" s="10" t="s">
        <v>20</v>
      </c>
      <c r="D689" s="10">
        <v>14.4</v>
      </c>
      <c r="E689" s="10" t="s">
        <v>20</v>
      </c>
      <c r="F689" s="11">
        <v>1</v>
      </c>
      <c r="G689" s="11">
        <v>1.435484</v>
      </c>
      <c r="H689" s="10"/>
      <c r="I689" s="10"/>
      <c r="J689" s="10"/>
    </row>
    <row r="690" spans="1:10" ht="15.6" x14ac:dyDescent="0.3">
      <c r="A690" s="9" t="s">
        <v>64</v>
      </c>
      <c r="B690" s="10" t="s">
        <v>44</v>
      </c>
      <c r="C690" s="10" t="s">
        <v>16</v>
      </c>
      <c r="D690" s="10">
        <v>12</v>
      </c>
      <c r="E690" s="10" t="s">
        <v>19</v>
      </c>
      <c r="F690" s="11">
        <v>0.99465241000000004</v>
      </c>
      <c r="G690" s="11">
        <v>1.430769</v>
      </c>
      <c r="H690" s="10"/>
      <c r="I690" s="10"/>
      <c r="J690" s="10"/>
    </row>
    <row r="691" spans="1:10" ht="15.6" x14ac:dyDescent="0.3">
      <c r="A691" s="9" t="s">
        <v>64</v>
      </c>
      <c r="B691" s="10" t="s">
        <v>44</v>
      </c>
      <c r="C691" s="10" t="s">
        <v>21</v>
      </c>
      <c r="D691" s="10">
        <v>19.2</v>
      </c>
      <c r="E691" s="10" t="s">
        <v>22</v>
      </c>
      <c r="F691" s="11">
        <v>0.99418605000000004</v>
      </c>
      <c r="G691" s="11">
        <v>1.433333</v>
      </c>
      <c r="H691" s="10"/>
      <c r="I691" s="10"/>
      <c r="J691" s="10"/>
    </row>
    <row r="692" spans="1:10" ht="15.6" x14ac:dyDescent="0.3">
      <c r="A692" s="9" t="s">
        <v>64</v>
      </c>
      <c r="B692" s="10" t="s">
        <v>44</v>
      </c>
      <c r="C692" s="10" t="s">
        <v>20</v>
      </c>
      <c r="D692" s="10">
        <v>14.4</v>
      </c>
      <c r="E692" s="10" t="s">
        <v>20</v>
      </c>
      <c r="F692" s="11">
        <v>0.99354838999999995</v>
      </c>
      <c r="G692" s="11">
        <v>1.4444440000000001</v>
      </c>
      <c r="H692" s="10"/>
      <c r="I692" s="10"/>
      <c r="J692" s="10"/>
    </row>
    <row r="693" spans="1:10" ht="15.6" x14ac:dyDescent="0.3">
      <c r="A693" s="9" t="s">
        <v>64</v>
      </c>
      <c r="B693" s="10" t="s">
        <v>44</v>
      </c>
      <c r="C693" s="10" t="s">
        <v>22</v>
      </c>
      <c r="D693" s="10">
        <v>38.4</v>
      </c>
      <c r="E693" s="10" t="s">
        <v>40</v>
      </c>
      <c r="F693" s="11">
        <v>0.99342105000000003</v>
      </c>
      <c r="G693" s="11">
        <v>1.433962</v>
      </c>
      <c r="H693" s="10"/>
      <c r="I693" s="10"/>
      <c r="J693" s="10"/>
    </row>
    <row r="694" spans="1:10" ht="15.6" x14ac:dyDescent="0.3">
      <c r="A694" s="9" t="s">
        <v>64</v>
      </c>
      <c r="B694" s="10" t="s">
        <v>50</v>
      </c>
      <c r="C694" s="10" t="s">
        <v>13</v>
      </c>
      <c r="D694" s="10">
        <v>2</v>
      </c>
      <c r="E694" s="10" t="s">
        <v>13</v>
      </c>
      <c r="F694" s="11">
        <v>1.00924499</v>
      </c>
      <c r="G694" s="11">
        <v>1.4163269999999999</v>
      </c>
      <c r="H694" s="10"/>
      <c r="I694" s="10"/>
      <c r="J694" s="10"/>
    </row>
    <row r="695" spans="1:10" ht="15.6" x14ac:dyDescent="0.3">
      <c r="A695" s="9" t="s">
        <v>64</v>
      </c>
      <c r="B695" s="10" t="s">
        <v>50</v>
      </c>
      <c r="C695" s="10" t="s">
        <v>26</v>
      </c>
      <c r="D695" s="10">
        <v>3.6</v>
      </c>
      <c r="E695" s="10" t="s">
        <v>26</v>
      </c>
      <c r="F695" s="11">
        <v>1.0095238099999999</v>
      </c>
      <c r="G695" s="11">
        <v>1.4156169999999999</v>
      </c>
      <c r="H695" s="10"/>
      <c r="I695" s="10"/>
      <c r="J695" s="10"/>
    </row>
    <row r="696" spans="1:10" ht="15.6" x14ac:dyDescent="0.3">
      <c r="A696" s="9" t="s">
        <v>64</v>
      </c>
      <c r="B696" s="10" t="s">
        <v>50</v>
      </c>
      <c r="C696" s="10" t="s">
        <v>34</v>
      </c>
      <c r="D696" s="10">
        <v>4.8</v>
      </c>
      <c r="E696" s="10" t="s">
        <v>31</v>
      </c>
      <c r="F696" s="11">
        <v>1</v>
      </c>
      <c r="G696" s="11">
        <v>1.4109259999999999</v>
      </c>
      <c r="H696" s="10"/>
      <c r="I696" s="10"/>
      <c r="J696" s="10"/>
    </row>
    <row r="697" spans="1:10" ht="15.6" x14ac:dyDescent="0.3">
      <c r="A697" s="9" t="s">
        <v>64</v>
      </c>
      <c r="B697" s="10" t="s">
        <v>50</v>
      </c>
      <c r="C697" s="10" t="s">
        <v>14</v>
      </c>
      <c r="D697" s="10">
        <v>5</v>
      </c>
      <c r="E697" s="10" t="s">
        <v>14</v>
      </c>
      <c r="F697" s="11">
        <v>1.00859107</v>
      </c>
      <c r="G697" s="11">
        <v>1.4181820000000001</v>
      </c>
      <c r="H697" s="10"/>
      <c r="I697" s="10"/>
      <c r="J697" s="10"/>
    </row>
    <row r="698" spans="1:10" ht="15.6" x14ac:dyDescent="0.3">
      <c r="A698" s="9" t="s">
        <v>64</v>
      </c>
      <c r="B698" s="10" t="s">
        <v>50</v>
      </c>
      <c r="C698" s="10" t="s">
        <v>15</v>
      </c>
      <c r="D698" s="10">
        <v>6</v>
      </c>
      <c r="E698" s="10" t="s">
        <v>16</v>
      </c>
      <c r="F698" s="11">
        <v>1.00645995</v>
      </c>
      <c r="G698" s="11">
        <v>1.4109590000000001</v>
      </c>
      <c r="H698" s="10"/>
      <c r="I698" s="10"/>
      <c r="J698" s="10"/>
    </row>
    <row r="699" spans="1:10" ht="15.6" x14ac:dyDescent="0.3">
      <c r="A699" s="9" t="s">
        <v>64</v>
      </c>
      <c r="B699" s="10" t="s">
        <v>50</v>
      </c>
      <c r="C699" s="10" t="s">
        <v>18</v>
      </c>
      <c r="D699" s="10">
        <v>10</v>
      </c>
      <c r="E699" s="10" t="s">
        <v>18</v>
      </c>
      <c r="F699" s="11">
        <v>1.00859107</v>
      </c>
      <c r="G699" s="11">
        <v>1.4181820000000001</v>
      </c>
      <c r="H699" s="10"/>
      <c r="I699" s="10"/>
      <c r="J699" s="10"/>
    </row>
    <row r="700" spans="1:10" ht="15.6" x14ac:dyDescent="0.3">
      <c r="A700" s="9" t="s">
        <v>64</v>
      </c>
      <c r="B700" s="10" t="s">
        <v>50</v>
      </c>
      <c r="C700" s="10" t="s">
        <v>20</v>
      </c>
      <c r="D700" s="10">
        <v>14.4</v>
      </c>
      <c r="E700" s="10" t="s">
        <v>20</v>
      </c>
      <c r="F700" s="11">
        <v>1.00937082</v>
      </c>
      <c r="G700" s="11">
        <v>1.4184399999999999</v>
      </c>
      <c r="H700" s="10"/>
      <c r="I700" s="10"/>
      <c r="J700" s="10"/>
    </row>
    <row r="701" spans="1:10" ht="15.6" x14ac:dyDescent="0.3">
      <c r="A701" s="9" t="s">
        <v>64</v>
      </c>
      <c r="B701" s="10" t="s">
        <v>50</v>
      </c>
      <c r="C701" s="10" t="s">
        <v>16</v>
      </c>
      <c r="D701" s="10">
        <v>12</v>
      </c>
      <c r="E701" s="10" t="s">
        <v>19</v>
      </c>
      <c r="F701" s="11">
        <v>1.0076142100000001</v>
      </c>
      <c r="G701" s="11">
        <v>1.4141410000000001</v>
      </c>
      <c r="H701" s="10"/>
      <c r="I701" s="10"/>
      <c r="J701" s="10"/>
    </row>
    <row r="702" spans="1:10" ht="15.6" x14ac:dyDescent="0.3">
      <c r="A702" s="9" t="s">
        <v>64</v>
      </c>
      <c r="B702" s="10" t="s">
        <v>50</v>
      </c>
      <c r="C702" s="10" t="s">
        <v>21</v>
      </c>
      <c r="D702" s="10">
        <v>19.2</v>
      </c>
      <c r="E702" s="10" t="s">
        <v>22</v>
      </c>
      <c r="F702" s="11">
        <v>1.00689655</v>
      </c>
      <c r="G702" s="11">
        <v>1.4175819999999999</v>
      </c>
      <c r="H702" s="10"/>
      <c r="I702" s="10"/>
      <c r="J702" s="10"/>
    </row>
    <row r="703" spans="1:10" ht="15.6" x14ac:dyDescent="0.3">
      <c r="A703" s="9" t="s">
        <v>64</v>
      </c>
      <c r="B703" s="10" t="s">
        <v>50</v>
      </c>
      <c r="C703" s="10" t="s">
        <v>20</v>
      </c>
      <c r="D703" s="10">
        <v>14.4</v>
      </c>
      <c r="E703" s="10" t="s">
        <v>20</v>
      </c>
      <c r="F703" s="11">
        <v>1.0092024500000001</v>
      </c>
      <c r="G703" s="11">
        <v>1.4186989999999999</v>
      </c>
      <c r="H703" s="10"/>
      <c r="I703" s="10"/>
      <c r="J703" s="10"/>
    </row>
    <row r="704" spans="1:10" ht="15.6" x14ac:dyDescent="0.3">
      <c r="A704" s="9" t="s">
        <v>64</v>
      </c>
      <c r="B704" s="10" t="s">
        <v>50</v>
      </c>
      <c r="C704" s="10" t="s">
        <v>22</v>
      </c>
      <c r="D704" s="10">
        <v>38.4</v>
      </c>
      <c r="E704" s="10" t="s">
        <v>40</v>
      </c>
      <c r="F704" s="11">
        <v>1.0062305300000001</v>
      </c>
      <c r="G704" s="11">
        <v>1.4132229999999999</v>
      </c>
      <c r="H704" s="10"/>
      <c r="I704" s="10"/>
      <c r="J704" s="10"/>
    </row>
    <row r="705" spans="1:10" ht="15.6" x14ac:dyDescent="0.3">
      <c r="A705" s="9" t="s">
        <v>65</v>
      </c>
      <c r="B705" s="10">
        <v>80</v>
      </c>
      <c r="C705" s="10" t="s">
        <v>14</v>
      </c>
      <c r="D705" s="10">
        <v>5</v>
      </c>
      <c r="E705" s="10" t="s">
        <v>14</v>
      </c>
      <c r="F705" s="11">
        <v>1.11069418386492</v>
      </c>
      <c r="G705" s="11">
        <v>1.9411764705882399</v>
      </c>
      <c r="H705" s="11"/>
      <c r="I705" s="11"/>
      <c r="J705" s="11"/>
    </row>
    <row r="706" spans="1:10" ht="15.6" x14ac:dyDescent="0.3">
      <c r="A706" s="9" t="s">
        <v>66</v>
      </c>
      <c r="B706" s="10">
        <v>80</v>
      </c>
      <c r="C706" s="10" t="s">
        <v>18</v>
      </c>
      <c r="D706" s="10">
        <v>10</v>
      </c>
      <c r="E706" s="10" t="s">
        <v>18</v>
      </c>
      <c r="F706" s="11">
        <v>1.1063432835820901</v>
      </c>
      <c r="G706" s="11">
        <v>1.9411764705882399</v>
      </c>
      <c r="H706" s="10"/>
      <c r="I706" s="10"/>
      <c r="J706" s="10"/>
    </row>
    <row r="707" spans="1:10" ht="15.6" x14ac:dyDescent="0.3">
      <c r="A707" s="9" t="s">
        <v>67</v>
      </c>
      <c r="B707" s="10">
        <v>80</v>
      </c>
      <c r="C707" s="10" t="s">
        <v>68</v>
      </c>
      <c r="D707" s="10">
        <v>9</v>
      </c>
      <c r="E707" s="10" t="s">
        <v>68</v>
      </c>
      <c r="F707" s="11">
        <v>1.1057046979865801</v>
      </c>
      <c r="G707" s="11">
        <v>1.9470198675496699</v>
      </c>
      <c r="H707" s="10"/>
      <c r="I707" s="10"/>
      <c r="J707" s="10"/>
    </row>
    <row r="708" spans="1:10" ht="15.6" x14ac:dyDescent="0.3">
      <c r="A708" s="9" t="s">
        <v>69</v>
      </c>
      <c r="B708" s="10">
        <v>80</v>
      </c>
      <c r="C708" s="10" t="s">
        <v>70</v>
      </c>
      <c r="D708" s="10">
        <v>11.2</v>
      </c>
      <c r="E708" s="10" t="s">
        <v>70</v>
      </c>
      <c r="F708" s="11">
        <v>1.10971786833856</v>
      </c>
      <c r="G708" s="11">
        <v>1.94444444444444</v>
      </c>
      <c r="H708" s="10"/>
      <c r="I708" s="10"/>
      <c r="J708" s="10"/>
    </row>
    <row r="709" spans="1:10" ht="15.6" x14ac:dyDescent="0.3">
      <c r="A709" s="9" t="s">
        <v>71</v>
      </c>
      <c r="B709" s="10">
        <v>110</v>
      </c>
      <c r="C709" s="10" t="s">
        <v>14</v>
      </c>
      <c r="D709" s="10">
        <v>5</v>
      </c>
      <c r="E709" s="10" t="s">
        <v>14</v>
      </c>
      <c r="F709" s="11">
        <v>1.0727681920480101</v>
      </c>
      <c r="G709" s="11">
        <v>1.7135678391959801</v>
      </c>
      <c r="H709" s="11"/>
      <c r="I709" s="11"/>
      <c r="J709" s="11"/>
    </row>
    <row r="710" spans="1:10" ht="15.6" x14ac:dyDescent="0.3">
      <c r="A710" s="9" t="s">
        <v>72</v>
      </c>
      <c r="B710" s="10">
        <v>110</v>
      </c>
      <c r="C710" s="10" t="s">
        <v>18</v>
      </c>
      <c r="D710" s="10">
        <v>10</v>
      </c>
      <c r="E710" s="10" t="s">
        <v>18</v>
      </c>
      <c r="F710" s="11">
        <v>1.0694548170276299</v>
      </c>
      <c r="G710" s="11">
        <v>1.72040302267003</v>
      </c>
      <c r="H710" s="10"/>
      <c r="I710" s="10"/>
      <c r="J710" s="10"/>
    </row>
    <row r="711" spans="1:10" ht="15.6" x14ac:dyDescent="0.3">
      <c r="A711" s="9" t="s">
        <v>73</v>
      </c>
      <c r="B711" s="10">
        <v>110</v>
      </c>
      <c r="C711" s="10" t="s">
        <v>68</v>
      </c>
      <c r="D711" s="10">
        <v>9</v>
      </c>
      <c r="E711" s="10" t="s">
        <v>68</v>
      </c>
      <c r="F711" s="11">
        <v>1.0706119704102199</v>
      </c>
      <c r="G711" s="11">
        <v>1.72108843537415</v>
      </c>
      <c r="H711" s="10"/>
      <c r="I711" s="10"/>
      <c r="J711" s="10"/>
    </row>
    <row r="712" spans="1:10" ht="15.6" x14ac:dyDescent="0.3">
      <c r="A712" s="9" t="s">
        <v>74</v>
      </c>
      <c r="B712" s="10">
        <v>110</v>
      </c>
      <c r="C712" s="10" t="s">
        <v>70</v>
      </c>
      <c r="D712" s="10">
        <v>11.2</v>
      </c>
      <c r="E712" s="10" t="s">
        <v>70</v>
      </c>
      <c r="F712" s="11">
        <v>1.0700876095118901</v>
      </c>
      <c r="G712" s="11">
        <v>1.71157894736842</v>
      </c>
      <c r="H712" s="10"/>
      <c r="I712" s="10"/>
      <c r="J712" s="10"/>
    </row>
    <row r="713" spans="1:10" ht="15.6" x14ac:dyDescent="0.3">
      <c r="A713" s="9" t="s">
        <v>75</v>
      </c>
      <c r="B713" s="10" t="s">
        <v>76</v>
      </c>
      <c r="C713" s="10" t="s">
        <v>77</v>
      </c>
      <c r="D713" s="10">
        <v>11.2</v>
      </c>
      <c r="E713" s="10" t="s">
        <v>77</v>
      </c>
      <c r="F713" s="11">
        <v>1.0301003344481601</v>
      </c>
      <c r="G713" s="11">
        <v>1.5137614678899101</v>
      </c>
      <c r="H713" s="10"/>
      <c r="I713" s="10"/>
      <c r="J713" s="10"/>
    </row>
    <row r="714" spans="1:10" ht="15.6" x14ac:dyDescent="0.3">
      <c r="A714" s="9" t="s">
        <v>78</v>
      </c>
      <c r="B714" s="10">
        <v>130</v>
      </c>
      <c r="C714" s="10" t="s">
        <v>14</v>
      </c>
      <c r="D714" s="10">
        <v>5</v>
      </c>
      <c r="E714" s="10" t="s">
        <v>14</v>
      </c>
      <c r="F714" s="11">
        <v>1.0616674888998501</v>
      </c>
      <c r="G714" s="11">
        <v>1.6515625</v>
      </c>
      <c r="H714" s="11"/>
      <c r="I714" s="11"/>
      <c r="J714" s="11"/>
    </row>
    <row r="715" spans="1:10" ht="15.6" x14ac:dyDescent="0.3">
      <c r="A715" s="9" t="s">
        <v>79</v>
      </c>
      <c r="B715" s="10">
        <v>130</v>
      </c>
      <c r="C715" s="10" t="s">
        <v>18</v>
      </c>
      <c r="D715" s="10">
        <v>10</v>
      </c>
      <c r="E715" s="10" t="s">
        <v>18</v>
      </c>
      <c r="F715" s="11">
        <v>1.0616674888998501</v>
      </c>
      <c r="G715" s="11">
        <v>1.6541471048513301</v>
      </c>
      <c r="H715" s="10"/>
      <c r="I715" s="10"/>
      <c r="J715" s="10"/>
    </row>
    <row r="716" spans="1:10" ht="15.6" x14ac:dyDescent="0.3">
      <c r="A716" s="9" t="s">
        <v>80</v>
      </c>
      <c r="B716" s="10">
        <v>130</v>
      </c>
      <c r="C716" s="10" t="s">
        <v>68</v>
      </c>
      <c r="D716" s="10">
        <v>9</v>
      </c>
      <c r="E716" s="10" t="s">
        <v>68</v>
      </c>
      <c r="F716" s="11">
        <v>1.06172291296625</v>
      </c>
      <c r="G716" s="11">
        <v>1.6535211267605601</v>
      </c>
      <c r="H716" s="10"/>
      <c r="I716" s="10"/>
      <c r="J716" s="10"/>
    </row>
    <row r="717" spans="1:10" ht="15.6" x14ac:dyDescent="0.3">
      <c r="A717" s="9" t="s">
        <v>80</v>
      </c>
      <c r="B717" s="10">
        <v>130</v>
      </c>
      <c r="C717" s="10" t="s">
        <v>70</v>
      </c>
      <c r="D717" s="10">
        <v>11.2</v>
      </c>
      <c r="E717" s="10" t="s">
        <v>70</v>
      </c>
      <c r="F717" s="11">
        <v>1.06023102310231</v>
      </c>
      <c r="G717" s="11">
        <v>1.6474442988204501</v>
      </c>
      <c r="H717" s="10"/>
      <c r="I717" s="10"/>
      <c r="J717" s="10"/>
    </row>
    <row r="718" spans="1:10" ht="15.6" x14ac:dyDescent="0.3">
      <c r="A718" s="9" t="s">
        <v>80</v>
      </c>
      <c r="B718" s="10" t="s">
        <v>81</v>
      </c>
      <c r="C718" s="10" t="s">
        <v>77</v>
      </c>
      <c r="D718" s="10">
        <v>11.2</v>
      </c>
      <c r="E718" s="10" t="s">
        <v>77</v>
      </c>
      <c r="F718" s="11">
        <v>1.03242320819113</v>
      </c>
      <c r="G718" s="11">
        <v>1.48878923766816</v>
      </c>
      <c r="H718" s="10"/>
      <c r="I718" s="10"/>
      <c r="J718" s="10"/>
    </row>
    <row r="719" spans="1:10" ht="15.6" x14ac:dyDescent="0.3">
      <c r="A719" s="9" t="s">
        <v>82</v>
      </c>
      <c r="B719" s="10">
        <v>70</v>
      </c>
      <c r="C719" s="10" t="s">
        <v>18</v>
      </c>
      <c r="D719" s="10">
        <v>10</v>
      </c>
      <c r="E719" s="10" t="s">
        <v>18</v>
      </c>
      <c r="F719" s="11">
        <v>1.07594936708861</v>
      </c>
      <c r="G719" s="11">
        <v>1.00709219858156</v>
      </c>
      <c r="H719" s="10"/>
      <c r="I719" s="10"/>
      <c r="J719" s="10"/>
    </row>
    <row r="720" spans="1:10" ht="15.6" x14ac:dyDescent="0.3">
      <c r="A720" s="9" t="s">
        <v>82</v>
      </c>
      <c r="B720" s="10">
        <v>80</v>
      </c>
      <c r="C720" s="10" t="s">
        <v>18</v>
      </c>
      <c r="D720" s="10">
        <v>10</v>
      </c>
      <c r="E720" s="10" t="s">
        <v>18</v>
      </c>
      <c r="F720" s="11">
        <v>1.0554414784394299</v>
      </c>
      <c r="G720" s="11">
        <v>0.99771689497716898</v>
      </c>
      <c r="H720" s="10"/>
      <c r="I720" s="10"/>
      <c r="J720" s="10"/>
    </row>
    <row r="721" spans="1:10" ht="15.6" x14ac:dyDescent="0.3">
      <c r="A721" s="9" t="s">
        <v>82</v>
      </c>
      <c r="B721" s="10">
        <v>90</v>
      </c>
      <c r="C721" s="10" t="s">
        <v>18</v>
      </c>
      <c r="D721" s="10">
        <v>10</v>
      </c>
      <c r="E721" s="10" t="s">
        <v>18</v>
      </c>
      <c r="F721" s="11">
        <v>1.0450581395348799</v>
      </c>
      <c r="G721" s="11">
        <v>0.98881789137380205</v>
      </c>
      <c r="H721" s="10"/>
      <c r="I721" s="10"/>
      <c r="J721" s="10"/>
    </row>
    <row r="722" spans="1:10" ht="15.6" x14ac:dyDescent="0.3">
      <c r="A722" s="9" t="s">
        <v>82</v>
      </c>
      <c r="B722" s="10">
        <v>100</v>
      </c>
      <c r="C722" s="10" t="s">
        <v>18</v>
      </c>
      <c r="D722" s="10">
        <v>10</v>
      </c>
      <c r="E722" s="10" t="s">
        <v>18</v>
      </c>
      <c r="F722" s="11">
        <v>1.03715846994536</v>
      </c>
      <c r="G722" s="11">
        <v>0.98564593301435399</v>
      </c>
      <c r="H722" s="10"/>
      <c r="I722" s="10"/>
      <c r="J722" s="10"/>
    </row>
    <row r="723" spans="1:10" ht="15.6" x14ac:dyDescent="0.3">
      <c r="A723" s="9" t="s">
        <v>82</v>
      </c>
      <c r="B723" s="10">
        <v>110</v>
      </c>
      <c r="C723" s="10" t="s">
        <v>18</v>
      </c>
      <c r="D723" s="10">
        <v>10</v>
      </c>
      <c r="E723" s="10" t="s">
        <v>18</v>
      </c>
      <c r="F723" s="11">
        <v>1.0326741186586399</v>
      </c>
      <c r="G723" s="11">
        <v>0.98222637979420002</v>
      </c>
      <c r="H723" s="10"/>
      <c r="I723" s="10"/>
      <c r="J723" s="10"/>
    </row>
    <row r="724" spans="1:10" ht="15.6" x14ac:dyDescent="0.3">
      <c r="A724" s="9" t="s">
        <v>82</v>
      </c>
      <c r="B724" s="10">
        <v>120</v>
      </c>
      <c r="C724" s="10" t="s">
        <v>18</v>
      </c>
      <c r="D724" s="10">
        <v>10</v>
      </c>
      <c r="E724" s="10" t="s">
        <v>18</v>
      </c>
      <c r="F724" s="11">
        <v>1.02651779483601</v>
      </c>
      <c r="G724" s="11">
        <v>0.98106060606060597</v>
      </c>
      <c r="H724" s="10"/>
      <c r="I724" s="10"/>
      <c r="J724" s="10"/>
    </row>
    <row r="725" spans="1:10" ht="15.6" x14ac:dyDescent="0.3">
      <c r="A725" s="9" t="s">
        <v>82</v>
      </c>
      <c r="B725" s="10">
        <v>130</v>
      </c>
      <c r="C725" s="10" t="s">
        <v>18</v>
      </c>
      <c r="D725" s="10">
        <v>10</v>
      </c>
      <c r="E725" s="10" t="s">
        <v>18</v>
      </c>
      <c r="F725" s="11">
        <v>1.02623906705539</v>
      </c>
      <c r="G725" s="11">
        <v>0.98109640831758005</v>
      </c>
      <c r="H725" s="10"/>
      <c r="I725" s="10"/>
      <c r="J725" s="10"/>
    </row>
    <row r="726" spans="1:10" ht="15.6" x14ac:dyDescent="0.3">
      <c r="A726" s="9" t="s">
        <v>82</v>
      </c>
      <c r="B726" s="10">
        <v>140</v>
      </c>
      <c r="C726" s="10" t="s">
        <v>18</v>
      </c>
      <c r="D726" s="10">
        <v>10</v>
      </c>
      <c r="E726" s="10" t="s">
        <v>18</v>
      </c>
      <c r="F726" s="11">
        <v>1.0248138957816399</v>
      </c>
      <c r="G726" s="11">
        <v>0.98129342597541402</v>
      </c>
      <c r="H726" s="10"/>
      <c r="I726" s="10"/>
      <c r="J726" s="10"/>
    </row>
    <row r="727" spans="1:10" ht="15.6" x14ac:dyDescent="0.3">
      <c r="A727" s="9" t="s">
        <v>82</v>
      </c>
      <c r="B727" s="10">
        <v>150</v>
      </c>
      <c r="C727" s="10" t="s">
        <v>18</v>
      </c>
      <c r="D727" s="10">
        <v>10</v>
      </c>
      <c r="E727" s="10" t="s">
        <v>18</v>
      </c>
      <c r="F727" s="11">
        <v>1.02268835616438</v>
      </c>
      <c r="G727" s="11">
        <v>0.98157531091662797</v>
      </c>
      <c r="H727" s="10"/>
      <c r="I727" s="10"/>
      <c r="J727" s="10"/>
    </row>
    <row r="728" spans="1:10" ht="15.6" x14ac:dyDescent="0.3">
      <c r="A728" s="9" t="s">
        <v>82</v>
      </c>
      <c r="B728" s="10">
        <v>70</v>
      </c>
      <c r="C728" s="10" t="s">
        <v>22</v>
      </c>
      <c r="D728" s="10"/>
      <c r="E728" s="10" t="s">
        <v>21</v>
      </c>
      <c r="F728" s="11">
        <v>1.0738255033557</v>
      </c>
      <c r="G728" s="11"/>
      <c r="H728" s="10"/>
      <c r="I728" s="10"/>
      <c r="J728" s="10"/>
    </row>
    <row r="729" spans="1:10" ht="15.6" x14ac:dyDescent="0.3">
      <c r="A729" s="9" t="s">
        <v>82</v>
      </c>
      <c r="B729" s="10">
        <v>80</v>
      </c>
      <c r="C729" s="10" t="s">
        <v>22</v>
      </c>
      <c r="D729" s="10"/>
      <c r="E729" s="10" t="s">
        <v>21</v>
      </c>
      <c r="F729" s="11">
        <v>1.0537790697674401</v>
      </c>
      <c r="G729" s="11"/>
      <c r="H729" s="10"/>
      <c r="I729" s="10"/>
      <c r="J729" s="10"/>
    </row>
    <row r="730" spans="1:10" ht="15.6" x14ac:dyDescent="0.3">
      <c r="A730" s="9" t="s">
        <v>82</v>
      </c>
      <c r="B730" s="10">
        <v>90</v>
      </c>
      <c r="C730" s="10" t="s">
        <v>22</v>
      </c>
      <c r="D730" s="10"/>
      <c r="E730" s="10" t="s">
        <v>21</v>
      </c>
      <c r="F730" s="11">
        <v>1.0431654676258999</v>
      </c>
      <c r="G730" s="11"/>
      <c r="H730" s="10"/>
      <c r="I730" s="10"/>
      <c r="J730" s="10"/>
    </row>
    <row r="731" spans="1:10" ht="15.6" x14ac:dyDescent="0.3">
      <c r="A731" s="9" t="s">
        <v>82</v>
      </c>
      <c r="B731" s="10">
        <v>100</v>
      </c>
      <c r="C731" s="10" t="s">
        <v>22</v>
      </c>
      <c r="D731" s="10"/>
      <c r="E731" s="10" t="s">
        <v>21</v>
      </c>
      <c r="F731" s="11">
        <v>1.03397683397683</v>
      </c>
      <c r="G731" s="11"/>
      <c r="H731" s="10"/>
      <c r="I731" s="10"/>
      <c r="J731" s="10"/>
    </row>
    <row r="732" spans="1:10" ht="15.6" x14ac:dyDescent="0.3">
      <c r="A732" s="9" t="s">
        <v>82</v>
      </c>
      <c r="B732" s="10">
        <v>110</v>
      </c>
      <c r="C732" s="10" t="s">
        <v>22</v>
      </c>
      <c r="D732" s="10"/>
      <c r="E732" s="10" t="s">
        <v>21</v>
      </c>
      <c r="F732" s="11">
        <v>1.02978723404255</v>
      </c>
      <c r="G732" s="11"/>
      <c r="H732" s="10"/>
      <c r="I732" s="10"/>
      <c r="J732" s="10"/>
    </row>
    <row r="733" spans="1:10" ht="15.6" x14ac:dyDescent="0.3">
      <c r="A733" s="9" t="s">
        <v>82</v>
      </c>
      <c r="B733" s="10">
        <v>120</v>
      </c>
      <c r="C733" s="10" t="s">
        <v>22</v>
      </c>
      <c r="D733" s="10"/>
      <c r="E733" s="10" t="s">
        <v>21</v>
      </c>
      <c r="F733" s="11">
        <v>1.02418558736426</v>
      </c>
      <c r="G733" s="11"/>
      <c r="H733" s="10"/>
      <c r="I733" s="10"/>
      <c r="J733" s="10"/>
    </row>
    <row r="734" spans="1:10" ht="15.6" x14ac:dyDescent="0.3">
      <c r="A734" s="9" t="s">
        <v>82</v>
      </c>
      <c r="B734" s="10">
        <v>130</v>
      </c>
      <c r="C734" s="10" t="s">
        <v>22</v>
      </c>
      <c r="D734" s="10"/>
      <c r="E734" s="10" t="s">
        <v>21</v>
      </c>
      <c r="F734" s="11">
        <v>1.0230737536052701</v>
      </c>
      <c r="G734" s="11"/>
      <c r="H734" s="10"/>
      <c r="I734" s="10"/>
      <c r="J734" s="10"/>
    </row>
    <row r="735" spans="1:10" ht="15.6" x14ac:dyDescent="0.3">
      <c r="A735" s="9" t="s">
        <v>82</v>
      </c>
      <c r="B735" s="10">
        <v>140</v>
      </c>
      <c r="C735" s="10" t="s">
        <v>22</v>
      </c>
      <c r="D735" s="10"/>
      <c r="E735" s="10" t="s">
        <v>21</v>
      </c>
      <c r="F735" s="11">
        <v>1.0220975096457401</v>
      </c>
      <c r="G735" s="11"/>
      <c r="H735" s="10"/>
      <c r="I735" s="10"/>
      <c r="J735" s="10"/>
    </row>
    <row r="736" spans="1:10" ht="15.6" x14ac:dyDescent="0.3">
      <c r="A736" s="9" t="s">
        <v>82</v>
      </c>
      <c r="B736" s="10">
        <v>150</v>
      </c>
      <c r="C736" s="10" t="s">
        <v>22</v>
      </c>
      <c r="D736" s="10"/>
      <c r="E736" s="10" t="s">
        <v>21</v>
      </c>
      <c r="F736" s="11">
        <v>1.01997578692494</v>
      </c>
      <c r="G736" s="11"/>
      <c r="H736" s="10"/>
      <c r="I736" s="10"/>
      <c r="J736" s="10"/>
    </row>
  </sheetData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57"/>
  <sheetViews>
    <sheetView tabSelected="1" topLeftCell="A493" zoomScaleNormal="100" workbookViewId="0">
      <selection activeCell="K342" sqref="K342:L497"/>
    </sheetView>
    <sheetView topLeftCell="A322" workbookViewId="1">
      <selection activeCell="F342" sqref="F342"/>
    </sheetView>
  </sheetViews>
  <sheetFormatPr defaultColWidth="10.5" defaultRowHeight="15.6" x14ac:dyDescent="0.3"/>
  <cols>
    <col min="1" max="1" width="17.796875" customWidth="1"/>
    <col min="3" max="3" width="15.3984375" customWidth="1"/>
    <col min="4" max="4" width="17.3984375" customWidth="1"/>
    <col min="5" max="5" width="12.19921875" customWidth="1"/>
    <col min="6" max="6" width="4.5" customWidth="1"/>
    <col min="7" max="7" width="13" customWidth="1"/>
    <col min="8" max="8" width="8.5" customWidth="1"/>
    <col min="9" max="9" width="6.3984375" customWidth="1"/>
    <col min="10" max="10" width="9.8984375" customWidth="1"/>
    <col min="11" max="11" width="13.796875" customWidth="1"/>
    <col min="12" max="12" width="6.8984375" customWidth="1"/>
  </cols>
  <sheetData>
    <row r="1" spans="1:12" x14ac:dyDescent="0.3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</row>
    <row r="2" spans="1:12" x14ac:dyDescent="0.3">
      <c r="A2" t="s">
        <v>12</v>
      </c>
      <c r="B2">
        <v>8</v>
      </c>
      <c r="C2">
        <v>1</v>
      </c>
      <c r="D2">
        <v>16</v>
      </c>
      <c r="E2" t="s">
        <v>95</v>
      </c>
      <c r="F2">
        <v>70</v>
      </c>
      <c r="H2">
        <f>_xlfn.NUMBERVALUE( LEFT(Sheet9!C2,SEARCH("x",Sheet9!C2)-1),".")</f>
        <v>2</v>
      </c>
      <c r="I2" s="12">
        <f>_xlfn.NUMBERVALUE(RIGHT(Sheet9!C2,LEN(Sheet9!C2)-SEARCH("x",Sheet9!C2,1)),".")</f>
        <v>1</v>
      </c>
      <c r="J2" s="9">
        <f t="shared" ref="J2:J46" si="0">H2*I2</f>
        <v>2</v>
      </c>
      <c r="K2" s="13">
        <v>2.86</v>
      </c>
      <c r="L2" s="13">
        <v>3.06</v>
      </c>
    </row>
    <row r="3" spans="1:12" x14ac:dyDescent="0.3">
      <c r="A3" t="s">
        <v>12</v>
      </c>
      <c r="B3">
        <v>8</v>
      </c>
      <c r="C3">
        <v>1</v>
      </c>
      <c r="D3">
        <v>16</v>
      </c>
      <c r="E3" t="s">
        <v>95</v>
      </c>
      <c r="F3">
        <v>70</v>
      </c>
      <c r="H3">
        <f>_xlfn.NUMBERVALUE( LEFT(Sheet9!C3,SEARCH("x",Sheet9!C3)-1),".")</f>
        <v>1</v>
      </c>
      <c r="I3" s="12">
        <f>_xlfn.NUMBERVALUE(RIGHT(Sheet9!C3,LEN(Sheet9!C3)-SEARCH("x",Sheet9!C3,1)),".")</f>
        <v>5</v>
      </c>
      <c r="J3" s="9">
        <f t="shared" si="0"/>
        <v>5</v>
      </c>
      <c r="K3" s="13">
        <v>2.57</v>
      </c>
      <c r="L3" s="13">
        <v>2.74</v>
      </c>
    </row>
    <row r="4" spans="1:12" x14ac:dyDescent="0.3">
      <c r="A4" t="s">
        <v>12</v>
      </c>
      <c r="B4">
        <v>8</v>
      </c>
      <c r="C4">
        <v>1</v>
      </c>
      <c r="D4">
        <v>16</v>
      </c>
      <c r="E4" t="s">
        <v>95</v>
      </c>
      <c r="F4">
        <v>70</v>
      </c>
      <c r="H4">
        <f>_xlfn.NUMBERVALUE( LEFT(Sheet9!C4,SEARCH("x",Sheet9!C4)-1),".")</f>
        <v>10</v>
      </c>
      <c r="I4" s="12">
        <f>_xlfn.NUMBERVALUE(RIGHT(Sheet9!C4,LEN(Sheet9!C4)-SEARCH("x",Sheet9!C4,1)),".")</f>
        <v>0.6</v>
      </c>
      <c r="J4" s="9">
        <f t="shared" si="0"/>
        <v>6</v>
      </c>
      <c r="K4" s="13">
        <v>3.41</v>
      </c>
      <c r="L4" s="13">
        <v>3.63</v>
      </c>
    </row>
    <row r="5" spans="1:12" x14ac:dyDescent="0.3">
      <c r="A5" t="s">
        <v>12</v>
      </c>
      <c r="B5">
        <v>8</v>
      </c>
      <c r="C5">
        <v>1</v>
      </c>
      <c r="D5">
        <v>16</v>
      </c>
      <c r="E5" t="s">
        <v>95</v>
      </c>
      <c r="F5">
        <v>70</v>
      </c>
      <c r="H5">
        <f>_xlfn.NUMBERVALUE( LEFT(Sheet9!C5,SEARCH("x",Sheet9!C5)-1),".")</f>
        <v>6</v>
      </c>
      <c r="I5" s="12">
        <f>_xlfn.NUMBERVALUE(RIGHT(Sheet9!C5,LEN(Sheet9!C5)-SEARCH("x",Sheet9!C5,1)),".")</f>
        <v>1.2</v>
      </c>
      <c r="J5" s="9">
        <f t="shared" si="0"/>
        <v>7.1999999999999993</v>
      </c>
      <c r="K5" s="13">
        <v>3.69</v>
      </c>
      <c r="L5" s="13">
        <v>3.94</v>
      </c>
    </row>
    <row r="6" spans="1:12" x14ac:dyDescent="0.3">
      <c r="A6" t="s">
        <v>12</v>
      </c>
      <c r="B6">
        <v>8</v>
      </c>
      <c r="C6">
        <v>1</v>
      </c>
      <c r="D6">
        <v>16</v>
      </c>
      <c r="E6" t="s">
        <v>95</v>
      </c>
      <c r="F6">
        <v>70</v>
      </c>
      <c r="H6">
        <f>_xlfn.NUMBERVALUE( LEFT(Sheet9!C6,SEARCH("x",Sheet9!C6)-1),".")</f>
        <v>1</v>
      </c>
      <c r="I6" s="12">
        <f>_xlfn.NUMBERVALUE(RIGHT(Sheet9!C6,LEN(Sheet9!C6)-SEARCH("x",Sheet9!C6,1)),".")</f>
        <v>10</v>
      </c>
      <c r="J6" s="9">
        <f t="shared" si="0"/>
        <v>10</v>
      </c>
      <c r="K6" s="13">
        <v>2.57</v>
      </c>
      <c r="L6" s="13">
        <v>2.74</v>
      </c>
    </row>
    <row r="7" spans="1:12" x14ac:dyDescent="0.3">
      <c r="A7" t="s">
        <v>12</v>
      </c>
      <c r="B7">
        <v>8</v>
      </c>
      <c r="C7">
        <v>1</v>
      </c>
      <c r="D7">
        <v>16</v>
      </c>
      <c r="E7" t="s">
        <v>95</v>
      </c>
      <c r="F7">
        <v>70</v>
      </c>
      <c r="H7">
        <f>_xlfn.NUMBERVALUE( LEFT(Sheet9!C7,SEARCH("x",Sheet9!C7)-1),".")</f>
        <v>20</v>
      </c>
      <c r="I7" s="12">
        <f>_xlfn.NUMBERVALUE(RIGHT(Sheet9!C7,LEN(Sheet9!C7)-SEARCH("x",Sheet9!C7,1)),".")</f>
        <v>0.6</v>
      </c>
      <c r="J7" s="9">
        <f t="shared" si="0"/>
        <v>12</v>
      </c>
      <c r="K7" s="13">
        <v>3.48</v>
      </c>
      <c r="L7" s="13">
        <v>3.7</v>
      </c>
    </row>
    <row r="8" spans="1:12" x14ac:dyDescent="0.3">
      <c r="A8" t="s">
        <v>12</v>
      </c>
      <c r="B8">
        <v>8</v>
      </c>
      <c r="C8">
        <v>1</v>
      </c>
      <c r="D8">
        <v>16</v>
      </c>
      <c r="E8" t="s">
        <v>95</v>
      </c>
      <c r="F8">
        <v>70</v>
      </c>
      <c r="H8">
        <f>_xlfn.NUMBERVALUE( LEFT(Sheet9!C8,SEARCH("x",Sheet9!C8)-1),".")</f>
        <v>12</v>
      </c>
      <c r="I8" s="12">
        <f>_xlfn.NUMBERVALUE(RIGHT(Sheet9!C8,LEN(Sheet9!C8)-SEARCH("x",Sheet9!C8,1)),".")</f>
        <v>1.2</v>
      </c>
      <c r="J8" s="9">
        <f t="shared" si="0"/>
        <v>14.399999999999999</v>
      </c>
      <c r="K8" s="13">
        <v>3.29</v>
      </c>
      <c r="L8" s="13">
        <v>3.52</v>
      </c>
    </row>
    <row r="9" spans="1:12" x14ac:dyDescent="0.3">
      <c r="A9" t="s">
        <v>12</v>
      </c>
      <c r="B9">
        <v>8</v>
      </c>
      <c r="C9">
        <v>1</v>
      </c>
      <c r="D9">
        <v>16</v>
      </c>
      <c r="E9" t="s">
        <v>95</v>
      </c>
      <c r="F9">
        <v>70</v>
      </c>
      <c r="H9">
        <f>_xlfn.NUMBERVALUE( LEFT(Sheet9!C9,SEARCH("x",Sheet9!C9)-1),".")</f>
        <v>32</v>
      </c>
      <c r="I9" s="12">
        <f>_xlfn.NUMBERVALUE(RIGHT(Sheet9!C9,LEN(Sheet9!C9)-SEARCH("x",Sheet9!C9,1)),".")</f>
        <v>0.6</v>
      </c>
      <c r="J9" s="9">
        <f t="shared" si="0"/>
        <v>19.2</v>
      </c>
      <c r="K9" s="13">
        <v>3.24</v>
      </c>
      <c r="L9" s="13">
        <v>3.44</v>
      </c>
    </row>
    <row r="10" spans="1:12" x14ac:dyDescent="0.3">
      <c r="A10" t="s">
        <v>12</v>
      </c>
      <c r="B10">
        <v>8</v>
      </c>
      <c r="C10">
        <v>1</v>
      </c>
      <c r="D10">
        <v>16</v>
      </c>
      <c r="E10" t="s">
        <v>95</v>
      </c>
      <c r="F10">
        <v>70</v>
      </c>
      <c r="H10">
        <f>_xlfn.NUMBERVALUE( LEFT(Sheet9!C10,SEARCH("x",Sheet9!C10)-1),".")</f>
        <v>16</v>
      </c>
      <c r="I10" s="12">
        <f>_xlfn.NUMBERVALUE(RIGHT(Sheet9!C10,LEN(Sheet9!C10)-SEARCH("x",Sheet9!C10,1)),".")</f>
        <v>1.2</v>
      </c>
      <c r="J10" s="9">
        <f t="shared" si="0"/>
        <v>19.2</v>
      </c>
      <c r="K10" s="13">
        <v>3.15</v>
      </c>
      <c r="L10" s="13">
        <v>3.37</v>
      </c>
    </row>
    <row r="11" spans="1:12" x14ac:dyDescent="0.3">
      <c r="A11" t="s">
        <v>12</v>
      </c>
      <c r="B11">
        <v>8</v>
      </c>
      <c r="C11">
        <v>1</v>
      </c>
      <c r="D11">
        <v>16</v>
      </c>
      <c r="E11" t="s">
        <v>95</v>
      </c>
      <c r="F11">
        <v>80</v>
      </c>
      <c r="H11">
        <f>_xlfn.NUMBERVALUE( LEFT(Sheet9!C11,SEARCH("x",Sheet9!C11)-1),".")</f>
        <v>2</v>
      </c>
      <c r="I11" s="12">
        <f>_xlfn.NUMBERVALUE(RIGHT(Sheet9!C11,LEN(Sheet9!C11)-SEARCH("x",Sheet9!C11,1)),".")</f>
        <v>1</v>
      </c>
      <c r="J11" s="9">
        <f t="shared" si="0"/>
        <v>2</v>
      </c>
      <c r="K11" s="13">
        <v>4.57</v>
      </c>
      <c r="L11" s="13">
        <v>4.7699999999999996</v>
      </c>
    </row>
    <row r="12" spans="1:12" x14ac:dyDescent="0.3">
      <c r="A12" t="s">
        <v>12</v>
      </c>
      <c r="B12">
        <v>8</v>
      </c>
      <c r="C12">
        <v>1</v>
      </c>
      <c r="D12">
        <v>16</v>
      </c>
      <c r="E12" t="s">
        <v>95</v>
      </c>
      <c r="F12">
        <v>80</v>
      </c>
      <c r="H12">
        <f>_xlfn.NUMBERVALUE( LEFT(Sheet9!C12,SEARCH("x",Sheet9!C12)-1),".")</f>
        <v>1</v>
      </c>
      <c r="I12" s="12">
        <f>_xlfn.NUMBERVALUE(RIGHT(Sheet9!C12,LEN(Sheet9!C12)-SEARCH("x",Sheet9!C12,1)),".")</f>
        <v>5</v>
      </c>
      <c r="J12" s="9">
        <f t="shared" si="0"/>
        <v>5</v>
      </c>
      <c r="K12" s="13">
        <v>4.0999999999999996</v>
      </c>
      <c r="L12" s="13">
        <v>4.28</v>
      </c>
    </row>
    <row r="13" spans="1:12" x14ac:dyDescent="0.3">
      <c r="A13" t="s">
        <v>12</v>
      </c>
      <c r="B13">
        <v>8</v>
      </c>
      <c r="C13">
        <v>1</v>
      </c>
      <c r="D13">
        <v>16</v>
      </c>
      <c r="E13" t="s">
        <v>95</v>
      </c>
      <c r="F13">
        <v>80</v>
      </c>
      <c r="H13">
        <f>_xlfn.NUMBERVALUE( LEFT(Sheet9!C13,SEARCH("x",Sheet9!C13)-1),".")</f>
        <v>10</v>
      </c>
      <c r="I13" s="12">
        <f>_xlfn.NUMBERVALUE(RIGHT(Sheet9!C13,LEN(Sheet9!C13)-SEARCH("x",Sheet9!C13,1)),".")</f>
        <v>0.6</v>
      </c>
      <c r="J13" s="9">
        <f t="shared" si="0"/>
        <v>6</v>
      </c>
      <c r="K13" s="13">
        <v>5.44</v>
      </c>
      <c r="L13" s="13">
        <v>5.67</v>
      </c>
    </row>
    <row r="14" spans="1:12" x14ac:dyDescent="0.3">
      <c r="A14" t="s">
        <v>12</v>
      </c>
      <c r="B14">
        <v>8</v>
      </c>
      <c r="C14">
        <v>1</v>
      </c>
      <c r="D14">
        <v>16</v>
      </c>
      <c r="E14" t="s">
        <v>95</v>
      </c>
      <c r="F14">
        <v>80</v>
      </c>
      <c r="H14">
        <f>_xlfn.NUMBERVALUE( LEFT(Sheet9!C14,SEARCH("x",Sheet9!C14)-1),".")</f>
        <v>6</v>
      </c>
      <c r="I14" s="12">
        <f>_xlfn.NUMBERVALUE(RIGHT(Sheet9!C14,LEN(Sheet9!C14)-SEARCH("x",Sheet9!C14,1)),".")</f>
        <v>1.2</v>
      </c>
      <c r="J14" s="9">
        <f t="shared" si="0"/>
        <v>7.1999999999999993</v>
      </c>
      <c r="K14" s="13">
        <v>5.89</v>
      </c>
      <c r="L14" s="13">
        <v>6.16</v>
      </c>
    </row>
    <row r="15" spans="1:12" x14ac:dyDescent="0.3">
      <c r="A15" t="s">
        <v>12</v>
      </c>
      <c r="B15">
        <v>8</v>
      </c>
      <c r="C15">
        <v>1</v>
      </c>
      <c r="D15">
        <v>16</v>
      </c>
      <c r="E15" t="s">
        <v>95</v>
      </c>
      <c r="F15">
        <v>80</v>
      </c>
      <c r="H15">
        <f>_xlfn.NUMBERVALUE( LEFT(Sheet9!C15,SEARCH("x",Sheet9!C15)-1),".")</f>
        <v>1</v>
      </c>
      <c r="I15" s="12">
        <f>_xlfn.NUMBERVALUE(RIGHT(Sheet9!C15,LEN(Sheet9!C15)-SEARCH("x",Sheet9!C15,1)),".")</f>
        <v>10</v>
      </c>
      <c r="J15" s="9">
        <f t="shared" si="0"/>
        <v>10</v>
      </c>
      <c r="K15" s="13">
        <v>4.0999999999999996</v>
      </c>
      <c r="L15" s="13">
        <v>4.28</v>
      </c>
    </row>
    <row r="16" spans="1:12" x14ac:dyDescent="0.3">
      <c r="A16" t="s">
        <v>12</v>
      </c>
      <c r="B16">
        <v>8</v>
      </c>
      <c r="C16">
        <v>1</v>
      </c>
      <c r="D16">
        <v>16</v>
      </c>
      <c r="E16" t="s">
        <v>95</v>
      </c>
      <c r="F16">
        <v>80</v>
      </c>
      <c r="H16">
        <f>_xlfn.NUMBERVALUE( LEFT(Sheet9!C16,SEARCH("x",Sheet9!C16)-1),".")</f>
        <v>20</v>
      </c>
      <c r="I16" s="12">
        <f>_xlfn.NUMBERVALUE(RIGHT(Sheet9!C16,LEN(Sheet9!C16)-SEARCH("x",Sheet9!C16,1)),".")</f>
        <v>0.6</v>
      </c>
      <c r="J16" s="9">
        <f t="shared" si="0"/>
        <v>12</v>
      </c>
      <c r="K16" s="13">
        <v>5.55</v>
      </c>
      <c r="L16" s="13">
        <v>5.78</v>
      </c>
    </row>
    <row r="17" spans="1:12" x14ac:dyDescent="0.3">
      <c r="A17" t="s">
        <v>12</v>
      </c>
      <c r="B17">
        <v>8</v>
      </c>
      <c r="C17">
        <v>1</v>
      </c>
      <c r="D17">
        <v>16</v>
      </c>
      <c r="E17" t="s">
        <v>95</v>
      </c>
      <c r="F17">
        <v>80</v>
      </c>
      <c r="H17">
        <f>_xlfn.NUMBERVALUE( LEFT(Sheet9!C17,SEARCH("x",Sheet9!C17)-1),".")</f>
        <v>12</v>
      </c>
      <c r="I17" s="12">
        <f>_xlfn.NUMBERVALUE(RIGHT(Sheet9!C17,LEN(Sheet9!C17)-SEARCH("x",Sheet9!C17,1)),".")</f>
        <v>1.2</v>
      </c>
      <c r="J17" s="9">
        <f t="shared" si="0"/>
        <v>14.399999999999999</v>
      </c>
      <c r="K17" s="13">
        <v>5.25</v>
      </c>
      <c r="L17" s="13">
        <v>5.49</v>
      </c>
    </row>
    <row r="18" spans="1:12" x14ac:dyDescent="0.3">
      <c r="A18" t="s">
        <v>12</v>
      </c>
      <c r="B18">
        <v>8</v>
      </c>
      <c r="C18">
        <v>1</v>
      </c>
      <c r="D18">
        <v>16</v>
      </c>
      <c r="E18" t="s">
        <v>95</v>
      </c>
      <c r="F18">
        <v>80</v>
      </c>
      <c r="H18">
        <f>_xlfn.NUMBERVALUE( LEFT(Sheet9!C18,SEARCH("x",Sheet9!C18)-1),".")</f>
        <v>32</v>
      </c>
      <c r="I18" s="12">
        <f>_xlfn.NUMBERVALUE(RIGHT(Sheet9!C18,LEN(Sheet9!C18)-SEARCH("x",Sheet9!C18,1)),".")</f>
        <v>0.6</v>
      </c>
      <c r="J18" s="9">
        <f t="shared" si="0"/>
        <v>19.2</v>
      </c>
      <c r="K18" s="13">
        <v>5.17</v>
      </c>
      <c r="L18" s="13">
        <v>5.38</v>
      </c>
    </row>
    <row r="19" spans="1:12" x14ac:dyDescent="0.3">
      <c r="A19" t="s">
        <v>12</v>
      </c>
      <c r="B19">
        <v>8</v>
      </c>
      <c r="C19">
        <v>1</v>
      </c>
      <c r="D19">
        <v>16</v>
      </c>
      <c r="E19" t="s">
        <v>95</v>
      </c>
      <c r="F19">
        <v>80</v>
      </c>
      <c r="H19">
        <f>_xlfn.NUMBERVALUE( LEFT(Sheet9!C19,SEARCH("x",Sheet9!C19)-1),".")</f>
        <v>16</v>
      </c>
      <c r="I19" s="12">
        <f>_xlfn.NUMBERVALUE(RIGHT(Sheet9!C19,LEN(Sheet9!C19)-SEARCH("x",Sheet9!C19,1)),".")</f>
        <v>1.2</v>
      </c>
      <c r="J19" s="9">
        <f t="shared" si="0"/>
        <v>19.2</v>
      </c>
      <c r="K19" s="13">
        <v>5.03</v>
      </c>
      <c r="L19" s="13">
        <v>5.26</v>
      </c>
    </row>
    <row r="20" spans="1:12" x14ac:dyDescent="0.3">
      <c r="A20" t="s">
        <v>12</v>
      </c>
      <c r="B20">
        <v>8</v>
      </c>
      <c r="C20">
        <v>1</v>
      </c>
      <c r="D20">
        <v>16</v>
      </c>
      <c r="E20" t="s">
        <v>95</v>
      </c>
      <c r="F20">
        <v>100</v>
      </c>
      <c r="H20">
        <f>_xlfn.NUMBERVALUE( LEFT(Sheet9!C20,SEARCH("x",Sheet9!C20)-1),".")</f>
        <v>2</v>
      </c>
      <c r="I20" s="12">
        <f>_xlfn.NUMBERVALUE(RIGHT(Sheet9!C20,LEN(Sheet9!C20)-SEARCH("x",Sheet9!C20,1)),".")</f>
        <v>1</v>
      </c>
      <c r="J20" s="9">
        <f t="shared" si="0"/>
        <v>2</v>
      </c>
      <c r="K20" s="13">
        <v>8.84</v>
      </c>
      <c r="L20" s="13">
        <v>9.02</v>
      </c>
    </row>
    <row r="21" spans="1:12" x14ac:dyDescent="0.3">
      <c r="A21" t="s">
        <v>12</v>
      </c>
      <c r="B21">
        <v>8</v>
      </c>
      <c r="C21">
        <v>1</v>
      </c>
      <c r="D21">
        <v>16</v>
      </c>
      <c r="E21" t="s">
        <v>95</v>
      </c>
      <c r="F21">
        <v>100</v>
      </c>
      <c r="H21">
        <f>_xlfn.NUMBERVALUE( LEFT(Sheet9!C21,SEARCH("x",Sheet9!C21)-1),".")</f>
        <v>1</v>
      </c>
      <c r="I21" s="12">
        <f>_xlfn.NUMBERVALUE(RIGHT(Sheet9!C21,LEN(Sheet9!C21)-SEARCH("x",Sheet9!C21,1)),".")</f>
        <v>5</v>
      </c>
      <c r="J21" s="9">
        <f t="shared" si="0"/>
        <v>5</v>
      </c>
      <c r="K21" s="13">
        <v>7.93</v>
      </c>
      <c r="L21" s="13">
        <v>8.1</v>
      </c>
    </row>
    <row r="22" spans="1:12" x14ac:dyDescent="0.3">
      <c r="A22" t="s">
        <v>12</v>
      </c>
      <c r="B22">
        <v>8</v>
      </c>
      <c r="C22">
        <v>1</v>
      </c>
      <c r="D22">
        <v>16</v>
      </c>
      <c r="E22" t="s">
        <v>95</v>
      </c>
      <c r="F22">
        <v>100</v>
      </c>
      <c r="H22">
        <f>_xlfn.NUMBERVALUE( LEFT(Sheet9!C22,SEARCH("x",Sheet9!C22)-1),".")</f>
        <v>10</v>
      </c>
      <c r="I22" s="12">
        <f>_xlfn.NUMBERVALUE(RIGHT(Sheet9!C22,LEN(Sheet9!C22)-SEARCH("x",Sheet9!C22,1)),".")</f>
        <v>0.6</v>
      </c>
      <c r="J22" s="9">
        <f t="shared" si="0"/>
        <v>6</v>
      </c>
      <c r="K22" s="13">
        <v>10.53</v>
      </c>
      <c r="L22" s="13">
        <v>10.7</v>
      </c>
    </row>
    <row r="23" spans="1:12" x14ac:dyDescent="0.3">
      <c r="A23" t="s">
        <v>12</v>
      </c>
      <c r="B23">
        <v>8</v>
      </c>
      <c r="C23">
        <v>1</v>
      </c>
      <c r="D23">
        <v>16</v>
      </c>
      <c r="E23" t="s">
        <v>95</v>
      </c>
      <c r="F23">
        <v>100</v>
      </c>
      <c r="H23">
        <f>_xlfn.NUMBERVALUE( LEFT(Sheet9!C23,SEARCH("x",Sheet9!C23)-1),".")</f>
        <v>6</v>
      </c>
      <c r="I23" s="12">
        <f>_xlfn.NUMBERVALUE(RIGHT(Sheet9!C23,LEN(Sheet9!C23)-SEARCH("x",Sheet9!C23,1)),".")</f>
        <v>1.2</v>
      </c>
      <c r="J23" s="9">
        <f t="shared" si="0"/>
        <v>7.1999999999999993</v>
      </c>
      <c r="K23" s="13">
        <v>11.4</v>
      </c>
      <c r="L23" s="13">
        <v>11.64</v>
      </c>
    </row>
    <row r="24" spans="1:12" x14ac:dyDescent="0.3">
      <c r="A24" t="s">
        <v>12</v>
      </c>
      <c r="B24">
        <v>8</v>
      </c>
      <c r="C24">
        <v>1</v>
      </c>
      <c r="D24">
        <v>16</v>
      </c>
      <c r="E24" t="s">
        <v>95</v>
      </c>
      <c r="F24">
        <v>100</v>
      </c>
      <c r="H24">
        <f>_xlfn.NUMBERVALUE( LEFT(Sheet9!C24,SEARCH("x",Sheet9!C24)-1),".")</f>
        <v>1</v>
      </c>
      <c r="I24" s="12">
        <f>_xlfn.NUMBERVALUE(RIGHT(Sheet9!C24,LEN(Sheet9!C24)-SEARCH("x",Sheet9!C24,1)),".")</f>
        <v>10</v>
      </c>
      <c r="J24" s="9">
        <f t="shared" si="0"/>
        <v>10</v>
      </c>
      <c r="K24" s="13">
        <v>7.93</v>
      </c>
      <c r="L24" s="13">
        <v>8.1</v>
      </c>
    </row>
    <row r="25" spans="1:12" x14ac:dyDescent="0.3">
      <c r="A25" t="s">
        <v>12</v>
      </c>
      <c r="B25">
        <v>8</v>
      </c>
      <c r="C25">
        <v>1</v>
      </c>
      <c r="D25">
        <v>16</v>
      </c>
      <c r="E25" t="s">
        <v>95</v>
      </c>
      <c r="F25">
        <v>100</v>
      </c>
      <c r="H25">
        <f>_xlfn.NUMBERVALUE( LEFT(Sheet9!C25,SEARCH("x",Sheet9!C25)-1),".")</f>
        <v>20</v>
      </c>
      <c r="I25" s="12">
        <f>_xlfn.NUMBERVALUE(RIGHT(Sheet9!C25,LEN(Sheet9!C25)-SEARCH("x",Sheet9!C25,1)),".")</f>
        <v>0.6</v>
      </c>
      <c r="J25" s="9">
        <f t="shared" si="0"/>
        <v>12</v>
      </c>
      <c r="K25" s="13">
        <v>10.73</v>
      </c>
      <c r="L25" s="13">
        <v>10.91</v>
      </c>
    </row>
    <row r="26" spans="1:12" x14ac:dyDescent="0.3">
      <c r="A26" t="s">
        <v>12</v>
      </c>
      <c r="B26">
        <v>8</v>
      </c>
      <c r="C26">
        <v>1</v>
      </c>
      <c r="D26">
        <v>16</v>
      </c>
      <c r="E26" t="s">
        <v>95</v>
      </c>
      <c r="F26">
        <v>100</v>
      </c>
      <c r="H26">
        <f>_xlfn.NUMBERVALUE( LEFT(Sheet9!C26,SEARCH("x",Sheet9!C26)-1),".")</f>
        <v>12</v>
      </c>
      <c r="I26" s="12">
        <f>_xlfn.NUMBERVALUE(RIGHT(Sheet9!C26,LEN(Sheet9!C26)-SEARCH("x",Sheet9!C26,1)),".")</f>
        <v>1.2</v>
      </c>
      <c r="J26" s="9">
        <f t="shared" si="0"/>
        <v>14.399999999999999</v>
      </c>
      <c r="K26" s="13">
        <v>10.17</v>
      </c>
      <c r="L26" s="13">
        <v>10.39</v>
      </c>
    </row>
    <row r="27" spans="1:12" x14ac:dyDescent="0.3">
      <c r="A27" t="s">
        <v>12</v>
      </c>
      <c r="B27">
        <v>8</v>
      </c>
      <c r="C27">
        <v>1</v>
      </c>
      <c r="D27">
        <v>16</v>
      </c>
      <c r="E27" t="s">
        <v>95</v>
      </c>
      <c r="F27">
        <v>100</v>
      </c>
      <c r="H27">
        <f>_xlfn.NUMBERVALUE( LEFT(Sheet9!C27,SEARCH("x",Sheet9!C27)-1),".")</f>
        <v>32</v>
      </c>
      <c r="I27" s="12">
        <f>_xlfn.NUMBERVALUE(RIGHT(Sheet9!C27,LEN(Sheet9!C27)-SEARCH("x",Sheet9!C27,1)),".")</f>
        <v>0.6</v>
      </c>
      <c r="J27" s="9">
        <f t="shared" si="0"/>
        <v>19.2</v>
      </c>
      <c r="K27" s="13">
        <v>10</v>
      </c>
      <c r="L27" s="13">
        <v>10.16</v>
      </c>
    </row>
    <row r="28" spans="1:12" x14ac:dyDescent="0.3">
      <c r="A28" t="s">
        <v>12</v>
      </c>
      <c r="B28">
        <v>8</v>
      </c>
      <c r="C28">
        <v>1</v>
      </c>
      <c r="D28">
        <v>16</v>
      </c>
      <c r="E28" t="s">
        <v>95</v>
      </c>
      <c r="F28">
        <v>100</v>
      </c>
      <c r="H28">
        <f>_xlfn.NUMBERVALUE( LEFT(Sheet9!C28,SEARCH("x",Sheet9!C28)-1),".")</f>
        <v>16</v>
      </c>
      <c r="I28" s="12">
        <f>_xlfn.NUMBERVALUE(RIGHT(Sheet9!C28,LEN(Sheet9!C28)-SEARCH("x",Sheet9!C28,1)),".")</f>
        <v>1.2</v>
      </c>
      <c r="J28" s="9">
        <f t="shared" si="0"/>
        <v>19.2</v>
      </c>
      <c r="K28" s="13">
        <v>9.73</v>
      </c>
      <c r="L28" s="13">
        <v>9.94</v>
      </c>
    </row>
    <row r="29" spans="1:12" x14ac:dyDescent="0.3">
      <c r="A29" t="s">
        <v>12</v>
      </c>
      <c r="B29">
        <v>8</v>
      </c>
      <c r="C29">
        <v>1</v>
      </c>
      <c r="D29">
        <v>16</v>
      </c>
      <c r="E29" t="s">
        <v>95</v>
      </c>
      <c r="F29">
        <v>120</v>
      </c>
      <c r="H29">
        <f>_xlfn.NUMBERVALUE( LEFT(Sheet9!C29,SEARCH("x",Sheet9!C29)-1),".")</f>
        <v>2</v>
      </c>
      <c r="I29" s="12">
        <f>_xlfn.NUMBERVALUE(RIGHT(Sheet9!C29,LEN(Sheet9!C29)-SEARCH("x",Sheet9!C29,1)),".")</f>
        <v>1</v>
      </c>
      <c r="J29" s="9">
        <f t="shared" si="0"/>
        <v>2</v>
      </c>
      <c r="K29" s="13">
        <v>14.89</v>
      </c>
      <c r="L29" s="13">
        <v>15.07</v>
      </c>
    </row>
    <row r="30" spans="1:12" x14ac:dyDescent="0.3">
      <c r="A30" t="s">
        <v>12</v>
      </c>
      <c r="B30">
        <v>8</v>
      </c>
      <c r="C30">
        <v>1</v>
      </c>
      <c r="D30">
        <v>16</v>
      </c>
      <c r="E30" t="s">
        <v>95</v>
      </c>
      <c r="F30">
        <v>120</v>
      </c>
      <c r="H30">
        <f>_xlfn.NUMBERVALUE( LEFT(Sheet9!C30,SEARCH("x",Sheet9!C30)-1),".")</f>
        <v>1</v>
      </c>
      <c r="I30" s="12">
        <f>_xlfn.NUMBERVALUE(RIGHT(Sheet9!C30,LEN(Sheet9!C30)-SEARCH("x",Sheet9!C30,1)),".")</f>
        <v>5</v>
      </c>
      <c r="J30" s="9">
        <f t="shared" si="0"/>
        <v>5</v>
      </c>
      <c r="K30" s="13">
        <v>13.36</v>
      </c>
      <c r="L30" s="13">
        <v>13.52</v>
      </c>
    </row>
    <row r="31" spans="1:12" x14ac:dyDescent="0.3">
      <c r="A31" t="s">
        <v>12</v>
      </c>
      <c r="B31">
        <v>8</v>
      </c>
      <c r="C31">
        <v>1</v>
      </c>
      <c r="D31">
        <v>16</v>
      </c>
      <c r="E31" t="s">
        <v>95</v>
      </c>
      <c r="F31">
        <v>120</v>
      </c>
      <c r="H31">
        <f>_xlfn.NUMBERVALUE( LEFT(Sheet9!C31,SEARCH("x",Sheet9!C31)-1),".")</f>
        <v>10</v>
      </c>
      <c r="I31" s="12">
        <f>_xlfn.NUMBERVALUE(RIGHT(Sheet9!C31,LEN(Sheet9!C31)-SEARCH("x",Sheet9!C31,1)),".")</f>
        <v>0.6</v>
      </c>
      <c r="J31" s="9">
        <f t="shared" si="0"/>
        <v>6</v>
      </c>
      <c r="K31" s="13">
        <v>17.690000000000001</v>
      </c>
      <c r="L31" s="13">
        <v>17.84</v>
      </c>
    </row>
    <row r="32" spans="1:12" x14ac:dyDescent="0.3">
      <c r="A32" t="s">
        <v>12</v>
      </c>
      <c r="B32">
        <v>8</v>
      </c>
      <c r="C32">
        <v>1</v>
      </c>
      <c r="D32">
        <v>16</v>
      </c>
      <c r="E32" t="s">
        <v>95</v>
      </c>
      <c r="F32">
        <v>120</v>
      </c>
      <c r="H32">
        <f>_xlfn.NUMBERVALUE( LEFT(Sheet9!C32,SEARCH("x",Sheet9!C32)-1),".")</f>
        <v>6</v>
      </c>
      <c r="I32" s="12">
        <f>_xlfn.NUMBERVALUE(RIGHT(Sheet9!C32,LEN(Sheet9!C32)-SEARCH("x",Sheet9!C32,1)),".")</f>
        <v>1.2</v>
      </c>
      <c r="J32" s="9">
        <f t="shared" si="0"/>
        <v>7.1999999999999993</v>
      </c>
      <c r="K32" s="13">
        <v>19.21</v>
      </c>
      <c r="L32" s="13">
        <v>19.43</v>
      </c>
    </row>
    <row r="33" spans="1:12" x14ac:dyDescent="0.3">
      <c r="A33" t="s">
        <v>12</v>
      </c>
      <c r="B33">
        <v>8</v>
      </c>
      <c r="C33">
        <v>1</v>
      </c>
      <c r="D33">
        <v>16</v>
      </c>
      <c r="E33" t="s">
        <v>95</v>
      </c>
      <c r="F33">
        <v>120</v>
      </c>
      <c r="H33">
        <f>_xlfn.NUMBERVALUE( LEFT(Sheet9!C33,SEARCH("x",Sheet9!C33)-1),".")</f>
        <v>1</v>
      </c>
      <c r="I33" s="12">
        <f>_xlfn.NUMBERVALUE(RIGHT(Sheet9!C33,LEN(Sheet9!C33)-SEARCH("x",Sheet9!C33,1)),".")</f>
        <v>10</v>
      </c>
      <c r="J33" s="9">
        <f t="shared" si="0"/>
        <v>10</v>
      </c>
      <c r="K33" s="13">
        <v>13.36</v>
      </c>
      <c r="L33" s="13">
        <v>13.52</v>
      </c>
    </row>
    <row r="34" spans="1:12" x14ac:dyDescent="0.3">
      <c r="A34" t="s">
        <v>12</v>
      </c>
      <c r="B34">
        <v>8</v>
      </c>
      <c r="C34">
        <v>1</v>
      </c>
      <c r="D34">
        <v>16</v>
      </c>
      <c r="E34" t="s">
        <v>95</v>
      </c>
      <c r="F34">
        <v>120</v>
      </c>
      <c r="H34">
        <f>_xlfn.NUMBERVALUE( LEFT(Sheet9!C34,SEARCH("x",Sheet9!C34)-1),".")</f>
        <v>20</v>
      </c>
      <c r="I34" s="12">
        <f>_xlfn.NUMBERVALUE(RIGHT(Sheet9!C34,LEN(Sheet9!C34)-SEARCH("x",Sheet9!C34,1)),".")</f>
        <v>0.6</v>
      </c>
      <c r="J34" s="9">
        <f t="shared" si="0"/>
        <v>12</v>
      </c>
      <c r="K34" s="13">
        <v>18.03</v>
      </c>
      <c r="L34" s="13">
        <v>18.18</v>
      </c>
    </row>
    <row r="35" spans="1:12" x14ac:dyDescent="0.3">
      <c r="A35" t="s">
        <v>12</v>
      </c>
      <c r="B35">
        <v>8</v>
      </c>
      <c r="C35">
        <v>1</v>
      </c>
      <c r="D35">
        <v>16</v>
      </c>
      <c r="E35" t="s">
        <v>95</v>
      </c>
      <c r="F35">
        <v>120</v>
      </c>
      <c r="H35">
        <f>_xlfn.NUMBERVALUE( LEFT(Sheet9!C35,SEARCH("x",Sheet9!C35)-1),".")</f>
        <v>12</v>
      </c>
      <c r="I35" s="12">
        <f>_xlfn.NUMBERVALUE(RIGHT(Sheet9!C35,LEN(Sheet9!C35)-SEARCH("x",Sheet9!C35,1)),".")</f>
        <v>1.2</v>
      </c>
      <c r="J35" s="9">
        <f t="shared" si="0"/>
        <v>14.399999999999999</v>
      </c>
      <c r="K35" s="13">
        <v>17.14</v>
      </c>
      <c r="L35" s="13">
        <v>17.34</v>
      </c>
    </row>
    <row r="36" spans="1:12" x14ac:dyDescent="0.3">
      <c r="A36" t="s">
        <v>12</v>
      </c>
      <c r="B36">
        <v>8</v>
      </c>
      <c r="C36">
        <v>1</v>
      </c>
      <c r="D36">
        <v>16</v>
      </c>
      <c r="E36" t="s">
        <v>95</v>
      </c>
      <c r="F36">
        <v>120</v>
      </c>
      <c r="H36">
        <f>_xlfn.NUMBERVALUE( LEFT(Sheet9!C36,SEARCH("x",Sheet9!C36)-1),".")</f>
        <v>32</v>
      </c>
      <c r="I36" s="12">
        <f>_xlfn.NUMBERVALUE(RIGHT(Sheet9!C36,LEN(Sheet9!C36)-SEARCH("x",Sheet9!C36,1)),".")</f>
        <v>0.6</v>
      </c>
      <c r="J36" s="9">
        <f t="shared" si="0"/>
        <v>19.2</v>
      </c>
      <c r="K36" s="13">
        <v>16.8</v>
      </c>
      <c r="L36" s="13">
        <v>16.940000000000001</v>
      </c>
    </row>
    <row r="37" spans="1:12" x14ac:dyDescent="0.3">
      <c r="A37" t="s">
        <v>12</v>
      </c>
      <c r="B37">
        <v>8</v>
      </c>
      <c r="C37">
        <v>1</v>
      </c>
      <c r="D37">
        <v>16</v>
      </c>
      <c r="E37" t="s">
        <v>95</v>
      </c>
      <c r="F37">
        <v>120</v>
      </c>
      <c r="H37">
        <f>_xlfn.NUMBERVALUE( LEFT(Sheet9!C37,SEARCH("x",Sheet9!C37)-1),".")</f>
        <v>16</v>
      </c>
      <c r="I37" s="12">
        <f>_xlfn.NUMBERVALUE(RIGHT(Sheet9!C37,LEN(Sheet9!C37)-SEARCH("x",Sheet9!C37,1)),".")</f>
        <v>1.2</v>
      </c>
      <c r="J37" s="9">
        <f t="shared" si="0"/>
        <v>19.2</v>
      </c>
      <c r="K37" s="13">
        <v>16.399999999999999</v>
      </c>
      <c r="L37" s="13">
        <v>16.59</v>
      </c>
    </row>
    <row r="38" spans="1:12" x14ac:dyDescent="0.3">
      <c r="A38" t="s">
        <v>12</v>
      </c>
      <c r="B38">
        <v>8</v>
      </c>
      <c r="C38">
        <v>1</v>
      </c>
      <c r="D38">
        <v>16</v>
      </c>
      <c r="E38" t="s">
        <v>95</v>
      </c>
      <c r="F38">
        <v>140</v>
      </c>
      <c r="H38">
        <f>_xlfn.NUMBERVALUE( LEFT(Sheet9!C38,SEARCH("x",Sheet9!C38)-1),".")</f>
        <v>2</v>
      </c>
      <c r="I38" s="12">
        <f>_xlfn.NUMBERVALUE(RIGHT(Sheet9!C38,LEN(Sheet9!C38)-SEARCH("x",Sheet9!C38,1)),".")</f>
        <v>1</v>
      </c>
      <c r="J38" s="9">
        <f t="shared" si="0"/>
        <v>2</v>
      </c>
      <c r="K38" s="13">
        <v>21.22</v>
      </c>
      <c r="L38" s="13">
        <v>21.38</v>
      </c>
    </row>
    <row r="39" spans="1:12" x14ac:dyDescent="0.3">
      <c r="A39" t="s">
        <v>12</v>
      </c>
      <c r="B39">
        <v>8</v>
      </c>
      <c r="C39">
        <v>1</v>
      </c>
      <c r="D39">
        <v>16</v>
      </c>
      <c r="E39" t="s">
        <v>95</v>
      </c>
      <c r="F39">
        <v>140</v>
      </c>
      <c r="H39">
        <f>_xlfn.NUMBERVALUE( LEFT(Sheet9!C39,SEARCH("x",Sheet9!C39)-1),".")</f>
        <v>1</v>
      </c>
      <c r="I39" s="12">
        <f>_xlfn.NUMBERVALUE(RIGHT(Sheet9!C39,LEN(Sheet9!C39)-SEARCH("x",Sheet9!C39,1)),".")</f>
        <v>5</v>
      </c>
      <c r="J39" s="9">
        <f t="shared" si="0"/>
        <v>5</v>
      </c>
      <c r="K39" s="13">
        <v>19.04</v>
      </c>
      <c r="L39" s="13">
        <v>19.18</v>
      </c>
    </row>
    <row r="40" spans="1:12" x14ac:dyDescent="0.3">
      <c r="A40" t="s">
        <v>12</v>
      </c>
      <c r="B40">
        <v>8</v>
      </c>
      <c r="C40">
        <v>1</v>
      </c>
      <c r="D40">
        <v>16</v>
      </c>
      <c r="E40" t="s">
        <v>95</v>
      </c>
      <c r="F40">
        <v>140</v>
      </c>
      <c r="H40">
        <f>_xlfn.NUMBERVALUE( LEFT(Sheet9!C40,SEARCH("x",Sheet9!C40)-1),".")</f>
        <v>10</v>
      </c>
      <c r="I40" s="12">
        <f>_xlfn.NUMBERVALUE(RIGHT(Sheet9!C40,LEN(Sheet9!C40)-SEARCH("x",Sheet9!C40,1)),".")</f>
        <v>0.6</v>
      </c>
      <c r="J40" s="9">
        <f t="shared" si="0"/>
        <v>6</v>
      </c>
      <c r="K40" s="13">
        <v>25.23</v>
      </c>
      <c r="L40" s="13">
        <v>25.35</v>
      </c>
    </row>
    <row r="41" spans="1:12" x14ac:dyDescent="0.3">
      <c r="A41" t="s">
        <v>12</v>
      </c>
      <c r="B41">
        <v>8</v>
      </c>
      <c r="C41">
        <v>1</v>
      </c>
      <c r="D41">
        <v>16</v>
      </c>
      <c r="E41" t="s">
        <v>95</v>
      </c>
      <c r="F41">
        <v>140</v>
      </c>
      <c r="H41">
        <f>_xlfn.NUMBERVALUE( LEFT(Sheet9!C41,SEARCH("x",Sheet9!C41)-1),".")</f>
        <v>6</v>
      </c>
      <c r="I41" s="12">
        <f>_xlfn.NUMBERVALUE(RIGHT(Sheet9!C41,LEN(Sheet9!C41)-SEARCH("x",Sheet9!C41,1)),".")</f>
        <v>1.2</v>
      </c>
      <c r="J41" s="9">
        <f t="shared" si="0"/>
        <v>7.1999999999999993</v>
      </c>
      <c r="K41" s="13">
        <v>27.37</v>
      </c>
      <c r="L41" s="13">
        <v>27.57</v>
      </c>
    </row>
    <row r="42" spans="1:12" x14ac:dyDescent="0.3">
      <c r="A42" t="s">
        <v>12</v>
      </c>
      <c r="B42">
        <v>8</v>
      </c>
      <c r="C42">
        <v>1</v>
      </c>
      <c r="D42">
        <v>16</v>
      </c>
      <c r="E42" t="s">
        <v>95</v>
      </c>
      <c r="F42">
        <v>140</v>
      </c>
      <c r="H42">
        <f>_xlfn.NUMBERVALUE( LEFT(Sheet9!C42,SEARCH("x",Sheet9!C42)-1),".")</f>
        <v>1</v>
      </c>
      <c r="I42" s="12">
        <f>_xlfn.NUMBERVALUE(RIGHT(Sheet9!C42,LEN(Sheet9!C42)-SEARCH("x",Sheet9!C42,1)),".")</f>
        <v>10</v>
      </c>
      <c r="J42" s="9">
        <f t="shared" si="0"/>
        <v>10</v>
      </c>
      <c r="K42" s="13">
        <v>19.04</v>
      </c>
      <c r="L42" s="13">
        <v>19.18</v>
      </c>
    </row>
    <row r="43" spans="1:12" x14ac:dyDescent="0.3">
      <c r="A43" t="s">
        <v>12</v>
      </c>
      <c r="B43">
        <v>8</v>
      </c>
      <c r="C43">
        <v>1</v>
      </c>
      <c r="D43">
        <v>16</v>
      </c>
      <c r="E43" t="s">
        <v>95</v>
      </c>
      <c r="F43">
        <v>140</v>
      </c>
      <c r="H43">
        <f>_xlfn.NUMBERVALUE( LEFT(Sheet9!C43,SEARCH("x",Sheet9!C43)-1),".")</f>
        <v>20</v>
      </c>
      <c r="I43" s="12">
        <f>_xlfn.NUMBERVALUE(RIGHT(Sheet9!C43,LEN(Sheet9!C43)-SEARCH("x",Sheet9!C43,1)),".")</f>
        <v>0.6</v>
      </c>
      <c r="J43" s="9">
        <f t="shared" si="0"/>
        <v>12</v>
      </c>
      <c r="K43" s="13">
        <v>25.72</v>
      </c>
      <c r="L43" s="13">
        <v>25.83</v>
      </c>
    </row>
    <row r="44" spans="1:12" x14ac:dyDescent="0.3">
      <c r="A44" t="s">
        <v>12</v>
      </c>
      <c r="B44">
        <v>8</v>
      </c>
      <c r="C44">
        <v>1</v>
      </c>
      <c r="D44">
        <v>16</v>
      </c>
      <c r="E44" t="s">
        <v>95</v>
      </c>
      <c r="F44">
        <v>140</v>
      </c>
      <c r="H44">
        <f>_xlfn.NUMBERVALUE( LEFT(Sheet9!C44,SEARCH("x",Sheet9!C44)-1),".")</f>
        <v>12</v>
      </c>
      <c r="I44" s="12">
        <f>_xlfn.NUMBERVALUE(RIGHT(Sheet9!C44,LEN(Sheet9!C44)-SEARCH("x",Sheet9!C44,1)),".")</f>
        <v>1.2</v>
      </c>
      <c r="J44" s="9">
        <f t="shared" si="0"/>
        <v>14.399999999999999</v>
      </c>
      <c r="K44" s="13">
        <v>24.42</v>
      </c>
      <c r="L44" s="13">
        <v>24.6</v>
      </c>
    </row>
    <row r="45" spans="1:12" x14ac:dyDescent="0.3">
      <c r="A45" t="s">
        <v>12</v>
      </c>
      <c r="B45">
        <v>8</v>
      </c>
      <c r="C45">
        <v>1</v>
      </c>
      <c r="D45">
        <v>16</v>
      </c>
      <c r="E45" t="s">
        <v>95</v>
      </c>
      <c r="F45">
        <v>140</v>
      </c>
      <c r="H45">
        <f>_xlfn.NUMBERVALUE( LEFT(Sheet9!C45,SEARCH("x",Sheet9!C45)-1),".")</f>
        <v>32</v>
      </c>
      <c r="I45" s="12">
        <f>_xlfn.NUMBERVALUE(RIGHT(Sheet9!C45,LEN(Sheet9!C45)-SEARCH("x",Sheet9!C45,1)),".")</f>
        <v>0.6</v>
      </c>
      <c r="J45" s="9">
        <f t="shared" si="0"/>
        <v>19.2</v>
      </c>
      <c r="K45" s="13">
        <v>23.96</v>
      </c>
      <c r="L45" s="13">
        <v>24.07</v>
      </c>
    </row>
    <row r="46" spans="1:12" x14ac:dyDescent="0.3">
      <c r="A46" t="s">
        <v>12</v>
      </c>
      <c r="B46">
        <v>8</v>
      </c>
      <c r="C46">
        <v>1</v>
      </c>
      <c r="D46">
        <v>16</v>
      </c>
      <c r="E46" t="s">
        <v>95</v>
      </c>
      <c r="F46">
        <v>140</v>
      </c>
      <c r="H46">
        <f>_xlfn.NUMBERVALUE( LEFT(Sheet9!C46,SEARCH("x",Sheet9!C46)-1),".")</f>
        <v>16</v>
      </c>
      <c r="I46" s="12">
        <f>_xlfn.NUMBERVALUE(RIGHT(Sheet9!C46,LEN(Sheet9!C46)-SEARCH("x",Sheet9!C46,1)),".")</f>
        <v>1.2</v>
      </c>
      <c r="J46" s="9">
        <f t="shared" si="0"/>
        <v>19.2</v>
      </c>
      <c r="K46" s="13">
        <v>23.37</v>
      </c>
      <c r="L46" s="13">
        <v>23.54</v>
      </c>
    </row>
    <row r="47" spans="1:12" x14ac:dyDescent="0.3">
      <c r="A47" t="s">
        <v>12</v>
      </c>
      <c r="B47">
        <v>8</v>
      </c>
      <c r="C47">
        <v>1</v>
      </c>
      <c r="D47">
        <v>16</v>
      </c>
      <c r="E47" t="s">
        <v>96</v>
      </c>
      <c r="F47">
        <v>70</v>
      </c>
      <c r="H47">
        <v>2</v>
      </c>
      <c r="I47">
        <v>1</v>
      </c>
      <c r="J47">
        <v>2</v>
      </c>
      <c r="K47" s="13">
        <v>2.54</v>
      </c>
      <c r="L47" s="13">
        <v>2.5499999999999998</v>
      </c>
    </row>
    <row r="48" spans="1:12" x14ac:dyDescent="0.3">
      <c r="A48" t="s">
        <v>12</v>
      </c>
      <c r="B48">
        <v>8</v>
      </c>
      <c r="C48">
        <v>1</v>
      </c>
      <c r="D48">
        <v>16</v>
      </c>
      <c r="E48" t="s">
        <v>96</v>
      </c>
      <c r="F48">
        <v>70</v>
      </c>
      <c r="H48">
        <v>1</v>
      </c>
      <c r="I48">
        <v>5</v>
      </c>
      <c r="J48">
        <v>5</v>
      </c>
      <c r="K48" s="13">
        <v>2.2799999999999998</v>
      </c>
      <c r="L48" s="13">
        <v>2.2799999999999998</v>
      </c>
    </row>
    <row r="49" spans="1:12" x14ac:dyDescent="0.3">
      <c r="A49" t="s">
        <v>12</v>
      </c>
      <c r="B49">
        <v>8</v>
      </c>
      <c r="C49">
        <v>1</v>
      </c>
      <c r="D49">
        <v>16</v>
      </c>
      <c r="E49" t="s">
        <v>96</v>
      </c>
      <c r="F49">
        <v>70</v>
      </c>
      <c r="H49">
        <v>10</v>
      </c>
      <c r="I49">
        <v>0.6</v>
      </c>
      <c r="J49">
        <v>6</v>
      </c>
      <c r="K49" s="13">
        <v>3.02</v>
      </c>
      <c r="L49" s="13">
        <v>3.01</v>
      </c>
    </row>
    <row r="50" spans="1:12" x14ac:dyDescent="0.3">
      <c r="A50" t="s">
        <v>12</v>
      </c>
      <c r="B50">
        <v>8</v>
      </c>
      <c r="C50">
        <v>1</v>
      </c>
      <c r="D50">
        <v>16</v>
      </c>
      <c r="E50" t="s">
        <v>96</v>
      </c>
      <c r="F50">
        <v>70</v>
      </c>
      <c r="H50">
        <v>6</v>
      </c>
      <c r="I50">
        <v>1.2</v>
      </c>
      <c r="J50">
        <v>7.2</v>
      </c>
      <c r="K50" s="13">
        <v>3.28</v>
      </c>
      <c r="L50" s="13">
        <v>3.28</v>
      </c>
    </row>
    <row r="51" spans="1:12" x14ac:dyDescent="0.3">
      <c r="A51" t="s">
        <v>12</v>
      </c>
      <c r="B51">
        <v>8</v>
      </c>
      <c r="C51">
        <v>1</v>
      </c>
      <c r="D51">
        <v>16</v>
      </c>
      <c r="E51" t="s">
        <v>96</v>
      </c>
      <c r="F51">
        <v>70</v>
      </c>
      <c r="H51">
        <v>1</v>
      </c>
      <c r="I51">
        <v>10</v>
      </c>
      <c r="J51">
        <v>10</v>
      </c>
      <c r="K51" s="13">
        <v>2.2799999999999998</v>
      </c>
      <c r="L51" s="13">
        <v>2.2799999999999998</v>
      </c>
    </row>
    <row r="52" spans="1:12" x14ac:dyDescent="0.3">
      <c r="A52" t="s">
        <v>12</v>
      </c>
      <c r="B52">
        <v>8</v>
      </c>
      <c r="C52">
        <v>1</v>
      </c>
      <c r="D52">
        <v>16</v>
      </c>
      <c r="E52" t="s">
        <v>96</v>
      </c>
      <c r="F52">
        <v>70</v>
      </c>
      <c r="H52">
        <v>20</v>
      </c>
      <c r="I52">
        <v>0.6</v>
      </c>
      <c r="J52">
        <v>12</v>
      </c>
      <c r="K52" s="13">
        <v>3.08</v>
      </c>
      <c r="L52" s="13">
        <v>3.07</v>
      </c>
    </row>
    <row r="53" spans="1:12" x14ac:dyDescent="0.3">
      <c r="A53" t="s">
        <v>12</v>
      </c>
      <c r="B53">
        <v>8</v>
      </c>
      <c r="C53">
        <v>1</v>
      </c>
      <c r="D53">
        <v>16</v>
      </c>
      <c r="E53" t="s">
        <v>96</v>
      </c>
      <c r="F53">
        <v>70</v>
      </c>
      <c r="H53">
        <v>12</v>
      </c>
      <c r="I53">
        <v>1.2</v>
      </c>
      <c r="J53">
        <v>14.4</v>
      </c>
      <c r="K53" s="13">
        <v>2.93</v>
      </c>
      <c r="L53" s="13">
        <v>2.93</v>
      </c>
    </row>
    <row r="54" spans="1:12" x14ac:dyDescent="0.3">
      <c r="A54" t="s">
        <v>12</v>
      </c>
      <c r="B54">
        <v>8</v>
      </c>
      <c r="C54">
        <v>1</v>
      </c>
      <c r="D54">
        <v>16</v>
      </c>
      <c r="E54" t="s">
        <v>96</v>
      </c>
      <c r="F54">
        <v>70</v>
      </c>
      <c r="H54">
        <v>32</v>
      </c>
      <c r="I54">
        <v>0.6</v>
      </c>
      <c r="J54">
        <v>19.2</v>
      </c>
      <c r="K54" s="13">
        <v>2.87</v>
      </c>
      <c r="L54" s="13">
        <v>2.86</v>
      </c>
    </row>
    <row r="55" spans="1:12" x14ac:dyDescent="0.3">
      <c r="A55" t="s">
        <v>12</v>
      </c>
      <c r="B55">
        <v>8</v>
      </c>
      <c r="C55">
        <v>1</v>
      </c>
      <c r="D55">
        <v>16</v>
      </c>
      <c r="E55" t="s">
        <v>96</v>
      </c>
      <c r="F55">
        <v>70</v>
      </c>
      <c r="H55">
        <v>16</v>
      </c>
      <c r="I55">
        <v>1.2</v>
      </c>
      <c r="J55">
        <v>19.2</v>
      </c>
      <c r="K55" s="13">
        <v>2.8</v>
      </c>
      <c r="L55" s="13">
        <v>2.8</v>
      </c>
    </row>
    <row r="56" spans="1:12" x14ac:dyDescent="0.3">
      <c r="A56" t="s">
        <v>12</v>
      </c>
      <c r="B56">
        <v>8</v>
      </c>
      <c r="C56">
        <v>1</v>
      </c>
      <c r="D56">
        <v>16</v>
      </c>
      <c r="E56" t="s">
        <v>96</v>
      </c>
      <c r="F56">
        <v>80</v>
      </c>
      <c r="H56">
        <v>2</v>
      </c>
      <c r="I56">
        <v>1</v>
      </c>
      <c r="J56">
        <v>2</v>
      </c>
      <c r="K56" s="13">
        <v>4.1100000000000003</v>
      </c>
      <c r="L56" s="13">
        <v>4.05</v>
      </c>
    </row>
    <row r="57" spans="1:12" x14ac:dyDescent="0.3">
      <c r="A57" t="s">
        <v>12</v>
      </c>
      <c r="B57">
        <v>8</v>
      </c>
      <c r="C57">
        <v>1</v>
      </c>
      <c r="D57">
        <v>16</v>
      </c>
      <c r="E57" t="s">
        <v>96</v>
      </c>
      <c r="F57">
        <v>80</v>
      </c>
      <c r="H57">
        <v>1</v>
      </c>
      <c r="I57">
        <v>5</v>
      </c>
      <c r="J57">
        <v>5</v>
      </c>
      <c r="K57" s="13">
        <v>3.69</v>
      </c>
      <c r="L57" s="13">
        <v>3.64</v>
      </c>
    </row>
    <row r="58" spans="1:12" x14ac:dyDescent="0.3">
      <c r="A58" t="s">
        <v>12</v>
      </c>
      <c r="B58">
        <v>8</v>
      </c>
      <c r="C58">
        <v>1</v>
      </c>
      <c r="D58">
        <v>16</v>
      </c>
      <c r="E58" t="s">
        <v>96</v>
      </c>
      <c r="F58">
        <v>80</v>
      </c>
      <c r="H58">
        <v>10</v>
      </c>
      <c r="I58">
        <v>0.6</v>
      </c>
      <c r="J58">
        <v>6</v>
      </c>
      <c r="K58" s="13">
        <v>4.91</v>
      </c>
      <c r="L58" s="13">
        <v>4.8</v>
      </c>
    </row>
    <row r="59" spans="1:12" x14ac:dyDescent="0.3">
      <c r="A59" t="s">
        <v>12</v>
      </c>
      <c r="B59">
        <v>8</v>
      </c>
      <c r="C59">
        <v>1</v>
      </c>
      <c r="D59">
        <v>16</v>
      </c>
      <c r="E59" t="s">
        <v>96</v>
      </c>
      <c r="F59">
        <v>80</v>
      </c>
      <c r="H59">
        <v>6</v>
      </c>
      <c r="I59">
        <v>1.2</v>
      </c>
      <c r="J59">
        <v>7.2</v>
      </c>
      <c r="K59" s="13">
        <v>5.3</v>
      </c>
      <c r="L59" s="13">
        <v>5.23</v>
      </c>
    </row>
    <row r="60" spans="1:12" x14ac:dyDescent="0.3">
      <c r="A60" t="s">
        <v>12</v>
      </c>
      <c r="B60">
        <v>8</v>
      </c>
      <c r="C60">
        <v>1</v>
      </c>
      <c r="D60">
        <v>16</v>
      </c>
      <c r="E60" t="s">
        <v>96</v>
      </c>
      <c r="F60">
        <v>80</v>
      </c>
      <c r="H60">
        <v>1</v>
      </c>
      <c r="I60">
        <v>10</v>
      </c>
      <c r="J60">
        <v>10</v>
      </c>
      <c r="K60" s="13">
        <v>3.69</v>
      </c>
      <c r="L60" s="13">
        <v>3.64</v>
      </c>
    </row>
    <row r="61" spans="1:12" x14ac:dyDescent="0.3">
      <c r="A61" t="s">
        <v>12</v>
      </c>
      <c r="B61">
        <v>8</v>
      </c>
      <c r="C61">
        <v>1</v>
      </c>
      <c r="D61">
        <v>16</v>
      </c>
      <c r="E61" t="s">
        <v>96</v>
      </c>
      <c r="F61">
        <v>80</v>
      </c>
      <c r="H61">
        <v>20</v>
      </c>
      <c r="I61">
        <v>0.6</v>
      </c>
      <c r="J61">
        <v>12</v>
      </c>
      <c r="K61" s="13">
        <v>5</v>
      </c>
      <c r="L61" s="13">
        <v>4.8899999999999997</v>
      </c>
    </row>
    <row r="62" spans="1:12" x14ac:dyDescent="0.3">
      <c r="A62" t="s">
        <v>12</v>
      </c>
      <c r="B62">
        <v>8</v>
      </c>
      <c r="C62">
        <v>1</v>
      </c>
      <c r="D62">
        <v>16</v>
      </c>
      <c r="E62" t="s">
        <v>96</v>
      </c>
      <c r="F62">
        <v>80</v>
      </c>
      <c r="H62">
        <v>12</v>
      </c>
      <c r="I62">
        <v>1.2</v>
      </c>
      <c r="J62">
        <v>14.4</v>
      </c>
      <c r="K62" s="13">
        <v>4.7300000000000004</v>
      </c>
      <c r="L62" s="13">
        <v>4.66</v>
      </c>
    </row>
    <row r="63" spans="1:12" x14ac:dyDescent="0.3">
      <c r="A63" t="s">
        <v>12</v>
      </c>
      <c r="B63">
        <v>8</v>
      </c>
      <c r="C63">
        <v>1</v>
      </c>
      <c r="D63">
        <v>16</v>
      </c>
      <c r="E63" t="s">
        <v>96</v>
      </c>
      <c r="F63">
        <v>80</v>
      </c>
      <c r="H63">
        <v>32</v>
      </c>
      <c r="I63">
        <v>0.6</v>
      </c>
      <c r="J63">
        <v>19.2</v>
      </c>
      <c r="K63" s="13">
        <v>4.66</v>
      </c>
      <c r="L63" s="13">
        <v>4.5599999999999996</v>
      </c>
    </row>
    <row r="64" spans="1:12" x14ac:dyDescent="0.3">
      <c r="A64" t="s">
        <v>12</v>
      </c>
      <c r="B64">
        <v>8</v>
      </c>
      <c r="C64">
        <v>1</v>
      </c>
      <c r="D64">
        <v>16</v>
      </c>
      <c r="E64" t="s">
        <v>96</v>
      </c>
      <c r="F64">
        <v>80</v>
      </c>
      <c r="H64">
        <v>16</v>
      </c>
      <c r="I64">
        <v>1.2</v>
      </c>
      <c r="J64">
        <v>19.2</v>
      </c>
      <c r="K64" s="13">
        <v>4.53</v>
      </c>
      <c r="L64" s="13">
        <v>5.26</v>
      </c>
    </row>
    <row r="65" spans="1:12" x14ac:dyDescent="0.3">
      <c r="A65" t="s">
        <v>12</v>
      </c>
      <c r="B65">
        <v>8</v>
      </c>
      <c r="C65">
        <v>1</v>
      </c>
      <c r="D65">
        <v>16</v>
      </c>
      <c r="E65" t="s">
        <v>96</v>
      </c>
      <c r="F65">
        <v>100</v>
      </c>
      <c r="H65">
        <v>2</v>
      </c>
      <c r="I65">
        <v>1</v>
      </c>
      <c r="J65">
        <v>2</v>
      </c>
      <c r="K65" s="13">
        <v>8.0399999999999991</v>
      </c>
      <c r="L65" s="13">
        <v>7.82</v>
      </c>
    </row>
    <row r="66" spans="1:12" x14ac:dyDescent="0.3">
      <c r="A66" t="s">
        <v>12</v>
      </c>
      <c r="B66">
        <v>8</v>
      </c>
      <c r="C66">
        <v>1</v>
      </c>
      <c r="D66">
        <v>16</v>
      </c>
      <c r="E66" t="s">
        <v>96</v>
      </c>
      <c r="F66">
        <v>100</v>
      </c>
      <c r="H66">
        <v>1</v>
      </c>
      <c r="I66">
        <v>5</v>
      </c>
      <c r="J66">
        <v>5</v>
      </c>
      <c r="K66" s="13">
        <v>7.21</v>
      </c>
      <c r="L66" s="13">
        <v>7.02</v>
      </c>
    </row>
    <row r="67" spans="1:12" x14ac:dyDescent="0.3">
      <c r="A67" t="s">
        <v>12</v>
      </c>
      <c r="B67">
        <v>8</v>
      </c>
      <c r="C67">
        <v>1</v>
      </c>
      <c r="D67">
        <v>16</v>
      </c>
      <c r="E67" t="s">
        <v>96</v>
      </c>
      <c r="F67">
        <v>100</v>
      </c>
      <c r="H67">
        <v>10</v>
      </c>
      <c r="I67">
        <v>0.6</v>
      </c>
      <c r="J67">
        <v>6</v>
      </c>
      <c r="K67" s="13">
        <v>9.58</v>
      </c>
      <c r="L67" s="13">
        <v>9.26</v>
      </c>
    </row>
    <row r="68" spans="1:12" x14ac:dyDescent="0.3">
      <c r="A68" t="s">
        <v>12</v>
      </c>
      <c r="B68">
        <v>8</v>
      </c>
      <c r="C68">
        <v>1</v>
      </c>
      <c r="D68">
        <v>16</v>
      </c>
      <c r="E68" t="s">
        <v>96</v>
      </c>
      <c r="F68">
        <v>100</v>
      </c>
      <c r="H68">
        <v>6</v>
      </c>
      <c r="I68">
        <v>1.2</v>
      </c>
      <c r="J68">
        <v>7.2</v>
      </c>
      <c r="K68" s="13">
        <v>10.37</v>
      </c>
      <c r="L68" s="13">
        <v>10.09</v>
      </c>
    </row>
    <row r="69" spans="1:12" x14ac:dyDescent="0.3">
      <c r="A69" t="s">
        <v>12</v>
      </c>
      <c r="B69">
        <v>8</v>
      </c>
      <c r="C69">
        <v>1</v>
      </c>
      <c r="D69">
        <v>16</v>
      </c>
      <c r="E69" t="s">
        <v>96</v>
      </c>
      <c r="F69">
        <v>100</v>
      </c>
      <c r="H69">
        <v>1</v>
      </c>
      <c r="I69">
        <v>10</v>
      </c>
      <c r="J69">
        <v>10</v>
      </c>
      <c r="K69" s="13">
        <v>7.21</v>
      </c>
      <c r="L69" s="13">
        <v>7.02</v>
      </c>
    </row>
    <row r="70" spans="1:12" x14ac:dyDescent="0.3">
      <c r="A70" t="s">
        <v>12</v>
      </c>
      <c r="B70">
        <v>8</v>
      </c>
      <c r="C70">
        <v>1</v>
      </c>
      <c r="D70">
        <v>16</v>
      </c>
      <c r="E70" t="s">
        <v>96</v>
      </c>
      <c r="F70">
        <v>100</v>
      </c>
      <c r="H70">
        <v>20</v>
      </c>
      <c r="I70">
        <v>0.6</v>
      </c>
      <c r="J70">
        <v>12</v>
      </c>
      <c r="K70" s="13">
        <v>9.76</v>
      </c>
      <c r="L70" s="13">
        <v>9.43</v>
      </c>
    </row>
    <row r="71" spans="1:12" x14ac:dyDescent="0.3">
      <c r="A71" t="s">
        <v>12</v>
      </c>
      <c r="B71">
        <v>8</v>
      </c>
      <c r="C71">
        <v>1</v>
      </c>
      <c r="D71">
        <v>16</v>
      </c>
      <c r="E71" t="s">
        <v>96</v>
      </c>
      <c r="F71">
        <v>100</v>
      </c>
      <c r="H71">
        <v>12</v>
      </c>
      <c r="I71">
        <v>1.2</v>
      </c>
      <c r="J71">
        <v>14.4</v>
      </c>
      <c r="K71" s="13">
        <v>9.25</v>
      </c>
      <c r="L71" s="13">
        <v>9</v>
      </c>
    </row>
    <row r="72" spans="1:12" x14ac:dyDescent="0.3">
      <c r="A72" t="s">
        <v>12</v>
      </c>
      <c r="B72">
        <v>8</v>
      </c>
      <c r="C72">
        <v>1</v>
      </c>
      <c r="D72">
        <v>16</v>
      </c>
      <c r="E72" t="s">
        <v>96</v>
      </c>
      <c r="F72">
        <v>100</v>
      </c>
      <c r="H72">
        <v>32</v>
      </c>
      <c r="I72">
        <v>0.6</v>
      </c>
      <c r="J72">
        <v>19.2</v>
      </c>
      <c r="K72" s="13">
        <v>9.09</v>
      </c>
      <c r="L72" s="13">
        <v>8.7899999999999991</v>
      </c>
    </row>
    <row r="73" spans="1:12" x14ac:dyDescent="0.3">
      <c r="A73" t="s">
        <v>12</v>
      </c>
      <c r="B73">
        <v>8</v>
      </c>
      <c r="C73">
        <v>1</v>
      </c>
      <c r="D73">
        <v>16</v>
      </c>
      <c r="E73" t="s">
        <v>96</v>
      </c>
      <c r="F73">
        <v>100</v>
      </c>
      <c r="H73">
        <v>16</v>
      </c>
      <c r="I73">
        <v>1.2</v>
      </c>
      <c r="J73">
        <v>19.2</v>
      </c>
      <c r="K73" s="13">
        <v>8.85</v>
      </c>
      <c r="L73" s="13">
        <v>8.61</v>
      </c>
    </row>
    <row r="74" spans="1:12" x14ac:dyDescent="0.3">
      <c r="A74" t="s">
        <v>12</v>
      </c>
      <c r="B74">
        <v>8</v>
      </c>
      <c r="C74">
        <v>1</v>
      </c>
      <c r="D74">
        <v>16</v>
      </c>
      <c r="E74" t="s">
        <v>96</v>
      </c>
      <c r="F74">
        <v>120</v>
      </c>
      <c r="H74">
        <v>2</v>
      </c>
      <c r="I74">
        <v>1</v>
      </c>
      <c r="J74">
        <v>2</v>
      </c>
      <c r="K74" s="13">
        <v>11.68</v>
      </c>
      <c r="L74" s="13">
        <v>13.28</v>
      </c>
    </row>
    <row r="75" spans="1:12" x14ac:dyDescent="0.3">
      <c r="A75" t="s">
        <v>12</v>
      </c>
      <c r="B75">
        <v>8</v>
      </c>
      <c r="C75">
        <v>1</v>
      </c>
      <c r="D75">
        <v>16</v>
      </c>
      <c r="E75" t="s">
        <v>96</v>
      </c>
      <c r="F75">
        <v>120</v>
      </c>
      <c r="H75">
        <v>1</v>
      </c>
      <c r="I75">
        <v>5</v>
      </c>
      <c r="J75">
        <v>5</v>
      </c>
      <c r="K75" s="13">
        <v>12.28</v>
      </c>
      <c r="L75" s="13">
        <v>11.92</v>
      </c>
    </row>
    <row r="76" spans="1:12" x14ac:dyDescent="0.3">
      <c r="A76" t="s">
        <v>12</v>
      </c>
      <c r="B76">
        <v>8</v>
      </c>
      <c r="C76">
        <v>1</v>
      </c>
      <c r="D76">
        <v>16</v>
      </c>
      <c r="E76" t="s">
        <v>96</v>
      </c>
      <c r="F76">
        <v>120</v>
      </c>
      <c r="H76">
        <v>10</v>
      </c>
      <c r="I76">
        <v>0.6</v>
      </c>
      <c r="J76">
        <v>6</v>
      </c>
      <c r="K76" s="13">
        <v>16.3</v>
      </c>
      <c r="L76" s="13">
        <v>15.71</v>
      </c>
    </row>
    <row r="77" spans="1:12" x14ac:dyDescent="0.3">
      <c r="A77" t="s">
        <v>12</v>
      </c>
      <c r="B77">
        <v>8</v>
      </c>
      <c r="C77">
        <v>1</v>
      </c>
      <c r="D77">
        <v>16</v>
      </c>
      <c r="E77" t="s">
        <v>96</v>
      </c>
      <c r="F77">
        <v>120</v>
      </c>
      <c r="H77">
        <v>6</v>
      </c>
      <c r="I77">
        <v>1.2</v>
      </c>
      <c r="J77">
        <v>7.2</v>
      </c>
      <c r="K77" s="13">
        <v>17.649999999999999</v>
      </c>
      <c r="L77" s="13">
        <v>17.13</v>
      </c>
    </row>
    <row r="78" spans="1:12" x14ac:dyDescent="0.3">
      <c r="A78" t="s">
        <v>12</v>
      </c>
      <c r="B78">
        <v>8</v>
      </c>
      <c r="C78">
        <v>1</v>
      </c>
      <c r="D78">
        <v>16</v>
      </c>
      <c r="E78" t="s">
        <v>96</v>
      </c>
      <c r="F78">
        <v>120</v>
      </c>
      <c r="H78">
        <v>1</v>
      </c>
      <c r="I78">
        <v>10</v>
      </c>
      <c r="J78">
        <v>10</v>
      </c>
      <c r="K78" s="13">
        <v>12.28</v>
      </c>
      <c r="L78" s="13">
        <v>11.92</v>
      </c>
    </row>
    <row r="79" spans="1:12" x14ac:dyDescent="0.3">
      <c r="A79" t="s">
        <v>12</v>
      </c>
      <c r="B79">
        <v>8</v>
      </c>
      <c r="C79">
        <v>1</v>
      </c>
      <c r="D79">
        <v>16</v>
      </c>
      <c r="E79" t="s">
        <v>96</v>
      </c>
      <c r="F79">
        <v>120</v>
      </c>
      <c r="H79">
        <v>20</v>
      </c>
      <c r="I79">
        <v>0.6</v>
      </c>
      <c r="J79">
        <v>12</v>
      </c>
      <c r="K79" s="13">
        <v>16.61</v>
      </c>
      <c r="L79" s="13">
        <v>16.010000000000002</v>
      </c>
    </row>
    <row r="80" spans="1:12" x14ac:dyDescent="0.3">
      <c r="A80" t="s">
        <v>12</v>
      </c>
      <c r="B80">
        <v>8</v>
      </c>
      <c r="C80">
        <v>1</v>
      </c>
      <c r="D80">
        <v>16</v>
      </c>
      <c r="E80" t="s">
        <v>96</v>
      </c>
      <c r="F80">
        <v>120</v>
      </c>
      <c r="H80">
        <v>12</v>
      </c>
      <c r="I80">
        <v>1.2</v>
      </c>
      <c r="J80">
        <v>14.4</v>
      </c>
      <c r="K80" s="13">
        <v>15.75</v>
      </c>
      <c r="L80" s="13">
        <v>15.28</v>
      </c>
    </row>
    <row r="81" spans="1:12" x14ac:dyDescent="0.3">
      <c r="A81" t="s">
        <v>12</v>
      </c>
      <c r="B81">
        <v>8</v>
      </c>
      <c r="C81">
        <v>1</v>
      </c>
      <c r="D81">
        <v>16</v>
      </c>
      <c r="E81" t="s">
        <v>96</v>
      </c>
      <c r="F81">
        <v>120</v>
      </c>
      <c r="H81">
        <v>32</v>
      </c>
      <c r="I81">
        <v>0.6</v>
      </c>
      <c r="J81">
        <v>19.2</v>
      </c>
      <c r="K81" s="13">
        <v>15.48</v>
      </c>
      <c r="L81" s="13">
        <v>14.92</v>
      </c>
    </row>
    <row r="82" spans="1:12" x14ac:dyDescent="0.3">
      <c r="A82" t="s">
        <v>12</v>
      </c>
      <c r="B82">
        <v>8</v>
      </c>
      <c r="C82">
        <v>1</v>
      </c>
      <c r="D82">
        <v>16</v>
      </c>
      <c r="E82" t="s">
        <v>96</v>
      </c>
      <c r="F82">
        <v>120</v>
      </c>
      <c r="H82">
        <v>16</v>
      </c>
      <c r="I82">
        <v>1.2</v>
      </c>
      <c r="J82">
        <v>19.2</v>
      </c>
      <c r="K82" s="13">
        <v>15.07</v>
      </c>
      <c r="L82" s="13">
        <v>14.63</v>
      </c>
    </row>
    <row r="83" spans="1:12" x14ac:dyDescent="0.3">
      <c r="A83" t="s">
        <v>12</v>
      </c>
      <c r="B83">
        <v>8</v>
      </c>
      <c r="C83">
        <v>1</v>
      </c>
      <c r="D83">
        <v>16</v>
      </c>
      <c r="E83" t="s">
        <v>96</v>
      </c>
      <c r="F83">
        <v>140</v>
      </c>
      <c r="H83">
        <v>2</v>
      </c>
      <c r="I83">
        <v>1</v>
      </c>
      <c r="J83">
        <v>2</v>
      </c>
      <c r="K83" s="13">
        <v>19.600000000000001</v>
      </c>
      <c r="L83" s="13">
        <v>19.010000000000002</v>
      </c>
    </row>
    <row r="84" spans="1:12" x14ac:dyDescent="0.3">
      <c r="A84" t="s">
        <v>12</v>
      </c>
      <c r="B84">
        <v>8</v>
      </c>
      <c r="C84">
        <v>1</v>
      </c>
      <c r="D84">
        <v>16</v>
      </c>
      <c r="E84" t="s">
        <v>96</v>
      </c>
      <c r="F84">
        <v>140</v>
      </c>
      <c r="H84">
        <v>1</v>
      </c>
      <c r="I84">
        <v>5</v>
      </c>
      <c r="J84">
        <v>5</v>
      </c>
      <c r="K84" s="13">
        <v>17.579999999999998</v>
      </c>
      <c r="L84" s="13">
        <v>17.05</v>
      </c>
    </row>
    <row r="85" spans="1:12" x14ac:dyDescent="0.3">
      <c r="A85" t="s">
        <v>12</v>
      </c>
      <c r="B85">
        <v>8</v>
      </c>
      <c r="C85">
        <v>1</v>
      </c>
      <c r="D85">
        <v>16</v>
      </c>
      <c r="E85" t="s">
        <v>96</v>
      </c>
      <c r="F85">
        <v>140</v>
      </c>
      <c r="H85">
        <v>10</v>
      </c>
      <c r="I85">
        <v>0.6</v>
      </c>
      <c r="J85">
        <v>6</v>
      </c>
      <c r="K85" s="13">
        <v>23.34</v>
      </c>
      <c r="L85" s="13">
        <v>22.49</v>
      </c>
    </row>
    <row r="86" spans="1:12" x14ac:dyDescent="0.3">
      <c r="A86" t="s">
        <v>12</v>
      </c>
      <c r="B86">
        <v>8</v>
      </c>
      <c r="C86">
        <v>1</v>
      </c>
      <c r="D86">
        <v>16</v>
      </c>
      <c r="E86" t="s">
        <v>96</v>
      </c>
      <c r="F86">
        <v>140</v>
      </c>
      <c r="H86">
        <v>6</v>
      </c>
      <c r="I86">
        <v>1.2</v>
      </c>
      <c r="J86">
        <v>7.2</v>
      </c>
      <c r="K86" s="13">
        <v>25.28</v>
      </c>
      <c r="L86" s="13">
        <v>24.51</v>
      </c>
    </row>
    <row r="87" spans="1:12" x14ac:dyDescent="0.3">
      <c r="A87" t="s">
        <v>12</v>
      </c>
      <c r="B87">
        <v>8</v>
      </c>
      <c r="C87">
        <v>1</v>
      </c>
      <c r="D87">
        <v>16</v>
      </c>
      <c r="E87" t="s">
        <v>96</v>
      </c>
      <c r="F87">
        <v>140</v>
      </c>
      <c r="H87">
        <v>1</v>
      </c>
      <c r="I87">
        <v>10</v>
      </c>
      <c r="J87">
        <v>10</v>
      </c>
      <c r="K87" s="13">
        <v>17.579999999999998</v>
      </c>
      <c r="L87" s="13">
        <v>17.05</v>
      </c>
    </row>
    <row r="88" spans="1:12" x14ac:dyDescent="0.3">
      <c r="A88" t="s">
        <v>12</v>
      </c>
      <c r="B88">
        <v>8</v>
      </c>
      <c r="C88">
        <v>1</v>
      </c>
      <c r="D88">
        <v>16</v>
      </c>
      <c r="E88" t="s">
        <v>96</v>
      </c>
      <c r="F88">
        <v>140</v>
      </c>
      <c r="H88">
        <v>20</v>
      </c>
      <c r="I88">
        <v>0.6</v>
      </c>
      <c r="J88">
        <v>12</v>
      </c>
      <c r="K88" s="13">
        <v>23.79</v>
      </c>
      <c r="L88" s="13">
        <v>22.92</v>
      </c>
    </row>
    <row r="89" spans="1:12" x14ac:dyDescent="0.3">
      <c r="A89" t="s">
        <v>12</v>
      </c>
      <c r="B89">
        <v>8</v>
      </c>
      <c r="C89">
        <v>1</v>
      </c>
      <c r="D89">
        <v>16</v>
      </c>
      <c r="E89" t="s">
        <v>96</v>
      </c>
      <c r="F89">
        <v>140</v>
      </c>
      <c r="H89">
        <v>12</v>
      </c>
      <c r="I89">
        <v>1.2</v>
      </c>
      <c r="J89">
        <v>14.4</v>
      </c>
      <c r="K89" s="13">
        <v>22.56</v>
      </c>
      <c r="L89" s="13">
        <v>21.87</v>
      </c>
    </row>
    <row r="90" spans="1:12" x14ac:dyDescent="0.3">
      <c r="A90" t="s">
        <v>12</v>
      </c>
      <c r="B90">
        <v>8</v>
      </c>
      <c r="C90">
        <v>1</v>
      </c>
      <c r="D90">
        <v>16</v>
      </c>
      <c r="E90" t="s">
        <v>96</v>
      </c>
      <c r="F90">
        <v>140</v>
      </c>
      <c r="H90">
        <v>32</v>
      </c>
      <c r="I90">
        <v>0.6</v>
      </c>
      <c r="J90">
        <v>19.2</v>
      </c>
      <c r="K90" s="13">
        <v>22.16</v>
      </c>
      <c r="L90" s="13">
        <v>21.35</v>
      </c>
    </row>
    <row r="91" spans="1:12" x14ac:dyDescent="0.3">
      <c r="A91" t="s">
        <v>12</v>
      </c>
      <c r="B91">
        <v>8</v>
      </c>
      <c r="C91">
        <v>1</v>
      </c>
      <c r="D91">
        <v>16</v>
      </c>
      <c r="E91" t="s">
        <v>96</v>
      </c>
      <c r="F91">
        <v>140</v>
      </c>
      <c r="H91">
        <v>16</v>
      </c>
      <c r="I91">
        <v>1.2</v>
      </c>
      <c r="J91">
        <v>19.2</v>
      </c>
      <c r="K91" s="13">
        <v>21.58</v>
      </c>
      <c r="L91" s="13">
        <v>20.93</v>
      </c>
    </row>
    <row r="92" spans="1:12" x14ac:dyDescent="0.3">
      <c r="A92" t="s">
        <v>12</v>
      </c>
      <c r="B92">
        <v>8</v>
      </c>
      <c r="C92">
        <v>1</v>
      </c>
      <c r="D92">
        <v>32</v>
      </c>
      <c r="E92" t="s">
        <v>95</v>
      </c>
      <c r="F92">
        <v>70</v>
      </c>
      <c r="H92">
        <v>2</v>
      </c>
      <c r="I92">
        <v>1</v>
      </c>
      <c r="J92">
        <v>2</v>
      </c>
      <c r="K92">
        <v>0.68</v>
      </c>
      <c r="L92">
        <v>1.37</v>
      </c>
    </row>
    <row r="93" spans="1:12" x14ac:dyDescent="0.3">
      <c r="A93" t="s">
        <v>12</v>
      </c>
      <c r="B93">
        <v>8</v>
      </c>
      <c r="C93">
        <v>1</v>
      </c>
      <c r="D93">
        <v>32</v>
      </c>
      <c r="E93" t="s">
        <v>95</v>
      </c>
      <c r="F93">
        <v>70</v>
      </c>
      <c r="H93">
        <v>1</v>
      </c>
      <c r="I93">
        <v>5</v>
      </c>
      <c r="J93">
        <v>5</v>
      </c>
      <c r="K93">
        <v>0.61</v>
      </c>
      <c r="L93">
        <v>1.22</v>
      </c>
    </row>
    <row r="94" spans="1:12" x14ac:dyDescent="0.3">
      <c r="A94" t="s">
        <v>12</v>
      </c>
      <c r="B94">
        <v>8</v>
      </c>
      <c r="C94">
        <v>1</v>
      </c>
      <c r="D94">
        <v>32</v>
      </c>
      <c r="E94" t="s">
        <v>95</v>
      </c>
      <c r="F94">
        <v>70</v>
      </c>
      <c r="H94">
        <v>10</v>
      </c>
      <c r="I94">
        <v>0.6</v>
      </c>
      <c r="J94">
        <v>6</v>
      </c>
      <c r="K94">
        <v>0.82</v>
      </c>
      <c r="L94">
        <v>1.61</v>
      </c>
    </row>
    <row r="95" spans="1:12" x14ac:dyDescent="0.3">
      <c r="A95" t="s">
        <v>12</v>
      </c>
      <c r="B95">
        <v>8</v>
      </c>
      <c r="C95">
        <v>1</v>
      </c>
      <c r="D95">
        <v>32</v>
      </c>
      <c r="E95" t="s">
        <v>95</v>
      </c>
      <c r="F95">
        <v>70</v>
      </c>
      <c r="H95">
        <v>6</v>
      </c>
      <c r="I95">
        <v>1.2</v>
      </c>
      <c r="J95">
        <v>7.2</v>
      </c>
      <c r="K95">
        <v>0.88</v>
      </c>
      <c r="L95">
        <v>1.76</v>
      </c>
    </row>
    <row r="96" spans="1:12" x14ac:dyDescent="0.3">
      <c r="A96" t="s">
        <v>12</v>
      </c>
      <c r="B96">
        <v>8</v>
      </c>
      <c r="C96">
        <v>1</v>
      </c>
      <c r="D96">
        <v>32</v>
      </c>
      <c r="E96" t="s">
        <v>95</v>
      </c>
      <c r="F96">
        <v>70</v>
      </c>
      <c r="H96">
        <v>1</v>
      </c>
      <c r="I96">
        <v>10</v>
      </c>
      <c r="J96">
        <v>10</v>
      </c>
      <c r="K96">
        <v>0.61</v>
      </c>
      <c r="L96">
        <v>1.22</v>
      </c>
    </row>
    <row r="97" spans="1:12" x14ac:dyDescent="0.3">
      <c r="A97" t="s">
        <v>12</v>
      </c>
      <c r="B97">
        <v>8</v>
      </c>
      <c r="C97">
        <v>1</v>
      </c>
      <c r="D97">
        <v>32</v>
      </c>
      <c r="E97" t="s">
        <v>95</v>
      </c>
      <c r="F97">
        <v>70</v>
      </c>
      <c r="H97">
        <v>20</v>
      </c>
      <c r="I97">
        <v>0.6</v>
      </c>
      <c r="J97">
        <v>12</v>
      </c>
      <c r="K97">
        <v>0.83</v>
      </c>
      <c r="L97">
        <v>1.64</v>
      </c>
    </row>
    <row r="98" spans="1:12" x14ac:dyDescent="0.3">
      <c r="A98" t="s">
        <v>12</v>
      </c>
      <c r="B98">
        <v>8</v>
      </c>
      <c r="C98">
        <v>1</v>
      </c>
      <c r="D98">
        <v>32</v>
      </c>
      <c r="E98" t="s">
        <v>95</v>
      </c>
      <c r="F98">
        <v>70</v>
      </c>
      <c r="H98">
        <v>12</v>
      </c>
      <c r="I98">
        <v>1.2</v>
      </c>
      <c r="J98">
        <v>14.4</v>
      </c>
      <c r="K98">
        <v>0.79</v>
      </c>
      <c r="L98">
        <v>1.57</v>
      </c>
    </row>
    <row r="99" spans="1:12" x14ac:dyDescent="0.3">
      <c r="A99" t="s">
        <v>12</v>
      </c>
      <c r="B99">
        <v>8</v>
      </c>
      <c r="C99">
        <v>1</v>
      </c>
      <c r="D99">
        <v>32</v>
      </c>
      <c r="E99" t="s">
        <v>95</v>
      </c>
      <c r="F99">
        <v>70</v>
      </c>
      <c r="H99">
        <v>32</v>
      </c>
      <c r="I99">
        <v>0.6</v>
      </c>
      <c r="J99">
        <v>19.2</v>
      </c>
      <c r="K99">
        <v>0.78</v>
      </c>
      <c r="L99">
        <v>1.52</v>
      </c>
    </row>
    <row r="100" spans="1:12" x14ac:dyDescent="0.3">
      <c r="A100" t="s">
        <v>12</v>
      </c>
      <c r="B100">
        <v>8</v>
      </c>
      <c r="C100">
        <v>1</v>
      </c>
      <c r="D100">
        <v>32</v>
      </c>
      <c r="E100" t="s">
        <v>95</v>
      </c>
      <c r="F100">
        <v>70</v>
      </c>
      <c r="H100">
        <v>16</v>
      </c>
      <c r="I100">
        <v>1.2</v>
      </c>
      <c r="J100">
        <v>19.2</v>
      </c>
      <c r="K100">
        <v>0.75</v>
      </c>
      <c r="L100">
        <v>1.59</v>
      </c>
    </row>
    <row r="101" spans="1:12" x14ac:dyDescent="0.3">
      <c r="A101" t="s">
        <v>12</v>
      </c>
      <c r="B101">
        <v>8</v>
      </c>
      <c r="C101">
        <v>1</v>
      </c>
      <c r="D101">
        <v>32</v>
      </c>
      <c r="E101" t="s">
        <v>95</v>
      </c>
      <c r="F101">
        <v>80</v>
      </c>
      <c r="H101">
        <v>2</v>
      </c>
      <c r="I101">
        <v>1</v>
      </c>
      <c r="J101">
        <v>2</v>
      </c>
      <c r="K101">
        <v>1.18</v>
      </c>
      <c r="L101">
        <v>2.1800000000000002</v>
      </c>
    </row>
    <row r="102" spans="1:12" x14ac:dyDescent="0.3">
      <c r="A102" t="s">
        <v>12</v>
      </c>
      <c r="B102">
        <v>8</v>
      </c>
      <c r="C102">
        <v>1</v>
      </c>
      <c r="D102">
        <v>32</v>
      </c>
      <c r="E102" t="s">
        <v>95</v>
      </c>
      <c r="F102">
        <v>80</v>
      </c>
      <c r="H102">
        <v>1</v>
      </c>
      <c r="I102">
        <v>5</v>
      </c>
      <c r="J102">
        <v>5</v>
      </c>
      <c r="K102">
        <v>1.06</v>
      </c>
      <c r="L102">
        <v>1.96</v>
      </c>
    </row>
    <row r="103" spans="1:12" x14ac:dyDescent="0.3">
      <c r="A103" t="s">
        <v>12</v>
      </c>
      <c r="B103">
        <v>8</v>
      </c>
      <c r="C103">
        <v>1</v>
      </c>
      <c r="D103">
        <v>32</v>
      </c>
      <c r="E103" t="s">
        <v>95</v>
      </c>
      <c r="F103">
        <v>80</v>
      </c>
      <c r="H103">
        <v>10</v>
      </c>
      <c r="I103">
        <v>0.6</v>
      </c>
      <c r="J103">
        <v>6</v>
      </c>
      <c r="K103">
        <v>1.4</v>
      </c>
      <c r="L103">
        <v>2.58</v>
      </c>
    </row>
    <row r="104" spans="1:12" x14ac:dyDescent="0.3">
      <c r="A104" t="s">
        <v>12</v>
      </c>
      <c r="B104">
        <v>8</v>
      </c>
      <c r="C104">
        <v>1</v>
      </c>
      <c r="D104">
        <v>32</v>
      </c>
      <c r="E104" t="s">
        <v>95</v>
      </c>
      <c r="F104">
        <v>80</v>
      </c>
      <c r="H104">
        <v>6</v>
      </c>
      <c r="I104">
        <v>1.2</v>
      </c>
      <c r="J104">
        <v>7.2</v>
      </c>
      <c r="K104">
        <v>1.52</v>
      </c>
      <c r="L104">
        <v>2.81</v>
      </c>
    </row>
    <row r="105" spans="1:12" x14ac:dyDescent="0.3">
      <c r="A105" t="s">
        <v>12</v>
      </c>
      <c r="B105">
        <v>8</v>
      </c>
      <c r="C105">
        <v>1</v>
      </c>
      <c r="D105">
        <v>32</v>
      </c>
      <c r="E105" t="s">
        <v>95</v>
      </c>
      <c r="F105">
        <v>80</v>
      </c>
      <c r="H105">
        <v>1</v>
      </c>
      <c r="I105">
        <v>10</v>
      </c>
      <c r="J105">
        <v>10</v>
      </c>
      <c r="K105">
        <v>1.06</v>
      </c>
      <c r="L105">
        <v>1.96</v>
      </c>
    </row>
    <row r="106" spans="1:12" x14ac:dyDescent="0.3">
      <c r="A106" t="s">
        <v>12</v>
      </c>
      <c r="B106">
        <v>8</v>
      </c>
      <c r="C106">
        <v>1</v>
      </c>
      <c r="D106">
        <v>32</v>
      </c>
      <c r="E106" t="s">
        <v>95</v>
      </c>
      <c r="F106">
        <v>80</v>
      </c>
      <c r="H106">
        <v>20</v>
      </c>
      <c r="I106">
        <v>0.6</v>
      </c>
      <c r="J106">
        <v>12</v>
      </c>
      <c r="K106">
        <v>1.43</v>
      </c>
      <c r="L106">
        <v>2.62</v>
      </c>
    </row>
    <row r="107" spans="1:12" x14ac:dyDescent="0.3">
      <c r="A107" t="s">
        <v>12</v>
      </c>
      <c r="B107">
        <v>8</v>
      </c>
      <c r="C107">
        <v>1</v>
      </c>
      <c r="D107">
        <v>32</v>
      </c>
      <c r="E107" t="s">
        <v>95</v>
      </c>
      <c r="F107">
        <v>80</v>
      </c>
      <c r="H107">
        <v>12</v>
      </c>
      <c r="I107">
        <v>1.2</v>
      </c>
      <c r="J107">
        <v>14.4</v>
      </c>
      <c r="K107">
        <v>1.36</v>
      </c>
      <c r="L107">
        <v>2.5099999999999998</v>
      </c>
    </row>
    <row r="108" spans="1:12" x14ac:dyDescent="0.3">
      <c r="A108" t="s">
        <v>12</v>
      </c>
      <c r="B108">
        <v>8</v>
      </c>
      <c r="C108">
        <v>1</v>
      </c>
      <c r="D108">
        <v>32</v>
      </c>
      <c r="E108" t="s">
        <v>95</v>
      </c>
      <c r="F108">
        <v>80</v>
      </c>
      <c r="H108">
        <v>32</v>
      </c>
      <c r="I108">
        <v>0.6</v>
      </c>
      <c r="J108">
        <v>19.2</v>
      </c>
      <c r="K108">
        <v>1.33</v>
      </c>
      <c r="L108">
        <v>2.4500000000000002</v>
      </c>
    </row>
    <row r="109" spans="1:12" x14ac:dyDescent="0.3">
      <c r="A109" t="s">
        <v>12</v>
      </c>
      <c r="B109">
        <v>8</v>
      </c>
      <c r="C109">
        <v>1</v>
      </c>
      <c r="D109">
        <v>32</v>
      </c>
      <c r="E109" t="s">
        <v>95</v>
      </c>
      <c r="F109">
        <v>80</v>
      </c>
      <c r="H109">
        <v>16</v>
      </c>
      <c r="I109">
        <v>1.2</v>
      </c>
      <c r="J109">
        <v>19.2</v>
      </c>
      <c r="K109">
        <v>1.3</v>
      </c>
      <c r="L109">
        <v>2.4</v>
      </c>
    </row>
    <row r="110" spans="1:12" x14ac:dyDescent="0.3">
      <c r="A110" t="s">
        <v>12</v>
      </c>
      <c r="B110">
        <v>8</v>
      </c>
      <c r="C110">
        <v>1</v>
      </c>
      <c r="D110">
        <v>32</v>
      </c>
      <c r="E110" t="s">
        <v>95</v>
      </c>
      <c r="F110">
        <v>100</v>
      </c>
      <c r="H110">
        <v>2</v>
      </c>
      <c r="I110">
        <v>1</v>
      </c>
      <c r="J110">
        <v>2</v>
      </c>
      <c r="K110">
        <v>2.56</v>
      </c>
      <c r="L110">
        <v>4.28</v>
      </c>
    </row>
    <row r="111" spans="1:12" x14ac:dyDescent="0.3">
      <c r="A111" t="s">
        <v>12</v>
      </c>
      <c r="B111">
        <v>8</v>
      </c>
      <c r="C111">
        <v>1</v>
      </c>
      <c r="D111">
        <v>32</v>
      </c>
      <c r="E111" t="s">
        <v>95</v>
      </c>
      <c r="F111">
        <v>100</v>
      </c>
      <c r="H111">
        <v>1</v>
      </c>
      <c r="I111">
        <v>5</v>
      </c>
      <c r="J111">
        <v>5</v>
      </c>
      <c r="K111">
        <v>2.29</v>
      </c>
      <c r="L111">
        <v>3.84</v>
      </c>
    </row>
    <row r="112" spans="1:12" x14ac:dyDescent="0.3">
      <c r="A112" t="s">
        <v>12</v>
      </c>
      <c r="B112">
        <v>8</v>
      </c>
      <c r="C112">
        <v>1</v>
      </c>
      <c r="D112">
        <v>32</v>
      </c>
      <c r="E112" t="s">
        <v>95</v>
      </c>
      <c r="F112">
        <v>100</v>
      </c>
      <c r="H112">
        <v>10</v>
      </c>
      <c r="I112">
        <v>0.6</v>
      </c>
      <c r="J112">
        <v>6</v>
      </c>
      <c r="K112">
        <v>3.04</v>
      </c>
      <c r="L112">
        <v>5.05</v>
      </c>
    </row>
    <row r="113" spans="1:12" x14ac:dyDescent="0.3">
      <c r="A113" t="s">
        <v>12</v>
      </c>
      <c r="B113">
        <v>8</v>
      </c>
      <c r="C113">
        <v>1</v>
      </c>
      <c r="D113">
        <v>32</v>
      </c>
      <c r="E113" t="s">
        <v>95</v>
      </c>
      <c r="F113">
        <v>100</v>
      </c>
      <c r="H113">
        <v>6</v>
      </c>
      <c r="I113">
        <v>1.2</v>
      </c>
      <c r="J113">
        <v>7.2</v>
      </c>
      <c r="K113">
        <v>3.3</v>
      </c>
      <c r="L113">
        <v>5.52</v>
      </c>
    </row>
    <row r="114" spans="1:12" x14ac:dyDescent="0.3">
      <c r="A114" t="s">
        <v>12</v>
      </c>
      <c r="B114">
        <v>8</v>
      </c>
      <c r="C114">
        <v>1</v>
      </c>
      <c r="D114">
        <v>32</v>
      </c>
      <c r="E114" t="s">
        <v>95</v>
      </c>
      <c r="F114">
        <v>100</v>
      </c>
      <c r="H114">
        <v>1</v>
      </c>
      <c r="I114">
        <v>10</v>
      </c>
      <c r="J114">
        <v>10</v>
      </c>
      <c r="K114">
        <v>2.29</v>
      </c>
      <c r="L114">
        <v>3.84</v>
      </c>
    </row>
    <row r="115" spans="1:12" x14ac:dyDescent="0.3">
      <c r="A115" t="s">
        <v>12</v>
      </c>
      <c r="B115">
        <v>8</v>
      </c>
      <c r="C115">
        <v>1</v>
      </c>
      <c r="D115">
        <v>32</v>
      </c>
      <c r="E115" t="s">
        <v>95</v>
      </c>
      <c r="F115">
        <v>100</v>
      </c>
      <c r="H115">
        <v>20</v>
      </c>
      <c r="I115">
        <v>0.6</v>
      </c>
      <c r="J115">
        <v>12</v>
      </c>
      <c r="K115">
        <v>3.1</v>
      </c>
      <c r="L115">
        <v>5.15</v>
      </c>
    </row>
    <row r="116" spans="1:12" x14ac:dyDescent="0.3">
      <c r="A116" t="s">
        <v>12</v>
      </c>
      <c r="B116">
        <v>8</v>
      </c>
      <c r="C116">
        <v>1</v>
      </c>
      <c r="D116">
        <v>32</v>
      </c>
      <c r="E116" t="s">
        <v>95</v>
      </c>
      <c r="F116">
        <v>100</v>
      </c>
      <c r="H116">
        <v>12</v>
      </c>
      <c r="I116">
        <v>1.2</v>
      </c>
      <c r="J116">
        <v>14.4</v>
      </c>
      <c r="K116">
        <v>2.94</v>
      </c>
      <c r="L116">
        <v>4.92</v>
      </c>
    </row>
    <row r="117" spans="1:12" x14ac:dyDescent="0.3">
      <c r="A117" t="s">
        <v>12</v>
      </c>
      <c r="B117">
        <v>8</v>
      </c>
      <c r="C117">
        <v>1</v>
      </c>
      <c r="D117">
        <v>32</v>
      </c>
      <c r="E117" t="s">
        <v>95</v>
      </c>
      <c r="F117">
        <v>100</v>
      </c>
      <c r="H117">
        <v>32</v>
      </c>
      <c r="I117">
        <v>0.6</v>
      </c>
      <c r="J117">
        <v>19.2</v>
      </c>
      <c r="K117">
        <v>2.89</v>
      </c>
      <c r="L117">
        <v>4.8</v>
      </c>
    </row>
    <row r="118" spans="1:12" x14ac:dyDescent="0.3">
      <c r="A118" t="s">
        <v>12</v>
      </c>
      <c r="B118">
        <v>8</v>
      </c>
      <c r="C118">
        <v>1</v>
      </c>
      <c r="D118">
        <v>32</v>
      </c>
      <c r="E118" t="s">
        <v>95</v>
      </c>
      <c r="F118">
        <v>100</v>
      </c>
      <c r="H118">
        <v>16</v>
      </c>
      <c r="I118">
        <v>1.2</v>
      </c>
      <c r="J118">
        <v>19.2</v>
      </c>
      <c r="K118">
        <v>2.82</v>
      </c>
      <c r="L118">
        <v>4.71</v>
      </c>
    </row>
    <row r="119" spans="1:12" x14ac:dyDescent="0.3">
      <c r="A119" t="s">
        <v>12</v>
      </c>
      <c r="B119">
        <v>8</v>
      </c>
      <c r="C119">
        <v>1</v>
      </c>
      <c r="D119">
        <v>32</v>
      </c>
      <c r="E119" t="s">
        <v>95</v>
      </c>
      <c r="F119">
        <v>120</v>
      </c>
      <c r="H119">
        <v>2</v>
      </c>
      <c r="I119">
        <v>1</v>
      </c>
      <c r="J119">
        <v>2</v>
      </c>
      <c r="K119">
        <v>4.6100000000000003</v>
      </c>
      <c r="L119">
        <v>7.33</v>
      </c>
    </row>
    <row r="120" spans="1:12" x14ac:dyDescent="0.3">
      <c r="A120" t="s">
        <v>12</v>
      </c>
      <c r="B120">
        <v>8</v>
      </c>
      <c r="C120">
        <v>1</v>
      </c>
      <c r="D120">
        <v>32</v>
      </c>
      <c r="E120" t="s">
        <v>95</v>
      </c>
      <c r="F120">
        <v>120</v>
      </c>
      <c r="H120">
        <v>1</v>
      </c>
      <c r="I120">
        <v>5</v>
      </c>
      <c r="J120">
        <v>5</v>
      </c>
      <c r="K120">
        <v>4.1399999999999997</v>
      </c>
      <c r="L120">
        <v>6.58</v>
      </c>
    </row>
    <row r="121" spans="1:12" x14ac:dyDescent="0.3">
      <c r="A121" t="s">
        <v>12</v>
      </c>
      <c r="B121">
        <v>8</v>
      </c>
      <c r="C121">
        <v>1</v>
      </c>
      <c r="D121">
        <v>32</v>
      </c>
      <c r="E121" t="s">
        <v>95</v>
      </c>
      <c r="F121">
        <v>120</v>
      </c>
      <c r="H121">
        <v>10</v>
      </c>
      <c r="I121">
        <v>0.6</v>
      </c>
      <c r="J121">
        <v>6</v>
      </c>
      <c r="K121">
        <v>5.48</v>
      </c>
      <c r="L121">
        <v>8.68</v>
      </c>
    </row>
    <row r="122" spans="1:12" x14ac:dyDescent="0.3">
      <c r="A122" t="s">
        <v>12</v>
      </c>
      <c r="B122">
        <v>8</v>
      </c>
      <c r="C122">
        <v>1</v>
      </c>
      <c r="D122">
        <v>32</v>
      </c>
      <c r="E122" t="s">
        <v>95</v>
      </c>
      <c r="F122">
        <v>120</v>
      </c>
      <c r="H122">
        <v>6</v>
      </c>
      <c r="I122">
        <v>1.2</v>
      </c>
      <c r="J122">
        <v>7.2</v>
      </c>
      <c r="K122">
        <v>5.95</v>
      </c>
      <c r="L122">
        <v>9.4600000000000009</v>
      </c>
    </row>
    <row r="123" spans="1:12" x14ac:dyDescent="0.3">
      <c r="A123" t="s">
        <v>12</v>
      </c>
      <c r="B123">
        <v>8</v>
      </c>
      <c r="C123">
        <v>1</v>
      </c>
      <c r="D123">
        <v>32</v>
      </c>
      <c r="E123" t="s">
        <v>95</v>
      </c>
      <c r="F123">
        <v>120</v>
      </c>
      <c r="H123">
        <v>1</v>
      </c>
      <c r="I123">
        <v>10</v>
      </c>
      <c r="J123">
        <v>10</v>
      </c>
      <c r="K123">
        <v>4.1399999999999997</v>
      </c>
      <c r="L123">
        <v>6.58</v>
      </c>
    </row>
    <row r="124" spans="1:12" x14ac:dyDescent="0.3">
      <c r="A124" t="s">
        <v>12</v>
      </c>
      <c r="B124">
        <v>8</v>
      </c>
      <c r="C124">
        <v>1</v>
      </c>
      <c r="D124">
        <v>32</v>
      </c>
      <c r="E124" t="s">
        <v>95</v>
      </c>
      <c r="F124">
        <v>120</v>
      </c>
      <c r="H124">
        <v>20</v>
      </c>
      <c r="I124">
        <v>0.6</v>
      </c>
      <c r="J124">
        <v>12</v>
      </c>
      <c r="K124">
        <v>5.59</v>
      </c>
      <c r="L124">
        <v>8.85</v>
      </c>
    </row>
    <row r="125" spans="1:12" x14ac:dyDescent="0.3">
      <c r="A125" t="s">
        <v>12</v>
      </c>
      <c r="B125">
        <v>8</v>
      </c>
      <c r="C125">
        <v>1</v>
      </c>
      <c r="D125">
        <v>32</v>
      </c>
      <c r="E125" t="s">
        <v>95</v>
      </c>
      <c r="F125">
        <v>120</v>
      </c>
      <c r="H125">
        <v>12</v>
      </c>
      <c r="I125">
        <v>1.2</v>
      </c>
      <c r="J125">
        <v>14.4</v>
      </c>
      <c r="K125">
        <v>5.31</v>
      </c>
      <c r="L125">
        <v>8.44</v>
      </c>
    </row>
    <row r="126" spans="1:12" x14ac:dyDescent="0.3">
      <c r="A126" t="s">
        <v>12</v>
      </c>
      <c r="B126">
        <v>8</v>
      </c>
      <c r="C126">
        <v>1</v>
      </c>
      <c r="D126">
        <v>32</v>
      </c>
      <c r="E126" t="s">
        <v>95</v>
      </c>
      <c r="F126">
        <v>120</v>
      </c>
      <c r="H126">
        <v>32</v>
      </c>
      <c r="I126">
        <v>0.6</v>
      </c>
      <c r="J126">
        <v>19.2</v>
      </c>
      <c r="K126">
        <v>5.21</v>
      </c>
      <c r="L126">
        <v>8.25</v>
      </c>
    </row>
    <row r="127" spans="1:12" x14ac:dyDescent="0.3">
      <c r="A127" t="s">
        <v>12</v>
      </c>
      <c r="B127">
        <v>8</v>
      </c>
      <c r="C127">
        <v>1</v>
      </c>
      <c r="D127">
        <v>32</v>
      </c>
      <c r="E127" t="s">
        <v>95</v>
      </c>
      <c r="F127">
        <v>120</v>
      </c>
      <c r="H127">
        <v>16</v>
      </c>
      <c r="I127">
        <v>1.2</v>
      </c>
      <c r="J127">
        <v>19.2</v>
      </c>
      <c r="K127">
        <v>5.08</v>
      </c>
      <c r="L127">
        <v>8.08</v>
      </c>
    </row>
    <row r="128" spans="1:12" x14ac:dyDescent="0.3">
      <c r="A128" t="s">
        <v>12</v>
      </c>
      <c r="B128">
        <v>8</v>
      </c>
      <c r="C128">
        <v>1</v>
      </c>
      <c r="D128">
        <v>32</v>
      </c>
      <c r="E128" t="s">
        <v>95</v>
      </c>
      <c r="F128">
        <v>140</v>
      </c>
      <c r="H128">
        <v>2</v>
      </c>
      <c r="I128">
        <v>1</v>
      </c>
      <c r="J128">
        <v>2</v>
      </c>
      <c r="K128">
        <v>6.88</v>
      </c>
      <c r="L128">
        <v>10.59</v>
      </c>
    </row>
    <row r="129" spans="1:12" x14ac:dyDescent="0.3">
      <c r="A129" t="s">
        <v>12</v>
      </c>
      <c r="B129">
        <v>8</v>
      </c>
      <c r="C129">
        <v>1</v>
      </c>
      <c r="D129">
        <v>32</v>
      </c>
      <c r="E129" t="s">
        <v>95</v>
      </c>
      <c r="F129">
        <v>140</v>
      </c>
      <c r="H129">
        <v>1</v>
      </c>
      <c r="I129">
        <v>5</v>
      </c>
      <c r="J129">
        <v>5</v>
      </c>
      <c r="K129">
        <v>6.17</v>
      </c>
      <c r="L129">
        <v>9.5</v>
      </c>
    </row>
    <row r="130" spans="1:12" x14ac:dyDescent="0.3">
      <c r="A130" t="s">
        <v>12</v>
      </c>
      <c r="B130">
        <v>8</v>
      </c>
      <c r="C130">
        <v>1</v>
      </c>
      <c r="D130">
        <v>32</v>
      </c>
      <c r="E130" t="s">
        <v>95</v>
      </c>
      <c r="F130">
        <v>140</v>
      </c>
      <c r="H130">
        <v>10</v>
      </c>
      <c r="I130">
        <v>0.6</v>
      </c>
      <c r="J130">
        <v>6</v>
      </c>
      <c r="K130">
        <v>8.1999999999999993</v>
      </c>
      <c r="L130">
        <v>12.51</v>
      </c>
    </row>
    <row r="131" spans="1:12" x14ac:dyDescent="0.3">
      <c r="A131" t="s">
        <v>12</v>
      </c>
      <c r="B131">
        <v>8</v>
      </c>
      <c r="C131">
        <v>1</v>
      </c>
      <c r="D131">
        <v>32</v>
      </c>
      <c r="E131" t="s">
        <v>95</v>
      </c>
      <c r="F131">
        <v>140</v>
      </c>
      <c r="H131">
        <v>6</v>
      </c>
      <c r="I131">
        <v>1.2</v>
      </c>
      <c r="J131">
        <v>7.2</v>
      </c>
      <c r="K131">
        <v>8.8699999999999992</v>
      </c>
      <c r="L131">
        <v>13.66</v>
      </c>
    </row>
    <row r="132" spans="1:12" x14ac:dyDescent="0.3">
      <c r="A132" t="s">
        <v>12</v>
      </c>
      <c r="B132">
        <v>8</v>
      </c>
      <c r="C132">
        <v>1</v>
      </c>
      <c r="D132">
        <v>32</v>
      </c>
      <c r="E132" t="s">
        <v>95</v>
      </c>
      <c r="F132">
        <v>140</v>
      </c>
      <c r="H132">
        <v>1</v>
      </c>
      <c r="I132">
        <v>10</v>
      </c>
      <c r="J132">
        <v>10</v>
      </c>
      <c r="K132">
        <v>6.17</v>
      </c>
      <c r="L132">
        <v>9.5</v>
      </c>
    </row>
    <row r="133" spans="1:12" x14ac:dyDescent="0.3">
      <c r="A133" t="s">
        <v>12</v>
      </c>
      <c r="B133">
        <v>8</v>
      </c>
      <c r="C133">
        <v>1</v>
      </c>
      <c r="D133">
        <v>32</v>
      </c>
      <c r="E133" t="s">
        <v>95</v>
      </c>
      <c r="F133">
        <v>140</v>
      </c>
      <c r="H133">
        <v>20</v>
      </c>
      <c r="I133">
        <v>0.6</v>
      </c>
      <c r="J133">
        <v>12</v>
      </c>
      <c r="K133">
        <v>8.36</v>
      </c>
      <c r="L133">
        <v>12.75</v>
      </c>
    </row>
    <row r="134" spans="1:12" x14ac:dyDescent="0.3">
      <c r="A134" t="s">
        <v>12</v>
      </c>
      <c r="B134">
        <v>8</v>
      </c>
      <c r="C134">
        <v>1</v>
      </c>
      <c r="D134">
        <v>32</v>
      </c>
      <c r="E134" t="s">
        <v>95</v>
      </c>
      <c r="F134">
        <v>140</v>
      </c>
      <c r="H134">
        <v>12</v>
      </c>
      <c r="I134">
        <v>1.2</v>
      </c>
      <c r="J134">
        <v>14.4</v>
      </c>
      <c r="K134">
        <v>7.92</v>
      </c>
      <c r="L134">
        <v>12.19</v>
      </c>
    </row>
    <row r="135" spans="1:12" x14ac:dyDescent="0.3">
      <c r="A135" t="s">
        <v>12</v>
      </c>
      <c r="B135">
        <v>8</v>
      </c>
      <c r="C135">
        <v>1</v>
      </c>
      <c r="D135">
        <v>32</v>
      </c>
      <c r="E135" t="s">
        <v>95</v>
      </c>
      <c r="F135">
        <v>140</v>
      </c>
      <c r="H135">
        <v>32</v>
      </c>
      <c r="I135">
        <v>0.6</v>
      </c>
      <c r="J135">
        <v>19.2</v>
      </c>
      <c r="K135">
        <v>7.79</v>
      </c>
      <c r="L135">
        <v>11.88</v>
      </c>
    </row>
    <row r="136" spans="1:12" x14ac:dyDescent="0.3">
      <c r="A136" t="s">
        <v>12</v>
      </c>
      <c r="B136">
        <v>8</v>
      </c>
      <c r="C136">
        <v>1</v>
      </c>
      <c r="D136">
        <v>32</v>
      </c>
      <c r="E136" t="s">
        <v>95</v>
      </c>
      <c r="F136">
        <v>140</v>
      </c>
      <c r="H136">
        <v>16</v>
      </c>
      <c r="I136">
        <v>1.2</v>
      </c>
      <c r="J136">
        <v>19.2</v>
      </c>
      <c r="K136">
        <v>7.58</v>
      </c>
      <c r="L136">
        <v>11.66</v>
      </c>
    </row>
    <row r="137" spans="1:12" x14ac:dyDescent="0.3">
      <c r="A137" t="s">
        <v>12</v>
      </c>
      <c r="B137">
        <v>8</v>
      </c>
      <c r="C137">
        <v>1</v>
      </c>
      <c r="D137">
        <v>32</v>
      </c>
      <c r="E137" t="s">
        <v>96</v>
      </c>
      <c r="F137">
        <v>70</v>
      </c>
      <c r="H137">
        <v>2</v>
      </c>
      <c r="I137">
        <v>1</v>
      </c>
      <c r="J137">
        <v>2</v>
      </c>
      <c r="K137">
        <v>0.57999999999999996</v>
      </c>
      <c r="L137">
        <v>1.01</v>
      </c>
    </row>
    <row r="138" spans="1:12" x14ac:dyDescent="0.3">
      <c r="A138" t="s">
        <v>12</v>
      </c>
      <c r="B138">
        <v>8</v>
      </c>
      <c r="C138">
        <v>1</v>
      </c>
      <c r="D138">
        <v>32</v>
      </c>
      <c r="E138" t="s">
        <v>96</v>
      </c>
      <c r="F138">
        <v>70</v>
      </c>
      <c r="H138">
        <v>1</v>
      </c>
      <c r="I138">
        <v>5</v>
      </c>
      <c r="J138">
        <v>5</v>
      </c>
      <c r="K138">
        <v>0.52</v>
      </c>
      <c r="L138">
        <v>0.91</v>
      </c>
    </row>
    <row r="139" spans="1:12" x14ac:dyDescent="0.3">
      <c r="A139" t="s">
        <v>12</v>
      </c>
      <c r="B139">
        <v>8</v>
      </c>
      <c r="C139">
        <v>1</v>
      </c>
      <c r="D139">
        <v>32</v>
      </c>
      <c r="E139" t="s">
        <v>96</v>
      </c>
      <c r="F139">
        <v>70</v>
      </c>
      <c r="H139">
        <v>10</v>
      </c>
      <c r="I139">
        <v>0.6</v>
      </c>
      <c r="J139">
        <v>6</v>
      </c>
      <c r="K139">
        <v>0.69</v>
      </c>
      <c r="L139">
        <v>1.19</v>
      </c>
    </row>
    <row r="140" spans="1:12" x14ac:dyDescent="0.3">
      <c r="A140" t="s">
        <v>12</v>
      </c>
      <c r="B140">
        <v>8</v>
      </c>
      <c r="C140">
        <v>1</v>
      </c>
      <c r="D140">
        <v>32</v>
      </c>
      <c r="E140" t="s">
        <v>96</v>
      </c>
      <c r="F140">
        <v>70</v>
      </c>
      <c r="H140">
        <v>6</v>
      </c>
      <c r="I140">
        <v>1.2</v>
      </c>
      <c r="J140">
        <v>7.2</v>
      </c>
      <c r="K140">
        <v>0.75</v>
      </c>
      <c r="L140">
        <v>1.3</v>
      </c>
    </row>
    <row r="141" spans="1:12" x14ac:dyDescent="0.3">
      <c r="A141" t="s">
        <v>12</v>
      </c>
      <c r="B141">
        <v>8</v>
      </c>
      <c r="C141">
        <v>1</v>
      </c>
      <c r="D141">
        <v>32</v>
      </c>
      <c r="E141" t="s">
        <v>96</v>
      </c>
      <c r="F141">
        <v>70</v>
      </c>
      <c r="H141">
        <v>1</v>
      </c>
      <c r="I141">
        <v>10</v>
      </c>
      <c r="J141">
        <v>10</v>
      </c>
      <c r="K141">
        <v>0.52</v>
      </c>
      <c r="L141">
        <v>0.91</v>
      </c>
    </row>
    <row r="142" spans="1:12" x14ac:dyDescent="0.3">
      <c r="A142" t="s">
        <v>12</v>
      </c>
      <c r="B142">
        <v>8</v>
      </c>
      <c r="C142">
        <v>1</v>
      </c>
      <c r="D142">
        <v>32</v>
      </c>
      <c r="E142" t="s">
        <v>96</v>
      </c>
      <c r="F142">
        <v>70</v>
      </c>
      <c r="H142">
        <v>20</v>
      </c>
      <c r="I142">
        <v>0.6</v>
      </c>
      <c r="J142">
        <v>12</v>
      </c>
      <c r="K142">
        <v>0.7</v>
      </c>
      <c r="L142">
        <v>1.22</v>
      </c>
    </row>
    <row r="143" spans="1:12" x14ac:dyDescent="0.3">
      <c r="A143" t="s">
        <v>12</v>
      </c>
      <c r="B143">
        <v>8</v>
      </c>
      <c r="C143">
        <v>1</v>
      </c>
      <c r="D143">
        <v>32</v>
      </c>
      <c r="E143" t="s">
        <v>96</v>
      </c>
      <c r="F143">
        <v>70</v>
      </c>
      <c r="H143">
        <v>12</v>
      </c>
      <c r="I143">
        <v>1.2</v>
      </c>
      <c r="J143">
        <v>14.4</v>
      </c>
      <c r="K143">
        <v>0.67</v>
      </c>
      <c r="L143">
        <v>1.1599999999999999</v>
      </c>
    </row>
    <row r="144" spans="1:12" x14ac:dyDescent="0.3">
      <c r="A144" t="s">
        <v>12</v>
      </c>
      <c r="B144">
        <v>8</v>
      </c>
      <c r="C144">
        <v>1</v>
      </c>
      <c r="D144">
        <v>32</v>
      </c>
      <c r="E144" t="s">
        <v>96</v>
      </c>
      <c r="F144">
        <v>70</v>
      </c>
      <c r="H144">
        <v>32</v>
      </c>
      <c r="I144">
        <v>0.6</v>
      </c>
      <c r="J144">
        <v>19.2</v>
      </c>
      <c r="K144">
        <v>0.66</v>
      </c>
      <c r="L144">
        <v>1.1299999999999999</v>
      </c>
    </row>
    <row r="145" spans="1:12" x14ac:dyDescent="0.3">
      <c r="A145" t="s">
        <v>12</v>
      </c>
      <c r="B145">
        <v>8</v>
      </c>
      <c r="C145">
        <v>1</v>
      </c>
      <c r="D145">
        <v>32</v>
      </c>
      <c r="E145" t="s">
        <v>96</v>
      </c>
      <c r="F145">
        <v>70</v>
      </c>
      <c r="H145">
        <v>16</v>
      </c>
      <c r="I145">
        <v>1.2</v>
      </c>
      <c r="J145">
        <v>19.2</v>
      </c>
      <c r="K145">
        <v>0.64</v>
      </c>
      <c r="L145">
        <v>1.1100000000000001</v>
      </c>
    </row>
    <row r="146" spans="1:12" x14ac:dyDescent="0.3">
      <c r="A146" t="s">
        <v>12</v>
      </c>
      <c r="B146">
        <v>8</v>
      </c>
      <c r="C146">
        <v>1</v>
      </c>
      <c r="D146">
        <v>32</v>
      </c>
      <c r="E146" t="s">
        <v>96</v>
      </c>
      <c r="F146">
        <v>80</v>
      </c>
      <c r="H146">
        <v>2</v>
      </c>
      <c r="I146">
        <v>1</v>
      </c>
      <c r="J146">
        <v>2</v>
      </c>
      <c r="K146">
        <v>1.03</v>
      </c>
      <c r="L146">
        <v>1.66</v>
      </c>
    </row>
    <row r="147" spans="1:12" x14ac:dyDescent="0.3">
      <c r="A147" t="s">
        <v>12</v>
      </c>
      <c r="B147">
        <v>8</v>
      </c>
      <c r="C147">
        <v>1</v>
      </c>
      <c r="D147">
        <v>32</v>
      </c>
      <c r="E147" t="s">
        <v>96</v>
      </c>
      <c r="F147">
        <v>80</v>
      </c>
      <c r="H147">
        <v>1</v>
      </c>
      <c r="I147">
        <v>5</v>
      </c>
      <c r="J147">
        <v>5</v>
      </c>
      <c r="K147">
        <v>0.92</v>
      </c>
      <c r="L147">
        <v>1.49</v>
      </c>
    </row>
    <row r="148" spans="1:12" x14ac:dyDescent="0.3">
      <c r="A148" t="s">
        <v>12</v>
      </c>
      <c r="B148">
        <v>8</v>
      </c>
      <c r="C148">
        <v>1</v>
      </c>
      <c r="D148">
        <v>32</v>
      </c>
      <c r="E148" t="s">
        <v>96</v>
      </c>
      <c r="F148">
        <v>80</v>
      </c>
      <c r="H148">
        <v>10</v>
      </c>
      <c r="I148">
        <v>0.6</v>
      </c>
      <c r="J148">
        <v>6</v>
      </c>
      <c r="K148">
        <v>1.22</v>
      </c>
      <c r="L148">
        <v>1.96</v>
      </c>
    </row>
    <row r="149" spans="1:12" x14ac:dyDescent="0.3">
      <c r="A149" t="s">
        <v>12</v>
      </c>
      <c r="B149">
        <v>8</v>
      </c>
      <c r="C149">
        <v>1</v>
      </c>
      <c r="D149">
        <v>32</v>
      </c>
      <c r="E149" t="s">
        <v>96</v>
      </c>
      <c r="F149">
        <v>80</v>
      </c>
      <c r="H149">
        <v>6</v>
      </c>
      <c r="I149">
        <v>1.2</v>
      </c>
      <c r="J149">
        <v>7.2</v>
      </c>
      <c r="K149">
        <v>1.33</v>
      </c>
      <c r="L149">
        <v>2.14</v>
      </c>
    </row>
    <row r="150" spans="1:12" x14ac:dyDescent="0.3">
      <c r="A150" t="s">
        <v>12</v>
      </c>
      <c r="B150">
        <v>8</v>
      </c>
      <c r="C150">
        <v>1</v>
      </c>
      <c r="D150">
        <v>32</v>
      </c>
      <c r="E150" t="s">
        <v>96</v>
      </c>
      <c r="F150">
        <v>80</v>
      </c>
      <c r="H150">
        <v>1</v>
      </c>
      <c r="I150">
        <v>10</v>
      </c>
      <c r="J150">
        <v>10</v>
      </c>
      <c r="K150">
        <v>0.92</v>
      </c>
      <c r="L150">
        <v>1.49</v>
      </c>
    </row>
    <row r="151" spans="1:12" x14ac:dyDescent="0.3">
      <c r="A151" t="s">
        <v>12</v>
      </c>
      <c r="B151">
        <v>8</v>
      </c>
      <c r="C151">
        <v>1</v>
      </c>
      <c r="D151">
        <v>32</v>
      </c>
      <c r="E151" t="s">
        <v>96</v>
      </c>
      <c r="F151">
        <v>80</v>
      </c>
      <c r="H151">
        <v>20</v>
      </c>
      <c r="I151">
        <v>0.6</v>
      </c>
      <c r="J151">
        <v>12</v>
      </c>
      <c r="K151">
        <v>1.24</v>
      </c>
      <c r="L151">
        <v>2</v>
      </c>
    </row>
    <row r="152" spans="1:12" x14ac:dyDescent="0.3">
      <c r="A152" t="s">
        <v>12</v>
      </c>
      <c r="B152">
        <v>8</v>
      </c>
      <c r="C152">
        <v>1</v>
      </c>
      <c r="D152">
        <v>32</v>
      </c>
      <c r="E152" t="s">
        <v>96</v>
      </c>
      <c r="F152">
        <v>80</v>
      </c>
      <c r="H152">
        <v>12</v>
      </c>
      <c r="I152">
        <v>1.2</v>
      </c>
      <c r="J152">
        <v>14.4</v>
      </c>
      <c r="K152">
        <v>1.18</v>
      </c>
      <c r="L152">
        <v>1.91</v>
      </c>
    </row>
    <row r="153" spans="1:12" x14ac:dyDescent="0.3">
      <c r="A153" t="s">
        <v>12</v>
      </c>
      <c r="B153">
        <v>8</v>
      </c>
      <c r="C153">
        <v>1</v>
      </c>
      <c r="D153">
        <v>32</v>
      </c>
      <c r="E153" t="s">
        <v>96</v>
      </c>
      <c r="F153">
        <v>80</v>
      </c>
      <c r="H153">
        <v>32</v>
      </c>
      <c r="I153">
        <v>0.6</v>
      </c>
      <c r="J153">
        <v>19.2</v>
      </c>
      <c r="K153">
        <v>1.1599999999999999</v>
      </c>
      <c r="L153">
        <v>1.86</v>
      </c>
    </row>
    <row r="154" spans="1:12" x14ac:dyDescent="0.3">
      <c r="A154" t="s">
        <v>12</v>
      </c>
      <c r="B154">
        <v>8</v>
      </c>
      <c r="C154">
        <v>1</v>
      </c>
      <c r="D154">
        <v>32</v>
      </c>
      <c r="E154" t="s">
        <v>96</v>
      </c>
      <c r="F154">
        <v>80</v>
      </c>
      <c r="H154">
        <v>16</v>
      </c>
      <c r="I154">
        <v>1.2</v>
      </c>
      <c r="J154">
        <v>19.2</v>
      </c>
      <c r="K154">
        <v>1.1299999999999999</v>
      </c>
      <c r="L154">
        <v>1.83</v>
      </c>
    </row>
    <row r="155" spans="1:12" x14ac:dyDescent="0.3">
      <c r="A155" t="s">
        <v>12</v>
      </c>
      <c r="B155">
        <v>8</v>
      </c>
      <c r="C155">
        <v>1</v>
      </c>
      <c r="D155">
        <v>32</v>
      </c>
      <c r="E155" t="s">
        <v>96</v>
      </c>
      <c r="F155">
        <v>100</v>
      </c>
      <c r="H155">
        <v>2</v>
      </c>
      <c r="I155">
        <v>1</v>
      </c>
      <c r="J155">
        <v>2</v>
      </c>
      <c r="K155">
        <v>2.25</v>
      </c>
      <c r="L155">
        <v>3.35</v>
      </c>
    </row>
    <row r="156" spans="1:12" x14ac:dyDescent="0.3">
      <c r="A156" t="s">
        <v>12</v>
      </c>
      <c r="B156">
        <v>8</v>
      </c>
      <c r="C156">
        <v>1</v>
      </c>
      <c r="D156">
        <v>32</v>
      </c>
      <c r="E156" t="s">
        <v>96</v>
      </c>
      <c r="F156">
        <v>100</v>
      </c>
      <c r="H156">
        <v>1</v>
      </c>
      <c r="I156">
        <v>5</v>
      </c>
      <c r="J156">
        <v>5</v>
      </c>
      <c r="K156">
        <v>2.02</v>
      </c>
      <c r="L156">
        <v>3.01</v>
      </c>
    </row>
    <row r="157" spans="1:12" x14ac:dyDescent="0.3">
      <c r="A157" t="s">
        <v>12</v>
      </c>
      <c r="B157">
        <v>8</v>
      </c>
      <c r="C157">
        <v>1</v>
      </c>
      <c r="D157">
        <v>32</v>
      </c>
      <c r="E157" t="s">
        <v>96</v>
      </c>
      <c r="F157">
        <v>100</v>
      </c>
      <c r="H157">
        <v>10</v>
      </c>
      <c r="I157">
        <v>0.6</v>
      </c>
      <c r="J157">
        <v>6</v>
      </c>
      <c r="K157">
        <v>2.67</v>
      </c>
      <c r="L157">
        <v>3.95</v>
      </c>
    </row>
    <row r="158" spans="1:12" x14ac:dyDescent="0.3">
      <c r="A158" t="s">
        <v>12</v>
      </c>
      <c r="B158">
        <v>8</v>
      </c>
      <c r="C158">
        <v>1</v>
      </c>
      <c r="D158">
        <v>32</v>
      </c>
      <c r="E158" t="s">
        <v>96</v>
      </c>
      <c r="F158">
        <v>100</v>
      </c>
      <c r="H158">
        <v>6</v>
      </c>
      <c r="I158">
        <v>1.2</v>
      </c>
      <c r="J158">
        <v>7.2</v>
      </c>
      <c r="K158">
        <v>2.9</v>
      </c>
      <c r="L158">
        <v>4.32</v>
      </c>
    </row>
    <row r="159" spans="1:12" x14ac:dyDescent="0.3">
      <c r="A159" t="s">
        <v>12</v>
      </c>
      <c r="B159">
        <v>8</v>
      </c>
      <c r="C159">
        <v>1</v>
      </c>
      <c r="D159">
        <v>32</v>
      </c>
      <c r="E159" t="s">
        <v>96</v>
      </c>
      <c r="F159">
        <v>100</v>
      </c>
      <c r="H159">
        <v>1</v>
      </c>
      <c r="I159">
        <v>10</v>
      </c>
      <c r="J159">
        <v>10</v>
      </c>
      <c r="K159">
        <v>2.02</v>
      </c>
      <c r="L159">
        <v>3.01</v>
      </c>
    </row>
    <row r="160" spans="1:12" x14ac:dyDescent="0.3">
      <c r="A160" t="s">
        <v>12</v>
      </c>
      <c r="B160">
        <v>8</v>
      </c>
      <c r="C160">
        <v>1</v>
      </c>
      <c r="D160">
        <v>32</v>
      </c>
      <c r="E160" t="s">
        <v>96</v>
      </c>
      <c r="F160">
        <v>100</v>
      </c>
      <c r="H160">
        <v>20</v>
      </c>
      <c r="I160">
        <v>0.6</v>
      </c>
      <c r="J160">
        <v>12</v>
      </c>
      <c r="K160">
        <v>2.72</v>
      </c>
      <c r="L160">
        <v>4.03</v>
      </c>
    </row>
    <row r="161" spans="1:12" x14ac:dyDescent="0.3">
      <c r="A161" t="s">
        <v>12</v>
      </c>
      <c r="B161">
        <v>8</v>
      </c>
      <c r="C161">
        <v>1</v>
      </c>
      <c r="D161">
        <v>32</v>
      </c>
      <c r="E161" t="s">
        <v>96</v>
      </c>
      <c r="F161">
        <v>100</v>
      </c>
      <c r="H161">
        <v>12</v>
      </c>
      <c r="I161">
        <v>1.2</v>
      </c>
      <c r="J161">
        <v>14.4</v>
      </c>
      <c r="K161">
        <v>2.59</v>
      </c>
      <c r="L161">
        <v>3.86</v>
      </c>
    </row>
    <row r="162" spans="1:12" x14ac:dyDescent="0.3">
      <c r="A162" t="s">
        <v>12</v>
      </c>
      <c r="B162">
        <v>8</v>
      </c>
      <c r="C162">
        <v>1</v>
      </c>
      <c r="D162">
        <v>32</v>
      </c>
      <c r="E162" t="s">
        <v>96</v>
      </c>
      <c r="F162">
        <v>100</v>
      </c>
      <c r="H162">
        <v>32</v>
      </c>
      <c r="I162">
        <v>0.6</v>
      </c>
      <c r="J162">
        <v>19.2</v>
      </c>
      <c r="K162">
        <v>2.54</v>
      </c>
      <c r="L162">
        <v>3.75</v>
      </c>
    </row>
    <row r="163" spans="1:12" x14ac:dyDescent="0.3">
      <c r="A163" t="s">
        <v>12</v>
      </c>
      <c r="B163">
        <v>8</v>
      </c>
      <c r="C163">
        <v>1</v>
      </c>
      <c r="D163">
        <v>32</v>
      </c>
      <c r="E163" t="s">
        <v>96</v>
      </c>
      <c r="F163">
        <v>100</v>
      </c>
      <c r="H163">
        <v>16</v>
      </c>
      <c r="I163">
        <v>1.2</v>
      </c>
      <c r="J163">
        <v>19.2</v>
      </c>
      <c r="K163">
        <v>2.4700000000000002</v>
      </c>
      <c r="L163">
        <v>3.69</v>
      </c>
    </row>
    <row r="164" spans="1:12" x14ac:dyDescent="0.3">
      <c r="A164" t="s">
        <v>12</v>
      </c>
      <c r="B164">
        <v>8</v>
      </c>
      <c r="C164">
        <v>1</v>
      </c>
      <c r="D164">
        <v>32</v>
      </c>
      <c r="E164" t="s">
        <v>96</v>
      </c>
      <c r="F164">
        <v>120</v>
      </c>
      <c r="H164">
        <v>2</v>
      </c>
      <c r="I164">
        <v>1</v>
      </c>
      <c r="J164">
        <v>2</v>
      </c>
      <c r="K164">
        <v>4.09</v>
      </c>
      <c r="L164">
        <v>5.86</v>
      </c>
    </row>
    <row r="165" spans="1:12" x14ac:dyDescent="0.3">
      <c r="A165" t="s">
        <v>12</v>
      </c>
      <c r="B165">
        <v>8</v>
      </c>
      <c r="C165">
        <v>1</v>
      </c>
      <c r="D165">
        <v>32</v>
      </c>
      <c r="E165" t="s">
        <v>96</v>
      </c>
      <c r="F165">
        <v>120</v>
      </c>
      <c r="H165">
        <v>1</v>
      </c>
      <c r="I165">
        <v>5</v>
      </c>
      <c r="J165">
        <v>5</v>
      </c>
      <c r="K165">
        <v>3.67</v>
      </c>
      <c r="L165">
        <v>5.26</v>
      </c>
    </row>
    <row r="166" spans="1:12" x14ac:dyDescent="0.3">
      <c r="A166" t="s">
        <v>12</v>
      </c>
      <c r="B166">
        <v>8</v>
      </c>
      <c r="C166">
        <v>1</v>
      </c>
      <c r="D166">
        <v>32</v>
      </c>
      <c r="E166" t="s">
        <v>96</v>
      </c>
      <c r="F166">
        <v>120</v>
      </c>
      <c r="H166">
        <v>10</v>
      </c>
      <c r="I166">
        <v>0.6</v>
      </c>
      <c r="J166">
        <v>6</v>
      </c>
      <c r="K166">
        <v>4.87</v>
      </c>
      <c r="L166">
        <v>6.89</v>
      </c>
    </row>
    <row r="167" spans="1:12" x14ac:dyDescent="0.3">
      <c r="A167" t="s">
        <v>12</v>
      </c>
      <c r="B167">
        <v>8</v>
      </c>
      <c r="C167">
        <v>1</v>
      </c>
      <c r="D167">
        <v>32</v>
      </c>
      <c r="E167" t="s">
        <v>96</v>
      </c>
      <c r="F167">
        <v>120</v>
      </c>
      <c r="H167">
        <v>6</v>
      </c>
      <c r="I167">
        <v>1.2</v>
      </c>
      <c r="J167">
        <v>7.2</v>
      </c>
      <c r="K167">
        <v>5.28</v>
      </c>
      <c r="L167">
        <v>7.56</v>
      </c>
    </row>
    <row r="168" spans="1:12" x14ac:dyDescent="0.3">
      <c r="A168" t="s">
        <v>12</v>
      </c>
      <c r="B168">
        <v>8</v>
      </c>
      <c r="C168">
        <v>1</v>
      </c>
      <c r="D168">
        <v>32</v>
      </c>
      <c r="E168" t="s">
        <v>96</v>
      </c>
      <c r="F168">
        <v>120</v>
      </c>
      <c r="H168">
        <v>1</v>
      </c>
      <c r="I168">
        <v>10</v>
      </c>
      <c r="J168">
        <v>10</v>
      </c>
      <c r="K168">
        <v>3.67</v>
      </c>
      <c r="L168">
        <v>5.26</v>
      </c>
    </row>
    <row r="169" spans="1:12" x14ac:dyDescent="0.3">
      <c r="A169" t="s">
        <v>12</v>
      </c>
      <c r="B169">
        <v>8</v>
      </c>
      <c r="C169">
        <v>1</v>
      </c>
      <c r="D169">
        <v>32</v>
      </c>
      <c r="E169" t="s">
        <v>96</v>
      </c>
      <c r="F169">
        <v>120</v>
      </c>
      <c r="H169">
        <v>20</v>
      </c>
      <c r="I169">
        <v>0.6</v>
      </c>
      <c r="J169">
        <v>12</v>
      </c>
      <c r="K169">
        <v>4.96</v>
      </c>
      <c r="L169">
        <v>7.02</v>
      </c>
    </row>
    <row r="170" spans="1:12" x14ac:dyDescent="0.3">
      <c r="A170" t="s">
        <v>12</v>
      </c>
      <c r="B170">
        <v>8</v>
      </c>
      <c r="C170">
        <v>1</v>
      </c>
      <c r="D170">
        <v>32</v>
      </c>
      <c r="E170" t="s">
        <v>96</v>
      </c>
      <c r="F170">
        <v>120</v>
      </c>
      <c r="H170">
        <v>12</v>
      </c>
      <c r="I170">
        <v>1.2</v>
      </c>
      <c r="J170">
        <v>14.4</v>
      </c>
      <c r="K170">
        <v>4.71</v>
      </c>
      <c r="L170">
        <v>6.75</v>
      </c>
    </row>
    <row r="171" spans="1:12" x14ac:dyDescent="0.3">
      <c r="A171" t="s">
        <v>12</v>
      </c>
      <c r="B171">
        <v>8</v>
      </c>
      <c r="C171">
        <v>1</v>
      </c>
      <c r="D171">
        <v>32</v>
      </c>
      <c r="E171" t="s">
        <v>96</v>
      </c>
      <c r="F171">
        <v>120</v>
      </c>
      <c r="H171">
        <v>32</v>
      </c>
      <c r="I171">
        <v>0.6</v>
      </c>
      <c r="J171">
        <v>19.2</v>
      </c>
      <c r="K171">
        <v>4.62</v>
      </c>
      <c r="L171">
        <v>6.54</v>
      </c>
    </row>
    <row r="172" spans="1:12" x14ac:dyDescent="0.3">
      <c r="A172" t="s">
        <v>12</v>
      </c>
      <c r="B172">
        <v>8</v>
      </c>
      <c r="C172">
        <v>1</v>
      </c>
      <c r="D172">
        <v>32</v>
      </c>
      <c r="E172" t="s">
        <v>96</v>
      </c>
      <c r="F172">
        <v>120</v>
      </c>
      <c r="H172">
        <v>16</v>
      </c>
      <c r="I172">
        <v>1.2</v>
      </c>
      <c r="J172">
        <v>19.2</v>
      </c>
      <c r="K172">
        <v>4.51</v>
      </c>
      <c r="L172">
        <v>6.46</v>
      </c>
    </row>
    <row r="173" spans="1:12" x14ac:dyDescent="0.3">
      <c r="A173" t="s">
        <v>12</v>
      </c>
      <c r="B173">
        <v>8</v>
      </c>
      <c r="C173">
        <v>1</v>
      </c>
      <c r="D173">
        <v>32</v>
      </c>
      <c r="E173" t="s">
        <v>96</v>
      </c>
      <c r="F173">
        <v>140</v>
      </c>
      <c r="H173">
        <v>2</v>
      </c>
      <c r="I173">
        <v>1</v>
      </c>
      <c r="J173">
        <v>2</v>
      </c>
      <c r="K173">
        <v>6.16</v>
      </c>
      <c r="L173">
        <v>8.6</v>
      </c>
    </row>
    <row r="174" spans="1:12" x14ac:dyDescent="0.3">
      <c r="A174" t="s">
        <v>12</v>
      </c>
      <c r="B174">
        <v>8</v>
      </c>
      <c r="C174">
        <v>1</v>
      </c>
      <c r="D174">
        <v>32</v>
      </c>
      <c r="E174" t="s">
        <v>96</v>
      </c>
      <c r="F174">
        <v>140</v>
      </c>
      <c r="H174">
        <v>1</v>
      </c>
      <c r="I174">
        <v>5</v>
      </c>
      <c r="J174">
        <v>5</v>
      </c>
      <c r="K174">
        <v>5.52</v>
      </c>
      <c r="L174">
        <v>7.71</v>
      </c>
    </row>
    <row r="175" spans="1:12" x14ac:dyDescent="0.3">
      <c r="A175" t="s">
        <v>12</v>
      </c>
      <c r="B175">
        <v>8</v>
      </c>
      <c r="C175">
        <v>1</v>
      </c>
      <c r="D175">
        <v>32</v>
      </c>
      <c r="E175" t="s">
        <v>96</v>
      </c>
      <c r="F175">
        <v>140</v>
      </c>
      <c r="H175">
        <v>10</v>
      </c>
      <c r="I175">
        <v>0.6</v>
      </c>
      <c r="J175">
        <v>6</v>
      </c>
      <c r="K175">
        <v>7.29</v>
      </c>
      <c r="L175">
        <v>10.119999999999999</v>
      </c>
    </row>
    <row r="176" spans="1:12" x14ac:dyDescent="0.3">
      <c r="A176" t="s">
        <v>12</v>
      </c>
      <c r="B176">
        <v>8</v>
      </c>
      <c r="C176">
        <v>1</v>
      </c>
      <c r="D176">
        <v>32</v>
      </c>
      <c r="E176" t="s">
        <v>96</v>
      </c>
      <c r="F176">
        <v>140</v>
      </c>
      <c r="H176">
        <v>6</v>
      </c>
      <c r="I176">
        <v>1.2</v>
      </c>
      <c r="J176">
        <v>7.2</v>
      </c>
      <c r="K176">
        <v>7.94</v>
      </c>
      <c r="L176">
        <v>11.09</v>
      </c>
    </row>
    <row r="177" spans="1:12" x14ac:dyDescent="0.3">
      <c r="A177" t="s">
        <v>12</v>
      </c>
      <c r="B177">
        <v>8</v>
      </c>
      <c r="C177">
        <v>1</v>
      </c>
      <c r="D177">
        <v>32</v>
      </c>
      <c r="E177" t="s">
        <v>96</v>
      </c>
      <c r="F177">
        <v>140</v>
      </c>
      <c r="H177">
        <v>1</v>
      </c>
      <c r="I177">
        <v>10</v>
      </c>
      <c r="J177">
        <v>10</v>
      </c>
      <c r="K177">
        <v>5.52</v>
      </c>
      <c r="L177">
        <v>7.71</v>
      </c>
    </row>
    <row r="178" spans="1:12" x14ac:dyDescent="0.3">
      <c r="A178" t="s">
        <v>12</v>
      </c>
      <c r="B178">
        <v>8</v>
      </c>
      <c r="C178">
        <v>1</v>
      </c>
      <c r="D178">
        <v>32</v>
      </c>
      <c r="E178" t="s">
        <v>96</v>
      </c>
      <c r="F178">
        <v>140</v>
      </c>
      <c r="H178">
        <v>20</v>
      </c>
      <c r="I178">
        <v>0.6</v>
      </c>
      <c r="J178">
        <v>12</v>
      </c>
      <c r="K178">
        <v>7.43</v>
      </c>
      <c r="L178">
        <v>10.32</v>
      </c>
    </row>
    <row r="179" spans="1:12" x14ac:dyDescent="0.3">
      <c r="A179" t="s">
        <v>12</v>
      </c>
      <c r="B179">
        <v>8</v>
      </c>
      <c r="C179">
        <v>1</v>
      </c>
      <c r="D179">
        <v>32</v>
      </c>
      <c r="E179" t="s">
        <v>96</v>
      </c>
      <c r="F179">
        <v>140</v>
      </c>
      <c r="H179">
        <v>12</v>
      </c>
      <c r="I179">
        <v>1.2</v>
      </c>
      <c r="J179">
        <v>14.4</v>
      </c>
      <c r="K179">
        <v>7.09</v>
      </c>
      <c r="L179">
        <v>9.89</v>
      </c>
    </row>
    <row r="180" spans="1:12" x14ac:dyDescent="0.3">
      <c r="A180" t="s">
        <v>12</v>
      </c>
      <c r="B180">
        <v>8</v>
      </c>
      <c r="C180">
        <v>1</v>
      </c>
      <c r="D180">
        <v>32</v>
      </c>
      <c r="E180" t="s">
        <v>96</v>
      </c>
      <c r="F180">
        <v>140</v>
      </c>
      <c r="H180">
        <v>32</v>
      </c>
      <c r="I180">
        <v>0.6</v>
      </c>
      <c r="J180">
        <v>19.2</v>
      </c>
      <c r="K180">
        <v>6.92</v>
      </c>
      <c r="L180">
        <v>9.61</v>
      </c>
    </row>
    <row r="181" spans="1:12" x14ac:dyDescent="0.3">
      <c r="A181" t="s">
        <v>12</v>
      </c>
      <c r="B181">
        <v>8</v>
      </c>
      <c r="C181">
        <v>1</v>
      </c>
      <c r="D181">
        <v>32</v>
      </c>
      <c r="E181" t="s">
        <v>96</v>
      </c>
      <c r="F181">
        <v>140</v>
      </c>
      <c r="H181">
        <v>16</v>
      </c>
      <c r="I181">
        <v>1.2</v>
      </c>
      <c r="J181">
        <v>19.2</v>
      </c>
      <c r="K181">
        <v>6.78</v>
      </c>
      <c r="L181">
        <v>9.4700000000000006</v>
      </c>
    </row>
    <row r="182" spans="1:12" x14ac:dyDescent="0.3">
      <c r="A182" s="129" t="s">
        <v>24</v>
      </c>
      <c r="B182">
        <v>9</v>
      </c>
      <c r="C182">
        <v>1</v>
      </c>
      <c r="D182">
        <v>16</v>
      </c>
      <c r="E182" s="129" t="s">
        <v>95</v>
      </c>
      <c r="F182">
        <v>70</v>
      </c>
      <c r="H182">
        <v>2</v>
      </c>
      <c r="I182">
        <v>1</v>
      </c>
      <c r="J182">
        <v>2</v>
      </c>
      <c r="K182">
        <v>2.86</v>
      </c>
      <c r="L182">
        <v>3.06</v>
      </c>
    </row>
    <row r="183" spans="1:12" x14ac:dyDescent="0.3">
      <c r="A183" s="129" t="s">
        <v>24</v>
      </c>
      <c r="B183">
        <v>9</v>
      </c>
      <c r="C183">
        <v>1</v>
      </c>
      <c r="D183">
        <v>16</v>
      </c>
      <c r="E183" t="s">
        <v>95</v>
      </c>
      <c r="F183">
        <v>70</v>
      </c>
      <c r="H183">
        <v>1</v>
      </c>
      <c r="I183">
        <v>5</v>
      </c>
      <c r="J183">
        <v>5</v>
      </c>
      <c r="K183">
        <v>2.57</v>
      </c>
      <c r="L183">
        <v>2.74</v>
      </c>
    </row>
    <row r="184" spans="1:12" x14ac:dyDescent="0.3">
      <c r="A184" s="129" t="s">
        <v>24</v>
      </c>
      <c r="B184">
        <v>9</v>
      </c>
      <c r="C184">
        <v>1</v>
      </c>
      <c r="D184">
        <v>16</v>
      </c>
      <c r="E184" t="s">
        <v>95</v>
      </c>
      <c r="F184">
        <v>70</v>
      </c>
      <c r="H184">
        <v>10</v>
      </c>
      <c r="I184">
        <v>0.6</v>
      </c>
      <c r="J184">
        <v>6</v>
      </c>
      <c r="K184">
        <v>3.54</v>
      </c>
      <c r="L184">
        <v>3.79</v>
      </c>
    </row>
    <row r="185" spans="1:12" x14ac:dyDescent="0.3">
      <c r="A185" s="129" t="s">
        <v>24</v>
      </c>
      <c r="B185">
        <v>9</v>
      </c>
      <c r="C185">
        <v>1</v>
      </c>
      <c r="D185">
        <v>16</v>
      </c>
      <c r="E185" t="s">
        <v>95</v>
      </c>
      <c r="F185">
        <v>70</v>
      </c>
      <c r="H185">
        <v>6</v>
      </c>
      <c r="I185">
        <v>1.2</v>
      </c>
      <c r="J185">
        <v>7.1999999999999993</v>
      </c>
      <c r="K185">
        <v>3.69</v>
      </c>
      <c r="L185">
        <v>3.94</v>
      </c>
    </row>
    <row r="186" spans="1:12" x14ac:dyDescent="0.3">
      <c r="A186" s="129" t="s">
        <v>24</v>
      </c>
      <c r="B186">
        <v>9</v>
      </c>
      <c r="C186">
        <v>1</v>
      </c>
      <c r="D186">
        <v>16</v>
      </c>
      <c r="E186" t="s">
        <v>95</v>
      </c>
      <c r="F186">
        <v>70</v>
      </c>
      <c r="H186">
        <v>1</v>
      </c>
      <c r="I186">
        <v>10</v>
      </c>
      <c r="J186">
        <v>10</v>
      </c>
      <c r="K186">
        <v>2.57</v>
      </c>
      <c r="L186">
        <v>2.74</v>
      </c>
    </row>
    <row r="187" spans="1:12" x14ac:dyDescent="0.3">
      <c r="A187" s="129" t="s">
        <v>24</v>
      </c>
      <c r="B187">
        <v>9</v>
      </c>
      <c r="C187">
        <v>1</v>
      </c>
      <c r="D187">
        <v>16</v>
      </c>
      <c r="E187" t="s">
        <v>95</v>
      </c>
      <c r="F187">
        <v>70</v>
      </c>
      <c r="H187">
        <v>20</v>
      </c>
      <c r="I187">
        <v>0.6</v>
      </c>
      <c r="J187">
        <v>12</v>
      </c>
      <c r="K187">
        <v>3.48</v>
      </c>
      <c r="L187">
        <v>3.71</v>
      </c>
    </row>
    <row r="188" spans="1:12" x14ac:dyDescent="0.3">
      <c r="A188" s="129" t="s">
        <v>24</v>
      </c>
      <c r="B188">
        <v>9</v>
      </c>
      <c r="C188">
        <v>1</v>
      </c>
      <c r="D188">
        <v>16</v>
      </c>
      <c r="E188" t="s">
        <v>95</v>
      </c>
      <c r="F188">
        <v>70</v>
      </c>
      <c r="H188">
        <v>12</v>
      </c>
      <c r="I188">
        <v>1.2</v>
      </c>
      <c r="J188">
        <v>14.399999999999999</v>
      </c>
      <c r="K188">
        <v>3.29</v>
      </c>
      <c r="L188">
        <v>3.52</v>
      </c>
    </row>
    <row r="189" spans="1:12" x14ac:dyDescent="0.3">
      <c r="A189" s="129" t="s">
        <v>24</v>
      </c>
      <c r="B189">
        <v>9</v>
      </c>
      <c r="C189">
        <v>1</v>
      </c>
      <c r="D189">
        <v>16</v>
      </c>
      <c r="E189" t="s">
        <v>95</v>
      </c>
      <c r="F189">
        <v>70</v>
      </c>
      <c r="H189">
        <v>16</v>
      </c>
      <c r="I189">
        <v>1.2</v>
      </c>
      <c r="J189">
        <v>19.2</v>
      </c>
      <c r="K189">
        <v>3.15</v>
      </c>
      <c r="L189">
        <v>3.37</v>
      </c>
    </row>
    <row r="190" spans="1:12" x14ac:dyDescent="0.3">
      <c r="A190" s="129" t="s">
        <v>24</v>
      </c>
      <c r="B190">
        <v>9</v>
      </c>
      <c r="C190">
        <v>1</v>
      </c>
      <c r="D190">
        <v>16</v>
      </c>
      <c r="E190" s="129" t="s">
        <v>95</v>
      </c>
      <c r="F190">
        <v>80</v>
      </c>
      <c r="H190">
        <v>2</v>
      </c>
      <c r="I190">
        <v>1</v>
      </c>
      <c r="J190">
        <v>2</v>
      </c>
      <c r="K190">
        <v>4.57</v>
      </c>
      <c r="L190">
        <v>4.7699999999999996</v>
      </c>
    </row>
    <row r="191" spans="1:12" x14ac:dyDescent="0.3">
      <c r="A191" s="129" t="s">
        <v>24</v>
      </c>
      <c r="B191">
        <v>9</v>
      </c>
      <c r="C191">
        <v>1</v>
      </c>
      <c r="D191">
        <v>16</v>
      </c>
      <c r="E191" t="s">
        <v>95</v>
      </c>
      <c r="F191">
        <v>80</v>
      </c>
      <c r="H191">
        <v>1</v>
      </c>
      <c r="I191">
        <v>5</v>
      </c>
      <c r="J191">
        <v>5</v>
      </c>
      <c r="K191">
        <v>4.0999999999999996</v>
      </c>
      <c r="L191">
        <v>4.28</v>
      </c>
    </row>
    <row r="192" spans="1:12" x14ac:dyDescent="0.3">
      <c r="A192" s="129" t="s">
        <v>24</v>
      </c>
      <c r="B192">
        <v>9</v>
      </c>
      <c r="C192">
        <v>1</v>
      </c>
      <c r="D192">
        <v>16</v>
      </c>
      <c r="E192" t="s">
        <v>95</v>
      </c>
      <c r="F192">
        <v>80</v>
      </c>
      <c r="H192">
        <v>10</v>
      </c>
      <c r="I192">
        <v>0.6</v>
      </c>
      <c r="J192">
        <v>6</v>
      </c>
      <c r="K192">
        <v>5.65</v>
      </c>
      <c r="L192">
        <v>5.91</v>
      </c>
    </row>
    <row r="193" spans="1:12" x14ac:dyDescent="0.3">
      <c r="A193" s="129" t="s">
        <v>24</v>
      </c>
      <c r="B193">
        <v>9</v>
      </c>
      <c r="C193">
        <v>1</v>
      </c>
      <c r="D193">
        <v>16</v>
      </c>
      <c r="E193" t="s">
        <v>95</v>
      </c>
      <c r="F193">
        <v>80</v>
      </c>
      <c r="H193">
        <v>6</v>
      </c>
      <c r="I193">
        <v>1.2</v>
      </c>
      <c r="J193">
        <v>7.1999999999999993</v>
      </c>
      <c r="K193">
        <v>5.89</v>
      </c>
      <c r="L193">
        <v>6.16</v>
      </c>
    </row>
    <row r="194" spans="1:12" x14ac:dyDescent="0.3">
      <c r="A194" s="129" t="s">
        <v>24</v>
      </c>
      <c r="B194">
        <v>9</v>
      </c>
      <c r="C194">
        <v>1</v>
      </c>
      <c r="D194">
        <v>16</v>
      </c>
      <c r="E194" t="s">
        <v>95</v>
      </c>
      <c r="F194">
        <v>80</v>
      </c>
      <c r="H194">
        <v>1</v>
      </c>
      <c r="I194">
        <v>10</v>
      </c>
      <c r="J194">
        <v>10</v>
      </c>
      <c r="K194">
        <v>4.0999999999999996</v>
      </c>
      <c r="L194">
        <v>4.28</v>
      </c>
    </row>
    <row r="195" spans="1:12" x14ac:dyDescent="0.3">
      <c r="A195" s="129" t="s">
        <v>24</v>
      </c>
      <c r="B195">
        <v>9</v>
      </c>
      <c r="C195">
        <v>1</v>
      </c>
      <c r="D195">
        <v>16</v>
      </c>
      <c r="E195" t="s">
        <v>95</v>
      </c>
      <c r="F195">
        <v>80</v>
      </c>
      <c r="H195">
        <v>20</v>
      </c>
      <c r="I195">
        <v>0.6</v>
      </c>
      <c r="J195">
        <v>12</v>
      </c>
      <c r="K195">
        <v>5.54</v>
      </c>
      <c r="L195">
        <v>5.8</v>
      </c>
    </row>
    <row r="196" spans="1:12" x14ac:dyDescent="0.3">
      <c r="A196" s="129" t="s">
        <v>24</v>
      </c>
      <c r="B196">
        <v>9</v>
      </c>
      <c r="C196">
        <v>1</v>
      </c>
      <c r="D196">
        <v>16</v>
      </c>
      <c r="E196" t="s">
        <v>95</v>
      </c>
      <c r="F196">
        <v>80</v>
      </c>
      <c r="H196">
        <v>12</v>
      </c>
      <c r="I196">
        <v>1.2</v>
      </c>
      <c r="J196">
        <v>14.399999999999999</v>
      </c>
      <c r="K196">
        <v>5.25</v>
      </c>
      <c r="L196">
        <v>5.49</v>
      </c>
    </row>
    <row r="197" spans="1:12" x14ac:dyDescent="0.3">
      <c r="A197" s="129" t="s">
        <v>24</v>
      </c>
      <c r="B197">
        <v>9</v>
      </c>
      <c r="C197">
        <v>1</v>
      </c>
      <c r="D197">
        <v>16</v>
      </c>
      <c r="E197" t="s">
        <v>95</v>
      </c>
      <c r="F197">
        <v>80</v>
      </c>
      <c r="H197">
        <v>16</v>
      </c>
      <c r="I197">
        <v>1.2</v>
      </c>
      <c r="J197">
        <v>19.2</v>
      </c>
      <c r="K197">
        <v>5.03</v>
      </c>
      <c r="L197">
        <v>5.26</v>
      </c>
    </row>
    <row r="198" spans="1:12" x14ac:dyDescent="0.3">
      <c r="A198" s="129" t="s">
        <v>24</v>
      </c>
      <c r="B198">
        <v>9</v>
      </c>
      <c r="C198">
        <v>1</v>
      </c>
      <c r="D198">
        <v>16</v>
      </c>
      <c r="E198" s="129" t="s">
        <v>95</v>
      </c>
      <c r="F198">
        <v>100</v>
      </c>
      <c r="H198">
        <v>2</v>
      </c>
      <c r="I198">
        <v>1</v>
      </c>
      <c r="J198">
        <v>2</v>
      </c>
      <c r="K198">
        <v>8.84</v>
      </c>
      <c r="L198">
        <v>9.02</v>
      </c>
    </row>
    <row r="199" spans="1:12" x14ac:dyDescent="0.3">
      <c r="A199" s="129" t="s">
        <v>24</v>
      </c>
      <c r="B199">
        <v>9</v>
      </c>
      <c r="C199">
        <v>1</v>
      </c>
      <c r="D199">
        <v>16</v>
      </c>
      <c r="E199" t="s">
        <v>95</v>
      </c>
      <c r="F199">
        <v>100</v>
      </c>
      <c r="H199">
        <v>1</v>
      </c>
      <c r="I199">
        <v>5</v>
      </c>
      <c r="J199">
        <v>5</v>
      </c>
      <c r="K199">
        <v>7.93</v>
      </c>
      <c r="L199">
        <v>8.1</v>
      </c>
    </row>
    <row r="200" spans="1:12" x14ac:dyDescent="0.3">
      <c r="A200" s="129" t="s">
        <v>24</v>
      </c>
      <c r="B200">
        <v>9</v>
      </c>
      <c r="C200">
        <v>1</v>
      </c>
      <c r="D200">
        <v>16</v>
      </c>
      <c r="E200" t="s">
        <v>95</v>
      </c>
      <c r="F200">
        <v>100</v>
      </c>
      <c r="H200">
        <v>10</v>
      </c>
      <c r="I200">
        <v>0.6</v>
      </c>
      <c r="J200">
        <v>6</v>
      </c>
      <c r="K200">
        <v>10.94</v>
      </c>
      <c r="L200">
        <v>11.17</v>
      </c>
    </row>
    <row r="201" spans="1:12" x14ac:dyDescent="0.3">
      <c r="A201" s="129" t="s">
        <v>24</v>
      </c>
      <c r="B201">
        <v>9</v>
      </c>
      <c r="C201">
        <v>1</v>
      </c>
      <c r="D201">
        <v>16</v>
      </c>
      <c r="E201" t="s">
        <v>95</v>
      </c>
      <c r="F201">
        <v>100</v>
      </c>
      <c r="H201">
        <v>6</v>
      </c>
      <c r="I201">
        <v>1.2</v>
      </c>
      <c r="J201">
        <v>7.1999999999999993</v>
      </c>
      <c r="K201">
        <v>11.4</v>
      </c>
      <c r="L201">
        <v>11.64</v>
      </c>
    </row>
    <row r="202" spans="1:12" x14ac:dyDescent="0.3">
      <c r="A202" s="129" t="s">
        <v>24</v>
      </c>
      <c r="B202">
        <v>9</v>
      </c>
      <c r="C202">
        <v>1</v>
      </c>
      <c r="D202">
        <v>16</v>
      </c>
      <c r="E202" t="s">
        <v>95</v>
      </c>
      <c r="F202">
        <v>100</v>
      </c>
      <c r="H202">
        <v>1</v>
      </c>
      <c r="I202">
        <v>10</v>
      </c>
      <c r="J202">
        <v>10</v>
      </c>
      <c r="K202">
        <v>7.93</v>
      </c>
      <c r="L202">
        <v>8.1</v>
      </c>
    </row>
    <row r="203" spans="1:12" x14ac:dyDescent="0.3">
      <c r="A203" s="129" t="s">
        <v>24</v>
      </c>
      <c r="B203">
        <v>9</v>
      </c>
      <c r="C203">
        <v>1</v>
      </c>
      <c r="D203">
        <v>16</v>
      </c>
      <c r="E203" t="s">
        <v>95</v>
      </c>
      <c r="F203">
        <v>100</v>
      </c>
      <c r="H203">
        <v>20</v>
      </c>
      <c r="I203">
        <v>0.6</v>
      </c>
      <c r="J203">
        <v>12</v>
      </c>
      <c r="K203">
        <v>10.73</v>
      </c>
      <c r="L203">
        <v>10.96</v>
      </c>
    </row>
    <row r="204" spans="1:12" x14ac:dyDescent="0.3">
      <c r="A204" s="129" t="s">
        <v>24</v>
      </c>
      <c r="B204">
        <v>9</v>
      </c>
      <c r="C204">
        <v>1</v>
      </c>
      <c r="D204">
        <v>16</v>
      </c>
      <c r="E204" t="s">
        <v>95</v>
      </c>
      <c r="F204">
        <v>100</v>
      </c>
      <c r="H204">
        <v>12</v>
      </c>
      <c r="I204">
        <v>1.2</v>
      </c>
      <c r="J204">
        <v>14.399999999999999</v>
      </c>
      <c r="K204">
        <v>10.17</v>
      </c>
      <c r="L204">
        <v>10.39</v>
      </c>
    </row>
    <row r="205" spans="1:12" x14ac:dyDescent="0.3">
      <c r="A205" s="129" t="s">
        <v>24</v>
      </c>
      <c r="B205">
        <v>9</v>
      </c>
      <c r="C205">
        <v>1</v>
      </c>
      <c r="D205">
        <v>16</v>
      </c>
      <c r="E205" t="s">
        <v>95</v>
      </c>
      <c r="F205">
        <v>100</v>
      </c>
      <c r="H205">
        <v>16</v>
      </c>
      <c r="I205">
        <v>1.2</v>
      </c>
      <c r="J205">
        <v>19.2</v>
      </c>
      <c r="K205">
        <v>9.73</v>
      </c>
      <c r="L205">
        <v>9.94</v>
      </c>
    </row>
    <row r="206" spans="1:12" x14ac:dyDescent="0.3">
      <c r="A206" s="129" t="s">
        <v>24</v>
      </c>
      <c r="B206">
        <v>9</v>
      </c>
      <c r="C206">
        <v>1</v>
      </c>
      <c r="D206">
        <v>16</v>
      </c>
      <c r="E206" s="129" t="s">
        <v>95</v>
      </c>
      <c r="F206">
        <v>120</v>
      </c>
      <c r="H206">
        <v>2</v>
      </c>
      <c r="I206">
        <v>1</v>
      </c>
      <c r="J206">
        <v>2</v>
      </c>
      <c r="K206">
        <v>14.89</v>
      </c>
      <c r="L206">
        <v>15.07</v>
      </c>
    </row>
    <row r="207" spans="1:12" x14ac:dyDescent="0.3">
      <c r="A207" s="129" t="s">
        <v>24</v>
      </c>
      <c r="B207">
        <v>9</v>
      </c>
      <c r="C207">
        <v>1</v>
      </c>
      <c r="D207">
        <v>16</v>
      </c>
      <c r="E207" t="s">
        <v>95</v>
      </c>
      <c r="F207">
        <v>120</v>
      </c>
      <c r="H207">
        <v>1</v>
      </c>
      <c r="I207">
        <v>5</v>
      </c>
      <c r="J207">
        <v>5</v>
      </c>
      <c r="K207">
        <v>13.36</v>
      </c>
      <c r="L207">
        <v>13.52</v>
      </c>
    </row>
    <row r="208" spans="1:12" x14ac:dyDescent="0.3">
      <c r="A208" s="129" t="s">
        <v>24</v>
      </c>
      <c r="B208">
        <v>9</v>
      </c>
      <c r="C208">
        <v>1</v>
      </c>
      <c r="D208">
        <v>16</v>
      </c>
      <c r="E208" t="s">
        <v>95</v>
      </c>
      <c r="F208">
        <v>120</v>
      </c>
      <c r="H208">
        <v>10</v>
      </c>
      <c r="I208">
        <v>0.6</v>
      </c>
      <c r="J208">
        <v>6</v>
      </c>
      <c r="K208">
        <v>18.440000000000001</v>
      </c>
      <c r="L208">
        <v>18.66</v>
      </c>
    </row>
    <row r="209" spans="1:12" x14ac:dyDescent="0.3">
      <c r="A209" s="129" t="s">
        <v>24</v>
      </c>
      <c r="B209">
        <v>9</v>
      </c>
      <c r="C209">
        <v>1</v>
      </c>
      <c r="D209">
        <v>16</v>
      </c>
      <c r="E209" t="s">
        <v>95</v>
      </c>
      <c r="F209">
        <v>120</v>
      </c>
      <c r="H209">
        <v>6</v>
      </c>
      <c r="I209">
        <v>1.2</v>
      </c>
      <c r="J209">
        <v>7.1999999999999993</v>
      </c>
      <c r="K209">
        <v>19.21</v>
      </c>
      <c r="L209">
        <v>19.43</v>
      </c>
    </row>
    <row r="210" spans="1:12" x14ac:dyDescent="0.3">
      <c r="A210" s="129" t="s">
        <v>24</v>
      </c>
      <c r="B210">
        <v>9</v>
      </c>
      <c r="C210">
        <v>1</v>
      </c>
      <c r="D210">
        <v>16</v>
      </c>
      <c r="E210" t="s">
        <v>95</v>
      </c>
      <c r="F210">
        <v>120</v>
      </c>
      <c r="H210">
        <v>1</v>
      </c>
      <c r="I210">
        <v>10</v>
      </c>
      <c r="J210">
        <v>10</v>
      </c>
      <c r="K210">
        <v>13.36</v>
      </c>
      <c r="L210">
        <v>13.52</v>
      </c>
    </row>
    <row r="211" spans="1:12" x14ac:dyDescent="0.3">
      <c r="A211" s="129" t="s">
        <v>24</v>
      </c>
      <c r="B211">
        <v>9</v>
      </c>
      <c r="C211">
        <v>1</v>
      </c>
      <c r="D211">
        <v>16</v>
      </c>
      <c r="E211" t="s">
        <v>95</v>
      </c>
      <c r="F211">
        <v>120</v>
      </c>
      <c r="H211">
        <v>20</v>
      </c>
      <c r="I211">
        <v>0.6</v>
      </c>
      <c r="J211">
        <v>12</v>
      </c>
      <c r="K211">
        <v>18.079999999999998</v>
      </c>
      <c r="L211">
        <v>18.3</v>
      </c>
    </row>
    <row r="212" spans="1:12" x14ac:dyDescent="0.3">
      <c r="A212" s="129" t="s">
        <v>24</v>
      </c>
      <c r="B212">
        <v>9</v>
      </c>
      <c r="C212">
        <v>1</v>
      </c>
      <c r="D212">
        <v>16</v>
      </c>
      <c r="E212" t="s">
        <v>95</v>
      </c>
      <c r="F212">
        <v>120</v>
      </c>
      <c r="H212">
        <v>12</v>
      </c>
      <c r="I212">
        <v>1.2</v>
      </c>
      <c r="J212">
        <v>14.399999999999999</v>
      </c>
      <c r="K212">
        <v>17.14</v>
      </c>
      <c r="L212">
        <v>17.34</v>
      </c>
    </row>
    <row r="213" spans="1:12" x14ac:dyDescent="0.3">
      <c r="A213" s="129" t="s">
        <v>24</v>
      </c>
      <c r="B213">
        <v>9</v>
      </c>
      <c r="C213">
        <v>1</v>
      </c>
      <c r="D213">
        <v>16</v>
      </c>
      <c r="E213" t="s">
        <v>95</v>
      </c>
      <c r="F213">
        <v>120</v>
      </c>
      <c r="H213">
        <v>16</v>
      </c>
      <c r="I213">
        <v>1.2</v>
      </c>
      <c r="J213">
        <v>19.2</v>
      </c>
      <c r="K213">
        <v>16.399999999999999</v>
      </c>
      <c r="L213">
        <v>16.59</v>
      </c>
    </row>
    <row r="214" spans="1:12" x14ac:dyDescent="0.3">
      <c r="A214" s="129" t="s">
        <v>24</v>
      </c>
      <c r="B214">
        <v>9</v>
      </c>
      <c r="C214">
        <v>1</v>
      </c>
      <c r="D214">
        <v>16</v>
      </c>
      <c r="E214" s="129" t="s">
        <v>95</v>
      </c>
      <c r="F214">
        <v>140</v>
      </c>
      <c r="H214">
        <v>2</v>
      </c>
      <c r="I214">
        <v>1</v>
      </c>
      <c r="J214">
        <v>2</v>
      </c>
      <c r="K214">
        <v>21.22</v>
      </c>
      <c r="L214">
        <v>21.38</v>
      </c>
    </row>
    <row r="215" spans="1:12" x14ac:dyDescent="0.3">
      <c r="A215" s="129" t="s">
        <v>24</v>
      </c>
      <c r="B215">
        <v>9</v>
      </c>
      <c r="C215">
        <v>1</v>
      </c>
      <c r="D215">
        <v>16</v>
      </c>
      <c r="E215" t="s">
        <v>95</v>
      </c>
      <c r="F215">
        <v>140</v>
      </c>
      <c r="H215">
        <v>1</v>
      </c>
      <c r="I215">
        <v>5</v>
      </c>
      <c r="J215">
        <v>5</v>
      </c>
      <c r="K215">
        <v>19.04</v>
      </c>
      <c r="L215">
        <v>19.18</v>
      </c>
    </row>
    <row r="216" spans="1:12" x14ac:dyDescent="0.3">
      <c r="A216" s="129" t="s">
        <v>24</v>
      </c>
      <c r="B216">
        <v>9</v>
      </c>
      <c r="C216">
        <v>1</v>
      </c>
      <c r="D216">
        <v>16</v>
      </c>
      <c r="E216" t="s">
        <v>95</v>
      </c>
      <c r="F216">
        <v>140</v>
      </c>
      <c r="H216">
        <v>10</v>
      </c>
      <c r="I216">
        <v>0.6</v>
      </c>
      <c r="J216">
        <v>6</v>
      </c>
      <c r="K216">
        <v>26.27</v>
      </c>
      <c r="L216">
        <v>26.47</v>
      </c>
    </row>
    <row r="217" spans="1:12" x14ac:dyDescent="0.3">
      <c r="A217" s="129" t="s">
        <v>24</v>
      </c>
      <c r="B217">
        <v>9</v>
      </c>
      <c r="C217">
        <v>1</v>
      </c>
      <c r="D217">
        <v>16</v>
      </c>
      <c r="E217" t="s">
        <v>95</v>
      </c>
      <c r="F217">
        <v>140</v>
      </c>
      <c r="H217">
        <v>6</v>
      </c>
      <c r="I217">
        <v>1.2</v>
      </c>
      <c r="J217">
        <v>7.1999999999999993</v>
      </c>
      <c r="K217">
        <v>27.37</v>
      </c>
      <c r="L217">
        <v>27.57</v>
      </c>
    </row>
    <row r="218" spans="1:12" x14ac:dyDescent="0.3">
      <c r="A218" s="129" t="s">
        <v>24</v>
      </c>
      <c r="B218">
        <v>9</v>
      </c>
      <c r="C218">
        <v>1</v>
      </c>
      <c r="D218">
        <v>16</v>
      </c>
      <c r="E218" t="s">
        <v>95</v>
      </c>
      <c r="F218">
        <v>140</v>
      </c>
      <c r="H218">
        <v>1</v>
      </c>
      <c r="I218">
        <v>10</v>
      </c>
      <c r="J218">
        <v>10</v>
      </c>
      <c r="K218">
        <v>19.04</v>
      </c>
      <c r="L218">
        <v>19.18</v>
      </c>
    </row>
    <row r="219" spans="1:12" x14ac:dyDescent="0.3">
      <c r="A219" s="129" t="s">
        <v>24</v>
      </c>
      <c r="B219">
        <v>9</v>
      </c>
      <c r="C219">
        <v>1</v>
      </c>
      <c r="D219">
        <v>16</v>
      </c>
      <c r="E219" t="s">
        <v>95</v>
      </c>
      <c r="F219">
        <v>140</v>
      </c>
      <c r="H219">
        <v>20</v>
      </c>
      <c r="I219">
        <v>0.6</v>
      </c>
      <c r="J219">
        <v>12</v>
      </c>
      <c r="K219">
        <v>25.77</v>
      </c>
      <c r="L219">
        <v>15.96</v>
      </c>
    </row>
    <row r="220" spans="1:12" x14ac:dyDescent="0.3">
      <c r="A220" s="129" t="s">
        <v>24</v>
      </c>
      <c r="B220">
        <v>9</v>
      </c>
      <c r="C220">
        <v>1</v>
      </c>
      <c r="D220">
        <v>16</v>
      </c>
      <c r="E220" t="s">
        <v>95</v>
      </c>
      <c r="F220">
        <v>140</v>
      </c>
      <c r="H220">
        <v>12</v>
      </c>
      <c r="I220">
        <v>1.2</v>
      </c>
      <c r="J220">
        <v>14.399999999999999</v>
      </c>
      <c r="K220">
        <v>24.42</v>
      </c>
      <c r="L220">
        <v>24.6</v>
      </c>
    </row>
    <row r="221" spans="1:12" x14ac:dyDescent="0.3">
      <c r="A221" s="129" t="s">
        <v>24</v>
      </c>
      <c r="B221">
        <v>9</v>
      </c>
      <c r="C221">
        <v>1</v>
      </c>
      <c r="D221">
        <v>16</v>
      </c>
      <c r="E221" t="s">
        <v>95</v>
      </c>
      <c r="F221">
        <v>140</v>
      </c>
      <c r="H221">
        <v>16</v>
      </c>
      <c r="I221">
        <v>1.2</v>
      </c>
      <c r="J221">
        <v>19.2</v>
      </c>
      <c r="K221">
        <v>23.37</v>
      </c>
      <c r="L221">
        <v>23.54</v>
      </c>
    </row>
    <row r="222" spans="1:12" x14ac:dyDescent="0.3">
      <c r="A222" s="129" t="s">
        <v>24</v>
      </c>
      <c r="B222">
        <v>9</v>
      </c>
      <c r="C222">
        <v>1</v>
      </c>
      <c r="D222">
        <v>16</v>
      </c>
      <c r="E222" s="129" t="s">
        <v>96</v>
      </c>
      <c r="F222">
        <v>70</v>
      </c>
      <c r="H222">
        <v>2</v>
      </c>
      <c r="I222">
        <v>1</v>
      </c>
      <c r="J222">
        <v>2</v>
      </c>
      <c r="K222">
        <v>2.54</v>
      </c>
      <c r="L222">
        <v>2.5499999999999998</v>
      </c>
    </row>
    <row r="223" spans="1:12" x14ac:dyDescent="0.3">
      <c r="A223" s="129" t="s">
        <v>24</v>
      </c>
      <c r="B223">
        <v>9</v>
      </c>
      <c r="C223">
        <v>1</v>
      </c>
      <c r="D223">
        <v>16</v>
      </c>
      <c r="E223" t="s">
        <v>96</v>
      </c>
      <c r="F223">
        <v>70</v>
      </c>
      <c r="H223">
        <v>1</v>
      </c>
      <c r="I223">
        <v>5</v>
      </c>
      <c r="J223">
        <v>5</v>
      </c>
      <c r="K223">
        <v>2.2799999999999998</v>
      </c>
      <c r="L223">
        <v>2.2799999999999998</v>
      </c>
    </row>
    <row r="224" spans="1:12" x14ac:dyDescent="0.3">
      <c r="A224" s="129" t="s">
        <v>24</v>
      </c>
      <c r="B224">
        <v>9</v>
      </c>
      <c r="C224">
        <v>1</v>
      </c>
      <c r="D224">
        <v>16</v>
      </c>
      <c r="E224" t="s">
        <v>96</v>
      </c>
      <c r="F224">
        <v>70</v>
      </c>
      <c r="H224">
        <v>10</v>
      </c>
      <c r="I224">
        <v>0.6</v>
      </c>
      <c r="J224">
        <v>6</v>
      </c>
      <c r="K224">
        <v>3.15</v>
      </c>
      <c r="L224">
        <v>3.15</v>
      </c>
    </row>
    <row r="225" spans="1:12" x14ac:dyDescent="0.3">
      <c r="A225" s="129" t="s">
        <v>24</v>
      </c>
      <c r="B225">
        <v>9</v>
      </c>
      <c r="C225">
        <v>1</v>
      </c>
      <c r="D225">
        <v>16</v>
      </c>
      <c r="E225" t="s">
        <v>96</v>
      </c>
      <c r="F225">
        <v>70</v>
      </c>
      <c r="H225">
        <v>6</v>
      </c>
      <c r="I225">
        <v>1.2</v>
      </c>
      <c r="J225">
        <v>7.1999999999999993</v>
      </c>
      <c r="K225">
        <v>3.28</v>
      </c>
      <c r="L225">
        <v>3.28</v>
      </c>
    </row>
    <row r="226" spans="1:12" x14ac:dyDescent="0.3">
      <c r="A226" s="129" t="s">
        <v>24</v>
      </c>
      <c r="B226">
        <v>9</v>
      </c>
      <c r="C226">
        <v>1</v>
      </c>
      <c r="D226">
        <v>16</v>
      </c>
      <c r="E226" t="s">
        <v>96</v>
      </c>
      <c r="F226">
        <v>70</v>
      </c>
      <c r="H226">
        <v>1</v>
      </c>
      <c r="I226">
        <v>10</v>
      </c>
      <c r="J226">
        <v>10</v>
      </c>
      <c r="K226">
        <v>2.2799999999999998</v>
      </c>
      <c r="L226">
        <v>2.2799999999999998</v>
      </c>
    </row>
    <row r="227" spans="1:12" x14ac:dyDescent="0.3">
      <c r="A227" s="129" t="s">
        <v>24</v>
      </c>
      <c r="B227">
        <v>9</v>
      </c>
      <c r="C227">
        <v>1</v>
      </c>
      <c r="D227">
        <v>16</v>
      </c>
      <c r="E227" t="s">
        <v>96</v>
      </c>
      <c r="F227">
        <v>70</v>
      </c>
      <c r="H227">
        <v>20</v>
      </c>
      <c r="I227">
        <v>0.6</v>
      </c>
      <c r="J227">
        <v>12</v>
      </c>
      <c r="K227">
        <v>3.09</v>
      </c>
      <c r="L227">
        <v>3.09</v>
      </c>
    </row>
    <row r="228" spans="1:12" x14ac:dyDescent="0.3">
      <c r="A228" s="129" t="s">
        <v>24</v>
      </c>
      <c r="B228">
        <v>9</v>
      </c>
      <c r="C228">
        <v>1</v>
      </c>
      <c r="D228">
        <v>16</v>
      </c>
      <c r="E228" t="s">
        <v>96</v>
      </c>
      <c r="F228">
        <v>70</v>
      </c>
      <c r="H228">
        <v>12</v>
      </c>
      <c r="I228">
        <v>1.2</v>
      </c>
      <c r="J228">
        <v>14.399999999999999</v>
      </c>
      <c r="K228">
        <v>2.93</v>
      </c>
      <c r="L228">
        <v>2.93</v>
      </c>
    </row>
    <row r="229" spans="1:12" x14ac:dyDescent="0.3">
      <c r="A229" s="129" t="s">
        <v>24</v>
      </c>
      <c r="B229">
        <v>9</v>
      </c>
      <c r="C229">
        <v>1</v>
      </c>
      <c r="D229">
        <v>16</v>
      </c>
      <c r="E229" t="s">
        <v>96</v>
      </c>
      <c r="F229">
        <v>70</v>
      </c>
      <c r="H229">
        <v>16</v>
      </c>
      <c r="I229">
        <v>1.2</v>
      </c>
      <c r="J229">
        <v>19.2</v>
      </c>
      <c r="K229">
        <v>2.8</v>
      </c>
      <c r="L229">
        <v>2.8</v>
      </c>
    </row>
    <row r="230" spans="1:12" x14ac:dyDescent="0.3">
      <c r="A230" s="129" t="s">
        <v>24</v>
      </c>
      <c r="B230">
        <v>9</v>
      </c>
      <c r="C230">
        <v>1</v>
      </c>
      <c r="D230">
        <v>16</v>
      </c>
      <c r="E230" t="s">
        <v>96</v>
      </c>
      <c r="F230">
        <v>80</v>
      </c>
      <c r="H230">
        <v>2</v>
      </c>
      <c r="I230">
        <v>1</v>
      </c>
      <c r="J230">
        <v>2</v>
      </c>
      <c r="K230">
        <v>4.1100000000000003</v>
      </c>
      <c r="L230">
        <v>4.05</v>
      </c>
    </row>
    <row r="231" spans="1:12" x14ac:dyDescent="0.3">
      <c r="A231" s="129" t="s">
        <v>24</v>
      </c>
      <c r="B231">
        <v>9</v>
      </c>
      <c r="C231">
        <v>1</v>
      </c>
      <c r="D231">
        <v>16</v>
      </c>
      <c r="E231" t="s">
        <v>96</v>
      </c>
      <c r="F231">
        <v>80</v>
      </c>
      <c r="H231">
        <v>1</v>
      </c>
      <c r="I231">
        <v>5</v>
      </c>
      <c r="J231">
        <v>5</v>
      </c>
      <c r="K231">
        <v>3.69</v>
      </c>
      <c r="L231">
        <v>3.64</v>
      </c>
    </row>
    <row r="232" spans="1:12" x14ac:dyDescent="0.3">
      <c r="A232" s="129" t="s">
        <v>24</v>
      </c>
      <c r="B232">
        <v>9</v>
      </c>
      <c r="C232">
        <v>1</v>
      </c>
      <c r="D232">
        <v>16</v>
      </c>
      <c r="E232" t="s">
        <v>96</v>
      </c>
      <c r="F232">
        <v>80</v>
      </c>
      <c r="H232">
        <v>10</v>
      </c>
      <c r="I232">
        <v>0.6</v>
      </c>
      <c r="J232">
        <v>6</v>
      </c>
      <c r="K232">
        <v>5.09</v>
      </c>
      <c r="L232">
        <v>5.0199999999999996</v>
      </c>
    </row>
    <row r="233" spans="1:12" x14ac:dyDescent="0.3">
      <c r="A233" s="129" t="s">
        <v>24</v>
      </c>
      <c r="B233">
        <v>9</v>
      </c>
      <c r="C233">
        <v>1</v>
      </c>
      <c r="D233">
        <v>16</v>
      </c>
      <c r="E233" t="s">
        <v>96</v>
      </c>
      <c r="F233">
        <v>80</v>
      </c>
      <c r="H233">
        <v>6</v>
      </c>
      <c r="I233">
        <v>1.2</v>
      </c>
      <c r="J233">
        <v>7.1999999999999993</v>
      </c>
      <c r="K233">
        <v>5.3</v>
      </c>
      <c r="L233">
        <v>5.23</v>
      </c>
    </row>
    <row r="234" spans="1:12" x14ac:dyDescent="0.3">
      <c r="A234" s="129" t="s">
        <v>24</v>
      </c>
      <c r="B234">
        <v>9</v>
      </c>
      <c r="C234">
        <v>1</v>
      </c>
      <c r="D234">
        <v>16</v>
      </c>
      <c r="E234" t="s">
        <v>96</v>
      </c>
      <c r="F234">
        <v>80</v>
      </c>
      <c r="H234">
        <v>1</v>
      </c>
      <c r="I234">
        <v>10</v>
      </c>
      <c r="J234">
        <v>10</v>
      </c>
      <c r="K234">
        <v>3.69</v>
      </c>
      <c r="L234">
        <v>3.64</v>
      </c>
    </row>
    <row r="235" spans="1:12" x14ac:dyDescent="0.3">
      <c r="A235" s="129" t="s">
        <v>24</v>
      </c>
      <c r="B235">
        <v>9</v>
      </c>
      <c r="C235">
        <v>1</v>
      </c>
      <c r="D235">
        <v>16</v>
      </c>
      <c r="E235" t="s">
        <v>96</v>
      </c>
      <c r="F235">
        <v>80</v>
      </c>
      <c r="H235">
        <v>20</v>
      </c>
      <c r="I235">
        <v>0.6</v>
      </c>
      <c r="J235">
        <v>12</v>
      </c>
      <c r="K235">
        <v>4.99</v>
      </c>
      <c r="L235">
        <v>4.92</v>
      </c>
    </row>
    <row r="236" spans="1:12" x14ac:dyDescent="0.3">
      <c r="A236" s="129" t="s">
        <v>24</v>
      </c>
      <c r="B236">
        <v>9</v>
      </c>
      <c r="C236">
        <v>1</v>
      </c>
      <c r="D236">
        <v>16</v>
      </c>
      <c r="E236" t="s">
        <v>96</v>
      </c>
      <c r="F236">
        <v>80</v>
      </c>
      <c r="H236">
        <v>12</v>
      </c>
      <c r="I236">
        <v>1.2</v>
      </c>
      <c r="J236">
        <v>14.399999999999999</v>
      </c>
      <c r="K236">
        <v>4.7300000000000004</v>
      </c>
      <c r="L236">
        <v>4.66</v>
      </c>
    </row>
    <row r="237" spans="1:12" x14ac:dyDescent="0.3">
      <c r="A237" s="129" t="s">
        <v>24</v>
      </c>
      <c r="B237">
        <v>9</v>
      </c>
      <c r="C237">
        <v>1</v>
      </c>
      <c r="D237">
        <v>16</v>
      </c>
      <c r="E237" t="s">
        <v>96</v>
      </c>
      <c r="F237">
        <v>80</v>
      </c>
      <c r="H237">
        <v>16</v>
      </c>
      <c r="I237">
        <v>1.2</v>
      </c>
      <c r="J237">
        <v>19.2</v>
      </c>
      <c r="K237">
        <v>4.53</v>
      </c>
      <c r="L237">
        <v>5.26</v>
      </c>
    </row>
    <row r="238" spans="1:12" x14ac:dyDescent="0.3">
      <c r="A238" s="129" t="s">
        <v>24</v>
      </c>
      <c r="B238">
        <v>9</v>
      </c>
      <c r="C238">
        <v>1</v>
      </c>
      <c r="D238">
        <v>16</v>
      </c>
      <c r="E238" t="s">
        <v>96</v>
      </c>
      <c r="F238">
        <v>100</v>
      </c>
      <c r="H238">
        <v>2</v>
      </c>
      <c r="I238">
        <v>1</v>
      </c>
      <c r="J238">
        <v>2</v>
      </c>
      <c r="K238">
        <v>8.0399999999999991</v>
      </c>
      <c r="L238">
        <v>7.82</v>
      </c>
    </row>
    <row r="239" spans="1:12" x14ac:dyDescent="0.3">
      <c r="A239" s="129" t="s">
        <v>24</v>
      </c>
      <c r="B239">
        <v>9</v>
      </c>
      <c r="C239">
        <v>1</v>
      </c>
      <c r="D239">
        <v>16</v>
      </c>
      <c r="E239" t="s">
        <v>96</v>
      </c>
      <c r="F239">
        <v>100</v>
      </c>
      <c r="H239">
        <v>1</v>
      </c>
      <c r="I239">
        <v>5</v>
      </c>
      <c r="J239">
        <v>5</v>
      </c>
      <c r="K239">
        <v>7.21</v>
      </c>
      <c r="L239">
        <v>7.02</v>
      </c>
    </row>
    <row r="240" spans="1:12" x14ac:dyDescent="0.3">
      <c r="A240" s="129" t="s">
        <v>24</v>
      </c>
      <c r="B240">
        <v>9</v>
      </c>
      <c r="C240">
        <v>1</v>
      </c>
      <c r="D240">
        <v>16</v>
      </c>
      <c r="E240" t="s">
        <v>96</v>
      </c>
      <c r="F240">
        <v>100</v>
      </c>
      <c r="H240">
        <v>10</v>
      </c>
      <c r="I240">
        <v>0.6</v>
      </c>
      <c r="J240">
        <v>6</v>
      </c>
      <c r="K240">
        <v>9.9499999999999993</v>
      </c>
      <c r="L240">
        <v>9.68</v>
      </c>
    </row>
    <row r="241" spans="1:12" x14ac:dyDescent="0.3">
      <c r="A241" s="129" t="s">
        <v>24</v>
      </c>
      <c r="B241">
        <v>9</v>
      </c>
      <c r="C241">
        <v>1</v>
      </c>
      <c r="D241">
        <v>16</v>
      </c>
      <c r="E241" t="s">
        <v>96</v>
      </c>
      <c r="F241">
        <v>100</v>
      </c>
      <c r="H241">
        <v>6</v>
      </c>
      <c r="I241">
        <v>1.2</v>
      </c>
      <c r="J241">
        <v>7.1999999999999993</v>
      </c>
      <c r="K241">
        <v>10.37</v>
      </c>
      <c r="L241">
        <v>10.09</v>
      </c>
    </row>
    <row r="242" spans="1:12" x14ac:dyDescent="0.3">
      <c r="A242" s="129" t="s">
        <v>24</v>
      </c>
      <c r="B242">
        <v>9</v>
      </c>
      <c r="C242">
        <v>1</v>
      </c>
      <c r="D242">
        <v>16</v>
      </c>
      <c r="E242" t="s">
        <v>96</v>
      </c>
      <c r="F242">
        <v>100</v>
      </c>
      <c r="H242">
        <v>1</v>
      </c>
      <c r="I242">
        <v>10</v>
      </c>
      <c r="J242">
        <v>10</v>
      </c>
      <c r="K242">
        <v>7.21</v>
      </c>
      <c r="L242">
        <v>7.02</v>
      </c>
    </row>
    <row r="243" spans="1:12" x14ac:dyDescent="0.3">
      <c r="A243" s="129" t="s">
        <v>24</v>
      </c>
      <c r="B243">
        <v>9</v>
      </c>
      <c r="C243">
        <v>1</v>
      </c>
      <c r="D243">
        <v>16</v>
      </c>
      <c r="E243" t="s">
        <v>96</v>
      </c>
      <c r="F243">
        <v>100</v>
      </c>
      <c r="H243">
        <v>20</v>
      </c>
      <c r="I243">
        <v>0.6</v>
      </c>
      <c r="J243">
        <v>12</v>
      </c>
      <c r="K243">
        <v>9.76</v>
      </c>
      <c r="L243">
        <v>9.5</v>
      </c>
    </row>
    <row r="244" spans="1:12" x14ac:dyDescent="0.3">
      <c r="A244" s="129" t="s">
        <v>24</v>
      </c>
      <c r="B244">
        <v>9</v>
      </c>
      <c r="C244">
        <v>1</v>
      </c>
      <c r="D244">
        <v>16</v>
      </c>
      <c r="E244" t="s">
        <v>96</v>
      </c>
      <c r="F244">
        <v>100</v>
      </c>
      <c r="H244">
        <v>12</v>
      </c>
      <c r="I244">
        <v>1.2</v>
      </c>
      <c r="J244">
        <v>14.399999999999999</v>
      </c>
      <c r="K244">
        <v>9.25</v>
      </c>
      <c r="L244">
        <v>9</v>
      </c>
    </row>
    <row r="245" spans="1:12" x14ac:dyDescent="0.3">
      <c r="A245" s="129" t="s">
        <v>24</v>
      </c>
      <c r="B245">
        <v>9</v>
      </c>
      <c r="C245">
        <v>1</v>
      </c>
      <c r="D245">
        <v>16</v>
      </c>
      <c r="E245" t="s">
        <v>96</v>
      </c>
      <c r="F245">
        <v>100</v>
      </c>
      <c r="H245">
        <v>16</v>
      </c>
      <c r="I245">
        <v>1.2</v>
      </c>
      <c r="J245">
        <v>19.2</v>
      </c>
      <c r="K245">
        <v>8.85</v>
      </c>
      <c r="L245">
        <v>8.61</v>
      </c>
    </row>
    <row r="246" spans="1:12" x14ac:dyDescent="0.3">
      <c r="A246" s="129" t="s">
        <v>24</v>
      </c>
      <c r="B246">
        <v>9</v>
      </c>
      <c r="C246">
        <v>1</v>
      </c>
      <c r="D246">
        <v>16</v>
      </c>
      <c r="E246" t="s">
        <v>96</v>
      </c>
      <c r="F246">
        <v>120</v>
      </c>
      <c r="H246">
        <v>2</v>
      </c>
      <c r="I246">
        <v>1</v>
      </c>
      <c r="J246">
        <v>2</v>
      </c>
      <c r="K246">
        <v>11.68</v>
      </c>
      <c r="L246">
        <v>13.28</v>
      </c>
    </row>
    <row r="247" spans="1:12" x14ac:dyDescent="0.3">
      <c r="A247" s="129" t="s">
        <v>24</v>
      </c>
      <c r="B247">
        <v>9</v>
      </c>
      <c r="C247">
        <v>1</v>
      </c>
      <c r="D247">
        <v>16</v>
      </c>
      <c r="E247" t="s">
        <v>96</v>
      </c>
      <c r="F247">
        <v>120</v>
      </c>
      <c r="H247">
        <v>1</v>
      </c>
      <c r="I247">
        <v>5</v>
      </c>
      <c r="J247">
        <v>5</v>
      </c>
      <c r="K247">
        <v>12.28</v>
      </c>
      <c r="L247">
        <v>11.92</v>
      </c>
    </row>
    <row r="248" spans="1:12" x14ac:dyDescent="0.3">
      <c r="A248" s="129" t="s">
        <v>24</v>
      </c>
      <c r="B248">
        <v>9</v>
      </c>
      <c r="C248">
        <v>1</v>
      </c>
      <c r="D248">
        <v>16</v>
      </c>
      <c r="E248" t="s">
        <v>96</v>
      </c>
      <c r="F248">
        <v>120</v>
      </c>
      <c r="H248">
        <v>10</v>
      </c>
      <c r="I248">
        <v>0.6</v>
      </c>
      <c r="J248">
        <v>6</v>
      </c>
      <c r="K248">
        <v>16.940000000000001</v>
      </c>
      <c r="L248">
        <v>16.440000000000001</v>
      </c>
    </row>
    <row r="249" spans="1:12" x14ac:dyDescent="0.3">
      <c r="A249" s="129" t="s">
        <v>24</v>
      </c>
      <c r="B249">
        <v>9</v>
      </c>
      <c r="C249">
        <v>1</v>
      </c>
      <c r="D249">
        <v>16</v>
      </c>
      <c r="E249" t="s">
        <v>96</v>
      </c>
      <c r="F249">
        <v>120</v>
      </c>
      <c r="H249">
        <v>6</v>
      </c>
      <c r="I249">
        <v>1.2</v>
      </c>
      <c r="J249">
        <v>7.1999999999999993</v>
      </c>
      <c r="K249">
        <v>17.649999999999999</v>
      </c>
      <c r="L249">
        <v>17.13</v>
      </c>
    </row>
    <row r="250" spans="1:12" x14ac:dyDescent="0.3">
      <c r="A250" s="129" t="s">
        <v>24</v>
      </c>
      <c r="B250">
        <v>9</v>
      </c>
      <c r="C250">
        <v>1</v>
      </c>
      <c r="D250">
        <v>16</v>
      </c>
      <c r="E250" t="s">
        <v>96</v>
      </c>
      <c r="F250">
        <v>120</v>
      </c>
      <c r="H250">
        <v>1</v>
      </c>
      <c r="I250">
        <v>10</v>
      </c>
      <c r="J250">
        <v>10</v>
      </c>
      <c r="K250">
        <v>12.28</v>
      </c>
      <c r="L250">
        <v>11.92</v>
      </c>
    </row>
    <row r="251" spans="1:12" x14ac:dyDescent="0.3">
      <c r="A251" s="129" t="s">
        <v>24</v>
      </c>
      <c r="B251">
        <v>9</v>
      </c>
      <c r="C251">
        <v>1</v>
      </c>
      <c r="D251">
        <v>16</v>
      </c>
      <c r="E251" t="s">
        <v>96</v>
      </c>
      <c r="F251">
        <v>120</v>
      </c>
      <c r="H251">
        <v>20</v>
      </c>
      <c r="I251">
        <v>0.6</v>
      </c>
      <c r="J251">
        <v>12</v>
      </c>
      <c r="K251">
        <v>16.62</v>
      </c>
      <c r="L251">
        <v>16.13</v>
      </c>
    </row>
    <row r="252" spans="1:12" x14ac:dyDescent="0.3">
      <c r="A252" s="129" t="s">
        <v>24</v>
      </c>
      <c r="B252">
        <v>9</v>
      </c>
      <c r="C252">
        <v>1</v>
      </c>
      <c r="D252">
        <v>16</v>
      </c>
      <c r="E252" t="s">
        <v>96</v>
      </c>
      <c r="F252">
        <v>120</v>
      </c>
      <c r="H252">
        <v>12</v>
      </c>
      <c r="I252">
        <v>1.2</v>
      </c>
      <c r="J252">
        <v>14.399999999999999</v>
      </c>
      <c r="K252">
        <v>15.75</v>
      </c>
      <c r="L252">
        <v>15.28</v>
      </c>
    </row>
    <row r="253" spans="1:12" x14ac:dyDescent="0.3">
      <c r="A253" s="129" t="s">
        <v>24</v>
      </c>
      <c r="B253">
        <v>9</v>
      </c>
      <c r="C253">
        <v>1</v>
      </c>
      <c r="D253">
        <v>16</v>
      </c>
      <c r="E253" t="s">
        <v>96</v>
      </c>
      <c r="F253">
        <v>120</v>
      </c>
      <c r="H253">
        <v>16</v>
      </c>
      <c r="I253">
        <v>1.2</v>
      </c>
      <c r="J253">
        <v>19.2</v>
      </c>
      <c r="K253">
        <v>15.07</v>
      </c>
      <c r="L253">
        <v>14.63</v>
      </c>
    </row>
    <row r="254" spans="1:12" x14ac:dyDescent="0.3">
      <c r="A254" s="129" t="s">
        <v>24</v>
      </c>
      <c r="B254">
        <v>9</v>
      </c>
      <c r="C254">
        <v>1</v>
      </c>
      <c r="D254">
        <v>16</v>
      </c>
      <c r="E254" t="s">
        <v>96</v>
      </c>
      <c r="F254">
        <v>140</v>
      </c>
      <c r="H254">
        <v>2</v>
      </c>
      <c r="I254">
        <v>1</v>
      </c>
      <c r="J254">
        <v>2</v>
      </c>
      <c r="K254">
        <v>19.600000000000001</v>
      </c>
      <c r="L254">
        <v>19.010000000000002</v>
      </c>
    </row>
    <row r="255" spans="1:12" x14ac:dyDescent="0.3">
      <c r="A255" s="129" t="s">
        <v>24</v>
      </c>
      <c r="B255">
        <v>9</v>
      </c>
      <c r="C255">
        <v>1</v>
      </c>
      <c r="D255">
        <v>16</v>
      </c>
      <c r="E255" t="s">
        <v>96</v>
      </c>
      <c r="F255">
        <v>140</v>
      </c>
      <c r="H255">
        <v>1</v>
      </c>
      <c r="I255">
        <v>5</v>
      </c>
      <c r="J255">
        <v>5</v>
      </c>
      <c r="K255">
        <v>17.579999999999998</v>
      </c>
      <c r="L255">
        <v>17.05</v>
      </c>
    </row>
    <row r="256" spans="1:12" x14ac:dyDescent="0.3">
      <c r="A256" s="129" t="s">
        <v>24</v>
      </c>
      <c r="B256">
        <v>9</v>
      </c>
      <c r="C256">
        <v>1</v>
      </c>
      <c r="D256">
        <v>16</v>
      </c>
      <c r="E256" t="s">
        <v>96</v>
      </c>
      <c r="F256">
        <v>140</v>
      </c>
      <c r="H256">
        <v>10</v>
      </c>
      <c r="I256">
        <v>0.6</v>
      </c>
      <c r="J256">
        <v>6</v>
      </c>
      <c r="K256">
        <v>24.27</v>
      </c>
      <c r="L256">
        <v>23.53</v>
      </c>
    </row>
    <row r="257" spans="1:12" x14ac:dyDescent="0.3">
      <c r="A257" s="129" t="s">
        <v>24</v>
      </c>
      <c r="B257">
        <v>9</v>
      </c>
      <c r="C257">
        <v>1</v>
      </c>
      <c r="D257">
        <v>16</v>
      </c>
      <c r="E257" t="s">
        <v>96</v>
      </c>
      <c r="F257">
        <v>140</v>
      </c>
      <c r="H257">
        <v>6</v>
      </c>
      <c r="I257">
        <v>1.2</v>
      </c>
      <c r="J257">
        <v>7.1999999999999993</v>
      </c>
      <c r="K257">
        <v>25.28</v>
      </c>
      <c r="L257">
        <v>24.51</v>
      </c>
    </row>
    <row r="258" spans="1:12" x14ac:dyDescent="0.3">
      <c r="A258" s="129" t="s">
        <v>24</v>
      </c>
      <c r="B258">
        <v>9</v>
      </c>
      <c r="C258">
        <v>1</v>
      </c>
      <c r="D258">
        <v>16</v>
      </c>
      <c r="E258" t="s">
        <v>96</v>
      </c>
      <c r="F258">
        <v>140</v>
      </c>
      <c r="H258">
        <v>1</v>
      </c>
      <c r="I258">
        <v>10</v>
      </c>
      <c r="J258">
        <v>10</v>
      </c>
      <c r="K258">
        <v>17.579999999999998</v>
      </c>
      <c r="L258">
        <v>17.05</v>
      </c>
    </row>
    <row r="259" spans="1:12" x14ac:dyDescent="0.3">
      <c r="A259" s="129" t="s">
        <v>24</v>
      </c>
      <c r="B259">
        <v>9</v>
      </c>
      <c r="C259">
        <v>1</v>
      </c>
      <c r="D259">
        <v>16</v>
      </c>
      <c r="E259" t="s">
        <v>96</v>
      </c>
      <c r="F259">
        <v>140</v>
      </c>
      <c r="H259">
        <v>20</v>
      </c>
      <c r="I259">
        <v>0.6</v>
      </c>
      <c r="J259">
        <v>12</v>
      </c>
      <c r="K259">
        <v>23.8</v>
      </c>
      <c r="L259">
        <v>23.08</v>
      </c>
    </row>
    <row r="260" spans="1:12" x14ac:dyDescent="0.3">
      <c r="A260" s="129" t="s">
        <v>24</v>
      </c>
      <c r="B260">
        <v>9</v>
      </c>
      <c r="C260">
        <v>1</v>
      </c>
      <c r="D260">
        <v>16</v>
      </c>
      <c r="E260" t="s">
        <v>96</v>
      </c>
      <c r="F260">
        <v>140</v>
      </c>
      <c r="H260">
        <v>12</v>
      </c>
      <c r="I260">
        <v>1.2</v>
      </c>
      <c r="J260">
        <v>14.399999999999999</v>
      </c>
      <c r="K260">
        <v>22.56</v>
      </c>
      <c r="L260">
        <v>21.87</v>
      </c>
    </row>
    <row r="261" spans="1:12" x14ac:dyDescent="0.3">
      <c r="A261" s="129" t="s">
        <v>24</v>
      </c>
      <c r="B261">
        <v>9</v>
      </c>
      <c r="C261">
        <v>1</v>
      </c>
      <c r="D261">
        <v>16</v>
      </c>
      <c r="E261" t="s">
        <v>96</v>
      </c>
      <c r="F261">
        <v>140</v>
      </c>
      <c r="H261">
        <v>16</v>
      </c>
      <c r="I261">
        <v>1.2</v>
      </c>
      <c r="J261">
        <v>19.2</v>
      </c>
      <c r="K261">
        <v>21.58</v>
      </c>
      <c r="L261">
        <v>20.93</v>
      </c>
    </row>
    <row r="262" spans="1:12" x14ac:dyDescent="0.3">
      <c r="A262" s="129" t="s">
        <v>24</v>
      </c>
      <c r="B262">
        <v>9</v>
      </c>
      <c r="C262">
        <v>1</v>
      </c>
      <c r="D262">
        <v>32</v>
      </c>
      <c r="E262" t="s">
        <v>95</v>
      </c>
      <c r="F262">
        <v>70</v>
      </c>
      <c r="H262">
        <v>2</v>
      </c>
      <c r="I262">
        <v>1</v>
      </c>
      <c r="J262">
        <v>2</v>
      </c>
      <c r="K262">
        <v>0.68</v>
      </c>
      <c r="L262">
        <v>1.37</v>
      </c>
    </row>
    <row r="263" spans="1:12" x14ac:dyDescent="0.3">
      <c r="A263" s="129" t="s">
        <v>24</v>
      </c>
      <c r="B263">
        <v>9</v>
      </c>
      <c r="C263">
        <v>1</v>
      </c>
      <c r="D263">
        <v>32</v>
      </c>
      <c r="E263" t="s">
        <v>95</v>
      </c>
      <c r="F263">
        <v>70</v>
      </c>
      <c r="H263">
        <v>1</v>
      </c>
      <c r="I263">
        <v>5</v>
      </c>
      <c r="J263">
        <v>5</v>
      </c>
      <c r="K263">
        <v>0.61</v>
      </c>
      <c r="L263">
        <v>1.22</v>
      </c>
    </row>
    <row r="264" spans="1:12" x14ac:dyDescent="0.3">
      <c r="A264" s="129" t="s">
        <v>24</v>
      </c>
      <c r="B264">
        <v>9</v>
      </c>
      <c r="C264">
        <v>1</v>
      </c>
      <c r="D264">
        <v>32</v>
      </c>
      <c r="E264" t="s">
        <v>95</v>
      </c>
      <c r="F264">
        <v>70</v>
      </c>
      <c r="H264">
        <v>10</v>
      </c>
      <c r="I264">
        <v>0.6</v>
      </c>
      <c r="J264">
        <v>6</v>
      </c>
      <c r="K264">
        <v>0.84</v>
      </c>
      <c r="L264">
        <v>1.69</v>
      </c>
    </row>
    <row r="265" spans="1:12" x14ac:dyDescent="0.3">
      <c r="A265" s="129" t="s">
        <v>24</v>
      </c>
      <c r="B265">
        <v>9</v>
      </c>
      <c r="C265">
        <v>1</v>
      </c>
      <c r="D265">
        <v>32</v>
      </c>
      <c r="E265" t="s">
        <v>95</v>
      </c>
      <c r="F265">
        <v>70</v>
      </c>
      <c r="H265">
        <v>6</v>
      </c>
      <c r="I265">
        <v>1.2</v>
      </c>
      <c r="J265">
        <v>7.1999999999999993</v>
      </c>
      <c r="K265">
        <v>0.88</v>
      </c>
      <c r="L265">
        <v>1.76</v>
      </c>
    </row>
    <row r="266" spans="1:12" x14ac:dyDescent="0.3">
      <c r="A266" s="129" t="s">
        <v>24</v>
      </c>
      <c r="B266">
        <v>9</v>
      </c>
      <c r="C266">
        <v>1</v>
      </c>
      <c r="D266">
        <v>32</v>
      </c>
      <c r="E266" t="s">
        <v>95</v>
      </c>
      <c r="F266">
        <v>70</v>
      </c>
      <c r="H266">
        <v>1</v>
      </c>
      <c r="I266">
        <v>10</v>
      </c>
      <c r="J266">
        <v>10</v>
      </c>
      <c r="K266">
        <v>0.61</v>
      </c>
      <c r="L266">
        <v>1.22</v>
      </c>
    </row>
    <row r="267" spans="1:12" x14ac:dyDescent="0.3">
      <c r="A267" s="129" t="s">
        <v>24</v>
      </c>
      <c r="B267">
        <v>9</v>
      </c>
      <c r="C267">
        <v>1</v>
      </c>
      <c r="D267">
        <v>32</v>
      </c>
      <c r="E267" t="s">
        <v>95</v>
      </c>
      <c r="F267">
        <v>70</v>
      </c>
      <c r="H267">
        <v>20</v>
      </c>
      <c r="I267">
        <v>0.6</v>
      </c>
      <c r="J267">
        <v>12</v>
      </c>
      <c r="K267">
        <v>0.83</v>
      </c>
      <c r="L267">
        <v>1.66</v>
      </c>
    </row>
    <row r="268" spans="1:12" x14ac:dyDescent="0.3">
      <c r="A268" s="129" t="s">
        <v>24</v>
      </c>
      <c r="B268">
        <v>9</v>
      </c>
      <c r="C268">
        <v>1</v>
      </c>
      <c r="D268">
        <v>32</v>
      </c>
      <c r="E268" t="s">
        <v>95</v>
      </c>
      <c r="F268">
        <v>70</v>
      </c>
      <c r="H268">
        <v>12</v>
      </c>
      <c r="I268">
        <v>1.2</v>
      </c>
      <c r="J268">
        <v>14.399999999999999</v>
      </c>
      <c r="K268">
        <v>0.79</v>
      </c>
      <c r="L268">
        <v>1.57</v>
      </c>
    </row>
    <row r="269" spans="1:12" x14ac:dyDescent="0.3">
      <c r="A269" s="129" t="s">
        <v>24</v>
      </c>
      <c r="B269">
        <v>9</v>
      </c>
      <c r="C269">
        <v>1</v>
      </c>
      <c r="D269">
        <v>32</v>
      </c>
      <c r="E269" t="s">
        <v>95</v>
      </c>
      <c r="F269">
        <v>70</v>
      </c>
      <c r="H269">
        <v>16</v>
      </c>
      <c r="I269">
        <v>1.2</v>
      </c>
      <c r="J269">
        <v>19.2</v>
      </c>
      <c r="K269">
        <v>0.75</v>
      </c>
      <c r="L269">
        <v>1.59</v>
      </c>
    </row>
    <row r="270" spans="1:12" x14ac:dyDescent="0.3">
      <c r="A270" s="129" t="s">
        <v>24</v>
      </c>
      <c r="B270">
        <v>9</v>
      </c>
      <c r="C270">
        <v>1</v>
      </c>
      <c r="D270">
        <v>32</v>
      </c>
      <c r="E270" t="s">
        <v>95</v>
      </c>
      <c r="F270">
        <v>80</v>
      </c>
      <c r="H270">
        <v>2</v>
      </c>
      <c r="I270">
        <v>1</v>
      </c>
      <c r="J270">
        <v>2</v>
      </c>
      <c r="K270">
        <v>1.18</v>
      </c>
      <c r="L270">
        <v>2.1800000000000002</v>
      </c>
    </row>
    <row r="271" spans="1:12" x14ac:dyDescent="0.3">
      <c r="A271" s="129" t="s">
        <v>24</v>
      </c>
      <c r="B271">
        <v>9</v>
      </c>
      <c r="C271">
        <v>1</v>
      </c>
      <c r="D271">
        <v>32</v>
      </c>
      <c r="E271" t="s">
        <v>95</v>
      </c>
      <c r="F271">
        <v>80</v>
      </c>
      <c r="H271">
        <v>1</v>
      </c>
      <c r="I271">
        <v>5</v>
      </c>
      <c r="J271">
        <v>5</v>
      </c>
      <c r="K271">
        <v>1.06</v>
      </c>
      <c r="L271">
        <v>1.96</v>
      </c>
    </row>
    <row r="272" spans="1:12" x14ac:dyDescent="0.3">
      <c r="A272" s="129" t="s">
        <v>24</v>
      </c>
      <c r="B272">
        <v>9</v>
      </c>
      <c r="C272">
        <v>1</v>
      </c>
      <c r="D272">
        <v>32</v>
      </c>
      <c r="E272" t="s">
        <v>95</v>
      </c>
      <c r="F272">
        <v>80</v>
      </c>
      <c r="H272">
        <v>10</v>
      </c>
      <c r="I272">
        <v>0.6</v>
      </c>
      <c r="J272">
        <v>6</v>
      </c>
      <c r="K272">
        <v>1.46</v>
      </c>
      <c r="L272">
        <v>2.7</v>
      </c>
    </row>
    <row r="273" spans="1:12" x14ac:dyDescent="0.3">
      <c r="A273" s="129" t="s">
        <v>24</v>
      </c>
      <c r="B273">
        <v>9</v>
      </c>
      <c r="C273">
        <v>1</v>
      </c>
      <c r="D273">
        <v>32</v>
      </c>
      <c r="E273" t="s">
        <v>95</v>
      </c>
      <c r="F273">
        <v>80</v>
      </c>
      <c r="H273">
        <v>6</v>
      </c>
      <c r="I273">
        <v>1.2</v>
      </c>
      <c r="J273">
        <v>7.1999999999999993</v>
      </c>
      <c r="K273">
        <v>1.52</v>
      </c>
      <c r="L273">
        <v>2.81</v>
      </c>
    </row>
    <row r="274" spans="1:12" x14ac:dyDescent="0.3">
      <c r="A274" s="129" t="s">
        <v>24</v>
      </c>
      <c r="B274">
        <v>9</v>
      </c>
      <c r="C274">
        <v>1</v>
      </c>
      <c r="D274">
        <v>32</v>
      </c>
      <c r="E274" t="s">
        <v>95</v>
      </c>
      <c r="F274">
        <v>80</v>
      </c>
      <c r="H274">
        <v>1</v>
      </c>
      <c r="I274">
        <v>10</v>
      </c>
      <c r="J274">
        <v>10</v>
      </c>
      <c r="K274">
        <v>1.06</v>
      </c>
      <c r="L274">
        <v>1.96</v>
      </c>
    </row>
    <row r="275" spans="1:12" x14ac:dyDescent="0.3">
      <c r="A275" s="129" t="s">
        <v>24</v>
      </c>
      <c r="B275">
        <v>9</v>
      </c>
      <c r="C275">
        <v>1</v>
      </c>
      <c r="D275">
        <v>32</v>
      </c>
      <c r="E275" t="s">
        <v>95</v>
      </c>
      <c r="F275">
        <v>80</v>
      </c>
      <c r="H275">
        <v>20</v>
      </c>
      <c r="I275">
        <v>0.6</v>
      </c>
      <c r="J275">
        <v>12</v>
      </c>
      <c r="K275">
        <v>1.43</v>
      </c>
      <c r="L275">
        <v>2.65</v>
      </c>
    </row>
    <row r="276" spans="1:12" x14ac:dyDescent="0.3">
      <c r="A276" s="129" t="s">
        <v>24</v>
      </c>
      <c r="B276">
        <v>9</v>
      </c>
      <c r="C276">
        <v>1</v>
      </c>
      <c r="D276">
        <v>32</v>
      </c>
      <c r="E276" t="s">
        <v>95</v>
      </c>
      <c r="F276">
        <v>80</v>
      </c>
      <c r="H276">
        <v>12</v>
      </c>
      <c r="I276">
        <v>1.2</v>
      </c>
      <c r="J276">
        <v>14.399999999999999</v>
      </c>
      <c r="K276">
        <v>1.36</v>
      </c>
      <c r="L276">
        <v>2.5099999999999998</v>
      </c>
    </row>
    <row r="277" spans="1:12" x14ac:dyDescent="0.3">
      <c r="A277" s="129" t="s">
        <v>24</v>
      </c>
      <c r="B277">
        <v>9</v>
      </c>
      <c r="C277">
        <v>1</v>
      </c>
      <c r="D277">
        <v>32</v>
      </c>
      <c r="E277" t="s">
        <v>95</v>
      </c>
      <c r="F277">
        <v>80</v>
      </c>
      <c r="H277">
        <v>16</v>
      </c>
      <c r="I277">
        <v>1.2</v>
      </c>
      <c r="J277">
        <v>19.2</v>
      </c>
      <c r="K277">
        <v>1.3</v>
      </c>
      <c r="L277">
        <v>2.4</v>
      </c>
    </row>
    <row r="278" spans="1:12" x14ac:dyDescent="0.3">
      <c r="A278" s="129" t="s">
        <v>24</v>
      </c>
      <c r="B278">
        <v>9</v>
      </c>
      <c r="C278">
        <v>1</v>
      </c>
      <c r="D278">
        <v>32</v>
      </c>
      <c r="E278" t="s">
        <v>95</v>
      </c>
      <c r="F278">
        <v>100</v>
      </c>
      <c r="H278">
        <v>2</v>
      </c>
      <c r="I278">
        <v>1</v>
      </c>
      <c r="J278">
        <v>2</v>
      </c>
      <c r="K278">
        <v>2.56</v>
      </c>
      <c r="L278">
        <v>4.28</v>
      </c>
    </row>
    <row r="279" spans="1:12" x14ac:dyDescent="0.3">
      <c r="A279" s="129" t="s">
        <v>24</v>
      </c>
      <c r="B279">
        <v>9</v>
      </c>
      <c r="C279">
        <v>1</v>
      </c>
      <c r="D279">
        <v>32</v>
      </c>
      <c r="E279" t="s">
        <v>95</v>
      </c>
      <c r="F279">
        <v>100</v>
      </c>
      <c r="H279">
        <v>1</v>
      </c>
      <c r="I279">
        <v>5</v>
      </c>
      <c r="J279">
        <v>5</v>
      </c>
      <c r="K279">
        <v>2.29</v>
      </c>
      <c r="L279">
        <v>3.84</v>
      </c>
    </row>
    <row r="280" spans="1:12" x14ac:dyDescent="0.3">
      <c r="A280" s="129" t="s">
        <v>24</v>
      </c>
      <c r="B280">
        <v>9</v>
      </c>
      <c r="C280">
        <v>1</v>
      </c>
      <c r="D280">
        <v>32</v>
      </c>
      <c r="E280" t="s">
        <v>95</v>
      </c>
      <c r="F280">
        <v>100</v>
      </c>
      <c r="H280">
        <v>10</v>
      </c>
      <c r="I280">
        <v>0.6</v>
      </c>
      <c r="J280">
        <v>6</v>
      </c>
      <c r="K280">
        <v>3.17</v>
      </c>
      <c r="L280">
        <v>5.3</v>
      </c>
    </row>
    <row r="281" spans="1:12" x14ac:dyDescent="0.3">
      <c r="A281" s="129" t="s">
        <v>24</v>
      </c>
      <c r="B281">
        <v>9</v>
      </c>
      <c r="C281">
        <v>1</v>
      </c>
      <c r="D281">
        <v>32</v>
      </c>
      <c r="E281" t="s">
        <v>95</v>
      </c>
      <c r="F281">
        <v>100</v>
      </c>
      <c r="H281">
        <v>6</v>
      </c>
      <c r="I281">
        <v>1.2</v>
      </c>
      <c r="J281">
        <v>7.1999999999999993</v>
      </c>
      <c r="K281">
        <v>3.3</v>
      </c>
      <c r="L281">
        <v>5.52</v>
      </c>
    </row>
    <row r="282" spans="1:12" x14ac:dyDescent="0.3">
      <c r="A282" s="129" t="s">
        <v>24</v>
      </c>
      <c r="B282">
        <v>9</v>
      </c>
      <c r="C282">
        <v>1</v>
      </c>
      <c r="D282">
        <v>32</v>
      </c>
      <c r="E282" t="s">
        <v>95</v>
      </c>
      <c r="F282">
        <v>100</v>
      </c>
      <c r="H282">
        <v>1</v>
      </c>
      <c r="I282">
        <v>10</v>
      </c>
      <c r="J282">
        <v>10</v>
      </c>
      <c r="K282">
        <v>2.29</v>
      </c>
      <c r="L282">
        <v>3.84</v>
      </c>
    </row>
    <row r="283" spans="1:12" x14ac:dyDescent="0.3">
      <c r="A283" s="129" t="s">
        <v>24</v>
      </c>
      <c r="B283">
        <v>9</v>
      </c>
      <c r="C283">
        <v>1</v>
      </c>
      <c r="D283">
        <v>32</v>
      </c>
      <c r="E283" t="s">
        <v>95</v>
      </c>
      <c r="F283">
        <v>100</v>
      </c>
      <c r="H283">
        <v>20</v>
      </c>
      <c r="I283">
        <v>0.6</v>
      </c>
      <c r="J283">
        <v>12</v>
      </c>
      <c r="K283">
        <v>3.1</v>
      </c>
      <c r="L283">
        <v>5.19</v>
      </c>
    </row>
    <row r="284" spans="1:12" x14ac:dyDescent="0.3">
      <c r="A284" s="129" t="s">
        <v>24</v>
      </c>
      <c r="B284">
        <v>9</v>
      </c>
      <c r="C284">
        <v>1</v>
      </c>
      <c r="D284">
        <v>32</v>
      </c>
      <c r="E284" t="s">
        <v>95</v>
      </c>
      <c r="F284">
        <v>100</v>
      </c>
      <c r="H284">
        <v>12</v>
      </c>
      <c r="I284">
        <v>1.2</v>
      </c>
      <c r="J284">
        <v>14.399999999999999</v>
      </c>
      <c r="K284">
        <v>2.94</v>
      </c>
      <c r="L284">
        <v>4.92</v>
      </c>
    </row>
    <row r="285" spans="1:12" x14ac:dyDescent="0.3">
      <c r="A285" s="129" t="s">
        <v>24</v>
      </c>
      <c r="B285">
        <v>9</v>
      </c>
      <c r="C285">
        <v>1</v>
      </c>
      <c r="D285">
        <v>32</v>
      </c>
      <c r="E285" t="s">
        <v>95</v>
      </c>
      <c r="F285">
        <v>100</v>
      </c>
      <c r="H285">
        <v>16</v>
      </c>
      <c r="I285">
        <v>1.2</v>
      </c>
      <c r="J285">
        <v>19.2</v>
      </c>
      <c r="K285">
        <v>2.82</v>
      </c>
      <c r="L285">
        <v>4.71</v>
      </c>
    </row>
    <row r="286" spans="1:12" x14ac:dyDescent="0.3">
      <c r="A286" s="129" t="s">
        <v>24</v>
      </c>
      <c r="B286">
        <v>9</v>
      </c>
      <c r="C286">
        <v>1</v>
      </c>
      <c r="D286">
        <v>32</v>
      </c>
      <c r="E286" t="s">
        <v>95</v>
      </c>
      <c r="F286">
        <v>120</v>
      </c>
      <c r="H286">
        <v>2</v>
      </c>
      <c r="I286">
        <v>1</v>
      </c>
      <c r="J286">
        <v>2</v>
      </c>
      <c r="K286">
        <v>4.6100000000000003</v>
      </c>
      <c r="L286">
        <v>7.33</v>
      </c>
    </row>
    <row r="287" spans="1:12" x14ac:dyDescent="0.3">
      <c r="A287" s="129" t="s">
        <v>24</v>
      </c>
      <c r="B287">
        <v>9</v>
      </c>
      <c r="C287">
        <v>1</v>
      </c>
      <c r="D287">
        <v>32</v>
      </c>
      <c r="E287" t="s">
        <v>95</v>
      </c>
      <c r="F287">
        <v>120</v>
      </c>
      <c r="H287">
        <v>1</v>
      </c>
      <c r="I287">
        <v>5</v>
      </c>
      <c r="J287">
        <v>5</v>
      </c>
      <c r="K287">
        <v>4.1399999999999997</v>
      </c>
      <c r="L287">
        <v>6.58</v>
      </c>
    </row>
    <row r="288" spans="1:12" x14ac:dyDescent="0.3">
      <c r="A288" s="129" t="s">
        <v>24</v>
      </c>
      <c r="B288">
        <v>9</v>
      </c>
      <c r="C288">
        <v>1</v>
      </c>
      <c r="D288">
        <v>32</v>
      </c>
      <c r="E288" t="s">
        <v>95</v>
      </c>
      <c r="F288">
        <v>120</v>
      </c>
      <c r="H288">
        <v>10</v>
      </c>
      <c r="I288">
        <v>0.6</v>
      </c>
      <c r="J288">
        <v>6</v>
      </c>
      <c r="K288">
        <v>5.71</v>
      </c>
      <c r="L288">
        <v>9.08</v>
      </c>
    </row>
    <row r="289" spans="1:12" x14ac:dyDescent="0.3">
      <c r="A289" s="129" t="s">
        <v>24</v>
      </c>
      <c r="B289">
        <v>9</v>
      </c>
      <c r="C289">
        <v>1</v>
      </c>
      <c r="D289">
        <v>32</v>
      </c>
      <c r="E289" t="s">
        <v>95</v>
      </c>
      <c r="F289">
        <v>120</v>
      </c>
      <c r="H289">
        <v>6</v>
      </c>
      <c r="I289">
        <v>1.2</v>
      </c>
      <c r="J289">
        <v>7.1999999999999993</v>
      </c>
      <c r="K289">
        <v>5.95</v>
      </c>
      <c r="L289">
        <v>9.4600000000000009</v>
      </c>
    </row>
    <row r="290" spans="1:12" x14ac:dyDescent="0.3">
      <c r="A290" s="129" t="s">
        <v>24</v>
      </c>
      <c r="B290">
        <v>9</v>
      </c>
      <c r="C290">
        <v>1</v>
      </c>
      <c r="D290">
        <v>32</v>
      </c>
      <c r="E290" t="s">
        <v>95</v>
      </c>
      <c r="F290">
        <v>120</v>
      </c>
      <c r="H290">
        <v>1</v>
      </c>
      <c r="I290">
        <v>10</v>
      </c>
      <c r="J290">
        <v>10</v>
      </c>
      <c r="K290">
        <v>4.1399999999999997</v>
      </c>
      <c r="L290">
        <v>6.58</v>
      </c>
    </row>
    <row r="291" spans="1:12" x14ac:dyDescent="0.3">
      <c r="A291" s="129" t="s">
        <v>24</v>
      </c>
      <c r="B291">
        <v>9</v>
      </c>
      <c r="C291">
        <v>1</v>
      </c>
      <c r="D291">
        <v>32</v>
      </c>
      <c r="E291" t="s">
        <v>95</v>
      </c>
      <c r="F291">
        <v>120</v>
      </c>
      <c r="H291">
        <v>20</v>
      </c>
      <c r="I291">
        <v>0.6</v>
      </c>
      <c r="J291">
        <v>12</v>
      </c>
      <c r="K291">
        <v>5.6</v>
      </c>
      <c r="L291">
        <v>8.91</v>
      </c>
    </row>
    <row r="292" spans="1:12" x14ac:dyDescent="0.3">
      <c r="A292" s="129" t="s">
        <v>24</v>
      </c>
      <c r="B292">
        <v>9</v>
      </c>
      <c r="C292">
        <v>1</v>
      </c>
      <c r="D292">
        <v>32</v>
      </c>
      <c r="E292" t="s">
        <v>95</v>
      </c>
      <c r="F292">
        <v>120</v>
      </c>
      <c r="H292">
        <v>12</v>
      </c>
      <c r="I292">
        <v>1.2</v>
      </c>
      <c r="J292">
        <v>14.399999999999999</v>
      </c>
      <c r="K292">
        <v>5.31</v>
      </c>
      <c r="L292">
        <v>8.44</v>
      </c>
    </row>
    <row r="293" spans="1:12" x14ac:dyDescent="0.3">
      <c r="A293" s="129" t="s">
        <v>24</v>
      </c>
      <c r="B293">
        <v>9</v>
      </c>
      <c r="C293">
        <v>1</v>
      </c>
      <c r="D293">
        <v>32</v>
      </c>
      <c r="E293" t="s">
        <v>95</v>
      </c>
      <c r="F293">
        <v>120</v>
      </c>
      <c r="H293">
        <v>16</v>
      </c>
      <c r="I293">
        <v>1.2</v>
      </c>
      <c r="J293">
        <v>19.2</v>
      </c>
      <c r="K293">
        <v>5.08</v>
      </c>
      <c r="L293">
        <v>8.08</v>
      </c>
    </row>
    <row r="294" spans="1:12" x14ac:dyDescent="0.3">
      <c r="A294" s="129" t="s">
        <v>24</v>
      </c>
      <c r="B294">
        <v>9</v>
      </c>
      <c r="C294">
        <v>1</v>
      </c>
      <c r="D294">
        <v>32</v>
      </c>
      <c r="E294" t="s">
        <v>95</v>
      </c>
      <c r="F294">
        <v>140</v>
      </c>
      <c r="H294">
        <v>2</v>
      </c>
      <c r="I294">
        <v>1</v>
      </c>
      <c r="J294">
        <v>2</v>
      </c>
      <c r="K294">
        <v>6.88</v>
      </c>
      <c r="L294">
        <v>10.59</v>
      </c>
    </row>
    <row r="295" spans="1:12" x14ac:dyDescent="0.3">
      <c r="A295" s="129" t="s">
        <v>24</v>
      </c>
      <c r="B295">
        <v>9</v>
      </c>
      <c r="C295">
        <v>1</v>
      </c>
      <c r="D295">
        <v>32</v>
      </c>
      <c r="E295" t="s">
        <v>95</v>
      </c>
      <c r="F295">
        <v>140</v>
      </c>
      <c r="H295">
        <v>1</v>
      </c>
      <c r="I295">
        <v>5</v>
      </c>
      <c r="J295">
        <v>5</v>
      </c>
      <c r="K295">
        <v>6.17</v>
      </c>
      <c r="L295">
        <v>9.5</v>
      </c>
    </row>
    <row r="296" spans="1:12" x14ac:dyDescent="0.3">
      <c r="A296" s="129" t="s">
        <v>24</v>
      </c>
      <c r="B296">
        <v>9</v>
      </c>
      <c r="C296">
        <v>1</v>
      </c>
      <c r="D296">
        <v>32</v>
      </c>
      <c r="E296" t="s">
        <v>95</v>
      </c>
      <c r="F296">
        <v>140</v>
      </c>
      <c r="H296">
        <v>10</v>
      </c>
      <c r="I296">
        <v>0.6</v>
      </c>
      <c r="J296">
        <v>6</v>
      </c>
      <c r="K296">
        <v>8.52</v>
      </c>
      <c r="L296">
        <v>13.11</v>
      </c>
    </row>
    <row r="297" spans="1:12" x14ac:dyDescent="0.3">
      <c r="A297" s="129" t="s">
        <v>24</v>
      </c>
      <c r="B297">
        <v>9</v>
      </c>
      <c r="C297">
        <v>1</v>
      </c>
      <c r="D297">
        <v>32</v>
      </c>
      <c r="E297" t="s">
        <v>95</v>
      </c>
      <c r="F297">
        <v>140</v>
      </c>
      <c r="H297">
        <v>6</v>
      </c>
      <c r="I297">
        <v>1.2</v>
      </c>
      <c r="J297">
        <v>7.1999999999999993</v>
      </c>
      <c r="K297">
        <v>8.8699999999999992</v>
      </c>
      <c r="L297">
        <v>13.66</v>
      </c>
    </row>
    <row r="298" spans="1:12" x14ac:dyDescent="0.3">
      <c r="A298" s="129" t="s">
        <v>24</v>
      </c>
      <c r="B298">
        <v>9</v>
      </c>
      <c r="C298">
        <v>1</v>
      </c>
      <c r="D298">
        <v>32</v>
      </c>
      <c r="E298" t="s">
        <v>95</v>
      </c>
      <c r="F298">
        <v>140</v>
      </c>
      <c r="H298">
        <v>1</v>
      </c>
      <c r="I298">
        <v>10</v>
      </c>
      <c r="J298">
        <v>10</v>
      </c>
      <c r="K298">
        <v>6.17</v>
      </c>
      <c r="L298">
        <v>9.5</v>
      </c>
    </row>
    <row r="299" spans="1:12" x14ac:dyDescent="0.3">
      <c r="A299" s="129" t="s">
        <v>24</v>
      </c>
      <c r="B299">
        <v>9</v>
      </c>
      <c r="C299">
        <v>1</v>
      </c>
      <c r="D299">
        <v>32</v>
      </c>
      <c r="E299" t="s">
        <v>95</v>
      </c>
      <c r="F299">
        <v>140</v>
      </c>
      <c r="H299">
        <v>20</v>
      </c>
      <c r="I299">
        <v>0.6</v>
      </c>
      <c r="J299">
        <v>12</v>
      </c>
      <c r="K299">
        <v>8.36</v>
      </c>
      <c r="L299">
        <v>12.86</v>
      </c>
    </row>
    <row r="300" spans="1:12" x14ac:dyDescent="0.3">
      <c r="A300" s="129" t="s">
        <v>24</v>
      </c>
      <c r="B300">
        <v>9</v>
      </c>
      <c r="C300">
        <v>1</v>
      </c>
      <c r="D300">
        <v>32</v>
      </c>
      <c r="E300" t="s">
        <v>95</v>
      </c>
      <c r="F300">
        <v>140</v>
      </c>
      <c r="H300">
        <v>12</v>
      </c>
      <c r="I300">
        <v>1.2</v>
      </c>
      <c r="J300">
        <v>14.399999999999999</v>
      </c>
      <c r="K300">
        <v>7.92</v>
      </c>
      <c r="L300">
        <v>12.19</v>
      </c>
    </row>
    <row r="301" spans="1:12" x14ac:dyDescent="0.3">
      <c r="A301" s="129" t="s">
        <v>24</v>
      </c>
      <c r="B301">
        <v>9</v>
      </c>
      <c r="C301">
        <v>1</v>
      </c>
      <c r="D301">
        <v>32</v>
      </c>
      <c r="E301" t="s">
        <v>95</v>
      </c>
      <c r="F301">
        <v>140</v>
      </c>
      <c r="H301">
        <v>16</v>
      </c>
      <c r="I301">
        <v>1.2</v>
      </c>
      <c r="J301">
        <v>19.2</v>
      </c>
      <c r="K301">
        <v>7.58</v>
      </c>
      <c r="L301">
        <v>11.66</v>
      </c>
    </row>
    <row r="302" spans="1:12" x14ac:dyDescent="0.3">
      <c r="A302" s="129" t="s">
        <v>24</v>
      </c>
      <c r="B302">
        <v>9</v>
      </c>
      <c r="C302">
        <v>1</v>
      </c>
      <c r="D302">
        <v>32</v>
      </c>
      <c r="E302" t="s">
        <v>96</v>
      </c>
      <c r="F302">
        <v>70</v>
      </c>
      <c r="H302">
        <v>2</v>
      </c>
      <c r="I302">
        <v>1</v>
      </c>
      <c r="J302">
        <v>2</v>
      </c>
      <c r="K302">
        <v>0.57999999999999996</v>
      </c>
      <c r="L302">
        <v>1.01</v>
      </c>
    </row>
    <row r="303" spans="1:12" x14ac:dyDescent="0.3">
      <c r="A303" s="129" t="s">
        <v>24</v>
      </c>
      <c r="B303">
        <v>9</v>
      </c>
      <c r="C303">
        <v>1</v>
      </c>
      <c r="D303">
        <v>32</v>
      </c>
      <c r="E303" t="s">
        <v>96</v>
      </c>
      <c r="F303">
        <v>70</v>
      </c>
      <c r="H303">
        <v>1</v>
      </c>
      <c r="I303">
        <v>5</v>
      </c>
      <c r="J303">
        <v>5</v>
      </c>
      <c r="K303">
        <v>0.52</v>
      </c>
      <c r="L303">
        <v>0.91</v>
      </c>
    </row>
    <row r="304" spans="1:12" x14ac:dyDescent="0.3">
      <c r="A304" s="129" t="s">
        <v>24</v>
      </c>
      <c r="B304">
        <v>9</v>
      </c>
      <c r="C304">
        <v>1</v>
      </c>
      <c r="D304">
        <v>32</v>
      </c>
      <c r="E304" t="s">
        <v>96</v>
      </c>
      <c r="F304">
        <v>70</v>
      </c>
      <c r="H304">
        <v>10</v>
      </c>
      <c r="I304">
        <v>0.6</v>
      </c>
      <c r="J304">
        <v>6</v>
      </c>
      <c r="K304">
        <v>0.72</v>
      </c>
      <c r="L304">
        <v>1.25</v>
      </c>
    </row>
    <row r="305" spans="1:12" x14ac:dyDescent="0.3">
      <c r="A305" s="129" t="s">
        <v>24</v>
      </c>
      <c r="B305">
        <v>9</v>
      </c>
      <c r="C305">
        <v>1</v>
      </c>
      <c r="D305">
        <v>32</v>
      </c>
      <c r="E305" t="s">
        <v>96</v>
      </c>
      <c r="F305">
        <v>70</v>
      </c>
      <c r="H305">
        <v>6</v>
      </c>
      <c r="I305">
        <v>1.2</v>
      </c>
      <c r="J305">
        <v>7.1999999999999993</v>
      </c>
      <c r="K305">
        <v>0.75</v>
      </c>
      <c r="L305">
        <v>1.3</v>
      </c>
    </row>
    <row r="306" spans="1:12" x14ac:dyDescent="0.3">
      <c r="A306" s="129" t="s">
        <v>24</v>
      </c>
      <c r="B306">
        <v>9</v>
      </c>
      <c r="C306">
        <v>1</v>
      </c>
      <c r="D306">
        <v>32</v>
      </c>
      <c r="E306" t="s">
        <v>96</v>
      </c>
      <c r="F306">
        <v>70</v>
      </c>
      <c r="H306">
        <v>1</v>
      </c>
      <c r="I306">
        <v>10</v>
      </c>
      <c r="J306">
        <v>10</v>
      </c>
      <c r="K306">
        <v>0.52</v>
      </c>
      <c r="L306">
        <v>0.91</v>
      </c>
    </row>
    <row r="307" spans="1:12" x14ac:dyDescent="0.3">
      <c r="A307" s="129" t="s">
        <v>24</v>
      </c>
      <c r="B307">
        <v>9</v>
      </c>
      <c r="C307">
        <v>1</v>
      </c>
      <c r="D307">
        <v>32</v>
      </c>
      <c r="E307" t="s">
        <v>96</v>
      </c>
      <c r="F307">
        <v>70</v>
      </c>
      <c r="H307">
        <v>20</v>
      </c>
      <c r="I307">
        <v>0.6</v>
      </c>
      <c r="J307">
        <v>12</v>
      </c>
      <c r="K307">
        <v>0.7</v>
      </c>
      <c r="L307">
        <v>1.23</v>
      </c>
    </row>
    <row r="308" spans="1:12" x14ac:dyDescent="0.3">
      <c r="A308" s="129" t="s">
        <v>24</v>
      </c>
      <c r="B308">
        <v>9</v>
      </c>
      <c r="C308">
        <v>1</v>
      </c>
      <c r="D308">
        <v>32</v>
      </c>
      <c r="E308" t="s">
        <v>96</v>
      </c>
      <c r="F308">
        <v>70</v>
      </c>
      <c r="H308">
        <v>12</v>
      </c>
      <c r="I308">
        <v>1.2</v>
      </c>
      <c r="J308">
        <v>14.399999999999999</v>
      </c>
      <c r="K308">
        <v>0.67</v>
      </c>
      <c r="L308">
        <v>1.1599999999999999</v>
      </c>
    </row>
    <row r="309" spans="1:12" x14ac:dyDescent="0.3">
      <c r="A309" s="129" t="s">
        <v>24</v>
      </c>
      <c r="B309">
        <v>9</v>
      </c>
      <c r="C309">
        <v>1</v>
      </c>
      <c r="D309">
        <v>32</v>
      </c>
      <c r="E309" t="s">
        <v>96</v>
      </c>
      <c r="F309">
        <v>70</v>
      </c>
      <c r="H309">
        <v>16</v>
      </c>
      <c r="I309">
        <v>1.2</v>
      </c>
      <c r="J309">
        <v>19.2</v>
      </c>
      <c r="K309">
        <v>0.64</v>
      </c>
      <c r="L309">
        <v>1.1100000000000001</v>
      </c>
    </row>
    <row r="310" spans="1:12" x14ac:dyDescent="0.3">
      <c r="A310" s="129" t="s">
        <v>24</v>
      </c>
      <c r="B310">
        <v>9</v>
      </c>
      <c r="C310">
        <v>1</v>
      </c>
      <c r="D310">
        <v>32</v>
      </c>
      <c r="E310" t="s">
        <v>96</v>
      </c>
      <c r="F310">
        <v>80</v>
      </c>
      <c r="H310">
        <v>2</v>
      </c>
      <c r="I310">
        <v>1</v>
      </c>
      <c r="J310">
        <v>2</v>
      </c>
      <c r="K310">
        <v>1.03</v>
      </c>
      <c r="L310">
        <v>1.66</v>
      </c>
    </row>
    <row r="311" spans="1:12" x14ac:dyDescent="0.3">
      <c r="A311" s="129" t="s">
        <v>24</v>
      </c>
      <c r="B311">
        <v>9</v>
      </c>
      <c r="C311">
        <v>1</v>
      </c>
      <c r="D311">
        <v>32</v>
      </c>
      <c r="E311" t="s">
        <v>96</v>
      </c>
      <c r="F311">
        <v>80</v>
      </c>
      <c r="H311">
        <v>1</v>
      </c>
      <c r="I311">
        <v>5</v>
      </c>
      <c r="J311">
        <v>5</v>
      </c>
      <c r="K311">
        <v>0.92</v>
      </c>
      <c r="L311">
        <v>1.49</v>
      </c>
    </row>
    <row r="312" spans="1:12" x14ac:dyDescent="0.3">
      <c r="A312" s="129" t="s">
        <v>24</v>
      </c>
      <c r="B312">
        <v>9</v>
      </c>
      <c r="C312">
        <v>1</v>
      </c>
      <c r="D312">
        <v>32</v>
      </c>
      <c r="E312" t="s">
        <v>96</v>
      </c>
      <c r="F312">
        <v>80</v>
      </c>
      <c r="H312">
        <v>10</v>
      </c>
      <c r="I312">
        <v>0.6</v>
      </c>
      <c r="J312">
        <v>6</v>
      </c>
      <c r="K312">
        <v>1.27</v>
      </c>
      <c r="L312">
        <v>2.06</v>
      </c>
    </row>
    <row r="313" spans="1:12" x14ac:dyDescent="0.3">
      <c r="A313" s="129" t="s">
        <v>24</v>
      </c>
      <c r="B313">
        <v>9</v>
      </c>
      <c r="C313">
        <v>1</v>
      </c>
      <c r="D313">
        <v>32</v>
      </c>
      <c r="E313" t="s">
        <v>96</v>
      </c>
      <c r="F313">
        <v>80</v>
      </c>
      <c r="H313">
        <v>6</v>
      </c>
      <c r="I313">
        <v>1.2</v>
      </c>
      <c r="J313">
        <v>7.1999999999999993</v>
      </c>
      <c r="K313">
        <v>1.33</v>
      </c>
      <c r="L313">
        <v>2.14</v>
      </c>
    </row>
    <row r="314" spans="1:12" x14ac:dyDescent="0.3">
      <c r="A314" s="129" t="s">
        <v>24</v>
      </c>
      <c r="B314">
        <v>9</v>
      </c>
      <c r="C314">
        <v>1</v>
      </c>
      <c r="D314">
        <v>32</v>
      </c>
      <c r="E314" t="s">
        <v>96</v>
      </c>
      <c r="F314">
        <v>80</v>
      </c>
      <c r="H314">
        <v>1</v>
      </c>
      <c r="I314">
        <v>10</v>
      </c>
      <c r="J314">
        <v>10</v>
      </c>
      <c r="K314">
        <v>0.92</v>
      </c>
      <c r="L314">
        <v>1.49</v>
      </c>
    </row>
    <row r="315" spans="1:12" x14ac:dyDescent="0.3">
      <c r="A315" s="129" t="s">
        <v>24</v>
      </c>
      <c r="B315">
        <v>9</v>
      </c>
      <c r="C315">
        <v>1</v>
      </c>
      <c r="D315">
        <v>32</v>
      </c>
      <c r="E315" t="s">
        <v>96</v>
      </c>
      <c r="F315">
        <v>80</v>
      </c>
      <c r="H315">
        <v>20</v>
      </c>
      <c r="I315">
        <v>0.6</v>
      </c>
      <c r="J315">
        <v>12</v>
      </c>
      <c r="K315">
        <v>1.25</v>
      </c>
      <c r="L315">
        <v>2.02</v>
      </c>
    </row>
    <row r="316" spans="1:12" x14ac:dyDescent="0.3">
      <c r="A316" s="129" t="s">
        <v>24</v>
      </c>
      <c r="B316">
        <v>9</v>
      </c>
      <c r="C316">
        <v>1</v>
      </c>
      <c r="D316">
        <v>32</v>
      </c>
      <c r="E316" t="s">
        <v>96</v>
      </c>
      <c r="F316">
        <v>80</v>
      </c>
      <c r="H316">
        <v>12</v>
      </c>
      <c r="I316">
        <v>1.2</v>
      </c>
      <c r="J316">
        <v>14.399999999999999</v>
      </c>
      <c r="K316">
        <v>1.18</v>
      </c>
      <c r="L316">
        <v>1.91</v>
      </c>
    </row>
    <row r="317" spans="1:12" x14ac:dyDescent="0.3">
      <c r="A317" s="129" t="s">
        <v>24</v>
      </c>
      <c r="B317">
        <v>9</v>
      </c>
      <c r="C317">
        <v>1</v>
      </c>
      <c r="D317">
        <v>32</v>
      </c>
      <c r="E317" t="s">
        <v>96</v>
      </c>
      <c r="F317">
        <v>80</v>
      </c>
      <c r="H317">
        <v>16</v>
      </c>
      <c r="I317">
        <v>1.2</v>
      </c>
      <c r="J317">
        <v>19.2</v>
      </c>
      <c r="K317">
        <v>1.1299999999999999</v>
      </c>
      <c r="L317">
        <v>1.83</v>
      </c>
    </row>
    <row r="318" spans="1:12" x14ac:dyDescent="0.3">
      <c r="A318" s="129" t="s">
        <v>24</v>
      </c>
      <c r="B318">
        <v>9</v>
      </c>
      <c r="C318">
        <v>1</v>
      </c>
      <c r="D318">
        <v>32</v>
      </c>
      <c r="E318" t="s">
        <v>96</v>
      </c>
      <c r="F318">
        <v>100</v>
      </c>
      <c r="H318">
        <v>2</v>
      </c>
      <c r="I318">
        <v>1</v>
      </c>
      <c r="J318">
        <v>2</v>
      </c>
      <c r="K318">
        <v>2.25</v>
      </c>
      <c r="L318">
        <v>3.35</v>
      </c>
    </row>
    <row r="319" spans="1:12" x14ac:dyDescent="0.3">
      <c r="A319" s="129" t="s">
        <v>24</v>
      </c>
      <c r="B319">
        <v>9</v>
      </c>
      <c r="C319">
        <v>1</v>
      </c>
      <c r="D319">
        <v>32</v>
      </c>
      <c r="E319" t="s">
        <v>96</v>
      </c>
      <c r="F319">
        <v>100</v>
      </c>
      <c r="H319">
        <v>1</v>
      </c>
      <c r="I319">
        <v>5</v>
      </c>
      <c r="J319">
        <v>5</v>
      </c>
      <c r="K319">
        <v>2.02</v>
      </c>
      <c r="L319">
        <v>3.01</v>
      </c>
    </row>
    <row r="320" spans="1:12" x14ac:dyDescent="0.3">
      <c r="A320" s="129" t="s">
        <v>24</v>
      </c>
      <c r="B320">
        <v>9</v>
      </c>
      <c r="C320">
        <v>1</v>
      </c>
      <c r="D320">
        <v>32</v>
      </c>
      <c r="E320" t="s">
        <v>96</v>
      </c>
      <c r="F320">
        <v>100</v>
      </c>
      <c r="H320">
        <v>10</v>
      </c>
      <c r="I320">
        <v>0.6</v>
      </c>
      <c r="J320">
        <v>6</v>
      </c>
      <c r="K320">
        <v>2.78</v>
      </c>
      <c r="L320">
        <v>4.1500000000000004</v>
      </c>
    </row>
    <row r="321" spans="1:12" x14ac:dyDescent="0.3">
      <c r="A321" s="129" t="s">
        <v>24</v>
      </c>
      <c r="B321">
        <v>9</v>
      </c>
      <c r="C321">
        <v>1</v>
      </c>
      <c r="D321">
        <v>32</v>
      </c>
      <c r="E321" t="s">
        <v>96</v>
      </c>
      <c r="F321">
        <v>100</v>
      </c>
      <c r="H321">
        <v>6</v>
      </c>
      <c r="I321">
        <v>1.2</v>
      </c>
      <c r="J321">
        <v>7.1999999999999993</v>
      </c>
      <c r="K321">
        <v>2.9</v>
      </c>
      <c r="L321">
        <v>4.32</v>
      </c>
    </row>
    <row r="322" spans="1:12" x14ac:dyDescent="0.3">
      <c r="A322" s="129" t="s">
        <v>24</v>
      </c>
      <c r="B322">
        <v>9</v>
      </c>
      <c r="C322">
        <v>1</v>
      </c>
      <c r="D322">
        <v>32</v>
      </c>
      <c r="E322" t="s">
        <v>96</v>
      </c>
      <c r="F322">
        <v>100</v>
      </c>
      <c r="H322">
        <v>1</v>
      </c>
      <c r="I322">
        <v>10</v>
      </c>
      <c r="J322">
        <v>10</v>
      </c>
      <c r="K322">
        <v>2.02</v>
      </c>
      <c r="L322">
        <v>3.01</v>
      </c>
    </row>
    <row r="323" spans="1:12" x14ac:dyDescent="0.3">
      <c r="A323" s="129" t="s">
        <v>24</v>
      </c>
      <c r="B323">
        <v>9</v>
      </c>
      <c r="C323">
        <v>1</v>
      </c>
      <c r="D323">
        <v>32</v>
      </c>
      <c r="E323" t="s">
        <v>96</v>
      </c>
      <c r="F323">
        <v>100</v>
      </c>
      <c r="H323">
        <v>20</v>
      </c>
      <c r="I323">
        <v>0.6</v>
      </c>
      <c r="J323">
        <v>12</v>
      </c>
      <c r="K323">
        <v>2.73</v>
      </c>
      <c r="L323">
        <v>4.07</v>
      </c>
    </row>
    <row r="324" spans="1:12" x14ac:dyDescent="0.3">
      <c r="A324" s="129" t="s">
        <v>24</v>
      </c>
      <c r="B324">
        <v>9</v>
      </c>
      <c r="C324">
        <v>1</v>
      </c>
      <c r="D324">
        <v>32</v>
      </c>
      <c r="E324" t="s">
        <v>96</v>
      </c>
      <c r="F324">
        <v>100</v>
      </c>
      <c r="H324">
        <v>12</v>
      </c>
      <c r="I324">
        <v>1.2</v>
      </c>
      <c r="J324">
        <v>14.399999999999999</v>
      </c>
      <c r="K324">
        <v>2.59</v>
      </c>
      <c r="L324">
        <v>3.86</v>
      </c>
    </row>
    <row r="325" spans="1:12" x14ac:dyDescent="0.3">
      <c r="A325" s="129" t="s">
        <v>24</v>
      </c>
      <c r="B325">
        <v>9</v>
      </c>
      <c r="C325">
        <v>1</v>
      </c>
      <c r="D325">
        <v>32</v>
      </c>
      <c r="E325" t="s">
        <v>96</v>
      </c>
      <c r="F325">
        <v>100</v>
      </c>
      <c r="H325">
        <v>16</v>
      </c>
      <c r="I325">
        <v>1.2</v>
      </c>
      <c r="J325">
        <v>19.2</v>
      </c>
      <c r="K325">
        <v>2.4700000000000002</v>
      </c>
      <c r="L325">
        <v>3.69</v>
      </c>
    </row>
    <row r="326" spans="1:12" x14ac:dyDescent="0.3">
      <c r="A326" s="129" t="s">
        <v>24</v>
      </c>
      <c r="B326">
        <v>9</v>
      </c>
      <c r="C326">
        <v>1</v>
      </c>
      <c r="D326">
        <v>32</v>
      </c>
      <c r="E326" t="s">
        <v>96</v>
      </c>
      <c r="F326">
        <v>120</v>
      </c>
      <c r="H326">
        <v>2</v>
      </c>
      <c r="I326">
        <v>1</v>
      </c>
      <c r="J326">
        <v>2</v>
      </c>
      <c r="K326">
        <v>4.09</v>
      </c>
      <c r="L326">
        <v>5.86</v>
      </c>
    </row>
    <row r="327" spans="1:12" x14ac:dyDescent="0.3">
      <c r="A327" s="129" t="s">
        <v>24</v>
      </c>
      <c r="B327">
        <v>9</v>
      </c>
      <c r="C327">
        <v>1</v>
      </c>
      <c r="D327">
        <v>32</v>
      </c>
      <c r="E327" t="s">
        <v>96</v>
      </c>
      <c r="F327">
        <v>120</v>
      </c>
      <c r="H327">
        <v>1</v>
      </c>
      <c r="I327">
        <v>5</v>
      </c>
      <c r="J327">
        <v>5</v>
      </c>
      <c r="K327">
        <v>3.67</v>
      </c>
      <c r="L327">
        <v>5.26</v>
      </c>
    </row>
    <row r="328" spans="1:12" x14ac:dyDescent="0.3">
      <c r="A328" t="s">
        <v>24</v>
      </c>
      <c r="B328">
        <v>9</v>
      </c>
      <c r="C328">
        <v>1</v>
      </c>
      <c r="D328">
        <v>32</v>
      </c>
      <c r="E328" t="s">
        <v>96</v>
      </c>
      <c r="F328">
        <v>120</v>
      </c>
      <c r="H328">
        <v>10</v>
      </c>
      <c r="I328">
        <v>0.6</v>
      </c>
      <c r="J328">
        <v>6</v>
      </c>
      <c r="K328">
        <v>5.07</v>
      </c>
      <c r="L328">
        <v>7.26</v>
      </c>
    </row>
    <row r="329" spans="1:12" x14ac:dyDescent="0.3">
      <c r="A329" t="s">
        <v>24</v>
      </c>
      <c r="B329">
        <v>9</v>
      </c>
      <c r="C329">
        <v>1</v>
      </c>
      <c r="D329">
        <v>32</v>
      </c>
      <c r="E329" t="s">
        <v>96</v>
      </c>
      <c r="F329">
        <v>120</v>
      </c>
      <c r="H329">
        <v>6</v>
      </c>
      <c r="I329">
        <v>1.2</v>
      </c>
      <c r="J329">
        <v>7.1999999999999993</v>
      </c>
      <c r="K329">
        <v>5.28</v>
      </c>
      <c r="L329">
        <v>7.56</v>
      </c>
    </row>
    <row r="330" spans="1:12" x14ac:dyDescent="0.3">
      <c r="A330" t="s">
        <v>24</v>
      </c>
      <c r="B330">
        <v>9</v>
      </c>
      <c r="C330">
        <v>1</v>
      </c>
      <c r="D330">
        <v>32</v>
      </c>
      <c r="E330" t="s">
        <v>96</v>
      </c>
      <c r="F330">
        <v>120</v>
      </c>
      <c r="H330">
        <v>1</v>
      </c>
      <c r="I330">
        <v>10</v>
      </c>
      <c r="J330">
        <v>10</v>
      </c>
      <c r="K330">
        <v>3.67</v>
      </c>
      <c r="L330">
        <v>5.26</v>
      </c>
    </row>
    <row r="331" spans="1:12" x14ac:dyDescent="0.3">
      <c r="A331" t="s">
        <v>24</v>
      </c>
      <c r="B331">
        <v>9</v>
      </c>
      <c r="C331">
        <v>1</v>
      </c>
      <c r="D331">
        <v>32</v>
      </c>
      <c r="E331" t="s">
        <v>96</v>
      </c>
      <c r="F331">
        <v>120</v>
      </c>
      <c r="H331">
        <v>20</v>
      </c>
      <c r="I331">
        <v>0.6</v>
      </c>
      <c r="J331">
        <v>12</v>
      </c>
      <c r="K331">
        <v>4.97</v>
      </c>
      <c r="L331">
        <v>7.12</v>
      </c>
    </row>
    <row r="332" spans="1:12" x14ac:dyDescent="0.3">
      <c r="A332" t="s">
        <v>24</v>
      </c>
      <c r="B332">
        <v>9</v>
      </c>
      <c r="C332">
        <v>1</v>
      </c>
      <c r="D332">
        <v>32</v>
      </c>
      <c r="E332" t="s">
        <v>96</v>
      </c>
      <c r="F332">
        <v>120</v>
      </c>
      <c r="H332">
        <v>12</v>
      </c>
      <c r="I332">
        <v>1.2</v>
      </c>
      <c r="J332">
        <v>14.399999999999999</v>
      </c>
      <c r="K332">
        <v>4.71</v>
      </c>
      <c r="L332">
        <v>6.75</v>
      </c>
    </row>
    <row r="333" spans="1:12" x14ac:dyDescent="0.3">
      <c r="A333" t="s">
        <v>24</v>
      </c>
      <c r="B333">
        <v>9</v>
      </c>
      <c r="C333">
        <v>1</v>
      </c>
      <c r="D333">
        <v>32</v>
      </c>
      <c r="E333" t="s">
        <v>96</v>
      </c>
      <c r="F333">
        <v>120</v>
      </c>
      <c r="H333">
        <v>16</v>
      </c>
      <c r="I333">
        <v>1.2</v>
      </c>
      <c r="J333">
        <v>19.2</v>
      </c>
      <c r="K333">
        <v>4.51</v>
      </c>
      <c r="L333">
        <v>6.46</v>
      </c>
    </row>
    <row r="334" spans="1:12" x14ac:dyDescent="0.3">
      <c r="A334" t="s">
        <v>24</v>
      </c>
      <c r="B334">
        <v>9</v>
      </c>
      <c r="C334">
        <v>1</v>
      </c>
      <c r="D334">
        <v>32</v>
      </c>
      <c r="E334" t="s">
        <v>96</v>
      </c>
      <c r="F334">
        <v>140</v>
      </c>
      <c r="H334">
        <v>2</v>
      </c>
      <c r="I334">
        <v>1</v>
      </c>
      <c r="J334">
        <v>2</v>
      </c>
      <c r="K334">
        <v>6.16</v>
      </c>
      <c r="L334">
        <v>8.6</v>
      </c>
    </row>
    <row r="335" spans="1:12" x14ac:dyDescent="0.3">
      <c r="A335" t="s">
        <v>24</v>
      </c>
      <c r="B335">
        <v>9</v>
      </c>
      <c r="C335">
        <v>1</v>
      </c>
      <c r="D335">
        <v>32</v>
      </c>
      <c r="E335" t="s">
        <v>96</v>
      </c>
      <c r="F335">
        <v>140</v>
      </c>
      <c r="H335">
        <v>1</v>
      </c>
      <c r="I335">
        <v>5</v>
      </c>
      <c r="J335">
        <v>5</v>
      </c>
      <c r="K335">
        <v>5.52</v>
      </c>
      <c r="L335">
        <v>7.71</v>
      </c>
    </row>
    <row r="336" spans="1:12" x14ac:dyDescent="0.3">
      <c r="A336" t="s">
        <v>24</v>
      </c>
      <c r="B336">
        <v>9</v>
      </c>
      <c r="C336">
        <v>1</v>
      </c>
      <c r="D336">
        <v>32</v>
      </c>
      <c r="E336" t="s">
        <v>96</v>
      </c>
      <c r="F336">
        <v>140</v>
      </c>
      <c r="H336">
        <v>10</v>
      </c>
      <c r="I336">
        <v>0.6</v>
      </c>
      <c r="J336">
        <v>6</v>
      </c>
      <c r="K336">
        <v>7.62</v>
      </c>
      <c r="L336">
        <v>10.64</v>
      </c>
    </row>
    <row r="337" spans="1:12" x14ac:dyDescent="0.3">
      <c r="A337" t="s">
        <v>24</v>
      </c>
      <c r="B337">
        <v>9</v>
      </c>
      <c r="C337">
        <v>1</v>
      </c>
      <c r="D337">
        <v>32</v>
      </c>
      <c r="E337" t="s">
        <v>96</v>
      </c>
      <c r="F337">
        <v>140</v>
      </c>
      <c r="H337">
        <v>6</v>
      </c>
      <c r="I337">
        <v>1.2</v>
      </c>
      <c r="J337">
        <v>7.1999999999999993</v>
      </c>
      <c r="K337">
        <v>7.94</v>
      </c>
      <c r="L337">
        <v>11.09</v>
      </c>
    </row>
    <row r="338" spans="1:12" x14ac:dyDescent="0.3">
      <c r="A338" t="s">
        <v>24</v>
      </c>
      <c r="B338">
        <v>9</v>
      </c>
      <c r="C338">
        <v>1</v>
      </c>
      <c r="D338">
        <v>32</v>
      </c>
      <c r="E338" t="s">
        <v>96</v>
      </c>
      <c r="F338">
        <v>140</v>
      </c>
      <c r="H338">
        <v>1</v>
      </c>
      <c r="I338">
        <v>10</v>
      </c>
      <c r="J338">
        <v>10</v>
      </c>
      <c r="K338">
        <v>5.52</v>
      </c>
      <c r="L338">
        <v>7.71</v>
      </c>
    </row>
    <row r="339" spans="1:12" x14ac:dyDescent="0.3">
      <c r="A339" t="s">
        <v>24</v>
      </c>
      <c r="B339">
        <v>9</v>
      </c>
      <c r="C339">
        <v>1</v>
      </c>
      <c r="D339">
        <v>32</v>
      </c>
      <c r="E339" t="s">
        <v>96</v>
      </c>
      <c r="F339">
        <v>140</v>
      </c>
      <c r="H339">
        <v>20</v>
      </c>
      <c r="I339">
        <v>0.6</v>
      </c>
      <c r="J339">
        <v>12</v>
      </c>
      <c r="K339">
        <v>7.48</v>
      </c>
      <c r="L339">
        <v>10.44</v>
      </c>
    </row>
    <row r="340" spans="1:12" x14ac:dyDescent="0.3">
      <c r="A340" t="s">
        <v>24</v>
      </c>
      <c r="B340">
        <v>9</v>
      </c>
      <c r="C340">
        <v>1</v>
      </c>
      <c r="D340">
        <v>32</v>
      </c>
      <c r="E340" t="s">
        <v>96</v>
      </c>
      <c r="F340">
        <v>140</v>
      </c>
      <c r="H340">
        <v>12</v>
      </c>
      <c r="I340">
        <v>1.2</v>
      </c>
      <c r="J340">
        <v>14.399999999999999</v>
      </c>
      <c r="K340">
        <v>7.09</v>
      </c>
      <c r="L340">
        <v>9.89</v>
      </c>
    </row>
    <row r="341" spans="1:12" x14ac:dyDescent="0.3">
      <c r="A341" t="s">
        <v>24</v>
      </c>
      <c r="B341">
        <v>9</v>
      </c>
      <c r="C341">
        <v>1</v>
      </c>
      <c r="D341">
        <v>32</v>
      </c>
      <c r="E341" t="s">
        <v>96</v>
      </c>
      <c r="F341">
        <v>140</v>
      </c>
      <c r="H341">
        <v>16</v>
      </c>
      <c r="I341">
        <v>1.2</v>
      </c>
      <c r="J341">
        <v>19.2</v>
      </c>
      <c r="K341">
        <v>6.78</v>
      </c>
      <c r="L341">
        <v>9.4700000000000006</v>
      </c>
    </row>
    <row r="342" spans="1:12" x14ac:dyDescent="0.3">
      <c r="A342" t="s">
        <v>167</v>
      </c>
      <c r="B342">
        <v>14</v>
      </c>
      <c r="C342">
        <v>1</v>
      </c>
      <c r="D342">
        <v>16</v>
      </c>
      <c r="E342" t="s">
        <v>95</v>
      </c>
      <c r="F342">
        <v>70</v>
      </c>
      <c r="H342">
        <v>1</v>
      </c>
      <c r="I342">
        <v>5</v>
      </c>
      <c r="J342">
        <v>5</v>
      </c>
      <c r="K342">
        <v>4.07</v>
      </c>
      <c r="L342">
        <v>4.3899999999999997</v>
      </c>
    </row>
    <row r="343" spans="1:12" x14ac:dyDescent="0.3">
      <c r="A343" t="s">
        <v>167</v>
      </c>
      <c r="B343">
        <v>14</v>
      </c>
      <c r="C343">
        <v>1</v>
      </c>
      <c r="D343">
        <v>16</v>
      </c>
      <c r="E343" t="s">
        <v>95</v>
      </c>
      <c r="F343">
        <v>70</v>
      </c>
      <c r="H343">
        <v>1</v>
      </c>
      <c r="I343">
        <v>10</v>
      </c>
      <c r="J343">
        <v>10</v>
      </c>
      <c r="K343">
        <v>4.01</v>
      </c>
      <c r="L343">
        <v>4.32</v>
      </c>
    </row>
    <row r="344" spans="1:12" x14ac:dyDescent="0.3">
      <c r="A344" t="s">
        <v>167</v>
      </c>
      <c r="B344">
        <v>14</v>
      </c>
      <c r="C344">
        <v>1</v>
      </c>
      <c r="D344">
        <v>16</v>
      </c>
      <c r="E344" t="s">
        <v>95</v>
      </c>
      <c r="F344">
        <v>70</v>
      </c>
      <c r="H344">
        <v>3</v>
      </c>
      <c r="I344">
        <v>3</v>
      </c>
      <c r="J344">
        <v>9</v>
      </c>
      <c r="K344">
        <v>4.45</v>
      </c>
      <c r="L344">
        <v>4.8</v>
      </c>
    </row>
    <row r="345" spans="1:12" x14ac:dyDescent="0.3">
      <c r="A345" t="s">
        <v>167</v>
      </c>
      <c r="B345">
        <v>14</v>
      </c>
      <c r="C345">
        <v>1</v>
      </c>
      <c r="D345">
        <v>16</v>
      </c>
      <c r="E345" t="s">
        <v>95</v>
      </c>
      <c r="F345">
        <v>70</v>
      </c>
      <c r="H345">
        <v>3</v>
      </c>
      <c r="I345">
        <v>5</v>
      </c>
      <c r="J345">
        <v>15</v>
      </c>
      <c r="K345">
        <v>4.04</v>
      </c>
      <c r="L345">
        <v>4.3499999999999996</v>
      </c>
    </row>
    <row r="346" spans="1:12" x14ac:dyDescent="0.3">
      <c r="A346" t="s">
        <v>167</v>
      </c>
      <c r="B346">
        <v>14</v>
      </c>
      <c r="C346">
        <v>1</v>
      </c>
      <c r="D346">
        <v>16</v>
      </c>
      <c r="E346" t="s">
        <v>95</v>
      </c>
      <c r="F346">
        <v>70</v>
      </c>
      <c r="H346">
        <v>32</v>
      </c>
      <c r="I346">
        <v>0.6</v>
      </c>
      <c r="J346">
        <v>19.2</v>
      </c>
      <c r="K346">
        <v>4.7300000000000004</v>
      </c>
      <c r="L346">
        <v>5.0999999999999996</v>
      </c>
    </row>
    <row r="347" spans="1:12" x14ac:dyDescent="0.3">
      <c r="A347" t="s">
        <v>167</v>
      </c>
      <c r="B347">
        <v>14</v>
      </c>
      <c r="C347">
        <v>1</v>
      </c>
      <c r="D347">
        <v>16</v>
      </c>
      <c r="E347" t="s">
        <v>95</v>
      </c>
      <c r="F347">
        <v>70</v>
      </c>
      <c r="H347">
        <v>64</v>
      </c>
      <c r="I347">
        <v>0.6</v>
      </c>
      <c r="J347">
        <v>38.4</v>
      </c>
      <c r="K347">
        <v>4.18</v>
      </c>
      <c r="L347">
        <v>4.5199999999999996</v>
      </c>
    </row>
    <row r="348" spans="1:12" x14ac:dyDescent="0.3">
      <c r="A348" t="s">
        <v>167</v>
      </c>
      <c r="B348">
        <v>14</v>
      </c>
      <c r="C348">
        <v>1</v>
      </c>
      <c r="D348">
        <v>16</v>
      </c>
      <c r="E348" t="s">
        <v>95</v>
      </c>
      <c r="F348">
        <v>80</v>
      </c>
      <c r="H348">
        <v>1</v>
      </c>
      <c r="I348">
        <v>5</v>
      </c>
      <c r="J348">
        <v>5</v>
      </c>
      <c r="K348">
        <v>6.44</v>
      </c>
      <c r="L348">
        <v>6.81</v>
      </c>
    </row>
    <row r="349" spans="1:12" x14ac:dyDescent="0.3">
      <c r="A349" t="s">
        <v>167</v>
      </c>
      <c r="B349">
        <v>14</v>
      </c>
      <c r="C349">
        <v>1</v>
      </c>
      <c r="D349">
        <v>16</v>
      </c>
      <c r="E349" t="s">
        <v>95</v>
      </c>
      <c r="F349">
        <v>80</v>
      </c>
      <c r="H349">
        <v>1</v>
      </c>
      <c r="I349">
        <v>10</v>
      </c>
      <c r="J349">
        <v>10</v>
      </c>
      <c r="K349">
        <v>6.34</v>
      </c>
      <c r="L349">
        <v>6.69</v>
      </c>
    </row>
    <row r="350" spans="1:12" x14ac:dyDescent="0.3">
      <c r="A350" t="s">
        <v>167</v>
      </c>
      <c r="B350">
        <v>14</v>
      </c>
      <c r="C350">
        <v>1</v>
      </c>
      <c r="D350">
        <v>16</v>
      </c>
      <c r="E350" t="s">
        <v>95</v>
      </c>
      <c r="F350">
        <v>80</v>
      </c>
      <c r="H350">
        <v>3</v>
      </c>
      <c r="I350">
        <v>3</v>
      </c>
      <c r="J350">
        <v>9</v>
      </c>
      <c r="K350">
        <v>7.04</v>
      </c>
      <c r="L350">
        <v>7.43</v>
      </c>
    </row>
    <row r="351" spans="1:12" x14ac:dyDescent="0.3">
      <c r="A351" t="s">
        <v>167</v>
      </c>
      <c r="B351">
        <v>14</v>
      </c>
      <c r="C351">
        <v>1</v>
      </c>
      <c r="D351">
        <v>16</v>
      </c>
      <c r="E351" t="s">
        <v>95</v>
      </c>
      <c r="F351">
        <v>80</v>
      </c>
      <c r="H351">
        <v>3</v>
      </c>
      <c r="I351">
        <v>5</v>
      </c>
      <c r="J351">
        <v>15</v>
      </c>
      <c r="K351">
        <v>6.39</v>
      </c>
      <c r="L351">
        <v>6.74</v>
      </c>
    </row>
    <row r="352" spans="1:12" x14ac:dyDescent="0.3">
      <c r="A352" t="s">
        <v>167</v>
      </c>
      <c r="B352">
        <v>14</v>
      </c>
      <c r="C352">
        <v>1</v>
      </c>
      <c r="D352">
        <v>16</v>
      </c>
      <c r="E352" t="s">
        <v>95</v>
      </c>
      <c r="F352">
        <v>80</v>
      </c>
      <c r="H352">
        <v>32</v>
      </c>
      <c r="I352">
        <v>0.6</v>
      </c>
      <c r="J352">
        <v>19.2</v>
      </c>
      <c r="K352">
        <v>7.49</v>
      </c>
      <c r="L352">
        <v>7.9</v>
      </c>
    </row>
    <row r="353" spans="1:12" x14ac:dyDescent="0.3">
      <c r="A353" t="s">
        <v>167</v>
      </c>
      <c r="B353">
        <v>14</v>
      </c>
      <c r="C353">
        <v>1</v>
      </c>
      <c r="D353">
        <v>16</v>
      </c>
      <c r="E353" t="s">
        <v>95</v>
      </c>
      <c r="F353">
        <v>80</v>
      </c>
      <c r="H353">
        <v>64</v>
      </c>
      <c r="I353">
        <v>0.6</v>
      </c>
      <c r="J353">
        <v>38.4</v>
      </c>
      <c r="K353">
        <v>6.61</v>
      </c>
      <c r="L353">
        <v>7</v>
      </c>
    </row>
    <row r="354" spans="1:12" x14ac:dyDescent="0.3">
      <c r="A354" t="s">
        <v>167</v>
      </c>
      <c r="B354">
        <v>14</v>
      </c>
      <c r="C354">
        <v>1</v>
      </c>
      <c r="D354">
        <v>16</v>
      </c>
      <c r="E354" t="s">
        <v>95</v>
      </c>
      <c r="F354">
        <v>90</v>
      </c>
      <c r="H354">
        <v>1</v>
      </c>
      <c r="I354">
        <v>5</v>
      </c>
      <c r="J354">
        <v>5</v>
      </c>
      <c r="K354">
        <v>9.2899999999999991</v>
      </c>
      <c r="L354">
        <v>9.69</v>
      </c>
    </row>
    <row r="355" spans="1:12" x14ac:dyDescent="0.3">
      <c r="A355" t="s">
        <v>167</v>
      </c>
      <c r="B355">
        <v>14</v>
      </c>
      <c r="C355">
        <v>1</v>
      </c>
      <c r="D355">
        <v>16</v>
      </c>
      <c r="E355" t="s">
        <v>95</v>
      </c>
      <c r="F355">
        <v>90</v>
      </c>
      <c r="H355">
        <v>1</v>
      </c>
      <c r="I355">
        <v>10</v>
      </c>
      <c r="J355">
        <v>10</v>
      </c>
      <c r="K355">
        <v>9.1300000000000008</v>
      </c>
      <c r="L355">
        <v>9.5299999999999994</v>
      </c>
    </row>
    <row r="356" spans="1:12" x14ac:dyDescent="0.3">
      <c r="A356" t="s">
        <v>167</v>
      </c>
      <c r="B356">
        <v>14</v>
      </c>
      <c r="C356">
        <v>1</v>
      </c>
      <c r="D356">
        <v>16</v>
      </c>
      <c r="E356" t="s">
        <v>95</v>
      </c>
      <c r="F356">
        <v>90</v>
      </c>
      <c r="H356">
        <v>3</v>
      </c>
      <c r="I356">
        <v>3</v>
      </c>
      <c r="J356">
        <v>9</v>
      </c>
      <c r="K356">
        <v>10.14</v>
      </c>
      <c r="L356">
        <v>10.59</v>
      </c>
    </row>
    <row r="357" spans="1:12" x14ac:dyDescent="0.3">
      <c r="A357" t="s">
        <v>167</v>
      </c>
      <c r="B357">
        <v>14</v>
      </c>
      <c r="C357">
        <v>1</v>
      </c>
      <c r="D357">
        <v>16</v>
      </c>
      <c r="E357" t="s">
        <v>95</v>
      </c>
      <c r="F357">
        <v>90</v>
      </c>
      <c r="H357">
        <v>3</v>
      </c>
      <c r="I357">
        <v>5</v>
      </c>
      <c r="J357">
        <v>15</v>
      </c>
      <c r="K357">
        <v>9.1999999999999993</v>
      </c>
      <c r="L357">
        <v>9.6</v>
      </c>
    </row>
    <row r="358" spans="1:12" x14ac:dyDescent="0.3">
      <c r="A358" t="s">
        <v>167</v>
      </c>
      <c r="B358">
        <v>14</v>
      </c>
      <c r="C358">
        <v>1</v>
      </c>
      <c r="D358">
        <v>16</v>
      </c>
      <c r="E358" t="s">
        <v>95</v>
      </c>
      <c r="F358">
        <v>90</v>
      </c>
      <c r="H358">
        <v>32</v>
      </c>
      <c r="I358">
        <v>0.6</v>
      </c>
      <c r="J358">
        <v>19.2</v>
      </c>
      <c r="K358">
        <v>10.77</v>
      </c>
      <c r="L358">
        <v>11.25</v>
      </c>
    </row>
    <row r="359" spans="1:12" x14ac:dyDescent="0.3">
      <c r="A359" t="s">
        <v>167</v>
      </c>
      <c r="B359">
        <v>14</v>
      </c>
      <c r="C359">
        <v>1</v>
      </c>
      <c r="D359">
        <v>16</v>
      </c>
      <c r="E359" t="s">
        <v>95</v>
      </c>
      <c r="F359">
        <v>90</v>
      </c>
      <c r="H359">
        <v>64</v>
      </c>
      <c r="I359">
        <v>0.6</v>
      </c>
      <c r="J359">
        <v>38.4</v>
      </c>
      <c r="K359">
        <v>9.51</v>
      </c>
      <c r="L359">
        <v>9.9600000000000009</v>
      </c>
    </row>
    <row r="360" spans="1:12" x14ac:dyDescent="0.3">
      <c r="A360" t="s">
        <v>167</v>
      </c>
      <c r="B360">
        <v>14</v>
      </c>
      <c r="C360">
        <v>1</v>
      </c>
      <c r="D360">
        <v>16</v>
      </c>
      <c r="E360" t="s">
        <v>95</v>
      </c>
      <c r="F360">
        <v>100</v>
      </c>
      <c r="H360">
        <v>1</v>
      </c>
      <c r="I360">
        <v>5</v>
      </c>
      <c r="J360">
        <v>5</v>
      </c>
      <c r="K360">
        <v>12.52</v>
      </c>
      <c r="L360">
        <v>12.96</v>
      </c>
    </row>
    <row r="361" spans="1:12" x14ac:dyDescent="0.3">
      <c r="A361" t="s">
        <v>167</v>
      </c>
      <c r="B361">
        <v>14</v>
      </c>
      <c r="C361">
        <v>1</v>
      </c>
      <c r="D361">
        <v>16</v>
      </c>
      <c r="E361" t="s">
        <v>95</v>
      </c>
      <c r="F361">
        <v>100</v>
      </c>
      <c r="H361">
        <v>1</v>
      </c>
      <c r="I361">
        <v>10</v>
      </c>
      <c r="J361">
        <v>10</v>
      </c>
      <c r="K361">
        <v>12.31</v>
      </c>
      <c r="L361">
        <v>12.75</v>
      </c>
    </row>
    <row r="362" spans="1:12" x14ac:dyDescent="0.3">
      <c r="A362" t="s">
        <v>167</v>
      </c>
      <c r="B362">
        <v>14</v>
      </c>
      <c r="C362">
        <v>1</v>
      </c>
      <c r="D362">
        <v>16</v>
      </c>
      <c r="E362" t="s">
        <v>95</v>
      </c>
      <c r="F362">
        <v>100</v>
      </c>
      <c r="H362">
        <v>3</v>
      </c>
      <c r="I362">
        <v>3</v>
      </c>
      <c r="J362">
        <v>9</v>
      </c>
      <c r="K362">
        <v>13.68</v>
      </c>
      <c r="L362">
        <v>14.17</v>
      </c>
    </row>
    <row r="363" spans="1:12" x14ac:dyDescent="0.3">
      <c r="A363" t="s">
        <v>167</v>
      </c>
      <c r="B363">
        <v>14</v>
      </c>
      <c r="C363">
        <v>1</v>
      </c>
      <c r="D363">
        <v>16</v>
      </c>
      <c r="E363" t="s">
        <v>95</v>
      </c>
      <c r="F363">
        <v>100</v>
      </c>
      <c r="H363">
        <v>3</v>
      </c>
      <c r="I363">
        <v>5</v>
      </c>
      <c r="J363">
        <v>15</v>
      </c>
      <c r="K363">
        <v>12.42</v>
      </c>
      <c r="L363">
        <v>12.85</v>
      </c>
    </row>
    <row r="364" spans="1:12" x14ac:dyDescent="0.3">
      <c r="A364" t="s">
        <v>167</v>
      </c>
      <c r="B364">
        <v>14</v>
      </c>
      <c r="C364">
        <v>1</v>
      </c>
      <c r="D364">
        <v>16</v>
      </c>
      <c r="E364" t="s">
        <v>95</v>
      </c>
      <c r="F364">
        <v>100</v>
      </c>
      <c r="H364">
        <v>32</v>
      </c>
      <c r="I364">
        <v>0.6</v>
      </c>
      <c r="J364">
        <v>19.2</v>
      </c>
      <c r="K364">
        <v>14.53</v>
      </c>
      <c r="L364">
        <v>15.04</v>
      </c>
    </row>
    <row r="365" spans="1:12" x14ac:dyDescent="0.3">
      <c r="A365" t="s">
        <v>167</v>
      </c>
      <c r="B365">
        <v>14</v>
      </c>
      <c r="C365">
        <v>1</v>
      </c>
      <c r="D365">
        <v>16</v>
      </c>
      <c r="E365" t="s">
        <v>95</v>
      </c>
      <c r="F365">
        <v>100</v>
      </c>
      <c r="H365">
        <v>64</v>
      </c>
      <c r="I365">
        <v>0.6</v>
      </c>
      <c r="J365">
        <v>38.4</v>
      </c>
      <c r="K365">
        <v>12.81</v>
      </c>
      <c r="L365">
        <v>13.3</v>
      </c>
    </row>
    <row r="366" spans="1:12" x14ac:dyDescent="0.3">
      <c r="A366" t="s">
        <v>167</v>
      </c>
      <c r="B366">
        <v>14</v>
      </c>
      <c r="C366">
        <v>1</v>
      </c>
      <c r="D366">
        <v>16</v>
      </c>
      <c r="E366" t="s">
        <v>95</v>
      </c>
      <c r="F366">
        <v>110</v>
      </c>
      <c r="H366">
        <v>1</v>
      </c>
      <c r="I366">
        <v>5</v>
      </c>
      <c r="J366">
        <v>5</v>
      </c>
      <c r="K366">
        <v>15.99</v>
      </c>
      <c r="L366">
        <v>16.57</v>
      </c>
    </row>
    <row r="367" spans="1:12" x14ac:dyDescent="0.3">
      <c r="A367" t="s">
        <v>167</v>
      </c>
      <c r="B367">
        <v>14</v>
      </c>
      <c r="C367">
        <v>1</v>
      </c>
      <c r="D367">
        <v>16</v>
      </c>
      <c r="E367" t="s">
        <v>95</v>
      </c>
      <c r="F367">
        <v>110</v>
      </c>
      <c r="H367">
        <v>1</v>
      </c>
      <c r="I367">
        <v>10</v>
      </c>
      <c r="J367">
        <v>10</v>
      </c>
      <c r="K367">
        <v>15.79</v>
      </c>
      <c r="L367">
        <v>16.3</v>
      </c>
    </row>
    <row r="368" spans="1:12" x14ac:dyDescent="0.3">
      <c r="A368" t="s">
        <v>167</v>
      </c>
      <c r="B368">
        <v>14</v>
      </c>
      <c r="C368">
        <v>1</v>
      </c>
      <c r="D368">
        <v>16</v>
      </c>
      <c r="E368" t="s">
        <v>95</v>
      </c>
      <c r="F368">
        <v>110</v>
      </c>
      <c r="H368">
        <v>3</v>
      </c>
      <c r="I368">
        <v>3</v>
      </c>
      <c r="J368">
        <v>9</v>
      </c>
      <c r="K368">
        <v>17.54</v>
      </c>
      <c r="L368">
        <v>18.11</v>
      </c>
    </row>
    <row r="369" spans="1:12" x14ac:dyDescent="0.3">
      <c r="A369" t="s">
        <v>167</v>
      </c>
      <c r="B369">
        <v>14</v>
      </c>
      <c r="C369">
        <v>1</v>
      </c>
      <c r="D369">
        <v>16</v>
      </c>
      <c r="E369" t="s">
        <v>95</v>
      </c>
      <c r="F369">
        <v>110</v>
      </c>
      <c r="H369">
        <v>3</v>
      </c>
      <c r="I369">
        <v>5</v>
      </c>
      <c r="J369">
        <v>15</v>
      </c>
      <c r="K369">
        <v>15.9</v>
      </c>
      <c r="L369">
        <v>16.399999999999999</v>
      </c>
    </row>
    <row r="370" spans="1:12" x14ac:dyDescent="0.3">
      <c r="A370" t="s">
        <v>167</v>
      </c>
      <c r="B370">
        <v>14</v>
      </c>
      <c r="C370">
        <v>1</v>
      </c>
      <c r="D370">
        <v>16</v>
      </c>
      <c r="E370" t="s">
        <v>95</v>
      </c>
      <c r="F370">
        <v>110</v>
      </c>
      <c r="H370">
        <v>32</v>
      </c>
      <c r="I370">
        <v>0.6</v>
      </c>
      <c r="J370">
        <v>19.2</v>
      </c>
      <c r="K370">
        <v>18.64</v>
      </c>
      <c r="L370">
        <v>19.21</v>
      </c>
    </row>
    <row r="371" spans="1:12" x14ac:dyDescent="0.3">
      <c r="A371" t="s">
        <v>167</v>
      </c>
      <c r="B371">
        <v>14</v>
      </c>
      <c r="C371">
        <v>1</v>
      </c>
      <c r="D371">
        <v>16</v>
      </c>
      <c r="E371" t="s">
        <v>95</v>
      </c>
      <c r="F371">
        <v>110</v>
      </c>
      <c r="H371">
        <v>64</v>
      </c>
      <c r="I371">
        <v>0.6</v>
      </c>
      <c r="J371">
        <v>38.4</v>
      </c>
      <c r="K371">
        <v>16.420000000000002</v>
      </c>
      <c r="L371">
        <v>16.98</v>
      </c>
    </row>
    <row r="372" spans="1:12" x14ac:dyDescent="0.3">
      <c r="A372" t="s">
        <v>167</v>
      </c>
      <c r="B372">
        <v>14</v>
      </c>
      <c r="C372">
        <v>1</v>
      </c>
      <c r="D372">
        <v>16</v>
      </c>
      <c r="E372" t="s">
        <v>95</v>
      </c>
      <c r="F372">
        <v>120</v>
      </c>
      <c r="H372">
        <v>1</v>
      </c>
      <c r="I372">
        <v>5</v>
      </c>
      <c r="J372">
        <v>5</v>
      </c>
      <c r="K372">
        <v>19.920000000000002</v>
      </c>
      <c r="L372">
        <v>20.5</v>
      </c>
    </row>
    <row r="373" spans="1:12" x14ac:dyDescent="0.3">
      <c r="A373" t="s">
        <v>167</v>
      </c>
      <c r="B373">
        <v>14</v>
      </c>
      <c r="C373">
        <v>1</v>
      </c>
      <c r="D373">
        <v>16</v>
      </c>
      <c r="E373" t="s">
        <v>95</v>
      </c>
      <c r="F373">
        <v>120</v>
      </c>
      <c r="H373">
        <v>1</v>
      </c>
      <c r="I373">
        <v>10</v>
      </c>
      <c r="J373">
        <v>10</v>
      </c>
      <c r="K373">
        <v>19.600000000000001</v>
      </c>
      <c r="L373">
        <v>20.13</v>
      </c>
    </row>
    <row r="374" spans="1:12" x14ac:dyDescent="0.3">
      <c r="A374" t="s">
        <v>167</v>
      </c>
      <c r="B374">
        <v>14</v>
      </c>
      <c r="C374">
        <v>1</v>
      </c>
      <c r="D374">
        <v>16</v>
      </c>
      <c r="E374" t="s">
        <v>95</v>
      </c>
      <c r="F374">
        <v>120</v>
      </c>
      <c r="H374">
        <v>3</v>
      </c>
      <c r="I374">
        <v>3</v>
      </c>
      <c r="J374">
        <v>9</v>
      </c>
      <c r="K374">
        <v>21.77</v>
      </c>
      <c r="L374">
        <v>22.37</v>
      </c>
    </row>
    <row r="375" spans="1:12" x14ac:dyDescent="0.3">
      <c r="A375" t="s">
        <v>167</v>
      </c>
      <c r="B375">
        <v>14</v>
      </c>
      <c r="C375">
        <v>1</v>
      </c>
      <c r="D375">
        <v>16</v>
      </c>
      <c r="E375" t="s">
        <v>95</v>
      </c>
      <c r="F375">
        <v>120</v>
      </c>
      <c r="H375">
        <v>3</v>
      </c>
      <c r="I375">
        <v>5</v>
      </c>
      <c r="J375">
        <v>15</v>
      </c>
      <c r="K375">
        <v>19.71</v>
      </c>
      <c r="L375">
        <v>20.260000000000002</v>
      </c>
    </row>
    <row r="376" spans="1:12" x14ac:dyDescent="0.3">
      <c r="A376" t="s">
        <v>167</v>
      </c>
      <c r="B376">
        <v>14</v>
      </c>
      <c r="C376">
        <v>1</v>
      </c>
      <c r="D376">
        <v>16</v>
      </c>
      <c r="E376" t="s">
        <v>95</v>
      </c>
      <c r="F376">
        <v>120</v>
      </c>
      <c r="H376">
        <v>32</v>
      </c>
      <c r="I376">
        <v>0.6</v>
      </c>
      <c r="J376">
        <v>19.2</v>
      </c>
      <c r="K376">
        <v>23.08</v>
      </c>
      <c r="L376">
        <v>23.73</v>
      </c>
    </row>
    <row r="377" spans="1:12" x14ac:dyDescent="0.3">
      <c r="A377" t="s">
        <v>167</v>
      </c>
      <c r="B377">
        <v>14</v>
      </c>
      <c r="C377">
        <v>1</v>
      </c>
      <c r="D377">
        <v>16</v>
      </c>
      <c r="E377" t="s">
        <v>95</v>
      </c>
      <c r="F377">
        <v>120</v>
      </c>
      <c r="H377">
        <v>64</v>
      </c>
      <c r="I377">
        <v>0.6</v>
      </c>
      <c r="J377">
        <v>38.4</v>
      </c>
      <c r="K377">
        <v>20.34</v>
      </c>
      <c r="L377">
        <v>20.96</v>
      </c>
    </row>
    <row r="378" spans="1:12" x14ac:dyDescent="0.3">
      <c r="A378" t="s">
        <v>167</v>
      </c>
      <c r="B378">
        <v>14</v>
      </c>
      <c r="C378">
        <v>1</v>
      </c>
      <c r="D378">
        <v>16</v>
      </c>
      <c r="E378" t="s">
        <v>95</v>
      </c>
      <c r="F378">
        <v>130</v>
      </c>
      <c r="H378">
        <v>1</v>
      </c>
      <c r="I378">
        <v>5</v>
      </c>
      <c r="J378">
        <v>5</v>
      </c>
      <c r="K378">
        <v>24.1</v>
      </c>
      <c r="L378">
        <v>24.72</v>
      </c>
    </row>
    <row r="379" spans="1:12" x14ac:dyDescent="0.3">
      <c r="A379" t="s">
        <v>167</v>
      </c>
      <c r="B379">
        <v>14</v>
      </c>
      <c r="C379">
        <v>1</v>
      </c>
      <c r="D379">
        <v>16</v>
      </c>
      <c r="E379" t="s">
        <v>95</v>
      </c>
      <c r="F379">
        <v>130</v>
      </c>
      <c r="H379">
        <v>1</v>
      </c>
      <c r="I379">
        <v>10</v>
      </c>
      <c r="J379">
        <v>10</v>
      </c>
      <c r="K379">
        <v>23.69</v>
      </c>
      <c r="L379">
        <v>24.26</v>
      </c>
    </row>
    <row r="380" spans="1:12" x14ac:dyDescent="0.3">
      <c r="A380" t="s">
        <v>167</v>
      </c>
      <c r="B380">
        <v>14</v>
      </c>
      <c r="C380">
        <v>1</v>
      </c>
      <c r="D380">
        <v>16</v>
      </c>
      <c r="E380" t="s">
        <v>95</v>
      </c>
      <c r="F380">
        <v>130</v>
      </c>
      <c r="H380">
        <v>3</v>
      </c>
      <c r="I380">
        <v>3</v>
      </c>
      <c r="J380">
        <v>9</v>
      </c>
      <c r="K380">
        <v>26.32</v>
      </c>
      <c r="L380">
        <v>26.95</v>
      </c>
    </row>
    <row r="381" spans="1:12" x14ac:dyDescent="0.3">
      <c r="A381" t="s">
        <v>167</v>
      </c>
      <c r="B381">
        <v>14</v>
      </c>
      <c r="C381">
        <v>1</v>
      </c>
      <c r="D381">
        <v>16</v>
      </c>
      <c r="E381" t="s">
        <v>95</v>
      </c>
      <c r="F381">
        <v>130</v>
      </c>
      <c r="H381">
        <v>3</v>
      </c>
      <c r="I381">
        <v>5</v>
      </c>
      <c r="J381">
        <v>15</v>
      </c>
      <c r="K381">
        <v>23.81</v>
      </c>
      <c r="L381">
        <v>24.41</v>
      </c>
    </row>
    <row r="382" spans="1:12" x14ac:dyDescent="0.3">
      <c r="A382" t="s">
        <v>167</v>
      </c>
      <c r="B382">
        <v>14</v>
      </c>
      <c r="C382">
        <v>1</v>
      </c>
      <c r="D382">
        <v>16</v>
      </c>
      <c r="E382" t="s">
        <v>95</v>
      </c>
      <c r="F382">
        <v>130</v>
      </c>
      <c r="H382">
        <v>32</v>
      </c>
      <c r="I382">
        <v>0.6</v>
      </c>
      <c r="J382">
        <v>19.2</v>
      </c>
      <c r="K382">
        <v>27.89</v>
      </c>
      <c r="L382">
        <v>28.57</v>
      </c>
    </row>
    <row r="383" spans="1:12" x14ac:dyDescent="0.3">
      <c r="A383" t="s">
        <v>167</v>
      </c>
      <c r="B383">
        <v>14</v>
      </c>
      <c r="C383">
        <v>1</v>
      </c>
      <c r="D383">
        <v>16</v>
      </c>
      <c r="E383" t="s">
        <v>95</v>
      </c>
      <c r="F383">
        <v>130</v>
      </c>
      <c r="H383">
        <v>64</v>
      </c>
      <c r="I383">
        <v>0.6</v>
      </c>
      <c r="J383">
        <v>38.4</v>
      </c>
      <c r="K383">
        <v>24.52</v>
      </c>
      <c r="L383">
        <v>25.22</v>
      </c>
    </row>
    <row r="384" spans="1:12" x14ac:dyDescent="0.3">
      <c r="A384" t="s">
        <v>167</v>
      </c>
      <c r="B384">
        <v>14</v>
      </c>
      <c r="C384">
        <v>1</v>
      </c>
      <c r="D384">
        <v>16</v>
      </c>
      <c r="E384" t="s">
        <v>95</v>
      </c>
      <c r="F384">
        <v>140</v>
      </c>
      <c r="H384">
        <v>1</v>
      </c>
      <c r="I384">
        <v>5</v>
      </c>
      <c r="J384">
        <v>5</v>
      </c>
      <c r="K384">
        <v>28.32</v>
      </c>
      <c r="L384">
        <v>29.08</v>
      </c>
    </row>
    <row r="385" spans="1:12" x14ac:dyDescent="0.3">
      <c r="A385" t="s">
        <v>167</v>
      </c>
      <c r="B385">
        <v>14</v>
      </c>
      <c r="C385">
        <v>1</v>
      </c>
      <c r="D385">
        <v>16</v>
      </c>
      <c r="E385" t="s">
        <v>95</v>
      </c>
      <c r="F385">
        <v>140</v>
      </c>
      <c r="H385">
        <v>1</v>
      </c>
      <c r="I385">
        <v>10</v>
      </c>
      <c r="J385">
        <v>10</v>
      </c>
      <c r="K385">
        <v>27.94</v>
      </c>
      <c r="L385">
        <v>28.6</v>
      </c>
    </row>
    <row r="386" spans="1:12" x14ac:dyDescent="0.3">
      <c r="A386" t="s">
        <v>167</v>
      </c>
      <c r="B386">
        <v>14</v>
      </c>
      <c r="C386">
        <v>1</v>
      </c>
      <c r="D386">
        <v>16</v>
      </c>
      <c r="E386" t="s">
        <v>95</v>
      </c>
      <c r="F386">
        <v>140</v>
      </c>
      <c r="H386">
        <v>3</v>
      </c>
      <c r="I386">
        <v>3</v>
      </c>
      <c r="J386">
        <v>9</v>
      </c>
      <c r="K386">
        <v>31.04</v>
      </c>
      <c r="L386">
        <v>31.78</v>
      </c>
    </row>
    <row r="387" spans="1:12" x14ac:dyDescent="0.3">
      <c r="A387" t="s">
        <v>167</v>
      </c>
      <c r="B387">
        <v>14</v>
      </c>
      <c r="C387">
        <v>1</v>
      </c>
      <c r="D387">
        <v>16</v>
      </c>
      <c r="E387" t="s">
        <v>95</v>
      </c>
      <c r="F387">
        <v>140</v>
      </c>
      <c r="H387">
        <v>3</v>
      </c>
      <c r="I387">
        <v>5</v>
      </c>
      <c r="J387">
        <v>15</v>
      </c>
      <c r="K387">
        <v>28.13</v>
      </c>
      <c r="L387">
        <v>28.77</v>
      </c>
    </row>
    <row r="388" spans="1:12" x14ac:dyDescent="0.3">
      <c r="A388" t="s">
        <v>167</v>
      </c>
      <c r="B388">
        <v>14</v>
      </c>
      <c r="C388">
        <v>1</v>
      </c>
      <c r="D388">
        <v>16</v>
      </c>
      <c r="E388" t="s">
        <v>95</v>
      </c>
      <c r="F388">
        <v>140</v>
      </c>
      <c r="H388">
        <v>32</v>
      </c>
      <c r="I388">
        <v>0.6</v>
      </c>
      <c r="J388">
        <v>19.2</v>
      </c>
      <c r="K388">
        <v>23.89</v>
      </c>
      <c r="L388">
        <v>33.69</v>
      </c>
    </row>
    <row r="389" spans="1:12" x14ac:dyDescent="0.3">
      <c r="A389" t="s">
        <v>167</v>
      </c>
      <c r="B389">
        <v>14</v>
      </c>
      <c r="C389">
        <v>1</v>
      </c>
      <c r="D389">
        <v>16</v>
      </c>
      <c r="E389" t="s">
        <v>95</v>
      </c>
      <c r="F389">
        <v>140</v>
      </c>
      <c r="H389">
        <v>64</v>
      </c>
      <c r="I389">
        <v>0.6</v>
      </c>
      <c r="J389">
        <v>38.4</v>
      </c>
      <c r="K389">
        <v>29</v>
      </c>
      <c r="L389">
        <v>29.75</v>
      </c>
    </row>
    <row r="390" spans="1:12" x14ac:dyDescent="0.3">
      <c r="A390" t="s">
        <v>167</v>
      </c>
      <c r="B390">
        <v>14</v>
      </c>
      <c r="C390">
        <v>1</v>
      </c>
      <c r="D390">
        <v>16</v>
      </c>
      <c r="E390" t="s">
        <v>95</v>
      </c>
      <c r="F390">
        <v>100</v>
      </c>
      <c r="G390" t="s">
        <v>139</v>
      </c>
      <c r="H390">
        <v>1</v>
      </c>
      <c r="I390">
        <v>5</v>
      </c>
      <c r="J390">
        <v>5</v>
      </c>
    </row>
    <row r="391" spans="1:12" x14ac:dyDescent="0.3">
      <c r="A391" t="s">
        <v>167</v>
      </c>
      <c r="B391">
        <v>14</v>
      </c>
      <c r="C391">
        <v>1</v>
      </c>
      <c r="D391">
        <v>16</v>
      </c>
      <c r="E391" t="s">
        <v>95</v>
      </c>
      <c r="F391">
        <v>100</v>
      </c>
      <c r="G391" t="s">
        <v>139</v>
      </c>
      <c r="H391">
        <v>1</v>
      </c>
      <c r="I391">
        <v>10</v>
      </c>
      <c r="J391">
        <v>10</v>
      </c>
    </row>
    <row r="392" spans="1:12" x14ac:dyDescent="0.3">
      <c r="A392" t="s">
        <v>167</v>
      </c>
      <c r="B392">
        <v>14</v>
      </c>
      <c r="C392">
        <v>1</v>
      </c>
      <c r="D392">
        <v>16</v>
      </c>
      <c r="E392" t="s">
        <v>95</v>
      </c>
      <c r="F392">
        <v>100</v>
      </c>
      <c r="G392" t="s">
        <v>139</v>
      </c>
      <c r="H392">
        <v>3</v>
      </c>
      <c r="I392">
        <v>3</v>
      </c>
      <c r="J392">
        <v>9</v>
      </c>
      <c r="K392">
        <v>2.11</v>
      </c>
      <c r="L392">
        <v>2.13</v>
      </c>
    </row>
    <row r="393" spans="1:12" x14ac:dyDescent="0.3">
      <c r="A393" t="s">
        <v>167</v>
      </c>
      <c r="B393">
        <v>14</v>
      </c>
      <c r="C393">
        <v>1</v>
      </c>
      <c r="D393">
        <v>16</v>
      </c>
      <c r="E393" t="s">
        <v>95</v>
      </c>
      <c r="F393">
        <v>100</v>
      </c>
      <c r="G393" t="s">
        <v>139</v>
      </c>
      <c r="H393">
        <v>3</v>
      </c>
      <c r="I393">
        <v>5</v>
      </c>
      <c r="J393">
        <v>15</v>
      </c>
      <c r="K393">
        <v>1.92</v>
      </c>
      <c r="L393">
        <v>1.93</v>
      </c>
    </row>
    <row r="394" spans="1:12" x14ac:dyDescent="0.3">
      <c r="A394" t="s">
        <v>167</v>
      </c>
      <c r="B394">
        <v>14</v>
      </c>
      <c r="C394">
        <v>1</v>
      </c>
      <c r="D394">
        <v>16</v>
      </c>
      <c r="E394" t="s">
        <v>95</v>
      </c>
      <c r="F394">
        <v>100</v>
      </c>
      <c r="G394" t="s">
        <v>139</v>
      </c>
      <c r="H394">
        <v>32</v>
      </c>
      <c r="I394">
        <v>0.6</v>
      </c>
      <c r="J394">
        <v>19.2</v>
      </c>
    </row>
    <row r="395" spans="1:12" x14ac:dyDescent="0.3">
      <c r="A395" t="s">
        <v>167</v>
      </c>
      <c r="B395">
        <v>14</v>
      </c>
      <c r="C395">
        <v>1</v>
      </c>
      <c r="D395">
        <v>16</v>
      </c>
      <c r="E395" t="s">
        <v>95</v>
      </c>
      <c r="F395">
        <v>100</v>
      </c>
      <c r="G395" t="s">
        <v>139</v>
      </c>
      <c r="H395">
        <v>64</v>
      </c>
      <c r="I395">
        <v>0.6</v>
      </c>
      <c r="J395">
        <v>38.4</v>
      </c>
      <c r="K395">
        <v>2</v>
      </c>
      <c r="L395">
        <v>2.02</v>
      </c>
    </row>
    <row r="396" spans="1:12" x14ac:dyDescent="0.3">
      <c r="A396" t="s">
        <v>167</v>
      </c>
      <c r="B396">
        <v>14</v>
      </c>
      <c r="C396">
        <v>1</v>
      </c>
      <c r="D396">
        <v>16</v>
      </c>
      <c r="E396" t="s">
        <v>95</v>
      </c>
      <c r="F396">
        <v>110</v>
      </c>
      <c r="G396" t="s">
        <v>139</v>
      </c>
      <c r="H396">
        <v>1</v>
      </c>
      <c r="I396">
        <v>5</v>
      </c>
      <c r="J396">
        <v>5</v>
      </c>
    </row>
    <row r="397" spans="1:12" x14ac:dyDescent="0.3">
      <c r="A397" t="s">
        <v>167</v>
      </c>
      <c r="B397">
        <v>14</v>
      </c>
      <c r="C397">
        <v>1</v>
      </c>
      <c r="D397">
        <v>16</v>
      </c>
      <c r="E397" t="s">
        <v>95</v>
      </c>
      <c r="F397">
        <v>110</v>
      </c>
      <c r="G397" t="s">
        <v>139</v>
      </c>
      <c r="H397">
        <v>1</v>
      </c>
      <c r="I397">
        <v>10</v>
      </c>
      <c r="J397">
        <v>10</v>
      </c>
    </row>
    <row r="398" spans="1:12" x14ac:dyDescent="0.3">
      <c r="A398" t="s">
        <v>167</v>
      </c>
      <c r="B398">
        <v>14</v>
      </c>
      <c r="C398">
        <v>1</v>
      </c>
      <c r="D398">
        <v>16</v>
      </c>
      <c r="E398" t="s">
        <v>95</v>
      </c>
      <c r="F398">
        <v>110</v>
      </c>
      <c r="G398" t="s">
        <v>139</v>
      </c>
      <c r="H398">
        <v>3</v>
      </c>
      <c r="I398">
        <v>3</v>
      </c>
      <c r="J398">
        <v>9</v>
      </c>
      <c r="K398">
        <v>3.26</v>
      </c>
      <c r="L398">
        <v>3.3</v>
      </c>
    </row>
    <row r="399" spans="1:12" x14ac:dyDescent="0.3">
      <c r="A399" t="s">
        <v>167</v>
      </c>
      <c r="B399">
        <v>14</v>
      </c>
      <c r="C399">
        <v>1</v>
      </c>
      <c r="D399">
        <v>16</v>
      </c>
      <c r="E399" t="s">
        <v>95</v>
      </c>
      <c r="F399">
        <v>110</v>
      </c>
      <c r="G399" t="s">
        <v>139</v>
      </c>
      <c r="H399">
        <v>3</v>
      </c>
      <c r="I399">
        <v>5</v>
      </c>
      <c r="J399">
        <v>15</v>
      </c>
      <c r="K399">
        <v>2.97</v>
      </c>
      <c r="L399">
        <v>3</v>
      </c>
    </row>
    <row r="400" spans="1:12" x14ac:dyDescent="0.3">
      <c r="A400" t="s">
        <v>167</v>
      </c>
      <c r="B400">
        <v>14</v>
      </c>
      <c r="C400">
        <v>1</v>
      </c>
      <c r="D400">
        <v>16</v>
      </c>
      <c r="E400" t="s">
        <v>95</v>
      </c>
      <c r="F400">
        <v>110</v>
      </c>
      <c r="G400" t="s">
        <v>139</v>
      </c>
      <c r="H400">
        <v>32</v>
      </c>
      <c r="I400">
        <v>0.6</v>
      </c>
      <c r="J400">
        <v>19.2</v>
      </c>
    </row>
    <row r="401" spans="1:12" x14ac:dyDescent="0.3">
      <c r="A401" t="s">
        <v>167</v>
      </c>
      <c r="B401">
        <v>14</v>
      </c>
      <c r="C401">
        <v>1</v>
      </c>
      <c r="D401">
        <v>16</v>
      </c>
      <c r="E401" t="s">
        <v>95</v>
      </c>
      <c r="F401">
        <v>110</v>
      </c>
      <c r="G401" t="s">
        <v>139</v>
      </c>
      <c r="H401">
        <v>64</v>
      </c>
      <c r="I401">
        <v>0.6</v>
      </c>
      <c r="J401">
        <v>38.4</v>
      </c>
      <c r="K401">
        <v>3.1</v>
      </c>
      <c r="L401">
        <v>3.14</v>
      </c>
    </row>
    <row r="402" spans="1:12" x14ac:dyDescent="0.3">
      <c r="A402" t="s">
        <v>167</v>
      </c>
      <c r="B402">
        <v>14</v>
      </c>
      <c r="C402">
        <v>1</v>
      </c>
      <c r="D402">
        <v>16</v>
      </c>
      <c r="E402" t="s">
        <v>95</v>
      </c>
      <c r="F402">
        <v>120</v>
      </c>
      <c r="G402" t="s">
        <v>139</v>
      </c>
      <c r="H402">
        <v>1</v>
      </c>
      <c r="I402">
        <v>5</v>
      </c>
      <c r="J402">
        <v>5</v>
      </c>
    </row>
    <row r="403" spans="1:12" x14ac:dyDescent="0.3">
      <c r="A403" t="s">
        <v>167</v>
      </c>
      <c r="B403">
        <v>14</v>
      </c>
      <c r="C403">
        <v>1</v>
      </c>
      <c r="D403">
        <v>16</v>
      </c>
      <c r="E403" t="s">
        <v>95</v>
      </c>
      <c r="F403">
        <v>120</v>
      </c>
      <c r="G403" t="s">
        <v>139</v>
      </c>
      <c r="H403">
        <v>1</v>
      </c>
      <c r="I403">
        <v>10</v>
      </c>
      <c r="J403">
        <v>10</v>
      </c>
    </row>
    <row r="404" spans="1:12" x14ac:dyDescent="0.3">
      <c r="A404" t="s">
        <v>167</v>
      </c>
      <c r="B404">
        <v>14</v>
      </c>
      <c r="C404">
        <v>1</v>
      </c>
      <c r="D404">
        <v>16</v>
      </c>
      <c r="E404" t="s">
        <v>95</v>
      </c>
      <c r="F404">
        <v>120</v>
      </c>
      <c r="G404" t="s">
        <v>139</v>
      </c>
      <c r="H404">
        <v>3</v>
      </c>
      <c r="I404">
        <v>3</v>
      </c>
      <c r="J404">
        <v>9</v>
      </c>
      <c r="K404">
        <v>4.72</v>
      </c>
      <c r="L404">
        <v>4.7699999999999996</v>
      </c>
    </row>
    <row r="405" spans="1:12" x14ac:dyDescent="0.3">
      <c r="A405" t="s">
        <v>167</v>
      </c>
      <c r="B405">
        <v>14</v>
      </c>
      <c r="C405">
        <v>1</v>
      </c>
      <c r="D405">
        <v>16</v>
      </c>
      <c r="E405" t="s">
        <v>95</v>
      </c>
      <c r="F405">
        <v>120</v>
      </c>
      <c r="G405" t="s">
        <v>139</v>
      </c>
      <c r="H405">
        <v>3</v>
      </c>
      <c r="I405">
        <v>5</v>
      </c>
      <c r="J405">
        <v>15</v>
      </c>
      <c r="K405">
        <v>4.29</v>
      </c>
      <c r="L405">
        <v>4.33</v>
      </c>
    </row>
    <row r="406" spans="1:12" x14ac:dyDescent="0.3">
      <c r="A406" t="s">
        <v>167</v>
      </c>
      <c r="B406">
        <v>14</v>
      </c>
      <c r="C406">
        <v>1</v>
      </c>
      <c r="D406">
        <v>16</v>
      </c>
      <c r="E406" t="s">
        <v>95</v>
      </c>
      <c r="F406">
        <v>120</v>
      </c>
      <c r="G406" t="s">
        <v>139</v>
      </c>
      <c r="H406">
        <v>32</v>
      </c>
      <c r="I406">
        <v>0.6</v>
      </c>
      <c r="J406">
        <v>19.2</v>
      </c>
    </row>
    <row r="407" spans="1:12" x14ac:dyDescent="0.3">
      <c r="A407" t="s">
        <v>167</v>
      </c>
      <c r="B407">
        <v>14</v>
      </c>
      <c r="C407">
        <v>1</v>
      </c>
      <c r="D407">
        <v>16</v>
      </c>
      <c r="E407" t="s">
        <v>95</v>
      </c>
      <c r="F407">
        <v>120</v>
      </c>
      <c r="G407" t="s">
        <v>139</v>
      </c>
      <c r="H407">
        <v>64</v>
      </c>
      <c r="I407">
        <v>0.6</v>
      </c>
      <c r="J407">
        <v>38.4</v>
      </c>
      <c r="K407">
        <v>4.47</v>
      </c>
      <c r="L407">
        <v>4.53</v>
      </c>
    </row>
    <row r="408" spans="1:12" x14ac:dyDescent="0.3">
      <c r="A408" t="s">
        <v>167</v>
      </c>
      <c r="B408">
        <v>14</v>
      </c>
      <c r="C408">
        <v>1</v>
      </c>
      <c r="D408">
        <v>16</v>
      </c>
      <c r="E408" t="s">
        <v>95</v>
      </c>
      <c r="F408">
        <v>130</v>
      </c>
      <c r="G408" t="s">
        <v>139</v>
      </c>
      <c r="H408">
        <v>1</v>
      </c>
      <c r="I408">
        <v>5</v>
      </c>
      <c r="J408">
        <v>5</v>
      </c>
    </row>
    <row r="409" spans="1:12" x14ac:dyDescent="0.3">
      <c r="A409" t="s">
        <v>167</v>
      </c>
      <c r="B409">
        <v>14</v>
      </c>
      <c r="C409">
        <v>1</v>
      </c>
      <c r="D409">
        <v>16</v>
      </c>
      <c r="E409" t="s">
        <v>95</v>
      </c>
      <c r="F409">
        <v>130</v>
      </c>
      <c r="G409" t="s">
        <v>139</v>
      </c>
      <c r="H409">
        <v>1</v>
      </c>
      <c r="I409">
        <v>10</v>
      </c>
      <c r="J409">
        <v>10</v>
      </c>
    </row>
    <row r="410" spans="1:12" x14ac:dyDescent="0.3">
      <c r="A410" t="s">
        <v>167</v>
      </c>
      <c r="B410">
        <v>14</v>
      </c>
      <c r="C410">
        <v>1</v>
      </c>
      <c r="D410">
        <v>16</v>
      </c>
      <c r="E410" t="s">
        <v>95</v>
      </c>
      <c r="F410">
        <v>130</v>
      </c>
      <c r="G410" t="s">
        <v>139</v>
      </c>
      <c r="H410">
        <v>3</v>
      </c>
      <c r="I410">
        <v>3</v>
      </c>
      <c r="J410">
        <v>9</v>
      </c>
      <c r="K410">
        <v>6.47</v>
      </c>
      <c r="L410">
        <v>6.55</v>
      </c>
    </row>
    <row r="411" spans="1:12" x14ac:dyDescent="0.3">
      <c r="A411" t="s">
        <v>167</v>
      </c>
      <c r="B411">
        <v>14</v>
      </c>
      <c r="C411">
        <v>1</v>
      </c>
      <c r="D411">
        <v>16</v>
      </c>
      <c r="E411" t="s">
        <v>95</v>
      </c>
      <c r="F411">
        <v>130</v>
      </c>
      <c r="G411" t="s">
        <v>139</v>
      </c>
      <c r="H411">
        <v>3</v>
      </c>
      <c r="I411">
        <v>5</v>
      </c>
      <c r="J411">
        <v>15</v>
      </c>
      <c r="K411">
        <v>5.87</v>
      </c>
      <c r="L411">
        <v>5.95</v>
      </c>
    </row>
    <row r="412" spans="1:12" x14ac:dyDescent="0.3">
      <c r="A412" t="s">
        <v>167</v>
      </c>
      <c r="B412">
        <v>14</v>
      </c>
      <c r="C412">
        <v>1</v>
      </c>
      <c r="D412">
        <v>16</v>
      </c>
      <c r="E412" t="s">
        <v>95</v>
      </c>
      <c r="F412">
        <v>130</v>
      </c>
      <c r="G412" t="s">
        <v>139</v>
      </c>
      <c r="H412">
        <v>32</v>
      </c>
      <c r="I412">
        <v>0.6</v>
      </c>
      <c r="J412">
        <v>19.2</v>
      </c>
    </row>
    <row r="413" spans="1:12" x14ac:dyDescent="0.3">
      <c r="A413" t="s">
        <v>167</v>
      </c>
      <c r="B413">
        <v>14</v>
      </c>
      <c r="C413">
        <v>1</v>
      </c>
      <c r="D413">
        <v>16</v>
      </c>
      <c r="E413" t="s">
        <v>95</v>
      </c>
      <c r="F413">
        <v>130</v>
      </c>
      <c r="G413" t="s">
        <v>139</v>
      </c>
      <c r="H413">
        <v>64</v>
      </c>
      <c r="I413">
        <v>0.6</v>
      </c>
      <c r="J413">
        <v>38.4</v>
      </c>
      <c r="K413">
        <v>6.11</v>
      </c>
      <c r="L413">
        <v>6.21</v>
      </c>
    </row>
    <row r="414" spans="1:12" x14ac:dyDescent="0.3">
      <c r="A414" t="s">
        <v>167</v>
      </c>
      <c r="B414">
        <v>14</v>
      </c>
      <c r="C414">
        <v>1</v>
      </c>
      <c r="D414">
        <v>16</v>
      </c>
      <c r="E414" t="s">
        <v>95</v>
      </c>
      <c r="F414">
        <v>140</v>
      </c>
      <c r="G414" t="s">
        <v>139</v>
      </c>
      <c r="H414">
        <v>1</v>
      </c>
      <c r="I414">
        <v>5</v>
      </c>
      <c r="J414">
        <v>5</v>
      </c>
    </row>
    <row r="415" spans="1:12" x14ac:dyDescent="0.3">
      <c r="A415" t="s">
        <v>167</v>
      </c>
      <c r="B415">
        <v>14</v>
      </c>
      <c r="C415">
        <v>1</v>
      </c>
      <c r="D415">
        <v>16</v>
      </c>
      <c r="E415" t="s">
        <v>95</v>
      </c>
      <c r="F415">
        <v>140</v>
      </c>
      <c r="G415" t="s">
        <v>139</v>
      </c>
      <c r="H415">
        <v>1</v>
      </c>
      <c r="I415">
        <v>10</v>
      </c>
      <c r="J415">
        <v>10</v>
      </c>
    </row>
    <row r="416" spans="1:12" x14ac:dyDescent="0.3">
      <c r="A416" t="s">
        <v>167</v>
      </c>
      <c r="B416">
        <v>14</v>
      </c>
      <c r="C416">
        <v>1</v>
      </c>
      <c r="D416">
        <v>16</v>
      </c>
      <c r="E416" t="s">
        <v>95</v>
      </c>
      <c r="F416">
        <v>140</v>
      </c>
      <c r="G416" t="s">
        <v>139</v>
      </c>
      <c r="H416">
        <v>3</v>
      </c>
      <c r="I416">
        <v>3</v>
      </c>
      <c r="J416">
        <v>9</v>
      </c>
      <c r="K416">
        <v>8.5</v>
      </c>
      <c r="L416">
        <v>8.6300000000000008</v>
      </c>
    </row>
    <row r="417" spans="1:12" x14ac:dyDescent="0.3">
      <c r="A417" t="s">
        <v>167</v>
      </c>
      <c r="B417">
        <v>14</v>
      </c>
      <c r="C417">
        <v>1</v>
      </c>
      <c r="D417">
        <v>16</v>
      </c>
      <c r="E417" t="s">
        <v>95</v>
      </c>
      <c r="F417">
        <v>140</v>
      </c>
      <c r="G417" t="s">
        <v>139</v>
      </c>
      <c r="H417">
        <v>3</v>
      </c>
      <c r="I417">
        <v>5</v>
      </c>
      <c r="J417">
        <v>15</v>
      </c>
      <c r="K417">
        <v>7.73</v>
      </c>
      <c r="L417">
        <v>7.83</v>
      </c>
    </row>
    <row r="418" spans="1:12" x14ac:dyDescent="0.3">
      <c r="A418" t="s">
        <v>167</v>
      </c>
      <c r="B418">
        <v>14</v>
      </c>
      <c r="C418">
        <v>1</v>
      </c>
      <c r="D418">
        <v>16</v>
      </c>
      <c r="E418" t="s">
        <v>95</v>
      </c>
      <c r="F418">
        <v>140</v>
      </c>
      <c r="G418" t="s">
        <v>139</v>
      </c>
      <c r="H418">
        <v>32</v>
      </c>
      <c r="I418">
        <v>0.6</v>
      </c>
      <c r="J418">
        <v>19.2</v>
      </c>
    </row>
    <row r="419" spans="1:12" x14ac:dyDescent="0.3">
      <c r="A419" t="s">
        <v>167</v>
      </c>
      <c r="B419">
        <v>14</v>
      </c>
      <c r="C419">
        <v>1</v>
      </c>
      <c r="D419">
        <v>16</v>
      </c>
      <c r="E419" t="s">
        <v>95</v>
      </c>
      <c r="F419">
        <v>140</v>
      </c>
      <c r="G419" t="s">
        <v>139</v>
      </c>
      <c r="H419">
        <v>64</v>
      </c>
      <c r="I419">
        <v>0.6</v>
      </c>
      <c r="J419">
        <v>38.4</v>
      </c>
      <c r="K419">
        <v>8.0399999999999991</v>
      </c>
      <c r="L419">
        <v>8.19</v>
      </c>
    </row>
    <row r="420" spans="1:12" x14ac:dyDescent="0.3">
      <c r="A420" t="s">
        <v>167</v>
      </c>
      <c r="B420">
        <v>14</v>
      </c>
      <c r="C420">
        <v>1</v>
      </c>
      <c r="D420">
        <v>16</v>
      </c>
      <c r="E420" t="s">
        <v>96</v>
      </c>
      <c r="F420">
        <v>70</v>
      </c>
      <c r="H420">
        <v>1</v>
      </c>
      <c r="I420">
        <v>5</v>
      </c>
      <c r="J420">
        <v>5</v>
      </c>
      <c r="K420">
        <v>3.64</v>
      </c>
      <c r="L420">
        <v>3.68</v>
      </c>
    </row>
    <row r="421" spans="1:12" x14ac:dyDescent="0.3">
      <c r="A421" t="s">
        <v>167</v>
      </c>
      <c r="B421">
        <v>14</v>
      </c>
      <c r="C421">
        <v>1</v>
      </c>
      <c r="D421">
        <v>16</v>
      </c>
      <c r="E421" t="s">
        <v>96</v>
      </c>
      <c r="F421">
        <v>70</v>
      </c>
      <c r="H421">
        <v>1</v>
      </c>
      <c r="I421">
        <v>10</v>
      </c>
      <c r="J421">
        <v>10</v>
      </c>
      <c r="K421">
        <v>3.61</v>
      </c>
      <c r="L421">
        <v>3.63</v>
      </c>
    </row>
    <row r="422" spans="1:12" x14ac:dyDescent="0.3">
      <c r="A422" t="s">
        <v>167</v>
      </c>
      <c r="B422">
        <v>14</v>
      </c>
      <c r="C422">
        <v>1</v>
      </c>
      <c r="D422">
        <v>16</v>
      </c>
      <c r="E422" t="s">
        <v>96</v>
      </c>
      <c r="F422">
        <v>70</v>
      </c>
      <c r="H422">
        <v>3</v>
      </c>
      <c r="I422">
        <v>3</v>
      </c>
      <c r="J422">
        <v>9</v>
      </c>
      <c r="K422">
        <v>4.01</v>
      </c>
      <c r="L422">
        <v>4.03</v>
      </c>
    </row>
    <row r="423" spans="1:12" x14ac:dyDescent="0.3">
      <c r="A423" t="s">
        <v>167</v>
      </c>
      <c r="B423">
        <v>14</v>
      </c>
      <c r="C423">
        <v>1</v>
      </c>
      <c r="D423">
        <v>16</v>
      </c>
      <c r="E423" t="s">
        <v>96</v>
      </c>
      <c r="F423">
        <v>70</v>
      </c>
      <c r="H423">
        <v>3</v>
      </c>
      <c r="I423">
        <v>5</v>
      </c>
      <c r="J423">
        <v>15</v>
      </c>
      <c r="K423">
        <v>3.63</v>
      </c>
      <c r="L423">
        <v>3.65</v>
      </c>
    </row>
    <row r="424" spans="1:12" x14ac:dyDescent="0.3">
      <c r="A424" t="s">
        <v>167</v>
      </c>
      <c r="B424">
        <v>14</v>
      </c>
      <c r="C424">
        <v>1</v>
      </c>
      <c r="D424">
        <v>16</v>
      </c>
      <c r="E424" t="s">
        <v>96</v>
      </c>
      <c r="F424">
        <v>70</v>
      </c>
      <c r="H424">
        <v>32</v>
      </c>
      <c r="I424">
        <v>0.6</v>
      </c>
      <c r="J424">
        <v>19.2</v>
      </c>
      <c r="K424">
        <v>4.24</v>
      </c>
      <c r="L424">
        <v>4.2699999999999996</v>
      </c>
    </row>
    <row r="425" spans="1:12" x14ac:dyDescent="0.3">
      <c r="A425" t="s">
        <v>167</v>
      </c>
      <c r="B425">
        <v>14</v>
      </c>
      <c r="C425">
        <v>1</v>
      </c>
      <c r="D425">
        <v>16</v>
      </c>
      <c r="E425" t="s">
        <v>96</v>
      </c>
      <c r="F425">
        <v>70</v>
      </c>
      <c r="H425">
        <v>64</v>
      </c>
      <c r="I425">
        <v>0.6</v>
      </c>
      <c r="J425">
        <v>38.4</v>
      </c>
      <c r="K425">
        <v>3.74</v>
      </c>
      <c r="L425">
        <v>3.77</v>
      </c>
    </row>
    <row r="426" spans="1:12" x14ac:dyDescent="0.3">
      <c r="A426" t="s">
        <v>167</v>
      </c>
      <c r="B426">
        <v>14</v>
      </c>
      <c r="C426">
        <v>1</v>
      </c>
      <c r="D426">
        <v>16</v>
      </c>
      <c r="E426" t="s">
        <v>96</v>
      </c>
      <c r="F426">
        <v>80</v>
      </c>
      <c r="H426">
        <v>1</v>
      </c>
      <c r="I426">
        <v>5</v>
      </c>
      <c r="J426">
        <v>5</v>
      </c>
      <c r="K426">
        <v>5.83</v>
      </c>
      <c r="L426">
        <v>5.8</v>
      </c>
    </row>
    <row r="427" spans="1:12" x14ac:dyDescent="0.3">
      <c r="A427" t="s">
        <v>167</v>
      </c>
      <c r="B427">
        <v>14</v>
      </c>
      <c r="C427">
        <v>1</v>
      </c>
      <c r="D427">
        <v>16</v>
      </c>
      <c r="E427" t="s">
        <v>96</v>
      </c>
      <c r="F427">
        <v>80</v>
      </c>
      <c r="H427">
        <v>1</v>
      </c>
      <c r="I427">
        <v>10</v>
      </c>
      <c r="J427">
        <v>10</v>
      </c>
      <c r="K427">
        <v>5.76</v>
      </c>
      <c r="L427">
        <v>5.72</v>
      </c>
    </row>
    <row r="428" spans="1:12" x14ac:dyDescent="0.3">
      <c r="A428" t="s">
        <v>167</v>
      </c>
      <c r="B428">
        <v>14</v>
      </c>
      <c r="C428">
        <v>1</v>
      </c>
      <c r="D428">
        <v>16</v>
      </c>
      <c r="E428" t="s">
        <v>96</v>
      </c>
      <c r="F428">
        <v>80</v>
      </c>
      <c r="H428">
        <v>3</v>
      </c>
      <c r="I428">
        <v>3</v>
      </c>
      <c r="J428">
        <v>9</v>
      </c>
      <c r="K428">
        <v>6.39</v>
      </c>
      <c r="L428">
        <v>6.36</v>
      </c>
    </row>
    <row r="429" spans="1:12" x14ac:dyDescent="0.3">
      <c r="A429" t="s">
        <v>167</v>
      </c>
      <c r="B429">
        <v>14</v>
      </c>
      <c r="C429">
        <v>1</v>
      </c>
      <c r="D429">
        <v>16</v>
      </c>
      <c r="E429" t="s">
        <v>96</v>
      </c>
      <c r="F429">
        <v>80</v>
      </c>
      <c r="H429">
        <v>3</v>
      </c>
      <c r="I429">
        <v>5</v>
      </c>
      <c r="J429">
        <v>15</v>
      </c>
      <c r="K429">
        <v>5.8</v>
      </c>
      <c r="L429">
        <v>5.76</v>
      </c>
    </row>
    <row r="430" spans="1:12" x14ac:dyDescent="0.3">
      <c r="A430" t="s">
        <v>167</v>
      </c>
      <c r="B430">
        <v>14</v>
      </c>
      <c r="C430">
        <v>1</v>
      </c>
      <c r="D430">
        <v>16</v>
      </c>
      <c r="E430" t="s">
        <v>96</v>
      </c>
      <c r="F430">
        <v>80</v>
      </c>
      <c r="H430">
        <v>32</v>
      </c>
      <c r="I430">
        <v>0.6</v>
      </c>
      <c r="J430">
        <v>19.2</v>
      </c>
      <c r="K430">
        <v>6.79</v>
      </c>
      <c r="L430">
        <v>6.74</v>
      </c>
    </row>
    <row r="431" spans="1:12" x14ac:dyDescent="0.3">
      <c r="A431" t="s">
        <v>167</v>
      </c>
      <c r="B431">
        <v>14</v>
      </c>
      <c r="C431">
        <v>1</v>
      </c>
      <c r="D431">
        <v>16</v>
      </c>
      <c r="E431" t="s">
        <v>96</v>
      </c>
      <c r="F431">
        <v>80</v>
      </c>
      <c r="H431">
        <v>64</v>
      </c>
      <c r="I431">
        <v>0.6</v>
      </c>
      <c r="J431">
        <v>38.4</v>
      </c>
      <c r="K431">
        <v>5.98</v>
      </c>
      <c r="L431">
        <v>5.95</v>
      </c>
    </row>
    <row r="432" spans="1:12" x14ac:dyDescent="0.3">
      <c r="A432" t="s">
        <v>167</v>
      </c>
      <c r="B432">
        <v>14</v>
      </c>
      <c r="C432">
        <v>1</v>
      </c>
      <c r="D432">
        <v>16</v>
      </c>
      <c r="E432" t="s">
        <v>96</v>
      </c>
      <c r="F432">
        <v>90</v>
      </c>
      <c r="H432">
        <v>1</v>
      </c>
      <c r="I432">
        <v>5</v>
      </c>
      <c r="J432">
        <v>5</v>
      </c>
      <c r="K432">
        <v>8.5</v>
      </c>
      <c r="L432">
        <v>8.39</v>
      </c>
    </row>
    <row r="433" spans="1:12" x14ac:dyDescent="0.3">
      <c r="A433" t="s">
        <v>167</v>
      </c>
      <c r="B433">
        <v>14</v>
      </c>
      <c r="C433">
        <v>1</v>
      </c>
      <c r="D433">
        <v>16</v>
      </c>
      <c r="E433" t="s">
        <v>96</v>
      </c>
      <c r="F433">
        <v>90</v>
      </c>
      <c r="H433">
        <v>1</v>
      </c>
      <c r="I433">
        <v>10</v>
      </c>
      <c r="J433">
        <v>10</v>
      </c>
      <c r="K433">
        <v>8.35</v>
      </c>
      <c r="L433">
        <v>8.25</v>
      </c>
    </row>
    <row r="434" spans="1:12" x14ac:dyDescent="0.3">
      <c r="A434" t="s">
        <v>167</v>
      </c>
      <c r="B434">
        <v>14</v>
      </c>
      <c r="C434">
        <v>1</v>
      </c>
      <c r="D434">
        <v>16</v>
      </c>
      <c r="E434" t="s">
        <v>96</v>
      </c>
      <c r="F434">
        <v>90</v>
      </c>
      <c r="H434">
        <v>3</v>
      </c>
      <c r="I434">
        <v>3</v>
      </c>
      <c r="J434">
        <v>9</v>
      </c>
      <c r="K434">
        <v>9.2799999999999994</v>
      </c>
      <c r="L434">
        <v>9.17</v>
      </c>
    </row>
    <row r="435" spans="1:12" x14ac:dyDescent="0.3">
      <c r="A435" t="s">
        <v>167</v>
      </c>
      <c r="B435">
        <v>14</v>
      </c>
      <c r="C435">
        <v>1</v>
      </c>
      <c r="D435">
        <v>16</v>
      </c>
      <c r="E435" t="s">
        <v>96</v>
      </c>
      <c r="F435">
        <v>90</v>
      </c>
      <c r="H435">
        <v>3</v>
      </c>
      <c r="I435">
        <v>5</v>
      </c>
      <c r="J435">
        <v>15</v>
      </c>
      <c r="K435">
        <v>8.41</v>
      </c>
      <c r="L435">
        <v>8.3000000000000007</v>
      </c>
    </row>
    <row r="436" spans="1:12" x14ac:dyDescent="0.3">
      <c r="A436" t="s">
        <v>167</v>
      </c>
      <c r="B436">
        <v>14</v>
      </c>
      <c r="C436">
        <v>1</v>
      </c>
      <c r="D436">
        <v>16</v>
      </c>
      <c r="E436" t="s">
        <v>96</v>
      </c>
      <c r="F436">
        <v>90</v>
      </c>
      <c r="H436">
        <v>32</v>
      </c>
      <c r="I436">
        <v>0.6</v>
      </c>
      <c r="J436">
        <v>19.2</v>
      </c>
      <c r="K436">
        <v>9.84</v>
      </c>
      <c r="L436">
        <v>9.7200000000000006</v>
      </c>
    </row>
    <row r="437" spans="1:12" x14ac:dyDescent="0.3">
      <c r="A437" t="s">
        <v>167</v>
      </c>
      <c r="B437">
        <v>14</v>
      </c>
      <c r="C437">
        <v>1</v>
      </c>
      <c r="D437">
        <v>16</v>
      </c>
      <c r="E437" t="s">
        <v>96</v>
      </c>
      <c r="F437">
        <v>90</v>
      </c>
      <c r="H437">
        <v>64</v>
      </c>
      <c r="I437">
        <v>0.6</v>
      </c>
      <c r="J437">
        <v>38.4</v>
      </c>
      <c r="K437">
        <v>8.66</v>
      </c>
      <c r="L437">
        <v>8.58</v>
      </c>
    </row>
    <row r="438" spans="1:12" x14ac:dyDescent="0.3">
      <c r="A438" t="s">
        <v>167</v>
      </c>
      <c r="B438">
        <v>14</v>
      </c>
      <c r="C438">
        <v>1</v>
      </c>
      <c r="D438">
        <v>16</v>
      </c>
      <c r="E438" t="s">
        <v>96</v>
      </c>
      <c r="F438">
        <v>100</v>
      </c>
      <c r="H438">
        <v>1</v>
      </c>
      <c r="I438">
        <v>5</v>
      </c>
      <c r="J438">
        <v>5</v>
      </c>
      <c r="K438">
        <v>11.51</v>
      </c>
      <c r="L438">
        <v>11.33</v>
      </c>
    </row>
    <row r="439" spans="1:12" x14ac:dyDescent="0.3">
      <c r="A439" t="s">
        <v>167</v>
      </c>
      <c r="B439">
        <v>14</v>
      </c>
      <c r="C439">
        <v>1</v>
      </c>
      <c r="D439">
        <v>16</v>
      </c>
      <c r="E439" t="s">
        <v>96</v>
      </c>
      <c r="F439">
        <v>100</v>
      </c>
      <c r="H439">
        <v>1</v>
      </c>
      <c r="I439">
        <v>10</v>
      </c>
      <c r="J439">
        <v>10</v>
      </c>
      <c r="K439">
        <v>11.35</v>
      </c>
      <c r="L439">
        <v>11.16</v>
      </c>
    </row>
    <row r="440" spans="1:12" x14ac:dyDescent="0.3">
      <c r="A440" t="s">
        <v>167</v>
      </c>
      <c r="B440">
        <v>14</v>
      </c>
      <c r="C440">
        <v>1</v>
      </c>
      <c r="D440">
        <v>16</v>
      </c>
      <c r="E440" t="s">
        <v>96</v>
      </c>
      <c r="F440">
        <v>100</v>
      </c>
      <c r="H440">
        <v>3</v>
      </c>
      <c r="I440">
        <v>3</v>
      </c>
      <c r="J440">
        <v>9</v>
      </c>
      <c r="K440">
        <v>12.61</v>
      </c>
      <c r="L440">
        <v>12.4</v>
      </c>
    </row>
    <row r="441" spans="1:12" x14ac:dyDescent="0.3">
      <c r="A441" t="s">
        <v>167</v>
      </c>
      <c r="B441">
        <v>14</v>
      </c>
      <c r="C441">
        <v>1</v>
      </c>
      <c r="D441">
        <v>16</v>
      </c>
      <c r="E441" t="s">
        <v>96</v>
      </c>
      <c r="F441">
        <v>100</v>
      </c>
      <c r="H441">
        <v>3</v>
      </c>
      <c r="I441">
        <v>5</v>
      </c>
      <c r="J441">
        <v>15</v>
      </c>
      <c r="K441">
        <v>11.4</v>
      </c>
      <c r="L441">
        <v>11.2</v>
      </c>
    </row>
    <row r="442" spans="1:12" x14ac:dyDescent="0.3">
      <c r="A442" t="s">
        <v>167</v>
      </c>
      <c r="B442">
        <v>14</v>
      </c>
      <c r="C442">
        <v>1</v>
      </c>
      <c r="D442">
        <v>16</v>
      </c>
      <c r="E442" t="s">
        <v>96</v>
      </c>
      <c r="F442">
        <v>100</v>
      </c>
      <c r="H442">
        <v>32</v>
      </c>
      <c r="I442">
        <v>0.6</v>
      </c>
      <c r="J442">
        <v>19.2</v>
      </c>
      <c r="K442">
        <v>13.35</v>
      </c>
      <c r="L442">
        <v>13.12</v>
      </c>
    </row>
    <row r="443" spans="1:12" x14ac:dyDescent="0.3">
      <c r="A443" t="s">
        <v>167</v>
      </c>
      <c r="B443">
        <v>14</v>
      </c>
      <c r="C443">
        <v>1</v>
      </c>
      <c r="D443">
        <v>16</v>
      </c>
      <c r="E443" t="s">
        <v>96</v>
      </c>
      <c r="F443">
        <v>100</v>
      </c>
      <c r="H443">
        <v>64</v>
      </c>
      <c r="I443">
        <v>0.6</v>
      </c>
      <c r="J443">
        <v>38.4</v>
      </c>
      <c r="K443">
        <v>11.73</v>
      </c>
      <c r="L443">
        <v>11.57</v>
      </c>
    </row>
    <row r="444" spans="1:12" x14ac:dyDescent="0.3">
      <c r="A444" t="s">
        <v>167</v>
      </c>
      <c r="B444">
        <v>14</v>
      </c>
      <c r="C444">
        <v>1</v>
      </c>
      <c r="D444">
        <v>16</v>
      </c>
      <c r="E444" t="s">
        <v>96</v>
      </c>
      <c r="F444">
        <v>110</v>
      </c>
      <c r="H444">
        <v>1</v>
      </c>
      <c r="I444">
        <v>5</v>
      </c>
      <c r="J444">
        <v>5</v>
      </c>
      <c r="K444">
        <v>16.899999999999999</v>
      </c>
      <c r="L444">
        <v>16.62</v>
      </c>
    </row>
    <row r="445" spans="1:12" x14ac:dyDescent="0.3">
      <c r="A445" t="s">
        <v>167</v>
      </c>
      <c r="B445">
        <v>14</v>
      </c>
      <c r="C445">
        <v>1</v>
      </c>
      <c r="D445">
        <v>16</v>
      </c>
      <c r="E445" t="s">
        <v>96</v>
      </c>
      <c r="F445">
        <v>110</v>
      </c>
      <c r="H445">
        <v>1</v>
      </c>
      <c r="I445">
        <v>10</v>
      </c>
      <c r="J445">
        <v>10</v>
      </c>
      <c r="K445">
        <v>16.649999999999999</v>
      </c>
      <c r="L445">
        <v>14.38</v>
      </c>
    </row>
    <row r="446" spans="1:12" x14ac:dyDescent="0.3">
      <c r="A446" t="s">
        <v>167</v>
      </c>
      <c r="B446">
        <v>14</v>
      </c>
      <c r="C446">
        <v>1</v>
      </c>
      <c r="D446">
        <v>16</v>
      </c>
      <c r="E446" t="s">
        <v>96</v>
      </c>
      <c r="F446">
        <v>110</v>
      </c>
      <c r="H446">
        <v>3</v>
      </c>
      <c r="I446">
        <v>3</v>
      </c>
      <c r="J446">
        <v>9</v>
      </c>
      <c r="K446">
        <v>16.28</v>
      </c>
      <c r="L446">
        <v>15.98</v>
      </c>
    </row>
    <row r="447" spans="1:12" x14ac:dyDescent="0.3">
      <c r="A447" t="s">
        <v>167</v>
      </c>
      <c r="B447">
        <v>14</v>
      </c>
      <c r="C447">
        <v>1</v>
      </c>
      <c r="D447">
        <v>16</v>
      </c>
      <c r="E447" t="s">
        <v>96</v>
      </c>
      <c r="F447">
        <v>110</v>
      </c>
      <c r="H447">
        <v>3</v>
      </c>
      <c r="I447">
        <v>5</v>
      </c>
      <c r="J447">
        <v>15</v>
      </c>
      <c r="K447">
        <v>14.72</v>
      </c>
      <c r="L447">
        <v>14.44</v>
      </c>
    </row>
    <row r="448" spans="1:12" x14ac:dyDescent="0.3">
      <c r="A448" t="s">
        <v>167</v>
      </c>
      <c r="B448">
        <v>14</v>
      </c>
      <c r="C448">
        <v>1</v>
      </c>
      <c r="D448">
        <v>16</v>
      </c>
      <c r="E448" t="s">
        <v>96</v>
      </c>
      <c r="F448">
        <v>110</v>
      </c>
      <c r="H448">
        <v>32</v>
      </c>
      <c r="I448">
        <v>0.6</v>
      </c>
      <c r="J448">
        <v>19.2</v>
      </c>
      <c r="K448">
        <v>17.190000000000001</v>
      </c>
      <c r="L448">
        <v>16.88</v>
      </c>
    </row>
    <row r="449" spans="1:12" x14ac:dyDescent="0.3">
      <c r="A449" t="s">
        <v>167</v>
      </c>
      <c r="B449">
        <v>14</v>
      </c>
      <c r="C449">
        <v>1</v>
      </c>
      <c r="D449">
        <v>16</v>
      </c>
      <c r="E449" t="s">
        <v>96</v>
      </c>
      <c r="F449">
        <v>110</v>
      </c>
      <c r="H449">
        <v>64</v>
      </c>
      <c r="I449">
        <v>0.6</v>
      </c>
      <c r="J449">
        <v>38.4</v>
      </c>
      <c r="K449">
        <v>15.1</v>
      </c>
      <c r="L449">
        <v>14.88</v>
      </c>
    </row>
    <row r="450" spans="1:12" x14ac:dyDescent="0.3">
      <c r="A450" t="s">
        <v>167</v>
      </c>
      <c r="B450">
        <v>14</v>
      </c>
      <c r="C450">
        <v>1</v>
      </c>
      <c r="D450">
        <v>16</v>
      </c>
      <c r="E450" t="s">
        <v>96</v>
      </c>
      <c r="F450">
        <v>120</v>
      </c>
      <c r="H450">
        <v>1</v>
      </c>
      <c r="I450">
        <v>5</v>
      </c>
      <c r="J450">
        <v>5</v>
      </c>
      <c r="K450">
        <v>18.54</v>
      </c>
      <c r="L450">
        <v>18.190000000000001</v>
      </c>
    </row>
    <row r="451" spans="1:12" x14ac:dyDescent="0.3">
      <c r="A451" t="s">
        <v>167</v>
      </c>
      <c r="B451">
        <v>14</v>
      </c>
      <c r="C451">
        <v>1</v>
      </c>
      <c r="D451">
        <v>16</v>
      </c>
      <c r="E451" t="s">
        <v>96</v>
      </c>
      <c r="F451">
        <v>120</v>
      </c>
      <c r="H451">
        <v>1</v>
      </c>
      <c r="I451">
        <v>10</v>
      </c>
      <c r="J451">
        <v>10</v>
      </c>
      <c r="K451">
        <v>18.2</v>
      </c>
      <c r="L451">
        <v>17.86</v>
      </c>
    </row>
    <row r="452" spans="1:12" x14ac:dyDescent="0.3">
      <c r="A452" t="s">
        <v>167</v>
      </c>
      <c r="B452">
        <v>14</v>
      </c>
      <c r="C452">
        <v>1</v>
      </c>
      <c r="D452">
        <v>16</v>
      </c>
      <c r="E452" t="s">
        <v>96</v>
      </c>
      <c r="F452">
        <v>120</v>
      </c>
      <c r="H452">
        <v>3</v>
      </c>
      <c r="I452">
        <v>3</v>
      </c>
      <c r="J452">
        <v>9</v>
      </c>
      <c r="K452">
        <v>20.22</v>
      </c>
      <c r="L452">
        <v>19.84</v>
      </c>
    </row>
    <row r="453" spans="1:12" x14ac:dyDescent="0.3">
      <c r="A453" t="s">
        <v>167</v>
      </c>
      <c r="B453">
        <v>14</v>
      </c>
      <c r="C453">
        <v>1</v>
      </c>
      <c r="D453">
        <v>16</v>
      </c>
      <c r="E453" t="s">
        <v>96</v>
      </c>
      <c r="F453">
        <v>120</v>
      </c>
      <c r="H453">
        <v>3</v>
      </c>
      <c r="I453">
        <v>5</v>
      </c>
      <c r="J453">
        <v>15</v>
      </c>
      <c r="K453">
        <v>18.27</v>
      </c>
      <c r="L453">
        <v>17.920000000000002</v>
      </c>
    </row>
    <row r="454" spans="1:12" x14ac:dyDescent="0.3">
      <c r="A454" t="s">
        <v>167</v>
      </c>
      <c r="B454">
        <v>14</v>
      </c>
      <c r="C454">
        <v>1</v>
      </c>
      <c r="D454">
        <v>16</v>
      </c>
      <c r="E454" t="s">
        <v>96</v>
      </c>
      <c r="F454">
        <v>120</v>
      </c>
      <c r="H454">
        <v>32</v>
      </c>
      <c r="I454">
        <v>0.6</v>
      </c>
      <c r="J454">
        <v>19.2</v>
      </c>
      <c r="K454">
        <v>21.41</v>
      </c>
      <c r="L454">
        <v>20.99</v>
      </c>
    </row>
    <row r="455" spans="1:12" x14ac:dyDescent="0.3">
      <c r="A455" t="s">
        <v>167</v>
      </c>
      <c r="B455">
        <v>14</v>
      </c>
      <c r="C455">
        <v>1</v>
      </c>
      <c r="D455">
        <v>16</v>
      </c>
      <c r="E455" t="s">
        <v>96</v>
      </c>
      <c r="F455">
        <v>120</v>
      </c>
      <c r="H455">
        <v>64</v>
      </c>
      <c r="I455">
        <v>0.6</v>
      </c>
      <c r="J455">
        <v>38.4</v>
      </c>
      <c r="K455">
        <v>18.8</v>
      </c>
      <c r="L455">
        <v>18.489999999999998</v>
      </c>
    </row>
    <row r="456" spans="1:12" x14ac:dyDescent="0.3">
      <c r="A456" t="s">
        <v>167</v>
      </c>
      <c r="B456">
        <v>14</v>
      </c>
      <c r="C456">
        <v>1</v>
      </c>
      <c r="D456">
        <v>16</v>
      </c>
      <c r="E456" t="s">
        <v>96</v>
      </c>
      <c r="F456">
        <v>130</v>
      </c>
      <c r="H456">
        <v>1</v>
      </c>
      <c r="I456">
        <v>5</v>
      </c>
      <c r="J456">
        <v>5</v>
      </c>
      <c r="K456">
        <v>22.44</v>
      </c>
      <c r="L456">
        <v>22.01</v>
      </c>
    </row>
    <row r="457" spans="1:12" x14ac:dyDescent="0.3">
      <c r="A457" t="s">
        <v>167</v>
      </c>
      <c r="B457">
        <v>14</v>
      </c>
      <c r="C457">
        <v>1</v>
      </c>
      <c r="D457">
        <v>16</v>
      </c>
      <c r="E457" t="s">
        <v>96</v>
      </c>
      <c r="F457">
        <v>130</v>
      </c>
      <c r="H457">
        <v>1</v>
      </c>
      <c r="I457">
        <v>10</v>
      </c>
      <c r="J457">
        <v>10</v>
      </c>
      <c r="K457">
        <v>22.05</v>
      </c>
      <c r="L457">
        <v>21.61</v>
      </c>
    </row>
    <row r="458" spans="1:12" x14ac:dyDescent="0.3">
      <c r="A458" t="s">
        <v>167</v>
      </c>
      <c r="B458">
        <v>14</v>
      </c>
      <c r="C458">
        <v>1</v>
      </c>
      <c r="D458">
        <v>16</v>
      </c>
      <c r="E458" t="s">
        <v>96</v>
      </c>
      <c r="F458">
        <v>130</v>
      </c>
      <c r="H458">
        <v>3</v>
      </c>
      <c r="I458">
        <v>3</v>
      </c>
      <c r="J458">
        <v>9</v>
      </c>
      <c r="K458">
        <v>24.49</v>
      </c>
      <c r="L458">
        <v>24.01</v>
      </c>
    </row>
    <row r="459" spans="1:12" x14ac:dyDescent="0.3">
      <c r="A459" t="s">
        <v>167</v>
      </c>
      <c r="B459">
        <v>14</v>
      </c>
      <c r="C459">
        <v>1</v>
      </c>
      <c r="D459">
        <v>16</v>
      </c>
      <c r="E459" t="s">
        <v>96</v>
      </c>
      <c r="F459">
        <v>130</v>
      </c>
      <c r="H459">
        <v>3</v>
      </c>
      <c r="I459">
        <v>5</v>
      </c>
      <c r="J459">
        <v>15</v>
      </c>
      <c r="K459">
        <v>22.15</v>
      </c>
      <c r="L459">
        <v>21.7</v>
      </c>
    </row>
    <row r="460" spans="1:12" x14ac:dyDescent="0.3">
      <c r="A460" t="s">
        <v>167</v>
      </c>
      <c r="B460">
        <v>14</v>
      </c>
      <c r="C460">
        <v>1</v>
      </c>
      <c r="D460">
        <v>16</v>
      </c>
      <c r="E460" t="s">
        <v>96</v>
      </c>
      <c r="F460">
        <v>130</v>
      </c>
      <c r="H460">
        <v>32</v>
      </c>
      <c r="I460">
        <v>0.6</v>
      </c>
      <c r="J460">
        <v>19.2</v>
      </c>
      <c r="K460">
        <v>25.92</v>
      </c>
      <c r="L460">
        <v>25.41</v>
      </c>
    </row>
    <row r="461" spans="1:12" x14ac:dyDescent="0.3">
      <c r="A461" t="s">
        <v>167</v>
      </c>
      <c r="B461">
        <v>14</v>
      </c>
      <c r="C461">
        <v>1</v>
      </c>
      <c r="D461">
        <v>16</v>
      </c>
      <c r="E461" t="s">
        <v>96</v>
      </c>
      <c r="F461">
        <v>130</v>
      </c>
      <c r="H461">
        <v>64</v>
      </c>
      <c r="I461">
        <v>0.6</v>
      </c>
      <c r="J461">
        <v>38.4</v>
      </c>
      <c r="K461">
        <v>22.75</v>
      </c>
      <c r="L461">
        <v>22.37</v>
      </c>
    </row>
    <row r="462" spans="1:12" x14ac:dyDescent="0.3">
      <c r="A462" t="s">
        <v>167</v>
      </c>
      <c r="B462">
        <v>14</v>
      </c>
      <c r="C462">
        <v>1</v>
      </c>
      <c r="D462">
        <v>16</v>
      </c>
      <c r="E462" t="s">
        <v>96</v>
      </c>
      <c r="F462">
        <v>140</v>
      </c>
      <c r="H462">
        <v>1</v>
      </c>
      <c r="I462">
        <v>5</v>
      </c>
      <c r="J462">
        <v>5</v>
      </c>
      <c r="K462">
        <v>26.59</v>
      </c>
      <c r="L462">
        <v>26.09</v>
      </c>
    </row>
    <row r="463" spans="1:12" x14ac:dyDescent="0.3">
      <c r="A463" t="s">
        <v>167</v>
      </c>
      <c r="B463">
        <v>14</v>
      </c>
      <c r="C463">
        <v>1</v>
      </c>
      <c r="D463">
        <v>16</v>
      </c>
      <c r="E463" t="s">
        <v>96</v>
      </c>
      <c r="F463">
        <v>140</v>
      </c>
      <c r="H463">
        <v>1</v>
      </c>
      <c r="I463">
        <v>10</v>
      </c>
      <c r="J463">
        <v>10</v>
      </c>
      <c r="K463">
        <v>26.16</v>
      </c>
      <c r="L463">
        <v>25.66</v>
      </c>
    </row>
    <row r="464" spans="1:12" x14ac:dyDescent="0.3">
      <c r="A464" t="s">
        <v>167</v>
      </c>
      <c r="B464">
        <v>14</v>
      </c>
      <c r="C464">
        <v>1</v>
      </c>
      <c r="D464">
        <v>16</v>
      </c>
      <c r="E464" t="s">
        <v>96</v>
      </c>
      <c r="F464">
        <v>140</v>
      </c>
      <c r="H464">
        <v>3</v>
      </c>
      <c r="I464">
        <v>3</v>
      </c>
      <c r="J464">
        <v>9</v>
      </c>
      <c r="K464">
        <v>29.06</v>
      </c>
      <c r="L464">
        <v>28.53</v>
      </c>
    </row>
    <row r="465" spans="1:12" x14ac:dyDescent="0.3">
      <c r="A465" t="s">
        <v>167</v>
      </c>
      <c r="B465">
        <v>14</v>
      </c>
      <c r="C465">
        <v>1</v>
      </c>
      <c r="D465">
        <v>16</v>
      </c>
      <c r="E465" t="s">
        <v>96</v>
      </c>
      <c r="F465">
        <v>140</v>
      </c>
      <c r="H465">
        <v>3</v>
      </c>
      <c r="I465">
        <v>5</v>
      </c>
      <c r="J465">
        <v>15</v>
      </c>
      <c r="K465">
        <v>26.26</v>
      </c>
      <c r="L465">
        <v>25.74</v>
      </c>
    </row>
    <row r="466" spans="1:12" x14ac:dyDescent="0.3">
      <c r="A466" t="s">
        <v>167</v>
      </c>
      <c r="B466">
        <v>14</v>
      </c>
      <c r="C466">
        <v>1</v>
      </c>
      <c r="D466">
        <v>16</v>
      </c>
      <c r="E466" t="s">
        <v>96</v>
      </c>
      <c r="F466">
        <v>140</v>
      </c>
      <c r="H466">
        <v>32</v>
      </c>
      <c r="I466">
        <v>0.6</v>
      </c>
      <c r="J466">
        <v>19.2</v>
      </c>
      <c r="K466">
        <v>30.73</v>
      </c>
      <c r="L466">
        <v>30.1</v>
      </c>
    </row>
    <row r="467" spans="1:12" x14ac:dyDescent="0.3">
      <c r="A467" t="s">
        <v>167</v>
      </c>
      <c r="B467">
        <v>14</v>
      </c>
      <c r="C467">
        <v>1</v>
      </c>
      <c r="D467">
        <v>16</v>
      </c>
      <c r="E467" t="s">
        <v>96</v>
      </c>
      <c r="F467">
        <v>140</v>
      </c>
      <c r="H467">
        <v>64</v>
      </c>
      <c r="I467">
        <v>0.6</v>
      </c>
      <c r="J467">
        <v>38.4</v>
      </c>
      <c r="K467">
        <v>26.99</v>
      </c>
      <c r="L467">
        <v>26.53</v>
      </c>
    </row>
    <row r="468" spans="1:12" x14ac:dyDescent="0.3">
      <c r="A468" t="s">
        <v>167</v>
      </c>
      <c r="B468">
        <v>14</v>
      </c>
      <c r="C468">
        <v>1</v>
      </c>
      <c r="D468">
        <v>16</v>
      </c>
      <c r="E468" t="s">
        <v>96</v>
      </c>
      <c r="F468">
        <v>100</v>
      </c>
      <c r="G468" t="s">
        <v>139</v>
      </c>
      <c r="H468">
        <v>1</v>
      </c>
      <c r="I468">
        <v>5</v>
      </c>
      <c r="J468">
        <v>5</v>
      </c>
    </row>
    <row r="469" spans="1:12" x14ac:dyDescent="0.3">
      <c r="A469" t="s">
        <v>167</v>
      </c>
      <c r="B469">
        <v>14</v>
      </c>
      <c r="C469">
        <v>1</v>
      </c>
      <c r="D469">
        <v>16</v>
      </c>
      <c r="E469" t="s">
        <v>96</v>
      </c>
      <c r="F469">
        <v>100</v>
      </c>
      <c r="G469" t="s">
        <v>139</v>
      </c>
      <c r="H469">
        <v>1</v>
      </c>
      <c r="I469">
        <v>10</v>
      </c>
      <c r="J469">
        <v>10</v>
      </c>
    </row>
    <row r="470" spans="1:12" x14ac:dyDescent="0.3">
      <c r="A470" t="s">
        <v>167</v>
      </c>
      <c r="B470">
        <v>14</v>
      </c>
      <c r="C470">
        <v>1</v>
      </c>
      <c r="D470">
        <v>16</v>
      </c>
      <c r="E470" t="s">
        <v>96</v>
      </c>
      <c r="F470">
        <v>100</v>
      </c>
      <c r="G470" t="s">
        <v>139</v>
      </c>
      <c r="H470">
        <v>3</v>
      </c>
      <c r="I470">
        <v>3</v>
      </c>
      <c r="J470">
        <v>9</v>
      </c>
      <c r="K470">
        <v>1.99</v>
      </c>
      <c r="L470">
        <v>1.94</v>
      </c>
    </row>
    <row r="471" spans="1:12" x14ac:dyDescent="0.3">
      <c r="A471" t="s">
        <v>167</v>
      </c>
      <c r="B471">
        <v>14</v>
      </c>
      <c r="C471">
        <v>1</v>
      </c>
      <c r="D471">
        <v>16</v>
      </c>
      <c r="E471" t="s">
        <v>96</v>
      </c>
      <c r="F471">
        <v>100</v>
      </c>
      <c r="G471" t="s">
        <v>139</v>
      </c>
      <c r="H471">
        <v>3</v>
      </c>
      <c r="I471">
        <v>5</v>
      </c>
      <c r="J471">
        <v>15</v>
      </c>
      <c r="K471">
        <v>1.8</v>
      </c>
      <c r="L471">
        <v>1.76</v>
      </c>
    </row>
    <row r="472" spans="1:12" x14ac:dyDescent="0.3">
      <c r="A472" t="s">
        <v>167</v>
      </c>
      <c r="B472">
        <v>14</v>
      </c>
      <c r="C472">
        <v>1</v>
      </c>
      <c r="D472">
        <v>16</v>
      </c>
      <c r="E472" t="s">
        <v>96</v>
      </c>
      <c r="F472">
        <v>100</v>
      </c>
      <c r="G472" t="s">
        <v>139</v>
      </c>
      <c r="H472">
        <v>32</v>
      </c>
      <c r="I472">
        <v>0.6</v>
      </c>
      <c r="J472">
        <v>19.2</v>
      </c>
    </row>
    <row r="473" spans="1:12" x14ac:dyDescent="0.3">
      <c r="A473" t="s">
        <v>167</v>
      </c>
      <c r="B473">
        <v>14</v>
      </c>
      <c r="C473">
        <v>1</v>
      </c>
      <c r="D473">
        <v>16</v>
      </c>
      <c r="E473" t="s">
        <v>96</v>
      </c>
      <c r="F473">
        <v>100</v>
      </c>
      <c r="G473" t="s">
        <v>139</v>
      </c>
      <c r="H473">
        <v>64</v>
      </c>
      <c r="I473">
        <v>0.6</v>
      </c>
      <c r="J473">
        <v>38.4</v>
      </c>
      <c r="K473">
        <v>1.88</v>
      </c>
      <c r="L473">
        <v>1.84</v>
      </c>
    </row>
    <row r="474" spans="1:12" x14ac:dyDescent="0.3">
      <c r="A474" t="s">
        <v>167</v>
      </c>
      <c r="B474">
        <v>14</v>
      </c>
      <c r="C474">
        <v>1</v>
      </c>
      <c r="D474">
        <v>16</v>
      </c>
      <c r="E474" t="s">
        <v>96</v>
      </c>
      <c r="F474">
        <v>110</v>
      </c>
      <c r="G474" t="s">
        <v>139</v>
      </c>
      <c r="H474">
        <v>1</v>
      </c>
      <c r="I474">
        <v>5</v>
      </c>
      <c r="J474">
        <v>5</v>
      </c>
    </row>
    <row r="475" spans="1:12" x14ac:dyDescent="0.3">
      <c r="A475" t="s">
        <v>167</v>
      </c>
      <c r="B475">
        <v>14</v>
      </c>
      <c r="C475">
        <v>1</v>
      </c>
      <c r="D475">
        <v>16</v>
      </c>
      <c r="E475" t="s">
        <v>96</v>
      </c>
      <c r="F475">
        <v>110</v>
      </c>
      <c r="G475" t="s">
        <v>139</v>
      </c>
      <c r="H475">
        <v>1</v>
      </c>
      <c r="I475">
        <v>10</v>
      </c>
      <c r="J475">
        <v>10</v>
      </c>
    </row>
    <row r="476" spans="1:12" x14ac:dyDescent="0.3">
      <c r="A476" t="s">
        <v>167</v>
      </c>
      <c r="B476">
        <v>14</v>
      </c>
      <c r="C476">
        <v>1</v>
      </c>
      <c r="D476">
        <v>16</v>
      </c>
      <c r="E476" t="s">
        <v>96</v>
      </c>
      <c r="F476">
        <v>110</v>
      </c>
      <c r="G476" t="s">
        <v>139</v>
      </c>
      <c r="H476">
        <v>3</v>
      </c>
      <c r="I476">
        <v>3</v>
      </c>
      <c r="J476">
        <v>9</v>
      </c>
      <c r="K476">
        <v>3.1</v>
      </c>
      <c r="L476">
        <v>3.03</v>
      </c>
    </row>
    <row r="477" spans="1:12" x14ac:dyDescent="0.3">
      <c r="A477" t="s">
        <v>167</v>
      </c>
      <c r="B477">
        <v>14</v>
      </c>
      <c r="C477">
        <v>1</v>
      </c>
      <c r="D477">
        <v>16</v>
      </c>
      <c r="E477" t="s">
        <v>96</v>
      </c>
      <c r="F477">
        <v>110</v>
      </c>
      <c r="G477" t="s">
        <v>139</v>
      </c>
      <c r="H477">
        <v>3</v>
      </c>
      <c r="I477">
        <v>5</v>
      </c>
      <c r="J477">
        <v>15</v>
      </c>
      <c r="K477">
        <v>2.81</v>
      </c>
      <c r="L477">
        <v>2.74</v>
      </c>
    </row>
    <row r="478" spans="1:12" x14ac:dyDescent="0.3">
      <c r="A478" t="s">
        <v>167</v>
      </c>
      <c r="B478">
        <v>14</v>
      </c>
      <c r="C478">
        <v>1</v>
      </c>
      <c r="D478">
        <v>16</v>
      </c>
      <c r="E478" t="s">
        <v>96</v>
      </c>
      <c r="F478">
        <v>110</v>
      </c>
      <c r="G478" t="s">
        <v>139</v>
      </c>
      <c r="H478">
        <v>32</v>
      </c>
      <c r="I478">
        <v>0.6</v>
      </c>
      <c r="J478">
        <v>19.2</v>
      </c>
    </row>
    <row r="479" spans="1:12" x14ac:dyDescent="0.3">
      <c r="A479" t="s">
        <v>167</v>
      </c>
      <c r="B479">
        <v>14</v>
      </c>
      <c r="C479">
        <v>1</v>
      </c>
      <c r="D479">
        <v>16</v>
      </c>
      <c r="E479" t="s">
        <v>96</v>
      </c>
      <c r="F479">
        <v>110</v>
      </c>
      <c r="G479" t="s">
        <v>139</v>
      </c>
      <c r="H479">
        <v>64</v>
      </c>
      <c r="I479">
        <v>0.6</v>
      </c>
      <c r="J479">
        <v>38.4</v>
      </c>
      <c r="K479">
        <v>2.92</v>
      </c>
      <c r="L479">
        <v>2.86</v>
      </c>
    </row>
    <row r="480" spans="1:12" x14ac:dyDescent="0.3">
      <c r="A480" t="s">
        <v>167</v>
      </c>
      <c r="B480">
        <v>14</v>
      </c>
      <c r="C480">
        <v>1</v>
      </c>
      <c r="D480">
        <v>16</v>
      </c>
      <c r="E480" t="s">
        <v>96</v>
      </c>
      <c r="F480">
        <v>120</v>
      </c>
      <c r="G480" t="s">
        <v>139</v>
      </c>
      <c r="H480">
        <v>1</v>
      </c>
      <c r="I480">
        <v>5</v>
      </c>
      <c r="J480">
        <v>5</v>
      </c>
    </row>
    <row r="481" spans="1:12" x14ac:dyDescent="0.3">
      <c r="A481" t="s">
        <v>167</v>
      </c>
      <c r="B481">
        <v>14</v>
      </c>
      <c r="C481">
        <v>1</v>
      </c>
      <c r="D481">
        <v>16</v>
      </c>
      <c r="E481" t="s">
        <v>96</v>
      </c>
      <c r="F481">
        <v>120</v>
      </c>
      <c r="G481" t="s">
        <v>139</v>
      </c>
      <c r="H481">
        <v>1</v>
      </c>
      <c r="I481">
        <v>10</v>
      </c>
      <c r="J481">
        <v>10</v>
      </c>
    </row>
    <row r="482" spans="1:12" x14ac:dyDescent="0.3">
      <c r="A482" t="s">
        <v>167</v>
      </c>
      <c r="B482">
        <v>14</v>
      </c>
      <c r="C482">
        <v>1</v>
      </c>
      <c r="D482">
        <v>16</v>
      </c>
      <c r="E482" t="s">
        <v>96</v>
      </c>
      <c r="F482">
        <v>120</v>
      </c>
      <c r="G482" t="s">
        <v>139</v>
      </c>
      <c r="H482">
        <v>3</v>
      </c>
      <c r="I482">
        <v>3</v>
      </c>
      <c r="J482">
        <v>9</v>
      </c>
      <c r="K482">
        <v>4.4800000000000004</v>
      </c>
      <c r="L482">
        <v>4.3899999999999997</v>
      </c>
    </row>
    <row r="483" spans="1:12" x14ac:dyDescent="0.3">
      <c r="A483" t="s">
        <v>167</v>
      </c>
      <c r="B483">
        <v>14</v>
      </c>
      <c r="C483">
        <v>1</v>
      </c>
      <c r="D483">
        <v>16</v>
      </c>
      <c r="E483" t="s">
        <v>96</v>
      </c>
      <c r="F483">
        <v>120</v>
      </c>
      <c r="G483" t="s">
        <v>139</v>
      </c>
      <c r="H483">
        <v>3</v>
      </c>
      <c r="I483">
        <v>5</v>
      </c>
      <c r="J483">
        <v>15</v>
      </c>
      <c r="K483">
        <v>4.0599999999999996</v>
      </c>
      <c r="L483">
        <v>3.98</v>
      </c>
    </row>
    <row r="484" spans="1:12" x14ac:dyDescent="0.3">
      <c r="A484" t="s">
        <v>167</v>
      </c>
      <c r="B484">
        <v>14</v>
      </c>
      <c r="C484">
        <v>1</v>
      </c>
      <c r="D484">
        <v>16</v>
      </c>
      <c r="E484" t="s">
        <v>96</v>
      </c>
      <c r="F484">
        <v>120</v>
      </c>
      <c r="G484" t="s">
        <v>139</v>
      </c>
      <c r="H484">
        <v>32</v>
      </c>
      <c r="I484">
        <v>0.6</v>
      </c>
      <c r="J484">
        <v>19.2</v>
      </c>
    </row>
    <row r="485" spans="1:12" x14ac:dyDescent="0.3">
      <c r="A485" t="s">
        <v>167</v>
      </c>
      <c r="B485">
        <v>14</v>
      </c>
      <c r="C485">
        <v>1</v>
      </c>
      <c r="D485">
        <v>16</v>
      </c>
      <c r="E485" t="s">
        <v>96</v>
      </c>
      <c r="F485">
        <v>120</v>
      </c>
      <c r="G485" t="s">
        <v>139</v>
      </c>
      <c r="H485">
        <v>64</v>
      </c>
      <c r="I485">
        <v>0.6</v>
      </c>
      <c r="J485">
        <v>38.4</v>
      </c>
      <c r="K485">
        <v>4.2300000000000004</v>
      </c>
      <c r="L485">
        <v>4.1500000000000004</v>
      </c>
    </row>
    <row r="486" spans="1:12" x14ac:dyDescent="0.3">
      <c r="A486" t="s">
        <v>167</v>
      </c>
      <c r="B486">
        <v>14</v>
      </c>
      <c r="C486">
        <v>1</v>
      </c>
      <c r="D486">
        <v>16</v>
      </c>
      <c r="E486" t="s">
        <v>96</v>
      </c>
      <c r="F486">
        <v>130</v>
      </c>
      <c r="G486" t="s">
        <v>139</v>
      </c>
      <c r="H486">
        <v>1</v>
      </c>
      <c r="I486">
        <v>5</v>
      </c>
      <c r="J486">
        <v>5</v>
      </c>
    </row>
    <row r="487" spans="1:12" x14ac:dyDescent="0.3">
      <c r="A487" t="s">
        <v>167</v>
      </c>
      <c r="B487">
        <v>14</v>
      </c>
      <c r="C487">
        <v>1</v>
      </c>
      <c r="D487">
        <v>16</v>
      </c>
      <c r="E487" t="s">
        <v>96</v>
      </c>
      <c r="F487">
        <v>130</v>
      </c>
      <c r="G487" t="s">
        <v>139</v>
      </c>
      <c r="H487">
        <v>1</v>
      </c>
      <c r="I487">
        <v>10</v>
      </c>
      <c r="J487">
        <v>10</v>
      </c>
    </row>
    <row r="488" spans="1:12" x14ac:dyDescent="0.3">
      <c r="A488" t="s">
        <v>167</v>
      </c>
      <c r="B488">
        <v>14</v>
      </c>
      <c r="C488">
        <v>1</v>
      </c>
      <c r="D488">
        <v>16</v>
      </c>
      <c r="E488" t="s">
        <v>96</v>
      </c>
      <c r="F488">
        <v>130</v>
      </c>
      <c r="G488" t="s">
        <v>139</v>
      </c>
      <c r="H488">
        <v>3</v>
      </c>
      <c r="I488">
        <v>3</v>
      </c>
      <c r="J488">
        <v>9</v>
      </c>
      <c r="K488">
        <v>6.15</v>
      </c>
      <c r="L488">
        <v>6.04</v>
      </c>
    </row>
    <row r="489" spans="1:12" x14ac:dyDescent="0.3">
      <c r="A489" t="s">
        <v>167</v>
      </c>
      <c r="B489">
        <v>14</v>
      </c>
      <c r="C489">
        <v>1</v>
      </c>
      <c r="D489">
        <v>16</v>
      </c>
      <c r="E489" t="s">
        <v>96</v>
      </c>
      <c r="F489">
        <v>130</v>
      </c>
      <c r="G489" t="s">
        <v>139</v>
      </c>
      <c r="H489">
        <v>3</v>
      </c>
      <c r="I489">
        <v>5</v>
      </c>
      <c r="J489">
        <v>15</v>
      </c>
      <c r="K489">
        <v>5.58</v>
      </c>
      <c r="L489">
        <v>5.48</v>
      </c>
    </row>
    <row r="490" spans="1:12" x14ac:dyDescent="0.3">
      <c r="A490" t="s">
        <v>167</v>
      </c>
      <c r="B490">
        <v>14</v>
      </c>
      <c r="C490">
        <v>1</v>
      </c>
      <c r="D490">
        <v>16</v>
      </c>
      <c r="E490" t="s">
        <v>96</v>
      </c>
      <c r="F490">
        <v>130</v>
      </c>
      <c r="G490" t="s">
        <v>139</v>
      </c>
      <c r="H490">
        <v>32</v>
      </c>
      <c r="I490">
        <v>0.6</v>
      </c>
      <c r="J490">
        <v>19.2</v>
      </c>
    </row>
    <row r="491" spans="1:12" x14ac:dyDescent="0.3">
      <c r="A491" t="s">
        <v>167</v>
      </c>
      <c r="B491">
        <v>14</v>
      </c>
      <c r="C491">
        <v>1</v>
      </c>
      <c r="D491">
        <v>16</v>
      </c>
      <c r="E491" t="s">
        <v>96</v>
      </c>
      <c r="F491">
        <v>130</v>
      </c>
      <c r="G491" t="s">
        <v>139</v>
      </c>
      <c r="H491">
        <v>64</v>
      </c>
      <c r="I491">
        <v>0.6</v>
      </c>
      <c r="J491">
        <v>38.4</v>
      </c>
      <c r="K491">
        <v>5.8</v>
      </c>
      <c r="L491">
        <v>5.71</v>
      </c>
    </row>
    <row r="492" spans="1:12" x14ac:dyDescent="0.3">
      <c r="A492" t="s">
        <v>167</v>
      </c>
      <c r="B492">
        <v>14</v>
      </c>
      <c r="C492">
        <v>1</v>
      </c>
      <c r="D492">
        <v>16</v>
      </c>
      <c r="E492" t="s">
        <v>96</v>
      </c>
      <c r="F492">
        <v>140</v>
      </c>
      <c r="G492" t="s">
        <v>139</v>
      </c>
      <c r="H492">
        <v>1</v>
      </c>
      <c r="I492">
        <v>5</v>
      </c>
      <c r="J492">
        <v>5</v>
      </c>
    </row>
    <row r="493" spans="1:12" x14ac:dyDescent="0.3">
      <c r="A493" t="s">
        <v>167</v>
      </c>
      <c r="B493">
        <v>14</v>
      </c>
      <c r="C493">
        <v>1</v>
      </c>
      <c r="D493">
        <v>16</v>
      </c>
      <c r="E493" t="s">
        <v>96</v>
      </c>
      <c r="F493">
        <v>140</v>
      </c>
      <c r="G493" t="s">
        <v>139</v>
      </c>
      <c r="H493">
        <v>1</v>
      </c>
      <c r="I493">
        <v>10</v>
      </c>
      <c r="J493">
        <v>10</v>
      </c>
    </row>
    <row r="494" spans="1:12" x14ac:dyDescent="0.3">
      <c r="A494" t="s">
        <v>167</v>
      </c>
      <c r="B494">
        <v>14</v>
      </c>
      <c r="C494">
        <v>1</v>
      </c>
      <c r="D494">
        <v>16</v>
      </c>
      <c r="E494" t="s">
        <v>96</v>
      </c>
      <c r="F494">
        <v>140</v>
      </c>
      <c r="G494" t="s">
        <v>139</v>
      </c>
      <c r="H494">
        <v>3</v>
      </c>
      <c r="I494">
        <v>3</v>
      </c>
      <c r="J494">
        <v>9</v>
      </c>
      <c r="K494">
        <v>8.1300000000000008</v>
      </c>
      <c r="L494">
        <v>8.01</v>
      </c>
    </row>
    <row r="495" spans="1:12" x14ac:dyDescent="0.3">
      <c r="A495" t="s">
        <v>167</v>
      </c>
      <c r="B495">
        <v>14</v>
      </c>
      <c r="C495">
        <v>1</v>
      </c>
      <c r="D495">
        <v>16</v>
      </c>
      <c r="E495" t="s">
        <v>96</v>
      </c>
      <c r="F495">
        <v>140</v>
      </c>
      <c r="G495" t="s">
        <v>139</v>
      </c>
      <c r="H495">
        <v>3</v>
      </c>
      <c r="I495">
        <v>5</v>
      </c>
      <c r="J495">
        <v>15</v>
      </c>
      <c r="K495">
        <v>7.36</v>
      </c>
      <c r="L495">
        <v>7.25</v>
      </c>
    </row>
    <row r="496" spans="1:12" x14ac:dyDescent="0.3">
      <c r="A496" t="s">
        <v>167</v>
      </c>
      <c r="B496">
        <v>14</v>
      </c>
      <c r="C496">
        <v>1</v>
      </c>
      <c r="D496">
        <v>16</v>
      </c>
      <c r="E496" t="s">
        <v>96</v>
      </c>
      <c r="F496">
        <v>140</v>
      </c>
      <c r="G496" t="s">
        <v>139</v>
      </c>
      <c r="H496">
        <v>32</v>
      </c>
      <c r="I496">
        <v>0.6</v>
      </c>
      <c r="J496">
        <v>19.2</v>
      </c>
    </row>
    <row r="497" spans="1:12" x14ac:dyDescent="0.3">
      <c r="A497" t="s">
        <v>167</v>
      </c>
      <c r="B497">
        <v>14</v>
      </c>
      <c r="C497">
        <v>1</v>
      </c>
      <c r="D497">
        <v>16</v>
      </c>
      <c r="E497" t="s">
        <v>96</v>
      </c>
      <c r="F497">
        <v>140</v>
      </c>
      <c r="G497" t="s">
        <v>139</v>
      </c>
      <c r="H497">
        <v>64</v>
      </c>
      <c r="I497">
        <v>0.6</v>
      </c>
      <c r="J497">
        <v>38.4</v>
      </c>
      <c r="K497">
        <v>7.64</v>
      </c>
      <c r="L497">
        <v>7.55</v>
      </c>
    </row>
    <row r="498" spans="1:12" x14ac:dyDescent="0.3">
      <c r="A498" t="s">
        <v>167</v>
      </c>
      <c r="B498">
        <v>14</v>
      </c>
      <c r="C498">
        <v>1</v>
      </c>
      <c r="D498">
        <v>32</v>
      </c>
      <c r="E498" t="s">
        <v>95</v>
      </c>
      <c r="F498">
        <v>70</v>
      </c>
      <c r="H498">
        <v>1</v>
      </c>
      <c r="I498">
        <v>5</v>
      </c>
      <c r="J498">
        <v>5</v>
      </c>
    </row>
    <row r="499" spans="1:12" x14ac:dyDescent="0.3">
      <c r="A499" t="s">
        <v>167</v>
      </c>
      <c r="B499">
        <v>14</v>
      </c>
      <c r="C499">
        <v>1</v>
      </c>
      <c r="D499">
        <v>32</v>
      </c>
      <c r="E499" t="s">
        <v>95</v>
      </c>
      <c r="F499">
        <v>70</v>
      </c>
      <c r="H499">
        <v>1</v>
      </c>
      <c r="I499">
        <v>10</v>
      </c>
      <c r="J499">
        <v>10</v>
      </c>
    </row>
    <row r="500" spans="1:12" x14ac:dyDescent="0.3">
      <c r="A500" t="s">
        <v>167</v>
      </c>
      <c r="B500">
        <v>14</v>
      </c>
      <c r="C500">
        <v>1</v>
      </c>
      <c r="D500">
        <v>32</v>
      </c>
      <c r="E500" t="s">
        <v>95</v>
      </c>
      <c r="F500">
        <v>70</v>
      </c>
      <c r="H500">
        <v>3</v>
      </c>
      <c r="I500">
        <v>3</v>
      </c>
      <c r="J500">
        <v>9</v>
      </c>
    </row>
    <row r="501" spans="1:12" x14ac:dyDescent="0.3">
      <c r="A501" t="s">
        <v>167</v>
      </c>
      <c r="B501">
        <v>14</v>
      </c>
      <c r="C501">
        <v>1</v>
      </c>
      <c r="D501">
        <v>32</v>
      </c>
      <c r="E501" t="s">
        <v>95</v>
      </c>
      <c r="F501">
        <v>70</v>
      </c>
      <c r="H501">
        <v>3</v>
      </c>
      <c r="I501">
        <v>5</v>
      </c>
      <c r="J501">
        <v>15</v>
      </c>
    </row>
    <row r="502" spans="1:12" x14ac:dyDescent="0.3">
      <c r="A502" t="s">
        <v>167</v>
      </c>
      <c r="B502">
        <v>14</v>
      </c>
      <c r="C502">
        <v>1</v>
      </c>
      <c r="D502">
        <v>32</v>
      </c>
      <c r="E502" t="s">
        <v>95</v>
      </c>
      <c r="F502">
        <v>70</v>
      </c>
      <c r="H502">
        <v>32</v>
      </c>
      <c r="I502">
        <v>0.6</v>
      </c>
      <c r="J502">
        <v>19.2</v>
      </c>
    </row>
    <row r="503" spans="1:12" x14ac:dyDescent="0.3">
      <c r="A503" t="s">
        <v>167</v>
      </c>
      <c r="B503">
        <v>14</v>
      </c>
      <c r="C503">
        <v>1</v>
      </c>
      <c r="D503">
        <v>32</v>
      </c>
      <c r="E503" t="s">
        <v>95</v>
      </c>
      <c r="F503">
        <v>70</v>
      </c>
      <c r="H503">
        <v>64</v>
      </c>
      <c r="I503">
        <v>0.6</v>
      </c>
      <c r="J503">
        <v>38.4</v>
      </c>
    </row>
    <row r="504" spans="1:12" x14ac:dyDescent="0.3">
      <c r="A504" t="s">
        <v>167</v>
      </c>
      <c r="B504">
        <v>14</v>
      </c>
      <c r="C504">
        <v>1</v>
      </c>
      <c r="D504">
        <v>32</v>
      </c>
      <c r="E504" t="s">
        <v>95</v>
      </c>
      <c r="F504">
        <v>80</v>
      </c>
      <c r="H504">
        <v>1</v>
      </c>
      <c r="I504">
        <v>5</v>
      </c>
      <c r="J504">
        <v>5</v>
      </c>
    </row>
    <row r="505" spans="1:12" x14ac:dyDescent="0.3">
      <c r="A505" t="s">
        <v>167</v>
      </c>
      <c r="B505">
        <v>14</v>
      </c>
      <c r="C505">
        <v>1</v>
      </c>
      <c r="D505">
        <v>32</v>
      </c>
      <c r="E505" t="s">
        <v>95</v>
      </c>
      <c r="F505">
        <v>80</v>
      </c>
      <c r="H505">
        <v>1</v>
      </c>
      <c r="I505">
        <v>10</v>
      </c>
      <c r="J505">
        <v>10</v>
      </c>
    </row>
    <row r="506" spans="1:12" x14ac:dyDescent="0.3">
      <c r="A506" t="s">
        <v>167</v>
      </c>
      <c r="B506">
        <v>14</v>
      </c>
      <c r="C506">
        <v>1</v>
      </c>
      <c r="D506">
        <v>32</v>
      </c>
      <c r="E506" t="s">
        <v>95</v>
      </c>
      <c r="F506">
        <v>80</v>
      </c>
      <c r="H506">
        <v>3</v>
      </c>
      <c r="I506">
        <v>3</v>
      </c>
      <c r="J506">
        <v>9</v>
      </c>
    </row>
    <row r="507" spans="1:12" x14ac:dyDescent="0.3">
      <c r="A507" t="s">
        <v>167</v>
      </c>
      <c r="B507">
        <v>14</v>
      </c>
      <c r="C507">
        <v>1</v>
      </c>
      <c r="D507">
        <v>32</v>
      </c>
      <c r="E507" t="s">
        <v>95</v>
      </c>
      <c r="F507">
        <v>80</v>
      </c>
      <c r="H507">
        <v>3</v>
      </c>
      <c r="I507">
        <v>5</v>
      </c>
      <c r="J507">
        <v>15</v>
      </c>
    </row>
    <row r="508" spans="1:12" x14ac:dyDescent="0.3">
      <c r="A508" t="s">
        <v>167</v>
      </c>
      <c r="B508">
        <v>14</v>
      </c>
      <c r="C508">
        <v>1</v>
      </c>
      <c r="D508">
        <v>32</v>
      </c>
      <c r="E508" t="s">
        <v>95</v>
      </c>
      <c r="F508">
        <v>80</v>
      </c>
      <c r="H508">
        <v>32</v>
      </c>
      <c r="I508">
        <v>0.6</v>
      </c>
      <c r="J508">
        <v>19.2</v>
      </c>
    </row>
    <row r="509" spans="1:12" x14ac:dyDescent="0.3">
      <c r="A509" t="s">
        <v>167</v>
      </c>
      <c r="B509">
        <v>14</v>
      </c>
      <c r="C509">
        <v>1</v>
      </c>
      <c r="D509">
        <v>32</v>
      </c>
      <c r="E509" t="s">
        <v>95</v>
      </c>
      <c r="F509">
        <v>80</v>
      </c>
      <c r="H509">
        <v>64</v>
      </c>
      <c r="I509">
        <v>0.6</v>
      </c>
      <c r="J509">
        <v>38.4</v>
      </c>
    </row>
    <row r="510" spans="1:12" x14ac:dyDescent="0.3">
      <c r="A510" t="s">
        <v>167</v>
      </c>
      <c r="B510">
        <v>14</v>
      </c>
      <c r="C510">
        <v>1</v>
      </c>
      <c r="D510">
        <v>32</v>
      </c>
      <c r="E510" t="s">
        <v>95</v>
      </c>
      <c r="F510">
        <v>90</v>
      </c>
      <c r="H510">
        <v>1</v>
      </c>
      <c r="I510">
        <v>5</v>
      </c>
      <c r="J510">
        <v>5</v>
      </c>
    </row>
    <row r="511" spans="1:12" x14ac:dyDescent="0.3">
      <c r="A511" t="s">
        <v>167</v>
      </c>
      <c r="B511">
        <v>14</v>
      </c>
      <c r="C511">
        <v>1</v>
      </c>
      <c r="D511">
        <v>32</v>
      </c>
      <c r="E511" t="s">
        <v>95</v>
      </c>
      <c r="F511">
        <v>90</v>
      </c>
      <c r="H511">
        <v>1</v>
      </c>
      <c r="I511">
        <v>10</v>
      </c>
      <c r="J511">
        <v>10</v>
      </c>
    </row>
    <row r="512" spans="1:12" x14ac:dyDescent="0.3">
      <c r="A512" t="s">
        <v>167</v>
      </c>
      <c r="B512">
        <v>14</v>
      </c>
      <c r="C512">
        <v>1</v>
      </c>
      <c r="D512">
        <v>32</v>
      </c>
      <c r="E512" t="s">
        <v>95</v>
      </c>
      <c r="F512">
        <v>90</v>
      </c>
      <c r="H512">
        <v>3</v>
      </c>
      <c r="I512">
        <v>3</v>
      </c>
      <c r="J512">
        <v>9</v>
      </c>
    </row>
    <row r="513" spans="1:10" x14ac:dyDescent="0.3">
      <c r="A513" t="s">
        <v>167</v>
      </c>
      <c r="B513">
        <v>14</v>
      </c>
      <c r="C513">
        <v>1</v>
      </c>
      <c r="D513">
        <v>32</v>
      </c>
      <c r="E513" t="s">
        <v>95</v>
      </c>
      <c r="F513">
        <v>90</v>
      </c>
      <c r="H513">
        <v>3</v>
      </c>
      <c r="I513">
        <v>5</v>
      </c>
      <c r="J513">
        <v>15</v>
      </c>
    </row>
    <row r="514" spans="1:10" x14ac:dyDescent="0.3">
      <c r="A514" t="s">
        <v>167</v>
      </c>
      <c r="B514">
        <v>14</v>
      </c>
      <c r="C514">
        <v>1</v>
      </c>
      <c r="D514">
        <v>32</v>
      </c>
      <c r="E514" t="s">
        <v>95</v>
      </c>
      <c r="F514">
        <v>90</v>
      </c>
      <c r="H514">
        <v>32</v>
      </c>
      <c r="I514">
        <v>0.6</v>
      </c>
      <c r="J514">
        <v>19.2</v>
      </c>
    </row>
    <row r="515" spans="1:10" x14ac:dyDescent="0.3">
      <c r="A515" t="s">
        <v>167</v>
      </c>
      <c r="B515">
        <v>14</v>
      </c>
      <c r="C515">
        <v>1</v>
      </c>
      <c r="D515">
        <v>32</v>
      </c>
      <c r="E515" t="s">
        <v>95</v>
      </c>
      <c r="F515">
        <v>90</v>
      </c>
      <c r="H515">
        <v>64</v>
      </c>
      <c r="I515">
        <v>0.6</v>
      </c>
      <c r="J515">
        <v>38.4</v>
      </c>
    </row>
    <row r="516" spans="1:10" x14ac:dyDescent="0.3">
      <c r="A516" t="s">
        <v>167</v>
      </c>
      <c r="B516">
        <v>14</v>
      </c>
      <c r="C516">
        <v>1</v>
      </c>
      <c r="D516">
        <v>32</v>
      </c>
      <c r="E516" t="s">
        <v>95</v>
      </c>
      <c r="F516">
        <v>100</v>
      </c>
      <c r="H516">
        <v>1</v>
      </c>
      <c r="I516">
        <v>5</v>
      </c>
      <c r="J516">
        <v>5</v>
      </c>
    </row>
    <row r="517" spans="1:10" x14ac:dyDescent="0.3">
      <c r="A517" t="s">
        <v>167</v>
      </c>
      <c r="B517">
        <v>14</v>
      </c>
      <c r="C517">
        <v>1</v>
      </c>
      <c r="D517">
        <v>32</v>
      </c>
      <c r="E517" t="s">
        <v>95</v>
      </c>
      <c r="F517">
        <v>100</v>
      </c>
      <c r="H517">
        <v>1</v>
      </c>
      <c r="I517">
        <v>10</v>
      </c>
      <c r="J517">
        <v>10</v>
      </c>
    </row>
    <row r="518" spans="1:10" x14ac:dyDescent="0.3">
      <c r="A518" t="s">
        <v>167</v>
      </c>
      <c r="B518">
        <v>14</v>
      </c>
      <c r="C518">
        <v>1</v>
      </c>
      <c r="D518">
        <v>32</v>
      </c>
      <c r="E518" t="s">
        <v>95</v>
      </c>
      <c r="F518">
        <v>100</v>
      </c>
      <c r="H518">
        <v>3</v>
      </c>
      <c r="I518">
        <v>3</v>
      </c>
      <c r="J518">
        <v>9</v>
      </c>
    </row>
    <row r="519" spans="1:10" x14ac:dyDescent="0.3">
      <c r="A519" t="s">
        <v>167</v>
      </c>
      <c r="B519">
        <v>14</v>
      </c>
      <c r="C519">
        <v>1</v>
      </c>
      <c r="D519">
        <v>32</v>
      </c>
      <c r="E519" t="s">
        <v>95</v>
      </c>
      <c r="F519">
        <v>100</v>
      </c>
      <c r="H519">
        <v>3</v>
      </c>
      <c r="I519">
        <v>5</v>
      </c>
      <c r="J519">
        <v>15</v>
      </c>
    </row>
    <row r="520" spans="1:10" x14ac:dyDescent="0.3">
      <c r="A520" t="s">
        <v>167</v>
      </c>
      <c r="B520">
        <v>14</v>
      </c>
      <c r="C520">
        <v>1</v>
      </c>
      <c r="D520">
        <v>32</v>
      </c>
      <c r="E520" t="s">
        <v>95</v>
      </c>
      <c r="F520">
        <v>100</v>
      </c>
      <c r="H520">
        <v>32</v>
      </c>
      <c r="I520">
        <v>0.6</v>
      </c>
      <c r="J520">
        <v>19.2</v>
      </c>
    </row>
    <row r="521" spans="1:10" x14ac:dyDescent="0.3">
      <c r="A521" t="s">
        <v>167</v>
      </c>
      <c r="B521">
        <v>14</v>
      </c>
      <c r="C521">
        <v>1</v>
      </c>
      <c r="D521">
        <v>32</v>
      </c>
      <c r="E521" t="s">
        <v>95</v>
      </c>
      <c r="F521">
        <v>100</v>
      </c>
      <c r="H521">
        <v>64</v>
      </c>
      <c r="I521">
        <v>0.6</v>
      </c>
      <c r="J521">
        <v>38.4</v>
      </c>
    </row>
    <row r="522" spans="1:10" x14ac:dyDescent="0.3">
      <c r="A522" t="s">
        <v>167</v>
      </c>
      <c r="B522">
        <v>14</v>
      </c>
      <c r="C522">
        <v>1</v>
      </c>
      <c r="D522">
        <v>32</v>
      </c>
      <c r="E522" t="s">
        <v>95</v>
      </c>
      <c r="F522">
        <v>110</v>
      </c>
      <c r="H522">
        <v>1</v>
      </c>
      <c r="I522">
        <v>5</v>
      </c>
      <c r="J522">
        <v>5</v>
      </c>
    </row>
    <row r="523" spans="1:10" x14ac:dyDescent="0.3">
      <c r="A523" t="s">
        <v>167</v>
      </c>
      <c r="B523">
        <v>14</v>
      </c>
      <c r="C523">
        <v>1</v>
      </c>
      <c r="D523">
        <v>32</v>
      </c>
      <c r="E523" t="s">
        <v>95</v>
      </c>
      <c r="F523">
        <v>110</v>
      </c>
      <c r="H523">
        <v>1</v>
      </c>
      <c r="I523">
        <v>10</v>
      </c>
      <c r="J523">
        <v>10</v>
      </c>
    </row>
    <row r="524" spans="1:10" x14ac:dyDescent="0.3">
      <c r="A524" t="s">
        <v>167</v>
      </c>
      <c r="B524">
        <v>14</v>
      </c>
      <c r="C524">
        <v>1</v>
      </c>
      <c r="D524">
        <v>32</v>
      </c>
      <c r="E524" t="s">
        <v>95</v>
      </c>
      <c r="F524">
        <v>110</v>
      </c>
      <c r="H524">
        <v>3</v>
      </c>
      <c r="I524">
        <v>3</v>
      </c>
      <c r="J524">
        <v>9</v>
      </c>
    </row>
    <row r="525" spans="1:10" x14ac:dyDescent="0.3">
      <c r="A525" t="s">
        <v>167</v>
      </c>
      <c r="B525">
        <v>14</v>
      </c>
      <c r="C525">
        <v>1</v>
      </c>
      <c r="D525">
        <v>32</v>
      </c>
      <c r="E525" t="s">
        <v>95</v>
      </c>
      <c r="F525">
        <v>110</v>
      </c>
      <c r="H525">
        <v>3</v>
      </c>
      <c r="I525">
        <v>5</v>
      </c>
      <c r="J525">
        <v>15</v>
      </c>
    </row>
    <row r="526" spans="1:10" x14ac:dyDescent="0.3">
      <c r="A526" t="s">
        <v>167</v>
      </c>
      <c r="B526">
        <v>14</v>
      </c>
      <c r="C526">
        <v>1</v>
      </c>
      <c r="D526">
        <v>32</v>
      </c>
      <c r="E526" t="s">
        <v>95</v>
      </c>
      <c r="F526">
        <v>110</v>
      </c>
      <c r="H526">
        <v>32</v>
      </c>
      <c r="I526">
        <v>0.6</v>
      </c>
      <c r="J526">
        <v>19.2</v>
      </c>
    </row>
    <row r="527" spans="1:10" x14ac:dyDescent="0.3">
      <c r="A527" t="s">
        <v>167</v>
      </c>
      <c r="B527">
        <v>14</v>
      </c>
      <c r="C527">
        <v>1</v>
      </c>
      <c r="D527">
        <v>32</v>
      </c>
      <c r="E527" t="s">
        <v>95</v>
      </c>
      <c r="F527">
        <v>110</v>
      </c>
      <c r="H527">
        <v>64</v>
      </c>
      <c r="I527">
        <v>0.6</v>
      </c>
      <c r="J527">
        <v>38.4</v>
      </c>
    </row>
    <row r="528" spans="1:10" x14ac:dyDescent="0.3">
      <c r="A528" t="s">
        <v>167</v>
      </c>
      <c r="B528">
        <v>14</v>
      </c>
      <c r="C528">
        <v>1</v>
      </c>
      <c r="D528">
        <v>32</v>
      </c>
      <c r="E528" t="s">
        <v>95</v>
      </c>
      <c r="F528">
        <v>120</v>
      </c>
      <c r="H528">
        <v>1</v>
      </c>
      <c r="I528">
        <v>5</v>
      </c>
      <c r="J528">
        <v>5</v>
      </c>
    </row>
    <row r="529" spans="1:10" x14ac:dyDescent="0.3">
      <c r="A529" t="s">
        <v>167</v>
      </c>
      <c r="B529">
        <v>14</v>
      </c>
      <c r="C529">
        <v>1</v>
      </c>
      <c r="D529">
        <v>32</v>
      </c>
      <c r="E529" t="s">
        <v>95</v>
      </c>
      <c r="F529">
        <v>120</v>
      </c>
      <c r="H529">
        <v>1</v>
      </c>
      <c r="I529">
        <v>10</v>
      </c>
      <c r="J529">
        <v>10</v>
      </c>
    </row>
    <row r="530" spans="1:10" x14ac:dyDescent="0.3">
      <c r="A530" t="s">
        <v>167</v>
      </c>
      <c r="B530">
        <v>14</v>
      </c>
      <c r="C530">
        <v>1</v>
      </c>
      <c r="D530">
        <v>32</v>
      </c>
      <c r="E530" t="s">
        <v>95</v>
      </c>
      <c r="F530">
        <v>120</v>
      </c>
      <c r="H530">
        <v>3</v>
      </c>
      <c r="I530">
        <v>3</v>
      </c>
      <c r="J530">
        <v>9</v>
      </c>
    </row>
    <row r="531" spans="1:10" x14ac:dyDescent="0.3">
      <c r="A531" t="s">
        <v>167</v>
      </c>
      <c r="B531">
        <v>14</v>
      </c>
      <c r="C531">
        <v>1</v>
      </c>
      <c r="D531">
        <v>32</v>
      </c>
      <c r="E531" t="s">
        <v>95</v>
      </c>
      <c r="F531">
        <v>120</v>
      </c>
      <c r="H531">
        <v>3</v>
      </c>
      <c r="I531">
        <v>5</v>
      </c>
      <c r="J531">
        <v>15</v>
      </c>
    </row>
    <row r="532" spans="1:10" x14ac:dyDescent="0.3">
      <c r="A532" t="s">
        <v>167</v>
      </c>
      <c r="B532">
        <v>14</v>
      </c>
      <c r="C532">
        <v>1</v>
      </c>
      <c r="D532">
        <v>32</v>
      </c>
      <c r="E532" t="s">
        <v>95</v>
      </c>
      <c r="F532">
        <v>120</v>
      </c>
      <c r="H532">
        <v>32</v>
      </c>
      <c r="I532">
        <v>0.6</v>
      </c>
      <c r="J532">
        <v>19.2</v>
      </c>
    </row>
    <row r="533" spans="1:10" x14ac:dyDescent="0.3">
      <c r="A533" t="s">
        <v>167</v>
      </c>
      <c r="B533">
        <v>14</v>
      </c>
      <c r="C533">
        <v>1</v>
      </c>
      <c r="D533">
        <v>32</v>
      </c>
      <c r="E533" t="s">
        <v>95</v>
      </c>
      <c r="F533">
        <v>120</v>
      </c>
      <c r="H533">
        <v>64</v>
      </c>
      <c r="I533">
        <v>0.6</v>
      </c>
      <c r="J533">
        <v>38.4</v>
      </c>
    </row>
    <row r="534" spans="1:10" x14ac:dyDescent="0.3">
      <c r="A534" t="s">
        <v>167</v>
      </c>
      <c r="B534">
        <v>14</v>
      </c>
      <c r="C534">
        <v>1</v>
      </c>
      <c r="D534">
        <v>32</v>
      </c>
      <c r="E534" t="s">
        <v>95</v>
      </c>
      <c r="F534">
        <v>130</v>
      </c>
      <c r="H534">
        <v>1</v>
      </c>
      <c r="I534">
        <v>5</v>
      </c>
      <c r="J534">
        <v>5</v>
      </c>
    </row>
    <row r="535" spans="1:10" x14ac:dyDescent="0.3">
      <c r="A535" t="s">
        <v>167</v>
      </c>
      <c r="B535">
        <v>14</v>
      </c>
      <c r="C535">
        <v>1</v>
      </c>
      <c r="D535">
        <v>32</v>
      </c>
      <c r="E535" t="s">
        <v>95</v>
      </c>
      <c r="F535">
        <v>130</v>
      </c>
      <c r="H535">
        <v>1</v>
      </c>
      <c r="I535">
        <v>10</v>
      </c>
      <c r="J535">
        <v>10</v>
      </c>
    </row>
    <row r="536" spans="1:10" x14ac:dyDescent="0.3">
      <c r="A536" t="s">
        <v>167</v>
      </c>
      <c r="B536">
        <v>14</v>
      </c>
      <c r="C536">
        <v>1</v>
      </c>
      <c r="D536">
        <v>32</v>
      </c>
      <c r="E536" t="s">
        <v>95</v>
      </c>
      <c r="F536">
        <v>130</v>
      </c>
      <c r="H536">
        <v>3</v>
      </c>
      <c r="I536">
        <v>3</v>
      </c>
      <c r="J536">
        <v>9</v>
      </c>
    </row>
    <row r="537" spans="1:10" x14ac:dyDescent="0.3">
      <c r="A537" t="s">
        <v>167</v>
      </c>
      <c r="B537">
        <v>14</v>
      </c>
      <c r="C537">
        <v>1</v>
      </c>
      <c r="D537">
        <v>32</v>
      </c>
      <c r="E537" t="s">
        <v>95</v>
      </c>
      <c r="F537">
        <v>130</v>
      </c>
      <c r="H537">
        <v>3</v>
      </c>
      <c r="I537">
        <v>5</v>
      </c>
      <c r="J537">
        <v>15</v>
      </c>
    </row>
    <row r="538" spans="1:10" x14ac:dyDescent="0.3">
      <c r="A538" t="s">
        <v>167</v>
      </c>
      <c r="B538">
        <v>14</v>
      </c>
      <c r="C538">
        <v>1</v>
      </c>
      <c r="D538">
        <v>32</v>
      </c>
      <c r="E538" t="s">
        <v>95</v>
      </c>
      <c r="F538">
        <v>130</v>
      </c>
      <c r="H538">
        <v>32</v>
      </c>
      <c r="I538">
        <v>0.6</v>
      </c>
      <c r="J538">
        <v>19.2</v>
      </c>
    </row>
    <row r="539" spans="1:10" x14ac:dyDescent="0.3">
      <c r="A539" t="s">
        <v>167</v>
      </c>
      <c r="B539">
        <v>14</v>
      </c>
      <c r="C539">
        <v>1</v>
      </c>
      <c r="D539">
        <v>32</v>
      </c>
      <c r="E539" t="s">
        <v>95</v>
      </c>
      <c r="F539">
        <v>130</v>
      </c>
      <c r="H539">
        <v>64</v>
      </c>
      <c r="I539">
        <v>0.6</v>
      </c>
      <c r="J539">
        <v>38.4</v>
      </c>
    </row>
    <row r="540" spans="1:10" x14ac:dyDescent="0.3">
      <c r="A540" t="s">
        <v>167</v>
      </c>
      <c r="B540">
        <v>14</v>
      </c>
      <c r="C540">
        <v>1</v>
      </c>
      <c r="D540">
        <v>32</v>
      </c>
      <c r="E540" t="s">
        <v>95</v>
      </c>
      <c r="F540">
        <v>140</v>
      </c>
      <c r="H540">
        <v>1</v>
      </c>
      <c r="I540">
        <v>5</v>
      </c>
      <c r="J540">
        <v>5</v>
      </c>
    </row>
    <row r="541" spans="1:10" x14ac:dyDescent="0.3">
      <c r="A541" t="s">
        <v>167</v>
      </c>
      <c r="B541">
        <v>14</v>
      </c>
      <c r="C541">
        <v>1</v>
      </c>
      <c r="D541">
        <v>32</v>
      </c>
      <c r="E541" t="s">
        <v>95</v>
      </c>
      <c r="F541">
        <v>140</v>
      </c>
      <c r="H541">
        <v>1</v>
      </c>
      <c r="I541">
        <v>10</v>
      </c>
      <c r="J541">
        <v>10</v>
      </c>
    </row>
    <row r="542" spans="1:10" x14ac:dyDescent="0.3">
      <c r="A542" t="s">
        <v>167</v>
      </c>
      <c r="B542">
        <v>14</v>
      </c>
      <c r="C542">
        <v>1</v>
      </c>
      <c r="D542">
        <v>32</v>
      </c>
      <c r="E542" t="s">
        <v>95</v>
      </c>
      <c r="F542">
        <v>140</v>
      </c>
      <c r="H542">
        <v>3</v>
      </c>
      <c r="I542">
        <v>3</v>
      </c>
      <c r="J542">
        <v>9</v>
      </c>
    </row>
    <row r="543" spans="1:10" x14ac:dyDescent="0.3">
      <c r="A543" t="s">
        <v>167</v>
      </c>
      <c r="B543">
        <v>14</v>
      </c>
      <c r="C543">
        <v>1</v>
      </c>
      <c r="D543">
        <v>32</v>
      </c>
      <c r="E543" t="s">
        <v>95</v>
      </c>
      <c r="F543">
        <v>140</v>
      </c>
      <c r="H543">
        <v>3</v>
      </c>
      <c r="I543">
        <v>5</v>
      </c>
      <c r="J543">
        <v>15</v>
      </c>
    </row>
    <row r="544" spans="1:10" x14ac:dyDescent="0.3">
      <c r="A544" t="s">
        <v>167</v>
      </c>
      <c r="B544">
        <v>14</v>
      </c>
      <c r="C544">
        <v>1</v>
      </c>
      <c r="D544">
        <v>32</v>
      </c>
      <c r="E544" t="s">
        <v>95</v>
      </c>
      <c r="F544">
        <v>140</v>
      </c>
      <c r="H544">
        <v>32</v>
      </c>
      <c r="I544">
        <v>0.6</v>
      </c>
      <c r="J544">
        <v>19.2</v>
      </c>
    </row>
    <row r="545" spans="1:10" x14ac:dyDescent="0.3">
      <c r="A545" t="s">
        <v>167</v>
      </c>
      <c r="B545">
        <v>14</v>
      </c>
      <c r="C545">
        <v>1</v>
      </c>
      <c r="D545">
        <v>32</v>
      </c>
      <c r="E545" t="s">
        <v>95</v>
      </c>
      <c r="F545">
        <v>140</v>
      </c>
      <c r="H545">
        <v>64</v>
      </c>
      <c r="I545">
        <v>0.6</v>
      </c>
      <c r="J545">
        <v>38.4</v>
      </c>
    </row>
    <row r="546" spans="1:10" x14ac:dyDescent="0.3">
      <c r="A546" t="s">
        <v>167</v>
      </c>
      <c r="B546">
        <v>14</v>
      </c>
      <c r="C546">
        <v>1</v>
      </c>
      <c r="D546">
        <v>32</v>
      </c>
      <c r="E546" t="s">
        <v>95</v>
      </c>
      <c r="F546">
        <v>100</v>
      </c>
      <c r="G546" t="s">
        <v>139</v>
      </c>
      <c r="H546">
        <v>1</v>
      </c>
      <c r="I546">
        <v>5</v>
      </c>
      <c r="J546">
        <v>5</v>
      </c>
    </row>
    <row r="547" spans="1:10" x14ac:dyDescent="0.3">
      <c r="A547" t="s">
        <v>167</v>
      </c>
      <c r="B547">
        <v>14</v>
      </c>
      <c r="C547">
        <v>1</v>
      </c>
      <c r="D547">
        <v>32</v>
      </c>
      <c r="E547" t="s">
        <v>95</v>
      </c>
      <c r="F547">
        <v>100</v>
      </c>
      <c r="G547" t="s">
        <v>139</v>
      </c>
      <c r="H547">
        <v>1</v>
      </c>
      <c r="I547">
        <v>10</v>
      </c>
      <c r="J547">
        <v>10</v>
      </c>
    </row>
    <row r="548" spans="1:10" x14ac:dyDescent="0.3">
      <c r="A548" t="s">
        <v>167</v>
      </c>
      <c r="B548">
        <v>14</v>
      </c>
      <c r="C548">
        <v>1</v>
      </c>
      <c r="D548">
        <v>32</v>
      </c>
      <c r="E548" t="s">
        <v>95</v>
      </c>
      <c r="F548">
        <v>100</v>
      </c>
      <c r="G548" t="s">
        <v>139</v>
      </c>
      <c r="H548">
        <v>3</v>
      </c>
      <c r="I548">
        <v>3</v>
      </c>
      <c r="J548">
        <v>9</v>
      </c>
    </row>
    <row r="549" spans="1:10" x14ac:dyDescent="0.3">
      <c r="A549" t="s">
        <v>167</v>
      </c>
      <c r="B549">
        <v>14</v>
      </c>
      <c r="C549">
        <v>1</v>
      </c>
      <c r="D549">
        <v>32</v>
      </c>
      <c r="E549" t="s">
        <v>95</v>
      </c>
      <c r="F549">
        <v>100</v>
      </c>
      <c r="G549" t="s">
        <v>139</v>
      </c>
      <c r="H549">
        <v>3</v>
      </c>
      <c r="I549">
        <v>5</v>
      </c>
      <c r="J549">
        <v>15</v>
      </c>
    </row>
    <row r="550" spans="1:10" x14ac:dyDescent="0.3">
      <c r="A550" t="s">
        <v>167</v>
      </c>
      <c r="B550">
        <v>14</v>
      </c>
      <c r="C550">
        <v>1</v>
      </c>
      <c r="D550">
        <v>32</v>
      </c>
      <c r="E550" t="s">
        <v>95</v>
      </c>
      <c r="F550">
        <v>100</v>
      </c>
      <c r="G550" t="s">
        <v>139</v>
      </c>
      <c r="H550">
        <v>32</v>
      </c>
      <c r="I550">
        <v>0.6</v>
      </c>
      <c r="J550">
        <v>19.2</v>
      </c>
    </row>
    <row r="551" spans="1:10" x14ac:dyDescent="0.3">
      <c r="A551" t="s">
        <v>167</v>
      </c>
      <c r="B551">
        <v>14</v>
      </c>
      <c r="C551">
        <v>1</v>
      </c>
      <c r="D551">
        <v>32</v>
      </c>
      <c r="E551" t="s">
        <v>95</v>
      </c>
      <c r="F551">
        <v>100</v>
      </c>
      <c r="G551" t="s">
        <v>139</v>
      </c>
      <c r="H551">
        <v>64</v>
      </c>
      <c r="I551">
        <v>0.6</v>
      </c>
      <c r="J551">
        <v>38.4</v>
      </c>
    </row>
    <row r="552" spans="1:10" x14ac:dyDescent="0.3">
      <c r="A552" t="s">
        <v>167</v>
      </c>
      <c r="B552">
        <v>14</v>
      </c>
      <c r="C552">
        <v>1</v>
      </c>
      <c r="D552">
        <v>32</v>
      </c>
      <c r="E552" t="s">
        <v>95</v>
      </c>
      <c r="F552">
        <v>110</v>
      </c>
      <c r="G552" t="s">
        <v>139</v>
      </c>
      <c r="H552">
        <v>1</v>
      </c>
      <c r="I552">
        <v>5</v>
      </c>
      <c r="J552">
        <v>5</v>
      </c>
    </row>
    <row r="553" spans="1:10" x14ac:dyDescent="0.3">
      <c r="A553" t="s">
        <v>167</v>
      </c>
      <c r="B553">
        <v>14</v>
      </c>
      <c r="C553">
        <v>1</v>
      </c>
      <c r="D553">
        <v>32</v>
      </c>
      <c r="E553" t="s">
        <v>95</v>
      </c>
      <c r="F553">
        <v>110</v>
      </c>
      <c r="G553" t="s">
        <v>139</v>
      </c>
      <c r="H553">
        <v>1</v>
      </c>
      <c r="I553">
        <v>10</v>
      </c>
      <c r="J553">
        <v>10</v>
      </c>
    </row>
    <row r="554" spans="1:10" x14ac:dyDescent="0.3">
      <c r="A554" t="s">
        <v>167</v>
      </c>
      <c r="B554">
        <v>14</v>
      </c>
      <c r="C554">
        <v>1</v>
      </c>
      <c r="D554">
        <v>32</v>
      </c>
      <c r="E554" t="s">
        <v>95</v>
      </c>
      <c r="F554">
        <v>110</v>
      </c>
      <c r="G554" t="s">
        <v>139</v>
      </c>
      <c r="H554">
        <v>3</v>
      </c>
      <c r="I554">
        <v>3</v>
      </c>
      <c r="J554">
        <v>9</v>
      </c>
    </row>
    <row r="555" spans="1:10" x14ac:dyDescent="0.3">
      <c r="A555" t="s">
        <v>167</v>
      </c>
      <c r="B555">
        <v>14</v>
      </c>
      <c r="C555">
        <v>1</v>
      </c>
      <c r="D555">
        <v>32</v>
      </c>
      <c r="E555" t="s">
        <v>95</v>
      </c>
      <c r="F555">
        <v>110</v>
      </c>
      <c r="G555" t="s">
        <v>139</v>
      </c>
      <c r="H555">
        <v>3</v>
      </c>
      <c r="I555">
        <v>5</v>
      </c>
      <c r="J555">
        <v>15</v>
      </c>
    </row>
    <row r="556" spans="1:10" x14ac:dyDescent="0.3">
      <c r="A556" t="s">
        <v>167</v>
      </c>
      <c r="B556">
        <v>14</v>
      </c>
      <c r="C556">
        <v>1</v>
      </c>
      <c r="D556">
        <v>32</v>
      </c>
      <c r="E556" t="s">
        <v>95</v>
      </c>
      <c r="F556">
        <v>110</v>
      </c>
      <c r="G556" t="s">
        <v>139</v>
      </c>
      <c r="H556">
        <v>32</v>
      </c>
      <c r="I556">
        <v>0.6</v>
      </c>
      <c r="J556">
        <v>19.2</v>
      </c>
    </row>
    <row r="557" spans="1:10" x14ac:dyDescent="0.3">
      <c r="A557" t="s">
        <v>167</v>
      </c>
      <c r="B557">
        <v>14</v>
      </c>
      <c r="C557">
        <v>1</v>
      </c>
      <c r="D557">
        <v>32</v>
      </c>
      <c r="E557" t="s">
        <v>95</v>
      </c>
      <c r="F557">
        <v>110</v>
      </c>
      <c r="G557" t="s">
        <v>139</v>
      </c>
      <c r="H557">
        <v>64</v>
      </c>
      <c r="I557">
        <v>0.6</v>
      </c>
      <c r="J557">
        <v>38.4</v>
      </c>
    </row>
    <row r="558" spans="1:10" x14ac:dyDescent="0.3">
      <c r="A558" t="s">
        <v>167</v>
      </c>
      <c r="B558">
        <v>14</v>
      </c>
      <c r="C558">
        <v>1</v>
      </c>
      <c r="D558">
        <v>32</v>
      </c>
      <c r="E558" t="s">
        <v>95</v>
      </c>
      <c r="F558">
        <v>120</v>
      </c>
      <c r="G558" t="s">
        <v>139</v>
      </c>
      <c r="H558">
        <v>1</v>
      </c>
      <c r="I558">
        <v>5</v>
      </c>
      <c r="J558">
        <v>5</v>
      </c>
    </row>
    <row r="559" spans="1:10" x14ac:dyDescent="0.3">
      <c r="A559" t="s">
        <v>167</v>
      </c>
      <c r="B559">
        <v>14</v>
      </c>
      <c r="C559">
        <v>1</v>
      </c>
      <c r="D559">
        <v>32</v>
      </c>
      <c r="E559" t="s">
        <v>95</v>
      </c>
      <c r="F559">
        <v>120</v>
      </c>
      <c r="G559" t="s">
        <v>139</v>
      </c>
      <c r="H559">
        <v>1</v>
      </c>
      <c r="I559">
        <v>10</v>
      </c>
      <c r="J559">
        <v>10</v>
      </c>
    </row>
    <row r="560" spans="1:10" x14ac:dyDescent="0.3">
      <c r="A560" t="s">
        <v>167</v>
      </c>
      <c r="B560">
        <v>14</v>
      </c>
      <c r="C560">
        <v>1</v>
      </c>
      <c r="D560">
        <v>32</v>
      </c>
      <c r="E560" t="s">
        <v>95</v>
      </c>
      <c r="F560">
        <v>120</v>
      </c>
      <c r="G560" t="s">
        <v>139</v>
      </c>
      <c r="H560">
        <v>3</v>
      </c>
      <c r="I560">
        <v>3</v>
      </c>
      <c r="J560">
        <v>9</v>
      </c>
    </row>
    <row r="561" spans="1:10" x14ac:dyDescent="0.3">
      <c r="A561" t="s">
        <v>167</v>
      </c>
      <c r="B561">
        <v>14</v>
      </c>
      <c r="C561">
        <v>1</v>
      </c>
      <c r="D561">
        <v>32</v>
      </c>
      <c r="E561" t="s">
        <v>95</v>
      </c>
      <c r="F561">
        <v>120</v>
      </c>
      <c r="G561" t="s">
        <v>139</v>
      </c>
      <c r="H561">
        <v>3</v>
      </c>
      <c r="I561">
        <v>5</v>
      </c>
      <c r="J561">
        <v>15</v>
      </c>
    </row>
    <row r="562" spans="1:10" x14ac:dyDescent="0.3">
      <c r="A562" t="s">
        <v>167</v>
      </c>
      <c r="B562">
        <v>14</v>
      </c>
      <c r="C562">
        <v>1</v>
      </c>
      <c r="D562">
        <v>32</v>
      </c>
      <c r="E562" t="s">
        <v>95</v>
      </c>
      <c r="F562">
        <v>120</v>
      </c>
      <c r="G562" t="s">
        <v>139</v>
      </c>
      <c r="H562">
        <v>32</v>
      </c>
      <c r="I562">
        <v>0.6</v>
      </c>
      <c r="J562">
        <v>19.2</v>
      </c>
    </row>
    <row r="563" spans="1:10" x14ac:dyDescent="0.3">
      <c r="A563" t="s">
        <v>167</v>
      </c>
      <c r="B563">
        <v>14</v>
      </c>
      <c r="C563">
        <v>1</v>
      </c>
      <c r="D563">
        <v>32</v>
      </c>
      <c r="E563" t="s">
        <v>95</v>
      </c>
      <c r="F563">
        <v>120</v>
      </c>
      <c r="G563" t="s">
        <v>139</v>
      </c>
      <c r="H563">
        <v>64</v>
      </c>
      <c r="I563">
        <v>0.6</v>
      </c>
      <c r="J563">
        <v>38.4</v>
      </c>
    </row>
    <row r="564" spans="1:10" x14ac:dyDescent="0.3">
      <c r="A564" t="s">
        <v>167</v>
      </c>
      <c r="B564">
        <v>14</v>
      </c>
      <c r="C564">
        <v>1</v>
      </c>
      <c r="D564">
        <v>32</v>
      </c>
      <c r="E564" t="s">
        <v>95</v>
      </c>
      <c r="F564">
        <v>130</v>
      </c>
      <c r="G564" t="s">
        <v>139</v>
      </c>
      <c r="H564">
        <v>1</v>
      </c>
      <c r="I564">
        <v>5</v>
      </c>
      <c r="J564">
        <v>5</v>
      </c>
    </row>
    <row r="565" spans="1:10" x14ac:dyDescent="0.3">
      <c r="A565" t="s">
        <v>167</v>
      </c>
      <c r="B565">
        <v>14</v>
      </c>
      <c r="C565">
        <v>1</v>
      </c>
      <c r="D565">
        <v>32</v>
      </c>
      <c r="E565" t="s">
        <v>95</v>
      </c>
      <c r="F565">
        <v>130</v>
      </c>
      <c r="G565" t="s">
        <v>139</v>
      </c>
      <c r="H565">
        <v>1</v>
      </c>
      <c r="I565">
        <v>10</v>
      </c>
      <c r="J565">
        <v>10</v>
      </c>
    </row>
    <row r="566" spans="1:10" x14ac:dyDescent="0.3">
      <c r="A566" t="s">
        <v>167</v>
      </c>
      <c r="B566">
        <v>14</v>
      </c>
      <c r="C566">
        <v>1</v>
      </c>
      <c r="D566">
        <v>32</v>
      </c>
      <c r="E566" t="s">
        <v>95</v>
      </c>
      <c r="F566">
        <v>130</v>
      </c>
      <c r="G566" t="s">
        <v>139</v>
      </c>
      <c r="H566">
        <v>3</v>
      </c>
      <c r="I566">
        <v>3</v>
      </c>
      <c r="J566">
        <v>9</v>
      </c>
    </row>
    <row r="567" spans="1:10" x14ac:dyDescent="0.3">
      <c r="A567" t="s">
        <v>167</v>
      </c>
      <c r="B567">
        <v>14</v>
      </c>
      <c r="C567">
        <v>1</v>
      </c>
      <c r="D567">
        <v>32</v>
      </c>
      <c r="E567" t="s">
        <v>95</v>
      </c>
      <c r="F567">
        <v>130</v>
      </c>
      <c r="G567" t="s">
        <v>139</v>
      </c>
      <c r="H567">
        <v>3</v>
      </c>
      <c r="I567">
        <v>5</v>
      </c>
      <c r="J567">
        <v>15</v>
      </c>
    </row>
    <row r="568" spans="1:10" x14ac:dyDescent="0.3">
      <c r="A568" t="s">
        <v>167</v>
      </c>
      <c r="B568">
        <v>14</v>
      </c>
      <c r="C568">
        <v>1</v>
      </c>
      <c r="D568">
        <v>32</v>
      </c>
      <c r="E568" t="s">
        <v>95</v>
      </c>
      <c r="F568">
        <v>130</v>
      </c>
      <c r="G568" t="s">
        <v>139</v>
      </c>
      <c r="H568">
        <v>32</v>
      </c>
      <c r="I568">
        <v>0.6</v>
      </c>
      <c r="J568">
        <v>19.2</v>
      </c>
    </row>
    <row r="569" spans="1:10" x14ac:dyDescent="0.3">
      <c r="A569" t="s">
        <v>167</v>
      </c>
      <c r="B569">
        <v>14</v>
      </c>
      <c r="C569">
        <v>1</v>
      </c>
      <c r="D569">
        <v>32</v>
      </c>
      <c r="E569" t="s">
        <v>95</v>
      </c>
      <c r="F569">
        <v>130</v>
      </c>
      <c r="G569" t="s">
        <v>139</v>
      </c>
      <c r="H569">
        <v>64</v>
      </c>
      <c r="I569">
        <v>0.6</v>
      </c>
      <c r="J569">
        <v>38.4</v>
      </c>
    </row>
    <row r="570" spans="1:10" x14ac:dyDescent="0.3">
      <c r="A570" t="s">
        <v>167</v>
      </c>
      <c r="B570">
        <v>14</v>
      </c>
      <c r="C570">
        <v>1</v>
      </c>
      <c r="D570">
        <v>32</v>
      </c>
      <c r="E570" t="s">
        <v>95</v>
      </c>
      <c r="F570">
        <v>140</v>
      </c>
      <c r="G570" t="s">
        <v>139</v>
      </c>
      <c r="H570">
        <v>1</v>
      </c>
      <c r="I570">
        <v>5</v>
      </c>
      <c r="J570">
        <v>5</v>
      </c>
    </row>
    <row r="571" spans="1:10" x14ac:dyDescent="0.3">
      <c r="A571" t="s">
        <v>167</v>
      </c>
      <c r="B571">
        <v>14</v>
      </c>
      <c r="C571">
        <v>1</v>
      </c>
      <c r="D571">
        <v>32</v>
      </c>
      <c r="E571" t="s">
        <v>95</v>
      </c>
      <c r="F571">
        <v>140</v>
      </c>
      <c r="G571" t="s">
        <v>139</v>
      </c>
      <c r="H571">
        <v>1</v>
      </c>
      <c r="I571">
        <v>10</v>
      </c>
      <c r="J571">
        <v>10</v>
      </c>
    </row>
    <row r="572" spans="1:10" x14ac:dyDescent="0.3">
      <c r="A572" t="s">
        <v>167</v>
      </c>
      <c r="B572">
        <v>14</v>
      </c>
      <c r="C572">
        <v>1</v>
      </c>
      <c r="D572">
        <v>32</v>
      </c>
      <c r="E572" t="s">
        <v>95</v>
      </c>
      <c r="F572">
        <v>140</v>
      </c>
      <c r="G572" t="s">
        <v>139</v>
      </c>
      <c r="H572">
        <v>3</v>
      </c>
      <c r="I572">
        <v>3</v>
      </c>
      <c r="J572">
        <v>9</v>
      </c>
    </row>
    <row r="573" spans="1:10" x14ac:dyDescent="0.3">
      <c r="A573" t="s">
        <v>167</v>
      </c>
      <c r="B573">
        <v>14</v>
      </c>
      <c r="C573">
        <v>1</v>
      </c>
      <c r="D573">
        <v>32</v>
      </c>
      <c r="E573" t="s">
        <v>95</v>
      </c>
      <c r="F573">
        <v>140</v>
      </c>
      <c r="G573" t="s">
        <v>139</v>
      </c>
      <c r="H573">
        <v>3</v>
      </c>
      <c r="I573">
        <v>5</v>
      </c>
      <c r="J573">
        <v>15</v>
      </c>
    </row>
    <row r="574" spans="1:10" x14ac:dyDescent="0.3">
      <c r="A574" t="s">
        <v>167</v>
      </c>
      <c r="B574">
        <v>14</v>
      </c>
      <c r="C574">
        <v>1</v>
      </c>
      <c r="D574">
        <v>32</v>
      </c>
      <c r="E574" t="s">
        <v>95</v>
      </c>
      <c r="F574">
        <v>140</v>
      </c>
      <c r="G574" t="s">
        <v>139</v>
      </c>
      <c r="H574">
        <v>32</v>
      </c>
      <c r="I574">
        <v>0.6</v>
      </c>
      <c r="J574">
        <v>19.2</v>
      </c>
    </row>
    <row r="575" spans="1:10" x14ac:dyDescent="0.3">
      <c r="A575" t="s">
        <v>167</v>
      </c>
      <c r="B575">
        <v>14</v>
      </c>
      <c r="C575">
        <v>1</v>
      </c>
      <c r="D575">
        <v>32</v>
      </c>
      <c r="E575" t="s">
        <v>95</v>
      </c>
      <c r="F575">
        <v>140</v>
      </c>
      <c r="G575" t="s">
        <v>139</v>
      </c>
      <c r="H575">
        <v>64</v>
      </c>
      <c r="I575">
        <v>0.6</v>
      </c>
      <c r="J575">
        <v>38.4</v>
      </c>
    </row>
    <row r="576" spans="1:10" x14ac:dyDescent="0.3">
      <c r="A576" t="s">
        <v>167</v>
      </c>
      <c r="B576">
        <v>14</v>
      </c>
      <c r="C576">
        <v>1</v>
      </c>
      <c r="D576">
        <v>32</v>
      </c>
      <c r="E576" t="s">
        <v>96</v>
      </c>
      <c r="F576">
        <v>70</v>
      </c>
      <c r="H576">
        <v>1</v>
      </c>
      <c r="I576">
        <v>5</v>
      </c>
      <c r="J576">
        <v>5</v>
      </c>
    </row>
    <row r="577" spans="1:10" x14ac:dyDescent="0.3">
      <c r="A577" t="s">
        <v>167</v>
      </c>
      <c r="B577">
        <v>14</v>
      </c>
      <c r="C577">
        <v>1</v>
      </c>
      <c r="D577">
        <v>32</v>
      </c>
      <c r="E577" t="s">
        <v>96</v>
      </c>
      <c r="F577">
        <v>70</v>
      </c>
      <c r="H577">
        <v>1</v>
      </c>
      <c r="I577">
        <v>10</v>
      </c>
      <c r="J577">
        <v>10</v>
      </c>
    </row>
    <row r="578" spans="1:10" x14ac:dyDescent="0.3">
      <c r="A578" t="s">
        <v>167</v>
      </c>
      <c r="B578">
        <v>14</v>
      </c>
      <c r="C578">
        <v>1</v>
      </c>
      <c r="D578">
        <v>32</v>
      </c>
      <c r="E578" t="s">
        <v>96</v>
      </c>
      <c r="F578">
        <v>70</v>
      </c>
      <c r="H578">
        <v>3</v>
      </c>
      <c r="I578">
        <v>3</v>
      </c>
      <c r="J578">
        <v>9</v>
      </c>
    </row>
    <row r="579" spans="1:10" x14ac:dyDescent="0.3">
      <c r="A579" t="s">
        <v>167</v>
      </c>
      <c r="B579">
        <v>14</v>
      </c>
      <c r="C579">
        <v>1</v>
      </c>
      <c r="D579">
        <v>32</v>
      </c>
      <c r="E579" t="s">
        <v>96</v>
      </c>
      <c r="F579">
        <v>70</v>
      </c>
      <c r="H579">
        <v>3</v>
      </c>
      <c r="I579">
        <v>5</v>
      </c>
      <c r="J579">
        <v>15</v>
      </c>
    </row>
    <row r="580" spans="1:10" x14ac:dyDescent="0.3">
      <c r="A580" t="s">
        <v>167</v>
      </c>
      <c r="B580">
        <v>14</v>
      </c>
      <c r="C580">
        <v>1</v>
      </c>
      <c r="D580">
        <v>32</v>
      </c>
      <c r="E580" t="s">
        <v>96</v>
      </c>
      <c r="F580">
        <v>70</v>
      </c>
      <c r="H580">
        <v>32</v>
      </c>
      <c r="I580">
        <v>0.6</v>
      </c>
      <c r="J580">
        <v>19.2</v>
      </c>
    </row>
    <row r="581" spans="1:10" x14ac:dyDescent="0.3">
      <c r="A581" t="s">
        <v>167</v>
      </c>
      <c r="B581">
        <v>14</v>
      </c>
      <c r="C581">
        <v>1</v>
      </c>
      <c r="D581">
        <v>32</v>
      </c>
      <c r="E581" t="s">
        <v>96</v>
      </c>
      <c r="F581">
        <v>70</v>
      </c>
      <c r="H581">
        <v>64</v>
      </c>
      <c r="I581">
        <v>0.6</v>
      </c>
      <c r="J581">
        <v>38.4</v>
      </c>
    </row>
    <row r="582" spans="1:10" x14ac:dyDescent="0.3">
      <c r="A582" t="s">
        <v>167</v>
      </c>
      <c r="B582">
        <v>14</v>
      </c>
      <c r="C582">
        <v>1</v>
      </c>
      <c r="D582">
        <v>32</v>
      </c>
      <c r="E582" t="s">
        <v>96</v>
      </c>
      <c r="F582">
        <v>80</v>
      </c>
      <c r="H582">
        <v>1</v>
      </c>
      <c r="I582">
        <v>5</v>
      </c>
      <c r="J582">
        <v>5</v>
      </c>
    </row>
    <row r="583" spans="1:10" x14ac:dyDescent="0.3">
      <c r="A583" t="s">
        <v>167</v>
      </c>
      <c r="B583">
        <v>14</v>
      </c>
      <c r="C583">
        <v>1</v>
      </c>
      <c r="D583">
        <v>32</v>
      </c>
      <c r="E583" t="s">
        <v>96</v>
      </c>
      <c r="F583">
        <v>80</v>
      </c>
      <c r="H583">
        <v>1</v>
      </c>
      <c r="I583">
        <v>10</v>
      </c>
      <c r="J583">
        <v>10</v>
      </c>
    </row>
    <row r="584" spans="1:10" x14ac:dyDescent="0.3">
      <c r="A584" t="s">
        <v>167</v>
      </c>
      <c r="B584">
        <v>14</v>
      </c>
      <c r="C584">
        <v>1</v>
      </c>
      <c r="D584">
        <v>32</v>
      </c>
      <c r="E584" t="s">
        <v>96</v>
      </c>
      <c r="F584">
        <v>80</v>
      </c>
      <c r="H584">
        <v>3</v>
      </c>
      <c r="I584">
        <v>3</v>
      </c>
      <c r="J584">
        <v>9</v>
      </c>
    </row>
    <row r="585" spans="1:10" x14ac:dyDescent="0.3">
      <c r="A585" t="s">
        <v>167</v>
      </c>
      <c r="B585">
        <v>14</v>
      </c>
      <c r="C585">
        <v>1</v>
      </c>
      <c r="D585">
        <v>32</v>
      </c>
      <c r="E585" t="s">
        <v>96</v>
      </c>
      <c r="F585">
        <v>80</v>
      </c>
      <c r="H585">
        <v>3</v>
      </c>
      <c r="I585">
        <v>5</v>
      </c>
      <c r="J585">
        <v>15</v>
      </c>
    </row>
    <row r="586" spans="1:10" x14ac:dyDescent="0.3">
      <c r="A586" t="s">
        <v>167</v>
      </c>
      <c r="B586">
        <v>14</v>
      </c>
      <c r="C586">
        <v>1</v>
      </c>
      <c r="D586">
        <v>32</v>
      </c>
      <c r="E586" t="s">
        <v>96</v>
      </c>
      <c r="F586">
        <v>80</v>
      </c>
      <c r="H586">
        <v>32</v>
      </c>
      <c r="I586">
        <v>0.6</v>
      </c>
      <c r="J586">
        <v>19.2</v>
      </c>
    </row>
    <row r="587" spans="1:10" x14ac:dyDescent="0.3">
      <c r="A587" t="s">
        <v>167</v>
      </c>
      <c r="B587">
        <v>14</v>
      </c>
      <c r="C587">
        <v>1</v>
      </c>
      <c r="D587">
        <v>32</v>
      </c>
      <c r="E587" t="s">
        <v>96</v>
      </c>
      <c r="F587">
        <v>80</v>
      </c>
      <c r="H587">
        <v>64</v>
      </c>
      <c r="I587">
        <v>0.6</v>
      </c>
      <c r="J587">
        <v>38.4</v>
      </c>
    </row>
    <row r="588" spans="1:10" x14ac:dyDescent="0.3">
      <c r="A588" t="s">
        <v>167</v>
      </c>
      <c r="B588">
        <v>14</v>
      </c>
      <c r="C588">
        <v>1</v>
      </c>
      <c r="D588">
        <v>32</v>
      </c>
      <c r="E588" t="s">
        <v>96</v>
      </c>
      <c r="F588">
        <v>90</v>
      </c>
      <c r="H588">
        <v>1</v>
      </c>
      <c r="I588">
        <v>5</v>
      </c>
      <c r="J588">
        <v>5</v>
      </c>
    </row>
    <row r="589" spans="1:10" x14ac:dyDescent="0.3">
      <c r="A589" t="s">
        <v>167</v>
      </c>
      <c r="B589">
        <v>14</v>
      </c>
      <c r="C589">
        <v>1</v>
      </c>
      <c r="D589">
        <v>32</v>
      </c>
      <c r="E589" t="s">
        <v>96</v>
      </c>
      <c r="F589">
        <v>90</v>
      </c>
      <c r="H589">
        <v>1</v>
      </c>
      <c r="I589">
        <v>10</v>
      </c>
      <c r="J589">
        <v>10</v>
      </c>
    </row>
    <row r="590" spans="1:10" x14ac:dyDescent="0.3">
      <c r="A590" t="s">
        <v>167</v>
      </c>
      <c r="B590">
        <v>14</v>
      </c>
      <c r="C590">
        <v>1</v>
      </c>
      <c r="D590">
        <v>32</v>
      </c>
      <c r="E590" t="s">
        <v>96</v>
      </c>
      <c r="F590">
        <v>90</v>
      </c>
      <c r="H590">
        <v>3</v>
      </c>
      <c r="I590">
        <v>3</v>
      </c>
      <c r="J590">
        <v>9</v>
      </c>
    </row>
    <row r="591" spans="1:10" x14ac:dyDescent="0.3">
      <c r="A591" t="s">
        <v>167</v>
      </c>
      <c r="B591">
        <v>14</v>
      </c>
      <c r="C591">
        <v>1</v>
      </c>
      <c r="D591">
        <v>32</v>
      </c>
      <c r="E591" t="s">
        <v>96</v>
      </c>
      <c r="F591">
        <v>90</v>
      </c>
      <c r="H591">
        <v>3</v>
      </c>
      <c r="I591">
        <v>5</v>
      </c>
      <c r="J591">
        <v>15</v>
      </c>
    </row>
    <row r="592" spans="1:10" x14ac:dyDescent="0.3">
      <c r="A592" t="s">
        <v>167</v>
      </c>
      <c r="B592">
        <v>14</v>
      </c>
      <c r="C592">
        <v>1</v>
      </c>
      <c r="D592">
        <v>32</v>
      </c>
      <c r="E592" t="s">
        <v>96</v>
      </c>
      <c r="F592">
        <v>90</v>
      </c>
      <c r="H592">
        <v>32</v>
      </c>
      <c r="I592">
        <v>0.6</v>
      </c>
      <c r="J592">
        <v>19.2</v>
      </c>
    </row>
    <row r="593" spans="1:10" x14ac:dyDescent="0.3">
      <c r="A593" t="s">
        <v>167</v>
      </c>
      <c r="B593">
        <v>14</v>
      </c>
      <c r="C593">
        <v>1</v>
      </c>
      <c r="D593">
        <v>32</v>
      </c>
      <c r="E593" t="s">
        <v>96</v>
      </c>
      <c r="F593">
        <v>90</v>
      </c>
      <c r="H593">
        <v>64</v>
      </c>
      <c r="I593">
        <v>0.6</v>
      </c>
      <c r="J593">
        <v>38.4</v>
      </c>
    </row>
    <row r="594" spans="1:10" x14ac:dyDescent="0.3">
      <c r="A594" t="s">
        <v>167</v>
      </c>
      <c r="B594">
        <v>14</v>
      </c>
      <c r="C594">
        <v>1</v>
      </c>
      <c r="D594">
        <v>32</v>
      </c>
      <c r="E594" t="s">
        <v>96</v>
      </c>
      <c r="F594">
        <v>100</v>
      </c>
      <c r="H594">
        <v>1</v>
      </c>
      <c r="I594">
        <v>5</v>
      </c>
      <c r="J594">
        <v>5</v>
      </c>
    </row>
    <row r="595" spans="1:10" x14ac:dyDescent="0.3">
      <c r="A595" t="s">
        <v>167</v>
      </c>
      <c r="B595">
        <v>14</v>
      </c>
      <c r="C595">
        <v>1</v>
      </c>
      <c r="D595">
        <v>32</v>
      </c>
      <c r="E595" t="s">
        <v>96</v>
      </c>
      <c r="F595">
        <v>100</v>
      </c>
      <c r="H595">
        <v>1</v>
      </c>
      <c r="I595">
        <v>10</v>
      </c>
      <c r="J595">
        <v>10</v>
      </c>
    </row>
    <row r="596" spans="1:10" x14ac:dyDescent="0.3">
      <c r="A596" t="s">
        <v>167</v>
      </c>
      <c r="B596">
        <v>14</v>
      </c>
      <c r="C596">
        <v>1</v>
      </c>
      <c r="D596">
        <v>32</v>
      </c>
      <c r="E596" t="s">
        <v>96</v>
      </c>
      <c r="F596">
        <v>100</v>
      </c>
      <c r="H596">
        <v>3</v>
      </c>
      <c r="I596">
        <v>3</v>
      </c>
      <c r="J596">
        <v>9</v>
      </c>
    </row>
    <row r="597" spans="1:10" x14ac:dyDescent="0.3">
      <c r="A597" t="s">
        <v>167</v>
      </c>
      <c r="B597">
        <v>14</v>
      </c>
      <c r="C597">
        <v>1</v>
      </c>
      <c r="D597">
        <v>32</v>
      </c>
      <c r="E597" t="s">
        <v>96</v>
      </c>
      <c r="F597">
        <v>100</v>
      </c>
      <c r="H597">
        <v>3</v>
      </c>
      <c r="I597">
        <v>5</v>
      </c>
      <c r="J597">
        <v>15</v>
      </c>
    </row>
    <row r="598" spans="1:10" x14ac:dyDescent="0.3">
      <c r="A598" t="s">
        <v>167</v>
      </c>
      <c r="B598">
        <v>14</v>
      </c>
      <c r="C598">
        <v>1</v>
      </c>
      <c r="D598">
        <v>32</v>
      </c>
      <c r="E598" t="s">
        <v>96</v>
      </c>
      <c r="F598">
        <v>100</v>
      </c>
      <c r="H598">
        <v>32</v>
      </c>
      <c r="I598">
        <v>0.6</v>
      </c>
      <c r="J598">
        <v>19.2</v>
      </c>
    </row>
    <row r="599" spans="1:10" x14ac:dyDescent="0.3">
      <c r="A599" t="s">
        <v>167</v>
      </c>
      <c r="B599">
        <v>14</v>
      </c>
      <c r="C599">
        <v>1</v>
      </c>
      <c r="D599">
        <v>32</v>
      </c>
      <c r="E599" t="s">
        <v>96</v>
      </c>
      <c r="F599">
        <v>100</v>
      </c>
      <c r="H599">
        <v>64</v>
      </c>
      <c r="I599">
        <v>0.6</v>
      </c>
      <c r="J599">
        <v>38.4</v>
      </c>
    </row>
    <row r="600" spans="1:10" x14ac:dyDescent="0.3">
      <c r="A600" t="s">
        <v>167</v>
      </c>
      <c r="B600">
        <v>14</v>
      </c>
      <c r="C600">
        <v>1</v>
      </c>
      <c r="D600">
        <v>32</v>
      </c>
      <c r="E600" t="s">
        <v>96</v>
      </c>
      <c r="F600">
        <v>110</v>
      </c>
      <c r="H600">
        <v>1</v>
      </c>
      <c r="I600">
        <v>5</v>
      </c>
      <c r="J600">
        <v>5</v>
      </c>
    </row>
    <row r="601" spans="1:10" x14ac:dyDescent="0.3">
      <c r="A601" t="s">
        <v>167</v>
      </c>
      <c r="B601">
        <v>14</v>
      </c>
      <c r="C601">
        <v>1</v>
      </c>
      <c r="D601">
        <v>32</v>
      </c>
      <c r="E601" t="s">
        <v>96</v>
      </c>
      <c r="F601">
        <v>110</v>
      </c>
      <c r="H601">
        <v>1</v>
      </c>
      <c r="I601">
        <v>10</v>
      </c>
      <c r="J601">
        <v>10</v>
      </c>
    </row>
    <row r="602" spans="1:10" x14ac:dyDescent="0.3">
      <c r="A602" t="s">
        <v>167</v>
      </c>
      <c r="B602">
        <v>14</v>
      </c>
      <c r="C602">
        <v>1</v>
      </c>
      <c r="D602">
        <v>32</v>
      </c>
      <c r="E602" t="s">
        <v>96</v>
      </c>
      <c r="F602">
        <v>110</v>
      </c>
      <c r="H602">
        <v>3</v>
      </c>
      <c r="I602">
        <v>3</v>
      </c>
      <c r="J602">
        <v>9</v>
      </c>
    </row>
    <row r="603" spans="1:10" x14ac:dyDescent="0.3">
      <c r="A603" t="s">
        <v>167</v>
      </c>
      <c r="B603">
        <v>14</v>
      </c>
      <c r="C603">
        <v>1</v>
      </c>
      <c r="D603">
        <v>32</v>
      </c>
      <c r="E603" t="s">
        <v>96</v>
      </c>
      <c r="F603">
        <v>110</v>
      </c>
      <c r="H603">
        <v>3</v>
      </c>
      <c r="I603">
        <v>5</v>
      </c>
      <c r="J603">
        <v>15</v>
      </c>
    </row>
    <row r="604" spans="1:10" x14ac:dyDescent="0.3">
      <c r="A604" t="s">
        <v>167</v>
      </c>
      <c r="B604">
        <v>14</v>
      </c>
      <c r="C604">
        <v>1</v>
      </c>
      <c r="D604">
        <v>32</v>
      </c>
      <c r="E604" t="s">
        <v>96</v>
      </c>
      <c r="F604">
        <v>110</v>
      </c>
      <c r="H604">
        <v>32</v>
      </c>
      <c r="I604">
        <v>0.6</v>
      </c>
      <c r="J604">
        <v>19.2</v>
      </c>
    </row>
    <row r="605" spans="1:10" x14ac:dyDescent="0.3">
      <c r="A605" t="s">
        <v>167</v>
      </c>
      <c r="B605">
        <v>14</v>
      </c>
      <c r="C605">
        <v>1</v>
      </c>
      <c r="D605">
        <v>32</v>
      </c>
      <c r="E605" t="s">
        <v>96</v>
      </c>
      <c r="F605">
        <v>110</v>
      </c>
      <c r="H605">
        <v>64</v>
      </c>
      <c r="I605">
        <v>0.6</v>
      </c>
      <c r="J605">
        <v>38.4</v>
      </c>
    </row>
    <row r="606" spans="1:10" x14ac:dyDescent="0.3">
      <c r="A606" t="s">
        <v>167</v>
      </c>
      <c r="B606">
        <v>14</v>
      </c>
      <c r="C606">
        <v>1</v>
      </c>
      <c r="D606">
        <v>32</v>
      </c>
      <c r="E606" t="s">
        <v>96</v>
      </c>
      <c r="F606">
        <v>120</v>
      </c>
      <c r="H606">
        <v>1</v>
      </c>
      <c r="I606">
        <v>5</v>
      </c>
      <c r="J606">
        <v>5</v>
      </c>
    </row>
    <row r="607" spans="1:10" x14ac:dyDescent="0.3">
      <c r="A607" t="s">
        <v>167</v>
      </c>
      <c r="B607">
        <v>14</v>
      </c>
      <c r="C607">
        <v>1</v>
      </c>
      <c r="D607">
        <v>32</v>
      </c>
      <c r="E607" t="s">
        <v>96</v>
      </c>
      <c r="F607">
        <v>120</v>
      </c>
      <c r="H607">
        <v>1</v>
      </c>
      <c r="I607">
        <v>10</v>
      </c>
      <c r="J607">
        <v>10</v>
      </c>
    </row>
    <row r="608" spans="1:10" x14ac:dyDescent="0.3">
      <c r="A608" t="s">
        <v>167</v>
      </c>
      <c r="B608">
        <v>14</v>
      </c>
      <c r="C608">
        <v>1</v>
      </c>
      <c r="D608">
        <v>32</v>
      </c>
      <c r="E608" t="s">
        <v>96</v>
      </c>
      <c r="F608">
        <v>120</v>
      </c>
      <c r="H608">
        <v>3</v>
      </c>
      <c r="I608">
        <v>3</v>
      </c>
      <c r="J608">
        <v>9</v>
      </c>
    </row>
    <row r="609" spans="1:10" x14ac:dyDescent="0.3">
      <c r="A609" t="s">
        <v>167</v>
      </c>
      <c r="B609">
        <v>14</v>
      </c>
      <c r="C609">
        <v>1</v>
      </c>
      <c r="D609">
        <v>32</v>
      </c>
      <c r="E609" t="s">
        <v>96</v>
      </c>
      <c r="F609">
        <v>120</v>
      </c>
      <c r="H609">
        <v>3</v>
      </c>
      <c r="I609">
        <v>5</v>
      </c>
      <c r="J609">
        <v>15</v>
      </c>
    </row>
    <row r="610" spans="1:10" x14ac:dyDescent="0.3">
      <c r="A610" t="s">
        <v>167</v>
      </c>
      <c r="B610">
        <v>14</v>
      </c>
      <c r="C610">
        <v>1</v>
      </c>
      <c r="D610">
        <v>32</v>
      </c>
      <c r="E610" t="s">
        <v>96</v>
      </c>
      <c r="F610">
        <v>120</v>
      </c>
      <c r="H610">
        <v>32</v>
      </c>
      <c r="I610">
        <v>0.6</v>
      </c>
      <c r="J610">
        <v>19.2</v>
      </c>
    </row>
    <row r="611" spans="1:10" x14ac:dyDescent="0.3">
      <c r="A611" t="s">
        <v>167</v>
      </c>
      <c r="B611">
        <v>14</v>
      </c>
      <c r="C611">
        <v>1</v>
      </c>
      <c r="D611">
        <v>32</v>
      </c>
      <c r="E611" t="s">
        <v>96</v>
      </c>
      <c r="F611">
        <v>120</v>
      </c>
      <c r="H611">
        <v>64</v>
      </c>
      <c r="I611">
        <v>0.6</v>
      </c>
      <c r="J611">
        <v>38.4</v>
      </c>
    </row>
    <row r="612" spans="1:10" x14ac:dyDescent="0.3">
      <c r="A612" t="s">
        <v>167</v>
      </c>
      <c r="B612">
        <v>14</v>
      </c>
      <c r="C612">
        <v>1</v>
      </c>
      <c r="D612">
        <v>32</v>
      </c>
      <c r="E612" t="s">
        <v>96</v>
      </c>
      <c r="F612">
        <v>130</v>
      </c>
      <c r="H612">
        <v>1</v>
      </c>
      <c r="I612">
        <v>5</v>
      </c>
      <c r="J612">
        <v>5</v>
      </c>
    </row>
    <row r="613" spans="1:10" x14ac:dyDescent="0.3">
      <c r="A613" t="s">
        <v>167</v>
      </c>
      <c r="B613">
        <v>14</v>
      </c>
      <c r="C613">
        <v>1</v>
      </c>
      <c r="D613">
        <v>32</v>
      </c>
      <c r="E613" t="s">
        <v>96</v>
      </c>
      <c r="F613">
        <v>130</v>
      </c>
      <c r="H613">
        <v>1</v>
      </c>
      <c r="I613">
        <v>10</v>
      </c>
      <c r="J613">
        <v>10</v>
      </c>
    </row>
    <row r="614" spans="1:10" x14ac:dyDescent="0.3">
      <c r="A614" t="s">
        <v>167</v>
      </c>
      <c r="B614">
        <v>14</v>
      </c>
      <c r="C614">
        <v>1</v>
      </c>
      <c r="D614">
        <v>32</v>
      </c>
      <c r="E614" t="s">
        <v>96</v>
      </c>
      <c r="F614">
        <v>130</v>
      </c>
      <c r="H614">
        <v>3</v>
      </c>
      <c r="I614">
        <v>3</v>
      </c>
      <c r="J614">
        <v>9</v>
      </c>
    </row>
    <row r="615" spans="1:10" x14ac:dyDescent="0.3">
      <c r="A615" t="s">
        <v>167</v>
      </c>
      <c r="B615">
        <v>14</v>
      </c>
      <c r="C615">
        <v>1</v>
      </c>
      <c r="D615">
        <v>32</v>
      </c>
      <c r="E615" t="s">
        <v>96</v>
      </c>
      <c r="F615">
        <v>130</v>
      </c>
      <c r="H615">
        <v>3</v>
      </c>
      <c r="I615">
        <v>5</v>
      </c>
      <c r="J615">
        <v>15</v>
      </c>
    </row>
    <row r="616" spans="1:10" x14ac:dyDescent="0.3">
      <c r="A616" t="s">
        <v>167</v>
      </c>
      <c r="B616">
        <v>14</v>
      </c>
      <c r="C616">
        <v>1</v>
      </c>
      <c r="D616">
        <v>32</v>
      </c>
      <c r="E616" t="s">
        <v>96</v>
      </c>
      <c r="F616">
        <v>130</v>
      </c>
      <c r="H616">
        <v>32</v>
      </c>
      <c r="I616">
        <v>0.6</v>
      </c>
      <c r="J616">
        <v>19.2</v>
      </c>
    </row>
    <row r="617" spans="1:10" x14ac:dyDescent="0.3">
      <c r="A617" t="s">
        <v>167</v>
      </c>
      <c r="B617">
        <v>14</v>
      </c>
      <c r="C617">
        <v>1</v>
      </c>
      <c r="D617">
        <v>32</v>
      </c>
      <c r="E617" t="s">
        <v>96</v>
      </c>
      <c r="F617">
        <v>130</v>
      </c>
      <c r="H617">
        <v>64</v>
      </c>
      <c r="I617">
        <v>0.6</v>
      </c>
      <c r="J617">
        <v>38.4</v>
      </c>
    </row>
    <row r="618" spans="1:10" x14ac:dyDescent="0.3">
      <c r="A618" t="s">
        <v>167</v>
      </c>
      <c r="B618">
        <v>14</v>
      </c>
      <c r="C618">
        <v>1</v>
      </c>
      <c r="D618">
        <v>32</v>
      </c>
      <c r="E618" t="s">
        <v>96</v>
      </c>
      <c r="F618">
        <v>140</v>
      </c>
      <c r="H618">
        <v>1</v>
      </c>
      <c r="I618">
        <v>5</v>
      </c>
      <c r="J618">
        <v>5</v>
      </c>
    </row>
    <row r="619" spans="1:10" x14ac:dyDescent="0.3">
      <c r="A619" t="s">
        <v>167</v>
      </c>
      <c r="B619">
        <v>14</v>
      </c>
      <c r="C619">
        <v>1</v>
      </c>
      <c r="D619">
        <v>32</v>
      </c>
      <c r="E619" t="s">
        <v>96</v>
      </c>
      <c r="F619">
        <v>140</v>
      </c>
      <c r="H619">
        <v>1</v>
      </c>
      <c r="I619">
        <v>10</v>
      </c>
      <c r="J619">
        <v>10</v>
      </c>
    </row>
    <row r="620" spans="1:10" x14ac:dyDescent="0.3">
      <c r="A620" t="s">
        <v>167</v>
      </c>
      <c r="B620">
        <v>14</v>
      </c>
      <c r="C620">
        <v>1</v>
      </c>
      <c r="D620">
        <v>32</v>
      </c>
      <c r="E620" t="s">
        <v>96</v>
      </c>
      <c r="F620">
        <v>140</v>
      </c>
      <c r="H620">
        <v>3</v>
      </c>
      <c r="I620">
        <v>3</v>
      </c>
      <c r="J620">
        <v>9</v>
      </c>
    </row>
    <row r="621" spans="1:10" x14ac:dyDescent="0.3">
      <c r="A621" t="s">
        <v>167</v>
      </c>
      <c r="B621">
        <v>14</v>
      </c>
      <c r="C621">
        <v>1</v>
      </c>
      <c r="D621">
        <v>32</v>
      </c>
      <c r="E621" t="s">
        <v>96</v>
      </c>
      <c r="F621">
        <v>140</v>
      </c>
      <c r="H621">
        <v>3</v>
      </c>
      <c r="I621">
        <v>5</v>
      </c>
      <c r="J621">
        <v>15</v>
      </c>
    </row>
    <row r="622" spans="1:10" x14ac:dyDescent="0.3">
      <c r="A622" t="s">
        <v>167</v>
      </c>
      <c r="B622">
        <v>14</v>
      </c>
      <c r="C622">
        <v>1</v>
      </c>
      <c r="D622">
        <v>32</v>
      </c>
      <c r="E622" t="s">
        <v>96</v>
      </c>
      <c r="F622">
        <v>140</v>
      </c>
      <c r="H622">
        <v>32</v>
      </c>
      <c r="I622">
        <v>0.6</v>
      </c>
      <c r="J622">
        <v>19.2</v>
      </c>
    </row>
    <row r="623" spans="1:10" x14ac:dyDescent="0.3">
      <c r="A623" t="s">
        <v>167</v>
      </c>
      <c r="B623">
        <v>14</v>
      </c>
      <c r="C623">
        <v>1</v>
      </c>
      <c r="D623">
        <v>32</v>
      </c>
      <c r="E623" t="s">
        <v>96</v>
      </c>
      <c r="F623">
        <v>140</v>
      </c>
      <c r="H623">
        <v>64</v>
      </c>
      <c r="I623">
        <v>0.6</v>
      </c>
      <c r="J623">
        <v>38.4</v>
      </c>
    </row>
    <row r="624" spans="1:10" x14ac:dyDescent="0.3">
      <c r="A624" t="s">
        <v>167</v>
      </c>
      <c r="B624">
        <v>14</v>
      </c>
      <c r="C624">
        <v>1</v>
      </c>
      <c r="D624">
        <v>32</v>
      </c>
      <c r="E624" t="s">
        <v>96</v>
      </c>
      <c r="F624">
        <v>100</v>
      </c>
      <c r="G624" t="s">
        <v>139</v>
      </c>
      <c r="H624">
        <v>1</v>
      </c>
      <c r="I624">
        <v>5</v>
      </c>
      <c r="J624">
        <v>5</v>
      </c>
    </row>
    <row r="625" spans="1:10" x14ac:dyDescent="0.3">
      <c r="A625" t="s">
        <v>167</v>
      </c>
      <c r="B625">
        <v>14</v>
      </c>
      <c r="C625">
        <v>1</v>
      </c>
      <c r="D625">
        <v>32</v>
      </c>
      <c r="E625" t="s">
        <v>96</v>
      </c>
      <c r="F625">
        <v>100</v>
      </c>
      <c r="G625" t="s">
        <v>139</v>
      </c>
      <c r="H625">
        <v>1</v>
      </c>
      <c r="I625">
        <v>10</v>
      </c>
      <c r="J625">
        <v>10</v>
      </c>
    </row>
    <row r="626" spans="1:10" x14ac:dyDescent="0.3">
      <c r="A626" t="s">
        <v>167</v>
      </c>
      <c r="B626">
        <v>14</v>
      </c>
      <c r="C626">
        <v>1</v>
      </c>
      <c r="D626">
        <v>32</v>
      </c>
      <c r="E626" t="s">
        <v>96</v>
      </c>
      <c r="F626">
        <v>100</v>
      </c>
      <c r="G626" t="s">
        <v>139</v>
      </c>
      <c r="H626">
        <v>3</v>
      </c>
      <c r="I626">
        <v>3</v>
      </c>
      <c r="J626">
        <v>9</v>
      </c>
    </row>
    <row r="627" spans="1:10" x14ac:dyDescent="0.3">
      <c r="A627" t="s">
        <v>167</v>
      </c>
      <c r="B627">
        <v>14</v>
      </c>
      <c r="C627">
        <v>1</v>
      </c>
      <c r="D627">
        <v>32</v>
      </c>
      <c r="E627" t="s">
        <v>96</v>
      </c>
      <c r="F627">
        <v>100</v>
      </c>
      <c r="G627" t="s">
        <v>139</v>
      </c>
      <c r="H627">
        <v>3</v>
      </c>
      <c r="I627">
        <v>5</v>
      </c>
      <c r="J627">
        <v>15</v>
      </c>
    </row>
    <row r="628" spans="1:10" x14ac:dyDescent="0.3">
      <c r="A628" t="s">
        <v>167</v>
      </c>
      <c r="B628">
        <v>14</v>
      </c>
      <c r="C628">
        <v>1</v>
      </c>
      <c r="D628">
        <v>32</v>
      </c>
      <c r="E628" t="s">
        <v>96</v>
      </c>
      <c r="F628">
        <v>100</v>
      </c>
      <c r="G628" t="s">
        <v>139</v>
      </c>
      <c r="H628">
        <v>32</v>
      </c>
      <c r="I628">
        <v>0.6</v>
      </c>
      <c r="J628">
        <v>19.2</v>
      </c>
    </row>
    <row r="629" spans="1:10" x14ac:dyDescent="0.3">
      <c r="A629" t="s">
        <v>167</v>
      </c>
      <c r="B629">
        <v>14</v>
      </c>
      <c r="C629">
        <v>1</v>
      </c>
      <c r="D629">
        <v>32</v>
      </c>
      <c r="E629" t="s">
        <v>96</v>
      </c>
      <c r="F629">
        <v>100</v>
      </c>
      <c r="G629" t="s">
        <v>139</v>
      </c>
      <c r="H629">
        <v>64</v>
      </c>
      <c r="I629">
        <v>0.6</v>
      </c>
      <c r="J629">
        <v>38.4</v>
      </c>
    </row>
    <row r="630" spans="1:10" x14ac:dyDescent="0.3">
      <c r="A630" t="s">
        <v>167</v>
      </c>
      <c r="B630">
        <v>14</v>
      </c>
      <c r="C630">
        <v>1</v>
      </c>
      <c r="D630">
        <v>32</v>
      </c>
      <c r="E630" t="s">
        <v>96</v>
      </c>
      <c r="F630">
        <v>110</v>
      </c>
      <c r="G630" t="s">
        <v>139</v>
      </c>
      <c r="H630">
        <v>1</v>
      </c>
      <c r="I630">
        <v>5</v>
      </c>
      <c r="J630">
        <v>5</v>
      </c>
    </row>
    <row r="631" spans="1:10" x14ac:dyDescent="0.3">
      <c r="A631" t="s">
        <v>167</v>
      </c>
      <c r="B631">
        <v>14</v>
      </c>
      <c r="C631">
        <v>1</v>
      </c>
      <c r="D631">
        <v>32</v>
      </c>
      <c r="E631" t="s">
        <v>96</v>
      </c>
      <c r="F631">
        <v>110</v>
      </c>
      <c r="G631" t="s">
        <v>139</v>
      </c>
      <c r="H631">
        <v>1</v>
      </c>
      <c r="I631">
        <v>10</v>
      </c>
      <c r="J631">
        <v>10</v>
      </c>
    </row>
    <row r="632" spans="1:10" x14ac:dyDescent="0.3">
      <c r="A632" t="s">
        <v>167</v>
      </c>
      <c r="B632">
        <v>14</v>
      </c>
      <c r="C632">
        <v>1</v>
      </c>
      <c r="D632">
        <v>32</v>
      </c>
      <c r="E632" t="s">
        <v>96</v>
      </c>
      <c r="F632">
        <v>110</v>
      </c>
      <c r="G632" t="s">
        <v>139</v>
      </c>
      <c r="H632">
        <v>3</v>
      </c>
      <c r="I632">
        <v>3</v>
      </c>
      <c r="J632">
        <v>9</v>
      </c>
    </row>
    <row r="633" spans="1:10" x14ac:dyDescent="0.3">
      <c r="A633" t="s">
        <v>167</v>
      </c>
      <c r="B633">
        <v>14</v>
      </c>
      <c r="C633">
        <v>1</v>
      </c>
      <c r="D633">
        <v>32</v>
      </c>
      <c r="E633" t="s">
        <v>96</v>
      </c>
      <c r="F633">
        <v>110</v>
      </c>
      <c r="G633" t="s">
        <v>139</v>
      </c>
      <c r="H633">
        <v>3</v>
      </c>
      <c r="I633">
        <v>5</v>
      </c>
      <c r="J633">
        <v>15</v>
      </c>
    </row>
    <row r="634" spans="1:10" x14ac:dyDescent="0.3">
      <c r="A634" t="s">
        <v>167</v>
      </c>
      <c r="B634">
        <v>14</v>
      </c>
      <c r="C634">
        <v>1</v>
      </c>
      <c r="D634">
        <v>32</v>
      </c>
      <c r="E634" t="s">
        <v>96</v>
      </c>
      <c r="F634">
        <v>110</v>
      </c>
      <c r="G634" t="s">
        <v>139</v>
      </c>
      <c r="H634">
        <v>32</v>
      </c>
      <c r="I634">
        <v>0.6</v>
      </c>
      <c r="J634">
        <v>19.2</v>
      </c>
    </row>
    <row r="635" spans="1:10" x14ac:dyDescent="0.3">
      <c r="A635" t="s">
        <v>167</v>
      </c>
      <c r="B635">
        <v>14</v>
      </c>
      <c r="C635">
        <v>1</v>
      </c>
      <c r="D635">
        <v>32</v>
      </c>
      <c r="E635" t="s">
        <v>96</v>
      </c>
      <c r="F635">
        <v>110</v>
      </c>
      <c r="G635" t="s">
        <v>139</v>
      </c>
      <c r="H635">
        <v>64</v>
      </c>
      <c r="I635">
        <v>0.6</v>
      </c>
      <c r="J635">
        <v>38.4</v>
      </c>
    </row>
    <row r="636" spans="1:10" x14ac:dyDescent="0.3">
      <c r="A636" t="s">
        <v>167</v>
      </c>
      <c r="B636">
        <v>14</v>
      </c>
      <c r="C636">
        <v>1</v>
      </c>
      <c r="D636">
        <v>32</v>
      </c>
      <c r="E636" t="s">
        <v>96</v>
      </c>
      <c r="F636">
        <v>120</v>
      </c>
      <c r="G636" t="s">
        <v>139</v>
      </c>
      <c r="H636">
        <v>1</v>
      </c>
      <c r="I636">
        <v>5</v>
      </c>
      <c r="J636">
        <v>5</v>
      </c>
    </row>
    <row r="637" spans="1:10" x14ac:dyDescent="0.3">
      <c r="A637" t="s">
        <v>167</v>
      </c>
      <c r="B637">
        <v>14</v>
      </c>
      <c r="C637">
        <v>1</v>
      </c>
      <c r="D637">
        <v>32</v>
      </c>
      <c r="E637" t="s">
        <v>96</v>
      </c>
      <c r="F637">
        <v>120</v>
      </c>
      <c r="G637" t="s">
        <v>139</v>
      </c>
      <c r="H637">
        <v>1</v>
      </c>
      <c r="I637">
        <v>10</v>
      </c>
      <c r="J637">
        <v>10</v>
      </c>
    </row>
    <row r="638" spans="1:10" x14ac:dyDescent="0.3">
      <c r="A638" t="s">
        <v>167</v>
      </c>
      <c r="B638">
        <v>14</v>
      </c>
      <c r="C638">
        <v>1</v>
      </c>
      <c r="D638">
        <v>32</v>
      </c>
      <c r="E638" t="s">
        <v>96</v>
      </c>
      <c r="F638">
        <v>120</v>
      </c>
      <c r="G638" t="s">
        <v>139</v>
      </c>
      <c r="H638">
        <v>3</v>
      </c>
      <c r="I638">
        <v>3</v>
      </c>
      <c r="J638">
        <v>9</v>
      </c>
    </row>
    <row r="639" spans="1:10" x14ac:dyDescent="0.3">
      <c r="A639" t="s">
        <v>167</v>
      </c>
      <c r="B639">
        <v>14</v>
      </c>
      <c r="C639">
        <v>1</v>
      </c>
      <c r="D639">
        <v>32</v>
      </c>
      <c r="E639" t="s">
        <v>96</v>
      </c>
      <c r="F639">
        <v>120</v>
      </c>
      <c r="G639" t="s">
        <v>139</v>
      </c>
      <c r="H639">
        <v>3</v>
      </c>
      <c r="I639">
        <v>5</v>
      </c>
      <c r="J639">
        <v>15</v>
      </c>
    </row>
    <row r="640" spans="1:10" x14ac:dyDescent="0.3">
      <c r="A640" t="s">
        <v>167</v>
      </c>
      <c r="B640">
        <v>14</v>
      </c>
      <c r="C640">
        <v>1</v>
      </c>
      <c r="D640">
        <v>32</v>
      </c>
      <c r="E640" t="s">
        <v>96</v>
      </c>
      <c r="F640">
        <v>120</v>
      </c>
      <c r="G640" t="s">
        <v>139</v>
      </c>
      <c r="H640">
        <v>32</v>
      </c>
      <c r="I640">
        <v>0.6</v>
      </c>
      <c r="J640">
        <v>19.2</v>
      </c>
    </row>
    <row r="641" spans="1:10" x14ac:dyDescent="0.3">
      <c r="A641" t="s">
        <v>167</v>
      </c>
      <c r="B641">
        <v>14</v>
      </c>
      <c r="C641">
        <v>1</v>
      </c>
      <c r="D641">
        <v>32</v>
      </c>
      <c r="E641" t="s">
        <v>96</v>
      </c>
      <c r="F641">
        <v>120</v>
      </c>
      <c r="G641" t="s">
        <v>139</v>
      </c>
      <c r="H641">
        <v>64</v>
      </c>
      <c r="I641">
        <v>0.6</v>
      </c>
      <c r="J641">
        <v>38.4</v>
      </c>
    </row>
    <row r="642" spans="1:10" x14ac:dyDescent="0.3">
      <c r="A642" t="s">
        <v>167</v>
      </c>
      <c r="B642">
        <v>14</v>
      </c>
      <c r="C642">
        <v>1</v>
      </c>
      <c r="D642">
        <v>32</v>
      </c>
      <c r="E642" t="s">
        <v>96</v>
      </c>
      <c r="F642">
        <v>130</v>
      </c>
      <c r="G642" t="s">
        <v>139</v>
      </c>
      <c r="H642">
        <v>1</v>
      </c>
      <c r="I642">
        <v>5</v>
      </c>
      <c r="J642">
        <v>5</v>
      </c>
    </row>
    <row r="643" spans="1:10" x14ac:dyDescent="0.3">
      <c r="A643" t="s">
        <v>167</v>
      </c>
      <c r="B643">
        <v>14</v>
      </c>
      <c r="C643">
        <v>1</v>
      </c>
      <c r="D643">
        <v>32</v>
      </c>
      <c r="E643" t="s">
        <v>96</v>
      </c>
      <c r="F643">
        <v>130</v>
      </c>
      <c r="G643" t="s">
        <v>139</v>
      </c>
      <c r="H643">
        <v>1</v>
      </c>
      <c r="I643">
        <v>10</v>
      </c>
      <c r="J643">
        <v>10</v>
      </c>
    </row>
    <row r="644" spans="1:10" x14ac:dyDescent="0.3">
      <c r="A644" t="s">
        <v>167</v>
      </c>
      <c r="B644">
        <v>14</v>
      </c>
      <c r="C644">
        <v>1</v>
      </c>
      <c r="D644">
        <v>32</v>
      </c>
      <c r="E644" t="s">
        <v>96</v>
      </c>
      <c r="F644">
        <v>130</v>
      </c>
      <c r="G644" t="s">
        <v>139</v>
      </c>
      <c r="H644">
        <v>3</v>
      </c>
      <c r="I644">
        <v>3</v>
      </c>
      <c r="J644">
        <v>9</v>
      </c>
    </row>
    <row r="645" spans="1:10" x14ac:dyDescent="0.3">
      <c r="A645" t="s">
        <v>167</v>
      </c>
      <c r="B645">
        <v>14</v>
      </c>
      <c r="C645">
        <v>1</v>
      </c>
      <c r="D645">
        <v>32</v>
      </c>
      <c r="E645" t="s">
        <v>96</v>
      </c>
      <c r="F645">
        <v>130</v>
      </c>
      <c r="G645" t="s">
        <v>139</v>
      </c>
      <c r="H645">
        <v>3</v>
      </c>
      <c r="I645">
        <v>5</v>
      </c>
      <c r="J645">
        <v>15</v>
      </c>
    </row>
    <row r="646" spans="1:10" x14ac:dyDescent="0.3">
      <c r="A646" t="s">
        <v>167</v>
      </c>
      <c r="B646">
        <v>14</v>
      </c>
      <c r="C646">
        <v>1</v>
      </c>
      <c r="D646">
        <v>32</v>
      </c>
      <c r="E646" t="s">
        <v>96</v>
      </c>
      <c r="F646">
        <v>130</v>
      </c>
      <c r="G646" t="s">
        <v>139</v>
      </c>
      <c r="H646">
        <v>32</v>
      </c>
      <c r="I646">
        <v>0.6</v>
      </c>
      <c r="J646">
        <v>19.2</v>
      </c>
    </row>
    <row r="647" spans="1:10" x14ac:dyDescent="0.3">
      <c r="A647" t="s">
        <v>167</v>
      </c>
      <c r="B647">
        <v>14</v>
      </c>
      <c r="C647">
        <v>1</v>
      </c>
      <c r="D647">
        <v>32</v>
      </c>
      <c r="E647" t="s">
        <v>96</v>
      </c>
      <c r="F647">
        <v>130</v>
      </c>
      <c r="G647" t="s">
        <v>139</v>
      </c>
      <c r="H647">
        <v>64</v>
      </c>
      <c r="I647">
        <v>0.6</v>
      </c>
      <c r="J647">
        <v>38.4</v>
      </c>
    </row>
    <row r="648" spans="1:10" x14ac:dyDescent="0.3">
      <c r="A648" t="s">
        <v>167</v>
      </c>
      <c r="B648">
        <v>14</v>
      </c>
      <c r="C648">
        <v>1</v>
      </c>
      <c r="D648">
        <v>32</v>
      </c>
      <c r="E648" t="s">
        <v>96</v>
      </c>
      <c r="F648">
        <v>140</v>
      </c>
      <c r="G648" t="s">
        <v>139</v>
      </c>
      <c r="H648">
        <v>1</v>
      </c>
      <c r="I648">
        <v>5</v>
      </c>
      <c r="J648">
        <v>5</v>
      </c>
    </row>
    <row r="649" spans="1:10" x14ac:dyDescent="0.3">
      <c r="A649" t="s">
        <v>167</v>
      </c>
      <c r="B649">
        <v>14</v>
      </c>
      <c r="C649">
        <v>1</v>
      </c>
      <c r="D649">
        <v>32</v>
      </c>
      <c r="E649" t="s">
        <v>96</v>
      </c>
      <c r="F649">
        <v>140</v>
      </c>
      <c r="G649" t="s">
        <v>139</v>
      </c>
      <c r="H649">
        <v>1</v>
      </c>
      <c r="I649">
        <v>10</v>
      </c>
      <c r="J649">
        <v>10</v>
      </c>
    </row>
    <row r="650" spans="1:10" x14ac:dyDescent="0.3">
      <c r="A650" t="s">
        <v>167</v>
      </c>
      <c r="B650">
        <v>14</v>
      </c>
      <c r="C650">
        <v>1</v>
      </c>
      <c r="D650">
        <v>32</v>
      </c>
      <c r="E650" t="s">
        <v>96</v>
      </c>
      <c r="F650">
        <v>140</v>
      </c>
      <c r="G650" t="s">
        <v>139</v>
      </c>
      <c r="H650">
        <v>3</v>
      </c>
      <c r="I650">
        <v>3</v>
      </c>
      <c r="J650">
        <v>9</v>
      </c>
    </row>
    <row r="651" spans="1:10" x14ac:dyDescent="0.3">
      <c r="A651" t="s">
        <v>167</v>
      </c>
      <c r="B651">
        <v>14</v>
      </c>
      <c r="C651">
        <v>1</v>
      </c>
      <c r="D651">
        <v>32</v>
      </c>
      <c r="E651" t="s">
        <v>96</v>
      </c>
      <c r="F651">
        <v>140</v>
      </c>
      <c r="G651" t="s">
        <v>139</v>
      </c>
      <c r="H651">
        <v>3</v>
      </c>
      <c r="I651">
        <v>5</v>
      </c>
      <c r="J651">
        <v>15</v>
      </c>
    </row>
    <row r="652" spans="1:10" x14ac:dyDescent="0.3">
      <c r="A652" t="s">
        <v>167</v>
      </c>
      <c r="B652">
        <v>14</v>
      </c>
      <c r="C652">
        <v>1</v>
      </c>
      <c r="D652">
        <v>32</v>
      </c>
      <c r="E652" t="s">
        <v>96</v>
      </c>
      <c r="F652">
        <v>140</v>
      </c>
      <c r="G652" t="s">
        <v>139</v>
      </c>
      <c r="H652">
        <v>32</v>
      </c>
      <c r="I652">
        <v>0.6</v>
      </c>
      <c r="J652">
        <v>19.2</v>
      </c>
    </row>
    <row r="653" spans="1:10" x14ac:dyDescent="0.3">
      <c r="A653" t="s">
        <v>167</v>
      </c>
      <c r="B653">
        <v>14</v>
      </c>
      <c r="C653">
        <v>1</v>
      </c>
      <c r="D653">
        <v>32</v>
      </c>
      <c r="E653" t="s">
        <v>96</v>
      </c>
      <c r="F653">
        <v>140</v>
      </c>
      <c r="G653" t="s">
        <v>139</v>
      </c>
      <c r="H653">
        <v>64</v>
      </c>
      <c r="I653">
        <v>0.6</v>
      </c>
      <c r="J653">
        <v>38.4</v>
      </c>
    </row>
    <row r="654" spans="1:10" x14ac:dyDescent="0.3">
      <c r="A654" t="s">
        <v>170</v>
      </c>
      <c r="B654">
        <v>15</v>
      </c>
      <c r="C654">
        <v>1</v>
      </c>
      <c r="D654">
        <v>16</v>
      </c>
      <c r="E654" t="s">
        <v>95</v>
      </c>
      <c r="F654">
        <v>70</v>
      </c>
      <c r="H654">
        <v>32</v>
      </c>
      <c r="I654">
        <v>0.6</v>
      </c>
      <c r="J654">
        <v>19.2</v>
      </c>
    </row>
    <row r="655" spans="1:10" x14ac:dyDescent="0.3">
      <c r="A655" t="s">
        <v>170</v>
      </c>
      <c r="B655">
        <v>15</v>
      </c>
      <c r="C655">
        <v>1</v>
      </c>
      <c r="D655">
        <v>16</v>
      </c>
      <c r="E655" t="s">
        <v>95</v>
      </c>
      <c r="F655">
        <v>70</v>
      </c>
      <c r="H655">
        <v>64</v>
      </c>
      <c r="I655">
        <v>0.6</v>
      </c>
      <c r="J655">
        <v>38.4</v>
      </c>
    </row>
    <row r="656" spans="1:10" x14ac:dyDescent="0.3">
      <c r="A656" t="s">
        <v>170</v>
      </c>
      <c r="B656">
        <v>15</v>
      </c>
      <c r="C656">
        <v>1</v>
      </c>
      <c r="D656">
        <v>16</v>
      </c>
      <c r="E656" t="s">
        <v>95</v>
      </c>
      <c r="F656">
        <v>80</v>
      </c>
      <c r="H656">
        <v>32</v>
      </c>
      <c r="I656">
        <v>0.6</v>
      </c>
      <c r="J656">
        <v>19.2</v>
      </c>
    </row>
    <row r="657" spans="1:10" x14ac:dyDescent="0.3">
      <c r="A657" t="s">
        <v>170</v>
      </c>
      <c r="B657">
        <v>15</v>
      </c>
      <c r="C657">
        <v>1</v>
      </c>
      <c r="D657">
        <v>16</v>
      </c>
      <c r="E657" t="s">
        <v>95</v>
      </c>
      <c r="F657">
        <v>80</v>
      </c>
      <c r="H657">
        <v>64</v>
      </c>
      <c r="I657">
        <v>0.6</v>
      </c>
      <c r="J657">
        <v>38.4</v>
      </c>
    </row>
    <row r="658" spans="1:10" x14ac:dyDescent="0.3">
      <c r="A658" t="s">
        <v>170</v>
      </c>
      <c r="B658">
        <v>15</v>
      </c>
      <c r="C658">
        <v>1</v>
      </c>
      <c r="D658">
        <v>16</v>
      </c>
      <c r="E658" t="s">
        <v>95</v>
      </c>
      <c r="F658">
        <v>90</v>
      </c>
      <c r="H658">
        <v>32</v>
      </c>
      <c r="I658">
        <v>0.6</v>
      </c>
      <c r="J658">
        <v>19.2</v>
      </c>
    </row>
    <row r="659" spans="1:10" x14ac:dyDescent="0.3">
      <c r="A659" t="s">
        <v>170</v>
      </c>
      <c r="B659">
        <v>15</v>
      </c>
      <c r="C659">
        <v>1</v>
      </c>
      <c r="D659">
        <v>16</v>
      </c>
      <c r="E659" t="s">
        <v>95</v>
      </c>
      <c r="F659">
        <v>90</v>
      </c>
      <c r="H659">
        <v>64</v>
      </c>
      <c r="I659">
        <v>0.6</v>
      </c>
      <c r="J659">
        <v>38.4</v>
      </c>
    </row>
    <row r="660" spans="1:10" x14ac:dyDescent="0.3">
      <c r="A660" t="s">
        <v>170</v>
      </c>
      <c r="B660">
        <v>15</v>
      </c>
      <c r="C660">
        <v>1</v>
      </c>
      <c r="D660">
        <v>16</v>
      </c>
      <c r="E660" t="s">
        <v>95</v>
      </c>
      <c r="F660">
        <v>100</v>
      </c>
      <c r="H660">
        <v>32</v>
      </c>
      <c r="I660">
        <v>0.6</v>
      </c>
      <c r="J660">
        <v>19.2</v>
      </c>
    </row>
    <row r="661" spans="1:10" x14ac:dyDescent="0.3">
      <c r="A661" t="s">
        <v>170</v>
      </c>
      <c r="B661">
        <v>15</v>
      </c>
      <c r="C661">
        <v>1</v>
      </c>
      <c r="D661">
        <v>16</v>
      </c>
      <c r="E661" t="s">
        <v>95</v>
      </c>
      <c r="F661">
        <v>100</v>
      </c>
      <c r="H661">
        <v>64</v>
      </c>
      <c r="I661">
        <v>0.6</v>
      </c>
      <c r="J661">
        <v>38.4</v>
      </c>
    </row>
    <row r="662" spans="1:10" x14ac:dyDescent="0.3">
      <c r="A662" t="s">
        <v>170</v>
      </c>
      <c r="B662">
        <v>15</v>
      </c>
      <c r="C662">
        <v>1</v>
      </c>
      <c r="D662">
        <v>16</v>
      </c>
      <c r="E662" t="s">
        <v>95</v>
      </c>
      <c r="F662">
        <v>110</v>
      </c>
      <c r="H662">
        <v>32</v>
      </c>
      <c r="I662">
        <v>0.6</v>
      </c>
      <c r="J662">
        <v>19.2</v>
      </c>
    </row>
    <row r="663" spans="1:10" x14ac:dyDescent="0.3">
      <c r="A663" t="s">
        <v>170</v>
      </c>
      <c r="B663">
        <v>15</v>
      </c>
      <c r="C663">
        <v>1</v>
      </c>
      <c r="D663">
        <v>16</v>
      </c>
      <c r="E663" t="s">
        <v>95</v>
      </c>
      <c r="F663">
        <v>110</v>
      </c>
      <c r="H663">
        <v>64</v>
      </c>
      <c r="I663">
        <v>0.6</v>
      </c>
      <c r="J663">
        <v>38.4</v>
      </c>
    </row>
    <row r="664" spans="1:10" x14ac:dyDescent="0.3">
      <c r="A664" t="s">
        <v>170</v>
      </c>
      <c r="B664">
        <v>15</v>
      </c>
      <c r="C664">
        <v>1</v>
      </c>
      <c r="D664">
        <v>16</v>
      </c>
      <c r="E664" t="s">
        <v>95</v>
      </c>
      <c r="F664">
        <v>120</v>
      </c>
      <c r="H664">
        <v>32</v>
      </c>
      <c r="I664">
        <v>0.6</v>
      </c>
      <c r="J664">
        <v>19.2</v>
      </c>
    </row>
    <row r="665" spans="1:10" x14ac:dyDescent="0.3">
      <c r="A665" t="s">
        <v>170</v>
      </c>
      <c r="B665">
        <v>15</v>
      </c>
      <c r="C665">
        <v>1</v>
      </c>
      <c r="D665">
        <v>16</v>
      </c>
      <c r="E665" t="s">
        <v>95</v>
      </c>
      <c r="F665">
        <v>120</v>
      </c>
      <c r="H665">
        <v>64</v>
      </c>
      <c r="I665">
        <v>0.6</v>
      </c>
      <c r="J665">
        <v>38.4</v>
      </c>
    </row>
    <row r="666" spans="1:10" x14ac:dyDescent="0.3">
      <c r="A666" t="s">
        <v>170</v>
      </c>
      <c r="B666">
        <v>15</v>
      </c>
      <c r="C666">
        <v>1</v>
      </c>
      <c r="D666">
        <v>16</v>
      </c>
      <c r="E666" t="s">
        <v>95</v>
      </c>
      <c r="F666">
        <v>130</v>
      </c>
      <c r="H666">
        <v>32</v>
      </c>
      <c r="I666">
        <v>0.6</v>
      </c>
      <c r="J666">
        <v>19.2</v>
      </c>
    </row>
    <row r="667" spans="1:10" x14ac:dyDescent="0.3">
      <c r="A667" t="s">
        <v>170</v>
      </c>
      <c r="B667">
        <v>15</v>
      </c>
      <c r="C667">
        <v>1</v>
      </c>
      <c r="D667">
        <v>16</v>
      </c>
      <c r="E667" t="s">
        <v>95</v>
      </c>
      <c r="F667">
        <v>130</v>
      </c>
      <c r="H667">
        <v>64</v>
      </c>
      <c r="I667">
        <v>0.6</v>
      </c>
      <c r="J667">
        <v>38.4</v>
      </c>
    </row>
    <row r="668" spans="1:10" x14ac:dyDescent="0.3">
      <c r="A668" t="s">
        <v>170</v>
      </c>
      <c r="B668">
        <v>15</v>
      </c>
      <c r="C668">
        <v>1</v>
      </c>
      <c r="D668">
        <v>16</v>
      </c>
      <c r="E668" t="s">
        <v>95</v>
      </c>
      <c r="F668">
        <v>140</v>
      </c>
      <c r="H668">
        <v>32</v>
      </c>
      <c r="I668">
        <v>0.6</v>
      </c>
      <c r="J668">
        <v>19.2</v>
      </c>
    </row>
    <row r="669" spans="1:10" x14ac:dyDescent="0.3">
      <c r="A669" t="s">
        <v>170</v>
      </c>
      <c r="B669">
        <v>15</v>
      </c>
      <c r="C669">
        <v>1</v>
      </c>
      <c r="D669">
        <v>16</v>
      </c>
      <c r="E669" t="s">
        <v>95</v>
      </c>
      <c r="F669">
        <v>140</v>
      </c>
      <c r="H669">
        <v>64</v>
      </c>
      <c r="I669">
        <v>0.6</v>
      </c>
      <c r="J669">
        <v>38.4</v>
      </c>
    </row>
    <row r="670" spans="1:10" x14ac:dyDescent="0.3">
      <c r="A670" t="s">
        <v>170</v>
      </c>
      <c r="B670">
        <v>15</v>
      </c>
      <c r="C670">
        <v>1</v>
      </c>
      <c r="D670">
        <v>16</v>
      </c>
      <c r="E670" t="s">
        <v>95</v>
      </c>
      <c r="F670">
        <v>100</v>
      </c>
      <c r="G670" t="s">
        <v>139</v>
      </c>
      <c r="H670">
        <v>32</v>
      </c>
      <c r="I670">
        <v>0.6</v>
      </c>
      <c r="J670">
        <v>19.2</v>
      </c>
    </row>
    <row r="671" spans="1:10" x14ac:dyDescent="0.3">
      <c r="A671" t="s">
        <v>170</v>
      </c>
      <c r="B671">
        <v>15</v>
      </c>
      <c r="C671">
        <v>1</v>
      </c>
      <c r="D671">
        <v>16</v>
      </c>
      <c r="E671" t="s">
        <v>95</v>
      </c>
      <c r="F671">
        <v>100</v>
      </c>
      <c r="G671" t="s">
        <v>139</v>
      </c>
      <c r="H671">
        <v>64</v>
      </c>
      <c r="I671">
        <v>0.6</v>
      </c>
      <c r="J671">
        <v>38.4</v>
      </c>
    </row>
    <row r="672" spans="1:10" x14ac:dyDescent="0.3">
      <c r="A672" t="s">
        <v>170</v>
      </c>
      <c r="B672">
        <v>15</v>
      </c>
      <c r="C672">
        <v>1</v>
      </c>
      <c r="D672">
        <v>16</v>
      </c>
      <c r="E672" t="s">
        <v>95</v>
      </c>
      <c r="F672">
        <v>110</v>
      </c>
      <c r="G672" t="s">
        <v>139</v>
      </c>
      <c r="H672">
        <v>32</v>
      </c>
      <c r="I672">
        <v>0.6</v>
      </c>
      <c r="J672">
        <v>19.2</v>
      </c>
    </row>
    <row r="673" spans="1:10" x14ac:dyDescent="0.3">
      <c r="A673" t="s">
        <v>170</v>
      </c>
      <c r="B673">
        <v>15</v>
      </c>
      <c r="C673">
        <v>1</v>
      </c>
      <c r="D673">
        <v>16</v>
      </c>
      <c r="E673" t="s">
        <v>95</v>
      </c>
      <c r="F673">
        <v>110</v>
      </c>
      <c r="G673" t="s">
        <v>139</v>
      </c>
      <c r="H673">
        <v>64</v>
      </c>
      <c r="I673">
        <v>0.6</v>
      </c>
      <c r="J673">
        <v>38.4</v>
      </c>
    </row>
    <row r="674" spans="1:10" x14ac:dyDescent="0.3">
      <c r="A674" t="s">
        <v>170</v>
      </c>
      <c r="B674">
        <v>15</v>
      </c>
      <c r="C674">
        <v>1</v>
      </c>
      <c r="D674">
        <v>16</v>
      </c>
      <c r="E674" t="s">
        <v>95</v>
      </c>
      <c r="F674">
        <v>120</v>
      </c>
      <c r="G674" t="s">
        <v>139</v>
      </c>
      <c r="H674">
        <v>32</v>
      </c>
      <c r="I674">
        <v>0.6</v>
      </c>
      <c r="J674">
        <v>19.2</v>
      </c>
    </row>
    <row r="675" spans="1:10" x14ac:dyDescent="0.3">
      <c r="A675" t="s">
        <v>170</v>
      </c>
      <c r="B675">
        <v>15</v>
      </c>
      <c r="C675">
        <v>1</v>
      </c>
      <c r="D675">
        <v>16</v>
      </c>
      <c r="E675" t="s">
        <v>95</v>
      </c>
      <c r="F675">
        <v>120</v>
      </c>
      <c r="G675" t="s">
        <v>139</v>
      </c>
      <c r="H675">
        <v>64</v>
      </c>
      <c r="I675">
        <v>0.6</v>
      </c>
      <c r="J675">
        <v>38.4</v>
      </c>
    </row>
    <row r="676" spans="1:10" x14ac:dyDescent="0.3">
      <c r="A676" t="s">
        <v>170</v>
      </c>
      <c r="B676">
        <v>15</v>
      </c>
      <c r="C676">
        <v>1</v>
      </c>
      <c r="D676">
        <v>16</v>
      </c>
      <c r="E676" t="s">
        <v>95</v>
      </c>
      <c r="F676">
        <v>130</v>
      </c>
      <c r="G676" t="s">
        <v>139</v>
      </c>
      <c r="H676">
        <v>32</v>
      </c>
      <c r="I676">
        <v>0.6</v>
      </c>
      <c r="J676">
        <v>19.2</v>
      </c>
    </row>
    <row r="677" spans="1:10" x14ac:dyDescent="0.3">
      <c r="A677" t="s">
        <v>170</v>
      </c>
      <c r="B677">
        <v>15</v>
      </c>
      <c r="C677">
        <v>1</v>
      </c>
      <c r="D677">
        <v>16</v>
      </c>
      <c r="E677" t="s">
        <v>95</v>
      </c>
      <c r="F677">
        <v>130</v>
      </c>
      <c r="G677" t="s">
        <v>139</v>
      </c>
      <c r="H677">
        <v>64</v>
      </c>
      <c r="I677">
        <v>0.6</v>
      </c>
      <c r="J677">
        <v>38.4</v>
      </c>
    </row>
    <row r="678" spans="1:10" x14ac:dyDescent="0.3">
      <c r="A678" t="s">
        <v>170</v>
      </c>
      <c r="B678">
        <v>15</v>
      </c>
      <c r="C678">
        <v>1</v>
      </c>
      <c r="D678">
        <v>16</v>
      </c>
      <c r="E678" t="s">
        <v>95</v>
      </c>
      <c r="F678">
        <v>140</v>
      </c>
      <c r="G678" t="s">
        <v>139</v>
      </c>
      <c r="H678">
        <v>32</v>
      </c>
      <c r="I678">
        <v>0.6</v>
      </c>
      <c r="J678">
        <v>19.2</v>
      </c>
    </row>
    <row r="679" spans="1:10" x14ac:dyDescent="0.3">
      <c r="A679" t="s">
        <v>170</v>
      </c>
      <c r="B679">
        <v>15</v>
      </c>
      <c r="C679">
        <v>1</v>
      </c>
      <c r="D679">
        <v>16</v>
      </c>
      <c r="E679" t="s">
        <v>95</v>
      </c>
      <c r="F679">
        <v>140</v>
      </c>
      <c r="G679" t="s">
        <v>139</v>
      </c>
      <c r="H679">
        <v>64</v>
      </c>
      <c r="I679">
        <v>0.6</v>
      </c>
      <c r="J679">
        <v>38.4</v>
      </c>
    </row>
    <row r="680" spans="1:10" x14ac:dyDescent="0.3">
      <c r="A680" t="s">
        <v>170</v>
      </c>
      <c r="B680">
        <v>15</v>
      </c>
      <c r="C680">
        <v>1</v>
      </c>
      <c r="D680">
        <v>16</v>
      </c>
      <c r="E680" t="s">
        <v>96</v>
      </c>
      <c r="F680">
        <v>70</v>
      </c>
      <c r="H680">
        <v>32</v>
      </c>
      <c r="I680">
        <v>0.6</v>
      </c>
      <c r="J680">
        <v>19.2</v>
      </c>
    </row>
    <row r="681" spans="1:10" x14ac:dyDescent="0.3">
      <c r="A681" t="s">
        <v>170</v>
      </c>
      <c r="B681">
        <v>15</v>
      </c>
      <c r="C681">
        <v>1</v>
      </c>
      <c r="D681">
        <v>16</v>
      </c>
      <c r="E681" t="s">
        <v>96</v>
      </c>
      <c r="F681">
        <v>70</v>
      </c>
      <c r="H681">
        <v>64</v>
      </c>
      <c r="I681">
        <v>0.6</v>
      </c>
      <c r="J681">
        <v>38.4</v>
      </c>
    </row>
    <row r="682" spans="1:10" x14ac:dyDescent="0.3">
      <c r="A682" t="s">
        <v>170</v>
      </c>
      <c r="B682">
        <v>15</v>
      </c>
      <c r="C682">
        <v>1</v>
      </c>
      <c r="D682">
        <v>16</v>
      </c>
      <c r="E682" t="s">
        <v>96</v>
      </c>
      <c r="F682">
        <v>80</v>
      </c>
      <c r="H682">
        <v>32</v>
      </c>
      <c r="I682">
        <v>0.6</v>
      </c>
      <c r="J682">
        <v>19.2</v>
      </c>
    </row>
    <row r="683" spans="1:10" x14ac:dyDescent="0.3">
      <c r="A683" t="s">
        <v>170</v>
      </c>
      <c r="B683">
        <v>15</v>
      </c>
      <c r="C683">
        <v>1</v>
      </c>
      <c r="D683">
        <v>16</v>
      </c>
      <c r="E683" t="s">
        <v>96</v>
      </c>
      <c r="F683">
        <v>80</v>
      </c>
      <c r="H683">
        <v>64</v>
      </c>
      <c r="I683">
        <v>0.6</v>
      </c>
      <c r="J683">
        <v>38.4</v>
      </c>
    </row>
    <row r="684" spans="1:10" x14ac:dyDescent="0.3">
      <c r="A684" t="s">
        <v>170</v>
      </c>
      <c r="B684">
        <v>15</v>
      </c>
      <c r="C684">
        <v>1</v>
      </c>
      <c r="D684">
        <v>16</v>
      </c>
      <c r="E684" t="s">
        <v>96</v>
      </c>
      <c r="F684">
        <v>90</v>
      </c>
      <c r="H684">
        <v>32</v>
      </c>
      <c r="I684">
        <v>0.6</v>
      </c>
      <c r="J684">
        <v>19.2</v>
      </c>
    </row>
    <row r="685" spans="1:10" x14ac:dyDescent="0.3">
      <c r="A685" t="s">
        <v>170</v>
      </c>
      <c r="B685">
        <v>15</v>
      </c>
      <c r="C685">
        <v>1</v>
      </c>
      <c r="D685">
        <v>16</v>
      </c>
      <c r="E685" t="s">
        <v>96</v>
      </c>
      <c r="F685">
        <v>90</v>
      </c>
      <c r="H685">
        <v>64</v>
      </c>
      <c r="I685">
        <v>0.6</v>
      </c>
      <c r="J685">
        <v>38.4</v>
      </c>
    </row>
    <row r="686" spans="1:10" x14ac:dyDescent="0.3">
      <c r="A686" t="s">
        <v>170</v>
      </c>
      <c r="B686">
        <v>15</v>
      </c>
      <c r="C686">
        <v>1</v>
      </c>
      <c r="D686">
        <v>16</v>
      </c>
      <c r="E686" t="s">
        <v>96</v>
      </c>
      <c r="F686">
        <v>100</v>
      </c>
      <c r="H686">
        <v>32</v>
      </c>
      <c r="I686">
        <v>0.6</v>
      </c>
      <c r="J686">
        <v>19.2</v>
      </c>
    </row>
    <row r="687" spans="1:10" x14ac:dyDescent="0.3">
      <c r="A687" t="s">
        <v>170</v>
      </c>
      <c r="B687">
        <v>15</v>
      </c>
      <c r="C687">
        <v>1</v>
      </c>
      <c r="D687">
        <v>16</v>
      </c>
      <c r="E687" t="s">
        <v>96</v>
      </c>
      <c r="F687">
        <v>100</v>
      </c>
      <c r="H687">
        <v>64</v>
      </c>
      <c r="I687">
        <v>0.6</v>
      </c>
      <c r="J687">
        <v>38.4</v>
      </c>
    </row>
    <row r="688" spans="1:10" x14ac:dyDescent="0.3">
      <c r="A688" t="s">
        <v>170</v>
      </c>
      <c r="B688">
        <v>15</v>
      </c>
      <c r="C688">
        <v>1</v>
      </c>
      <c r="D688">
        <v>16</v>
      </c>
      <c r="E688" t="s">
        <v>96</v>
      </c>
      <c r="F688">
        <v>110</v>
      </c>
      <c r="H688">
        <v>32</v>
      </c>
      <c r="I688">
        <v>0.6</v>
      </c>
      <c r="J688">
        <v>19.2</v>
      </c>
    </row>
    <row r="689" spans="1:10" x14ac:dyDescent="0.3">
      <c r="A689" t="s">
        <v>170</v>
      </c>
      <c r="B689">
        <v>15</v>
      </c>
      <c r="C689">
        <v>1</v>
      </c>
      <c r="D689">
        <v>16</v>
      </c>
      <c r="E689" t="s">
        <v>96</v>
      </c>
      <c r="F689">
        <v>110</v>
      </c>
      <c r="H689">
        <v>64</v>
      </c>
      <c r="I689">
        <v>0.6</v>
      </c>
      <c r="J689">
        <v>38.4</v>
      </c>
    </row>
    <row r="690" spans="1:10" x14ac:dyDescent="0.3">
      <c r="A690" t="s">
        <v>170</v>
      </c>
      <c r="B690">
        <v>15</v>
      </c>
      <c r="C690">
        <v>1</v>
      </c>
      <c r="D690">
        <v>16</v>
      </c>
      <c r="E690" t="s">
        <v>96</v>
      </c>
      <c r="F690">
        <v>120</v>
      </c>
      <c r="H690">
        <v>32</v>
      </c>
      <c r="I690">
        <v>0.6</v>
      </c>
      <c r="J690">
        <v>19.2</v>
      </c>
    </row>
    <row r="691" spans="1:10" x14ac:dyDescent="0.3">
      <c r="A691" t="s">
        <v>170</v>
      </c>
      <c r="B691">
        <v>15</v>
      </c>
      <c r="C691">
        <v>1</v>
      </c>
      <c r="D691">
        <v>16</v>
      </c>
      <c r="E691" t="s">
        <v>96</v>
      </c>
      <c r="F691">
        <v>120</v>
      </c>
      <c r="H691">
        <v>64</v>
      </c>
      <c r="I691">
        <v>0.6</v>
      </c>
      <c r="J691">
        <v>38.4</v>
      </c>
    </row>
    <row r="692" spans="1:10" x14ac:dyDescent="0.3">
      <c r="A692" t="s">
        <v>170</v>
      </c>
      <c r="B692">
        <v>15</v>
      </c>
      <c r="C692">
        <v>1</v>
      </c>
      <c r="D692">
        <v>16</v>
      </c>
      <c r="E692" t="s">
        <v>96</v>
      </c>
      <c r="F692">
        <v>130</v>
      </c>
      <c r="H692">
        <v>32</v>
      </c>
      <c r="I692">
        <v>0.6</v>
      </c>
      <c r="J692">
        <v>19.2</v>
      </c>
    </row>
    <row r="693" spans="1:10" x14ac:dyDescent="0.3">
      <c r="A693" t="s">
        <v>170</v>
      </c>
      <c r="B693">
        <v>15</v>
      </c>
      <c r="C693">
        <v>1</v>
      </c>
      <c r="D693">
        <v>16</v>
      </c>
      <c r="E693" t="s">
        <v>96</v>
      </c>
      <c r="F693">
        <v>130</v>
      </c>
      <c r="H693">
        <v>64</v>
      </c>
      <c r="I693">
        <v>0.6</v>
      </c>
      <c r="J693">
        <v>38.4</v>
      </c>
    </row>
    <row r="694" spans="1:10" x14ac:dyDescent="0.3">
      <c r="A694" t="s">
        <v>170</v>
      </c>
      <c r="B694">
        <v>15</v>
      </c>
      <c r="C694">
        <v>1</v>
      </c>
      <c r="D694">
        <v>16</v>
      </c>
      <c r="E694" t="s">
        <v>96</v>
      </c>
      <c r="F694">
        <v>140</v>
      </c>
      <c r="H694">
        <v>32</v>
      </c>
      <c r="I694">
        <v>0.6</v>
      </c>
      <c r="J694">
        <v>19.2</v>
      </c>
    </row>
    <row r="695" spans="1:10" x14ac:dyDescent="0.3">
      <c r="A695" t="s">
        <v>170</v>
      </c>
      <c r="B695">
        <v>15</v>
      </c>
      <c r="C695">
        <v>1</v>
      </c>
      <c r="D695">
        <v>16</v>
      </c>
      <c r="E695" t="s">
        <v>96</v>
      </c>
      <c r="F695">
        <v>140</v>
      </c>
      <c r="H695">
        <v>64</v>
      </c>
      <c r="I695">
        <v>0.6</v>
      </c>
      <c r="J695">
        <v>38.4</v>
      </c>
    </row>
    <row r="696" spans="1:10" x14ac:dyDescent="0.3">
      <c r="A696" t="s">
        <v>170</v>
      </c>
      <c r="B696">
        <v>15</v>
      </c>
      <c r="C696">
        <v>1</v>
      </c>
      <c r="D696">
        <v>16</v>
      </c>
      <c r="E696" t="s">
        <v>96</v>
      </c>
      <c r="F696">
        <v>100</v>
      </c>
      <c r="G696" t="s">
        <v>139</v>
      </c>
      <c r="H696">
        <v>32</v>
      </c>
      <c r="I696">
        <v>0.6</v>
      </c>
      <c r="J696">
        <v>19.2</v>
      </c>
    </row>
    <row r="697" spans="1:10" x14ac:dyDescent="0.3">
      <c r="A697" t="s">
        <v>170</v>
      </c>
      <c r="B697">
        <v>15</v>
      </c>
      <c r="C697">
        <v>1</v>
      </c>
      <c r="D697">
        <v>16</v>
      </c>
      <c r="E697" t="s">
        <v>96</v>
      </c>
      <c r="F697">
        <v>100</v>
      </c>
      <c r="G697" t="s">
        <v>139</v>
      </c>
      <c r="H697">
        <v>64</v>
      </c>
      <c r="I697">
        <v>0.6</v>
      </c>
      <c r="J697">
        <v>38.4</v>
      </c>
    </row>
    <row r="698" spans="1:10" x14ac:dyDescent="0.3">
      <c r="A698" t="s">
        <v>170</v>
      </c>
      <c r="B698">
        <v>15</v>
      </c>
      <c r="C698">
        <v>1</v>
      </c>
      <c r="D698">
        <v>16</v>
      </c>
      <c r="E698" t="s">
        <v>96</v>
      </c>
      <c r="F698">
        <v>110</v>
      </c>
      <c r="G698" t="s">
        <v>139</v>
      </c>
      <c r="H698">
        <v>32</v>
      </c>
      <c r="I698">
        <v>0.6</v>
      </c>
      <c r="J698">
        <v>19.2</v>
      </c>
    </row>
    <row r="699" spans="1:10" x14ac:dyDescent="0.3">
      <c r="A699" t="s">
        <v>170</v>
      </c>
      <c r="B699">
        <v>15</v>
      </c>
      <c r="C699">
        <v>1</v>
      </c>
      <c r="D699">
        <v>16</v>
      </c>
      <c r="E699" t="s">
        <v>96</v>
      </c>
      <c r="F699">
        <v>110</v>
      </c>
      <c r="G699" t="s">
        <v>139</v>
      </c>
      <c r="H699">
        <v>64</v>
      </c>
      <c r="I699">
        <v>0.6</v>
      </c>
      <c r="J699">
        <v>38.4</v>
      </c>
    </row>
    <row r="700" spans="1:10" x14ac:dyDescent="0.3">
      <c r="A700" t="s">
        <v>170</v>
      </c>
      <c r="B700">
        <v>15</v>
      </c>
      <c r="C700">
        <v>1</v>
      </c>
      <c r="D700">
        <v>16</v>
      </c>
      <c r="E700" t="s">
        <v>96</v>
      </c>
      <c r="F700">
        <v>120</v>
      </c>
      <c r="G700" t="s">
        <v>139</v>
      </c>
      <c r="H700">
        <v>32</v>
      </c>
      <c r="I700">
        <v>0.6</v>
      </c>
      <c r="J700">
        <v>19.2</v>
      </c>
    </row>
    <row r="701" spans="1:10" x14ac:dyDescent="0.3">
      <c r="A701" t="s">
        <v>170</v>
      </c>
      <c r="B701">
        <v>15</v>
      </c>
      <c r="C701">
        <v>1</v>
      </c>
      <c r="D701">
        <v>16</v>
      </c>
      <c r="E701" t="s">
        <v>96</v>
      </c>
      <c r="F701">
        <v>120</v>
      </c>
      <c r="G701" t="s">
        <v>139</v>
      </c>
      <c r="H701">
        <v>64</v>
      </c>
      <c r="I701">
        <v>0.6</v>
      </c>
      <c r="J701">
        <v>38.4</v>
      </c>
    </row>
    <row r="702" spans="1:10" x14ac:dyDescent="0.3">
      <c r="A702" t="s">
        <v>170</v>
      </c>
      <c r="B702">
        <v>15</v>
      </c>
      <c r="C702">
        <v>1</v>
      </c>
      <c r="D702">
        <v>16</v>
      </c>
      <c r="E702" t="s">
        <v>96</v>
      </c>
      <c r="F702">
        <v>130</v>
      </c>
      <c r="G702" t="s">
        <v>139</v>
      </c>
      <c r="H702">
        <v>32</v>
      </c>
      <c r="I702">
        <v>0.6</v>
      </c>
      <c r="J702">
        <v>19.2</v>
      </c>
    </row>
    <row r="703" spans="1:10" x14ac:dyDescent="0.3">
      <c r="A703" t="s">
        <v>170</v>
      </c>
      <c r="B703">
        <v>15</v>
      </c>
      <c r="C703">
        <v>1</v>
      </c>
      <c r="D703">
        <v>16</v>
      </c>
      <c r="E703" t="s">
        <v>96</v>
      </c>
      <c r="F703">
        <v>130</v>
      </c>
      <c r="G703" t="s">
        <v>139</v>
      </c>
      <c r="H703">
        <v>64</v>
      </c>
      <c r="I703">
        <v>0.6</v>
      </c>
      <c r="J703">
        <v>38.4</v>
      </c>
    </row>
    <row r="704" spans="1:10" x14ac:dyDescent="0.3">
      <c r="A704" t="s">
        <v>170</v>
      </c>
      <c r="B704">
        <v>15</v>
      </c>
      <c r="C704">
        <v>1</v>
      </c>
      <c r="D704">
        <v>16</v>
      </c>
      <c r="E704" t="s">
        <v>96</v>
      </c>
      <c r="F704">
        <v>140</v>
      </c>
      <c r="G704" t="s">
        <v>139</v>
      </c>
      <c r="H704">
        <v>32</v>
      </c>
      <c r="I704">
        <v>0.6</v>
      </c>
      <c r="J704">
        <v>19.2</v>
      </c>
    </row>
    <row r="705" spans="1:10" x14ac:dyDescent="0.3">
      <c r="A705" t="s">
        <v>170</v>
      </c>
      <c r="B705">
        <v>15</v>
      </c>
      <c r="C705">
        <v>1</v>
      </c>
      <c r="D705">
        <v>16</v>
      </c>
      <c r="E705" t="s">
        <v>96</v>
      </c>
      <c r="F705">
        <v>140</v>
      </c>
      <c r="G705" t="s">
        <v>139</v>
      </c>
      <c r="H705">
        <v>64</v>
      </c>
      <c r="I705">
        <v>0.6</v>
      </c>
      <c r="J705">
        <v>38.4</v>
      </c>
    </row>
    <row r="706" spans="1:10" x14ac:dyDescent="0.3">
      <c r="A706" t="s">
        <v>170</v>
      </c>
      <c r="B706">
        <v>15</v>
      </c>
      <c r="C706">
        <v>1</v>
      </c>
      <c r="D706">
        <v>32</v>
      </c>
      <c r="E706" t="s">
        <v>95</v>
      </c>
      <c r="F706">
        <v>70</v>
      </c>
      <c r="H706">
        <v>32</v>
      </c>
      <c r="I706">
        <v>0.6</v>
      </c>
      <c r="J706">
        <v>19.2</v>
      </c>
    </row>
    <row r="707" spans="1:10" x14ac:dyDescent="0.3">
      <c r="A707" t="s">
        <v>170</v>
      </c>
      <c r="B707">
        <v>15</v>
      </c>
      <c r="C707">
        <v>1</v>
      </c>
      <c r="D707">
        <v>32</v>
      </c>
      <c r="E707" t="s">
        <v>95</v>
      </c>
      <c r="F707">
        <v>70</v>
      </c>
      <c r="H707">
        <v>64</v>
      </c>
      <c r="I707">
        <v>0.6</v>
      </c>
      <c r="J707">
        <v>38.4</v>
      </c>
    </row>
    <row r="708" spans="1:10" x14ac:dyDescent="0.3">
      <c r="A708" t="s">
        <v>170</v>
      </c>
      <c r="B708">
        <v>15</v>
      </c>
      <c r="C708">
        <v>1</v>
      </c>
      <c r="D708">
        <v>32</v>
      </c>
      <c r="E708" t="s">
        <v>95</v>
      </c>
      <c r="F708">
        <v>80</v>
      </c>
      <c r="H708">
        <v>32</v>
      </c>
      <c r="I708">
        <v>0.6</v>
      </c>
      <c r="J708">
        <v>19.2</v>
      </c>
    </row>
    <row r="709" spans="1:10" x14ac:dyDescent="0.3">
      <c r="A709" t="s">
        <v>170</v>
      </c>
      <c r="B709">
        <v>15</v>
      </c>
      <c r="C709">
        <v>1</v>
      </c>
      <c r="D709">
        <v>32</v>
      </c>
      <c r="E709" t="s">
        <v>95</v>
      </c>
      <c r="F709">
        <v>80</v>
      </c>
      <c r="H709">
        <v>64</v>
      </c>
      <c r="I709">
        <v>0.6</v>
      </c>
      <c r="J709">
        <v>38.4</v>
      </c>
    </row>
    <row r="710" spans="1:10" x14ac:dyDescent="0.3">
      <c r="A710" t="s">
        <v>170</v>
      </c>
      <c r="B710">
        <v>15</v>
      </c>
      <c r="C710">
        <v>1</v>
      </c>
      <c r="D710">
        <v>32</v>
      </c>
      <c r="E710" t="s">
        <v>95</v>
      </c>
      <c r="F710">
        <v>90</v>
      </c>
      <c r="H710">
        <v>32</v>
      </c>
      <c r="I710">
        <v>0.6</v>
      </c>
      <c r="J710">
        <v>19.2</v>
      </c>
    </row>
    <row r="711" spans="1:10" x14ac:dyDescent="0.3">
      <c r="A711" t="s">
        <v>170</v>
      </c>
      <c r="B711">
        <v>15</v>
      </c>
      <c r="C711">
        <v>1</v>
      </c>
      <c r="D711">
        <v>32</v>
      </c>
      <c r="E711" t="s">
        <v>95</v>
      </c>
      <c r="F711">
        <v>90</v>
      </c>
      <c r="H711">
        <v>64</v>
      </c>
      <c r="I711">
        <v>0.6</v>
      </c>
      <c r="J711">
        <v>38.4</v>
      </c>
    </row>
    <row r="712" spans="1:10" x14ac:dyDescent="0.3">
      <c r="A712" t="s">
        <v>170</v>
      </c>
      <c r="B712">
        <v>15</v>
      </c>
      <c r="C712">
        <v>1</v>
      </c>
      <c r="D712">
        <v>32</v>
      </c>
      <c r="E712" t="s">
        <v>95</v>
      </c>
      <c r="F712">
        <v>100</v>
      </c>
      <c r="H712">
        <v>32</v>
      </c>
      <c r="I712">
        <v>0.6</v>
      </c>
      <c r="J712">
        <v>19.2</v>
      </c>
    </row>
    <row r="713" spans="1:10" x14ac:dyDescent="0.3">
      <c r="A713" t="s">
        <v>170</v>
      </c>
      <c r="B713">
        <v>15</v>
      </c>
      <c r="C713">
        <v>1</v>
      </c>
      <c r="D713">
        <v>32</v>
      </c>
      <c r="E713" t="s">
        <v>95</v>
      </c>
      <c r="F713">
        <v>100</v>
      </c>
      <c r="H713">
        <v>64</v>
      </c>
      <c r="I713">
        <v>0.6</v>
      </c>
      <c r="J713">
        <v>38.4</v>
      </c>
    </row>
    <row r="714" spans="1:10" x14ac:dyDescent="0.3">
      <c r="A714" t="s">
        <v>170</v>
      </c>
      <c r="B714">
        <v>15</v>
      </c>
      <c r="C714">
        <v>1</v>
      </c>
      <c r="D714">
        <v>32</v>
      </c>
      <c r="E714" t="s">
        <v>95</v>
      </c>
      <c r="F714">
        <v>110</v>
      </c>
      <c r="H714">
        <v>32</v>
      </c>
      <c r="I714">
        <v>0.6</v>
      </c>
      <c r="J714">
        <v>19.2</v>
      </c>
    </row>
    <row r="715" spans="1:10" x14ac:dyDescent="0.3">
      <c r="A715" t="s">
        <v>170</v>
      </c>
      <c r="B715">
        <v>15</v>
      </c>
      <c r="C715">
        <v>1</v>
      </c>
      <c r="D715">
        <v>32</v>
      </c>
      <c r="E715" t="s">
        <v>95</v>
      </c>
      <c r="F715">
        <v>110</v>
      </c>
      <c r="H715">
        <v>64</v>
      </c>
      <c r="I715">
        <v>0.6</v>
      </c>
      <c r="J715">
        <v>38.4</v>
      </c>
    </row>
    <row r="716" spans="1:10" x14ac:dyDescent="0.3">
      <c r="A716" t="s">
        <v>170</v>
      </c>
      <c r="B716">
        <v>15</v>
      </c>
      <c r="C716">
        <v>1</v>
      </c>
      <c r="D716">
        <v>32</v>
      </c>
      <c r="E716" t="s">
        <v>95</v>
      </c>
      <c r="F716">
        <v>120</v>
      </c>
      <c r="H716">
        <v>32</v>
      </c>
      <c r="I716">
        <v>0.6</v>
      </c>
      <c r="J716">
        <v>19.2</v>
      </c>
    </row>
    <row r="717" spans="1:10" x14ac:dyDescent="0.3">
      <c r="A717" t="s">
        <v>170</v>
      </c>
      <c r="B717">
        <v>15</v>
      </c>
      <c r="C717">
        <v>1</v>
      </c>
      <c r="D717">
        <v>32</v>
      </c>
      <c r="E717" t="s">
        <v>95</v>
      </c>
      <c r="F717">
        <v>120</v>
      </c>
      <c r="H717">
        <v>64</v>
      </c>
      <c r="I717">
        <v>0.6</v>
      </c>
      <c r="J717">
        <v>38.4</v>
      </c>
    </row>
    <row r="718" spans="1:10" x14ac:dyDescent="0.3">
      <c r="A718" t="s">
        <v>170</v>
      </c>
      <c r="B718">
        <v>15</v>
      </c>
      <c r="C718">
        <v>1</v>
      </c>
      <c r="D718">
        <v>32</v>
      </c>
      <c r="E718" t="s">
        <v>95</v>
      </c>
      <c r="F718">
        <v>130</v>
      </c>
      <c r="H718">
        <v>32</v>
      </c>
      <c r="I718">
        <v>0.6</v>
      </c>
      <c r="J718">
        <v>19.2</v>
      </c>
    </row>
    <row r="719" spans="1:10" x14ac:dyDescent="0.3">
      <c r="A719" t="s">
        <v>170</v>
      </c>
      <c r="B719">
        <v>15</v>
      </c>
      <c r="C719">
        <v>1</v>
      </c>
      <c r="D719">
        <v>32</v>
      </c>
      <c r="E719" t="s">
        <v>95</v>
      </c>
      <c r="F719">
        <v>130</v>
      </c>
      <c r="H719">
        <v>64</v>
      </c>
      <c r="I719">
        <v>0.6</v>
      </c>
      <c r="J719">
        <v>38.4</v>
      </c>
    </row>
    <row r="720" spans="1:10" x14ac:dyDescent="0.3">
      <c r="A720" t="s">
        <v>170</v>
      </c>
      <c r="B720">
        <v>15</v>
      </c>
      <c r="C720">
        <v>1</v>
      </c>
      <c r="D720">
        <v>32</v>
      </c>
      <c r="E720" t="s">
        <v>95</v>
      </c>
      <c r="F720">
        <v>140</v>
      </c>
      <c r="H720">
        <v>32</v>
      </c>
      <c r="I720">
        <v>0.6</v>
      </c>
      <c r="J720">
        <v>19.2</v>
      </c>
    </row>
    <row r="721" spans="1:10" x14ac:dyDescent="0.3">
      <c r="A721" t="s">
        <v>170</v>
      </c>
      <c r="B721">
        <v>15</v>
      </c>
      <c r="C721">
        <v>1</v>
      </c>
      <c r="D721">
        <v>32</v>
      </c>
      <c r="E721" t="s">
        <v>95</v>
      </c>
      <c r="F721">
        <v>140</v>
      </c>
      <c r="H721">
        <v>64</v>
      </c>
      <c r="I721">
        <v>0.6</v>
      </c>
      <c r="J721">
        <v>38.4</v>
      </c>
    </row>
    <row r="722" spans="1:10" x14ac:dyDescent="0.3">
      <c r="A722" t="s">
        <v>170</v>
      </c>
      <c r="B722">
        <v>15</v>
      </c>
      <c r="C722">
        <v>1</v>
      </c>
      <c r="D722">
        <v>32</v>
      </c>
      <c r="E722" t="s">
        <v>95</v>
      </c>
      <c r="F722">
        <v>100</v>
      </c>
      <c r="G722" t="s">
        <v>139</v>
      </c>
      <c r="H722">
        <v>32</v>
      </c>
      <c r="I722">
        <v>0.6</v>
      </c>
      <c r="J722">
        <v>19.2</v>
      </c>
    </row>
    <row r="723" spans="1:10" x14ac:dyDescent="0.3">
      <c r="A723" t="s">
        <v>170</v>
      </c>
      <c r="B723">
        <v>15</v>
      </c>
      <c r="C723">
        <v>1</v>
      </c>
      <c r="D723">
        <v>32</v>
      </c>
      <c r="E723" t="s">
        <v>95</v>
      </c>
      <c r="F723">
        <v>100</v>
      </c>
      <c r="G723" t="s">
        <v>139</v>
      </c>
      <c r="H723">
        <v>64</v>
      </c>
      <c r="I723">
        <v>0.6</v>
      </c>
      <c r="J723">
        <v>38.4</v>
      </c>
    </row>
    <row r="724" spans="1:10" x14ac:dyDescent="0.3">
      <c r="A724" t="s">
        <v>170</v>
      </c>
      <c r="B724">
        <v>15</v>
      </c>
      <c r="C724">
        <v>1</v>
      </c>
      <c r="D724">
        <v>32</v>
      </c>
      <c r="E724" t="s">
        <v>95</v>
      </c>
      <c r="F724">
        <v>110</v>
      </c>
      <c r="G724" t="s">
        <v>139</v>
      </c>
      <c r="H724">
        <v>32</v>
      </c>
      <c r="I724">
        <v>0.6</v>
      </c>
      <c r="J724">
        <v>19.2</v>
      </c>
    </row>
    <row r="725" spans="1:10" x14ac:dyDescent="0.3">
      <c r="A725" t="s">
        <v>170</v>
      </c>
      <c r="B725">
        <v>15</v>
      </c>
      <c r="C725">
        <v>1</v>
      </c>
      <c r="D725">
        <v>32</v>
      </c>
      <c r="E725" t="s">
        <v>95</v>
      </c>
      <c r="F725">
        <v>110</v>
      </c>
      <c r="G725" t="s">
        <v>139</v>
      </c>
      <c r="H725">
        <v>64</v>
      </c>
      <c r="I725">
        <v>0.6</v>
      </c>
      <c r="J725">
        <v>38.4</v>
      </c>
    </row>
    <row r="726" spans="1:10" x14ac:dyDescent="0.3">
      <c r="A726" t="s">
        <v>170</v>
      </c>
      <c r="B726">
        <v>15</v>
      </c>
      <c r="C726">
        <v>1</v>
      </c>
      <c r="D726">
        <v>32</v>
      </c>
      <c r="E726" t="s">
        <v>95</v>
      </c>
      <c r="F726">
        <v>120</v>
      </c>
      <c r="G726" t="s">
        <v>139</v>
      </c>
      <c r="H726">
        <v>32</v>
      </c>
      <c r="I726">
        <v>0.6</v>
      </c>
      <c r="J726">
        <v>19.2</v>
      </c>
    </row>
    <row r="727" spans="1:10" x14ac:dyDescent="0.3">
      <c r="A727" t="s">
        <v>170</v>
      </c>
      <c r="B727">
        <v>15</v>
      </c>
      <c r="C727">
        <v>1</v>
      </c>
      <c r="D727">
        <v>32</v>
      </c>
      <c r="E727" t="s">
        <v>95</v>
      </c>
      <c r="F727">
        <v>120</v>
      </c>
      <c r="G727" t="s">
        <v>139</v>
      </c>
      <c r="H727">
        <v>64</v>
      </c>
      <c r="I727">
        <v>0.6</v>
      </c>
      <c r="J727">
        <v>38.4</v>
      </c>
    </row>
    <row r="728" spans="1:10" x14ac:dyDescent="0.3">
      <c r="A728" t="s">
        <v>170</v>
      </c>
      <c r="B728">
        <v>15</v>
      </c>
      <c r="C728">
        <v>1</v>
      </c>
      <c r="D728">
        <v>32</v>
      </c>
      <c r="E728" t="s">
        <v>95</v>
      </c>
      <c r="F728">
        <v>130</v>
      </c>
      <c r="G728" t="s">
        <v>139</v>
      </c>
      <c r="H728">
        <v>32</v>
      </c>
      <c r="I728">
        <v>0.6</v>
      </c>
      <c r="J728">
        <v>19.2</v>
      </c>
    </row>
    <row r="729" spans="1:10" x14ac:dyDescent="0.3">
      <c r="A729" t="s">
        <v>170</v>
      </c>
      <c r="B729">
        <v>15</v>
      </c>
      <c r="C729">
        <v>1</v>
      </c>
      <c r="D729">
        <v>32</v>
      </c>
      <c r="E729" t="s">
        <v>95</v>
      </c>
      <c r="F729">
        <v>130</v>
      </c>
      <c r="G729" t="s">
        <v>139</v>
      </c>
      <c r="H729">
        <v>64</v>
      </c>
      <c r="I729">
        <v>0.6</v>
      </c>
      <c r="J729">
        <v>38.4</v>
      </c>
    </row>
    <row r="730" spans="1:10" x14ac:dyDescent="0.3">
      <c r="A730" t="s">
        <v>170</v>
      </c>
      <c r="B730">
        <v>15</v>
      </c>
      <c r="C730">
        <v>1</v>
      </c>
      <c r="D730">
        <v>32</v>
      </c>
      <c r="E730" t="s">
        <v>95</v>
      </c>
      <c r="F730">
        <v>140</v>
      </c>
      <c r="G730" t="s">
        <v>139</v>
      </c>
      <c r="H730">
        <v>32</v>
      </c>
      <c r="I730">
        <v>0.6</v>
      </c>
      <c r="J730">
        <v>19.2</v>
      </c>
    </row>
    <row r="731" spans="1:10" x14ac:dyDescent="0.3">
      <c r="A731" t="s">
        <v>170</v>
      </c>
      <c r="B731">
        <v>15</v>
      </c>
      <c r="C731">
        <v>1</v>
      </c>
      <c r="D731">
        <v>32</v>
      </c>
      <c r="E731" t="s">
        <v>95</v>
      </c>
      <c r="F731">
        <v>140</v>
      </c>
      <c r="G731" t="s">
        <v>139</v>
      </c>
      <c r="H731">
        <v>64</v>
      </c>
      <c r="I731">
        <v>0.6</v>
      </c>
      <c r="J731">
        <v>38.4</v>
      </c>
    </row>
    <row r="732" spans="1:10" x14ac:dyDescent="0.3">
      <c r="A732" t="s">
        <v>170</v>
      </c>
      <c r="B732">
        <v>15</v>
      </c>
      <c r="C732">
        <v>1</v>
      </c>
      <c r="D732">
        <v>32</v>
      </c>
      <c r="E732" t="s">
        <v>96</v>
      </c>
      <c r="F732">
        <v>70</v>
      </c>
      <c r="H732">
        <v>32</v>
      </c>
      <c r="I732">
        <v>0.6</v>
      </c>
      <c r="J732">
        <v>19.2</v>
      </c>
    </row>
    <row r="733" spans="1:10" x14ac:dyDescent="0.3">
      <c r="A733" t="s">
        <v>170</v>
      </c>
      <c r="B733">
        <v>15</v>
      </c>
      <c r="C733">
        <v>1</v>
      </c>
      <c r="D733">
        <v>32</v>
      </c>
      <c r="E733" t="s">
        <v>96</v>
      </c>
      <c r="F733">
        <v>70</v>
      </c>
      <c r="H733">
        <v>64</v>
      </c>
      <c r="I733">
        <v>0.6</v>
      </c>
      <c r="J733">
        <v>38.4</v>
      </c>
    </row>
    <row r="734" spans="1:10" x14ac:dyDescent="0.3">
      <c r="A734" t="s">
        <v>170</v>
      </c>
      <c r="B734">
        <v>15</v>
      </c>
      <c r="C734">
        <v>1</v>
      </c>
      <c r="D734">
        <v>32</v>
      </c>
      <c r="E734" t="s">
        <v>96</v>
      </c>
      <c r="F734">
        <v>80</v>
      </c>
      <c r="H734">
        <v>32</v>
      </c>
      <c r="I734">
        <v>0.6</v>
      </c>
      <c r="J734">
        <v>19.2</v>
      </c>
    </row>
    <row r="735" spans="1:10" x14ac:dyDescent="0.3">
      <c r="A735" t="s">
        <v>170</v>
      </c>
      <c r="B735">
        <v>15</v>
      </c>
      <c r="C735">
        <v>1</v>
      </c>
      <c r="D735">
        <v>32</v>
      </c>
      <c r="E735" t="s">
        <v>96</v>
      </c>
      <c r="F735">
        <v>80</v>
      </c>
      <c r="H735">
        <v>64</v>
      </c>
      <c r="I735">
        <v>0.6</v>
      </c>
      <c r="J735">
        <v>38.4</v>
      </c>
    </row>
    <row r="736" spans="1:10" x14ac:dyDescent="0.3">
      <c r="A736" t="s">
        <v>170</v>
      </c>
      <c r="B736">
        <v>15</v>
      </c>
      <c r="C736">
        <v>1</v>
      </c>
      <c r="D736">
        <v>32</v>
      </c>
      <c r="E736" t="s">
        <v>96</v>
      </c>
      <c r="F736">
        <v>90</v>
      </c>
      <c r="H736">
        <v>32</v>
      </c>
      <c r="I736">
        <v>0.6</v>
      </c>
      <c r="J736">
        <v>19.2</v>
      </c>
    </row>
    <row r="737" spans="1:10" x14ac:dyDescent="0.3">
      <c r="A737" t="s">
        <v>170</v>
      </c>
      <c r="B737">
        <v>15</v>
      </c>
      <c r="C737">
        <v>1</v>
      </c>
      <c r="D737">
        <v>32</v>
      </c>
      <c r="E737" t="s">
        <v>96</v>
      </c>
      <c r="F737">
        <v>90</v>
      </c>
      <c r="H737">
        <v>64</v>
      </c>
      <c r="I737">
        <v>0.6</v>
      </c>
      <c r="J737">
        <v>38.4</v>
      </c>
    </row>
    <row r="738" spans="1:10" x14ac:dyDescent="0.3">
      <c r="A738" t="s">
        <v>170</v>
      </c>
      <c r="B738">
        <v>15</v>
      </c>
      <c r="C738">
        <v>1</v>
      </c>
      <c r="D738">
        <v>32</v>
      </c>
      <c r="E738" t="s">
        <v>96</v>
      </c>
      <c r="F738">
        <v>100</v>
      </c>
      <c r="H738">
        <v>32</v>
      </c>
      <c r="I738">
        <v>0.6</v>
      </c>
      <c r="J738">
        <v>19.2</v>
      </c>
    </row>
    <row r="739" spans="1:10" x14ac:dyDescent="0.3">
      <c r="A739" t="s">
        <v>170</v>
      </c>
      <c r="B739">
        <v>15</v>
      </c>
      <c r="C739">
        <v>1</v>
      </c>
      <c r="D739">
        <v>32</v>
      </c>
      <c r="E739" t="s">
        <v>96</v>
      </c>
      <c r="F739">
        <v>100</v>
      </c>
      <c r="H739">
        <v>64</v>
      </c>
      <c r="I739">
        <v>0.6</v>
      </c>
      <c r="J739">
        <v>38.4</v>
      </c>
    </row>
    <row r="740" spans="1:10" x14ac:dyDescent="0.3">
      <c r="A740" t="s">
        <v>170</v>
      </c>
      <c r="B740">
        <v>15</v>
      </c>
      <c r="C740">
        <v>1</v>
      </c>
      <c r="D740">
        <v>32</v>
      </c>
      <c r="E740" t="s">
        <v>96</v>
      </c>
      <c r="F740">
        <v>110</v>
      </c>
      <c r="H740">
        <v>32</v>
      </c>
      <c r="I740">
        <v>0.6</v>
      </c>
      <c r="J740">
        <v>19.2</v>
      </c>
    </row>
    <row r="741" spans="1:10" x14ac:dyDescent="0.3">
      <c r="A741" t="s">
        <v>170</v>
      </c>
      <c r="B741">
        <v>15</v>
      </c>
      <c r="C741">
        <v>1</v>
      </c>
      <c r="D741">
        <v>32</v>
      </c>
      <c r="E741" t="s">
        <v>96</v>
      </c>
      <c r="F741">
        <v>110</v>
      </c>
      <c r="H741">
        <v>64</v>
      </c>
      <c r="I741">
        <v>0.6</v>
      </c>
      <c r="J741">
        <v>38.4</v>
      </c>
    </row>
    <row r="742" spans="1:10" x14ac:dyDescent="0.3">
      <c r="A742" t="s">
        <v>170</v>
      </c>
      <c r="B742">
        <v>15</v>
      </c>
      <c r="C742">
        <v>1</v>
      </c>
      <c r="D742">
        <v>32</v>
      </c>
      <c r="E742" t="s">
        <v>96</v>
      </c>
      <c r="F742">
        <v>120</v>
      </c>
      <c r="H742">
        <v>32</v>
      </c>
      <c r="I742">
        <v>0.6</v>
      </c>
      <c r="J742">
        <v>19.2</v>
      </c>
    </row>
    <row r="743" spans="1:10" x14ac:dyDescent="0.3">
      <c r="A743" t="s">
        <v>170</v>
      </c>
      <c r="B743">
        <v>15</v>
      </c>
      <c r="C743">
        <v>1</v>
      </c>
      <c r="D743">
        <v>32</v>
      </c>
      <c r="E743" t="s">
        <v>96</v>
      </c>
      <c r="F743">
        <v>120</v>
      </c>
      <c r="H743">
        <v>64</v>
      </c>
      <c r="I743">
        <v>0.6</v>
      </c>
      <c r="J743">
        <v>38.4</v>
      </c>
    </row>
    <row r="744" spans="1:10" x14ac:dyDescent="0.3">
      <c r="A744" t="s">
        <v>170</v>
      </c>
      <c r="B744">
        <v>15</v>
      </c>
      <c r="C744">
        <v>1</v>
      </c>
      <c r="D744">
        <v>32</v>
      </c>
      <c r="E744" t="s">
        <v>96</v>
      </c>
      <c r="F744">
        <v>130</v>
      </c>
      <c r="H744">
        <v>32</v>
      </c>
      <c r="I744">
        <v>0.6</v>
      </c>
      <c r="J744">
        <v>19.2</v>
      </c>
    </row>
    <row r="745" spans="1:10" x14ac:dyDescent="0.3">
      <c r="A745" t="s">
        <v>170</v>
      </c>
      <c r="B745">
        <v>15</v>
      </c>
      <c r="C745">
        <v>1</v>
      </c>
      <c r="D745">
        <v>32</v>
      </c>
      <c r="E745" t="s">
        <v>96</v>
      </c>
      <c r="F745">
        <v>130</v>
      </c>
      <c r="H745">
        <v>64</v>
      </c>
      <c r="I745">
        <v>0.6</v>
      </c>
      <c r="J745">
        <v>38.4</v>
      </c>
    </row>
    <row r="746" spans="1:10" x14ac:dyDescent="0.3">
      <c r="A746" t="s">
        <v>170</v>
      </c>
      <c r="B746">
        <v>15</v>
      </c>
      <c r="C746">
        <v>1</v>
      </c>
      <c r="D746">
        <v>32</v>
      </c>
      <c r="E746" t="s">
        <v>96</v>
      </c>
      <c r="F746">
        <v>140</v>
      </c>
      <c r="H746">
        <v>32</v>
      </c>
      <c r="I746">
        <v>0.6</v>
      </c>
      <c r="J746">
        <v>19.2</v>
      </c>
    </row>
    <row r="747" spans="1:10" x14ac:dyDescent="0.3">
      <c r="A747" t="s">
        <v>170</v>
      </c>
      <c r="B747">
        <v>15</v>
      </c>
      <c r="C747">
        <v>1</v>
      </c>
      <c r="D747">
        <v>32</v>
      </c>
      <c r="E747" t="s">
        <v>96</v>
      </c>
      <c r="F747">
        <v>140</v>
      </c>
      <c r="H747">
        <v>64</v>
      </c>
      <c r="I747">
        <v>0.6</v>
      </c>
      <c r="J747">
        <v>38.4</v>
      </c>
    </row>
    <row r="748" spans="1:10" x14ac:dyDescent="0.3">
      <c r="A748" t="s">
        <v>170</v>
      </c>
      <c r="B748">
        <v>15</v>
      </c>
      <c r="C748">
        <v>1</v>
      </c>
      <c r="D748">
        <v>32</v>
      </c>
      <c r="E748" t="s">
        <v>96</v>
      </c>
      <c r="F748">
        <v>100</v>
      </c>
      <c r="G748" t="s">
        <v>139</v>
      </c>
      <c r="H748">
        <v>32</v>
      </c>
      <c r="I748">
        <v>0.6</v>
      </c>
      <c r="J748">
        <v>19.2</v>
      </c>
    </row>
    <row r="749" spans="1:10" x14ac:dyDescent="0.3">
      <c r="A749" t="s">
        <v>170</v>
      </c>
      <c r="B749">
        <v>15</v>
      </c>
      <c r="C749">
        <v>1</v>
      </c>
      <c r="D749">
        <v>32</v>
      </c>
      <c r="E749" t="s">
        <v>96</v>
      </c>
      <c r="F749">
        <v>100</v>
      </c>
      <c r="G749" t="s">
        <v>139</v>
      </c>
      <c r="H749">
        <v>64</v>
      </c>
      <c r="I749">
        <v>0.6</v>
      </c>
      <c r="J749">
        <v>38.4</v>
      </c>
    </row>
    <row r="750" spans="1:10" x14ac:dyDescent="0.3">
      <c r="A750" t="s">
        <v>170</v>
      </c>
      <c r="B750">
        <v>15</v>
      </c>
      <c r="C750">
        <v>1</v>
      </c>
      <c r="D750">
        <v>32</v>
      </c>
      <c r="E750" t="s">
        <v>96</v>
      </c>
      <c r="F750">
        <v>110</v>
      </c>
      <c r="G750" t="s">
        <v>139</v>
      </c>
      <c r="H750">
        <v>32</v>
      </c>
      <c r="I750">
        <v>0.6</v>
      </c>
      <c r="J750">
        <v>19.2</v>
      </c>
    </row>
    <row r="751" spans="1:10" x14ac:dyDescent="0.3">
      <c r="A751" t="s">
        <v>170</v>
      </c>
      <c r="B751">
        <v>15</v>
      </c>
      <c r="C751">
        <v>1</v>
      </c>
      <c r="D751">
        <v>32</v>
      </c>
      <c r="E751" t="s">
        <v>96</v>
      </c>
      <c r="F751">
        <v>110</v>
      </c>
      <c r="G751" t="s">
        <v>139</v>
      </c>
      <c r="H751">
        <v>64</v>
      </c>
      <c r="I751">
        <v>0.6</v>
      </c>
      <c r="J751">
        <v>38.4</v>
      </c>
    </row>
    <row r="752" spans="1:10" x14ac:dyDescent="0.3">
      <c r="A752" t="s">
        <v>170</v>
      </c>
      <c r="B752">
        <v>15</v>
      </c>
      <c r="C752">
        <v>1</v>
      </c>
      <c r="D752">
        <v>32</v>
      </c>
      <c r="E752" t="s">
        <v>96</v>
      </c>
      <c r="F752">
        <v>120</v>
      </c>
      <c r="G752" t="s">
        <v>139</v>
      </c>
      <c r="H752">
        <v>32</v>
      </c>
      <c r="I752">
        <v>0.6</v>
      </c>
      <c r="J752">
        <v>19.2</v>
      </c>
    </row>
    <row r="753" spans="1:10" x14ac:dyDescent="0.3">
      <c r="A753" t="s">
        <v>170</v>
      </c>
      <c r="B753">
        <v>15</v>
      </c>
      <c r="C753">
        <v>1</v>
      </c>
      <c r="D753">
        <v>32</v>
      </c>
      <c r="E753" t="s">
        <v>96</v>
      </c>
      <c r="F753">
        <v>120</v>
      </c>
      <c r="G753" t="s">
        <v>139</v>
      </c>
      <c r="H753">
        <v>64</v>
      </c>
      <c r="I753">
        <v>0.6</v>
      </c>
      <c r="J753">
        <v>38.4</v>
      </c>
    </row>
    <row r="754" spans="1:10" x14ac:dyDescent="0.3">
      <c r="A754" t="s">
        <v>170</v>
      </c>
      <c r="B754">
        <v>15</v>
      </c>
      <c r="C754">
        <v>1</v>
      </c>
      <c r="D754">
        <v>32</v>
      </c>
      <c r="E754" t="s">
        <v>96</v>
      </c>
      <c r="F754">
        <v>130</v>
      </c>
      <c r="G754" t="s">
        <v>139</v>
      </c>
      <c r="H754">
        <v>32</v>
      </c>
      <c r="I754">
        <v>0.6</v>
      </c>
      <c r="J754">
        <v>19.2</v>
      </c>
    </row>
    <row r="755" spans="1:10" x14ac:dyDescent="0.3">
      <c r="A755" t="s">
        <v>170</v>
      </c>
      <c r="B755">
        <v>15</v>
      </c>
      <c r="C755">
        <v>1</v>
      </c>
      <c r="D755">
        <v>32</v>
      </c>
      <c r="E755" t="s">
        <v>96</v>
      </c>
      <c r="F755">
        <v>130</v>
      </c>
      <c r="G755" t="s">
        <v>139</v>
      </c>
      <c r="H755">
        <v>64</v>
      </c>
      <c r="I755">
        <v>0.6</v>
      </c>
      <c r="J755">
        <v>38.4</v>
      </c>
    </row>
    <row r="756" spans="1:10" x14ac:dyDescent="0.3">
      <c r="A756" t="s">
        <v>170</v>
      </c>
      <c r="B756">
        <v>15</v>
      </c>
      <c r="C756">
        <v>1</v>
      </c>
      <c r="D756">
        <v>32</v>
      </c>
      <c r="E756" t="s">
        <v>96</v>
      </c>
      <c r="F756">
        <v>140</v>
      </c>
      <c r="G756" t="s">
        <v>139</v>
      </c>
      <c r="H756">
        <v>32</v>
      </c>
      <c r="I756">
        <v>0.6</v>
      </c>
      <c r="J756">
        <v>19.2</v>
      </c>
    </row>
    <row r="757" spans="1:10" x14ac:dyDescent="0.3">
      <c r="A757" t="s">
        <v>170</v>
      </c>
      <c r="B757">
        <v>15</v>
      </c>
      <c r="C757">
        <v>1</v>
      </c>
      <c r="D757">
        <v>32</v>
      </c>
      <c r="E757" t="s">
        <v>96</v>
      </c>
      <c r="F757">
        <v>140</v>
      </c>
      <c r="G757" t="s">
        <v>139</v>
      </c>
      <c r="H757">
        <v>64</v>
      </c>
      <c r="I757">
        <v>0.6</v>
      </c>
      <c r="J757">
        <v>38.4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79"/>
  <sheetViews>
    <sheetView zoomScaleNormal="100" workbookViewId="0">
      <selection activeCellId="1" sqref="C93:H181 A1"/>
    </sheetView>
    <sheetView tabSelected="1" topLeftCell="A88" workbookViewId="1">
      <selection activeCell="L1" sqref="L1:M1048576"/>
    </sheetView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4"/>
      <c r="C2" s="131" t="s">
        <v>98</v>
      </c>
      <c r="D2" s="131"/>
      <c r="E2" s="131"/>
      <c r="F2" s="131"/>
      <c r="G2" s="131"/>
      <c r="H2" s="131"/>
      <c r="I2" s="131" t="s">
        <v>99</v>
      </c>
      <c r="J2" s="131"/>
    </row>
    <row r="3" spans="1:10" ht="15" customHeight="1" x14ac:dyDescent="0.3">
      <c r="B3" s="15" t="s">
        <v>100</v>
      </c>
      <c r="C3" s="4" t="s">
        <v>14</v>
      </c>
      <c r="D3" s="16" t="s">
        <v>18</v>
      </c>
      <c r="E3" s="4" t="s">
        <v>68</v>
      </c>
      <c r="F3" s="16" t="s">
        <v>27</v>
      </c>
      <c r="G3" s="4" t="s">
        <v>21</v>
      </c>
      <c r="H3" s="16" t="s">
        <v>22</v>
      </c>
      <c r="I3" s="4" t="s">
        <v>21</v>
      </c>
      <c r="J3" s="17" t="s">
        <v>22</v>
      </c>
    </row>
    <row r="4" spans="1:10" ht="15" customHeight="1" x14ac:dyDescent="0.3">
      <c r="B4" s="18" t="s">
        <v>101</v>
      </c>
      <c r="C4" s="2" t="s">
        <v>14</v>
      </c>
      <c r="D4" s="19" t="s">
        <v>18</v>
      </c>
      <c r="E4" s="2" t="s">
        <v>68</v>
      </c>
      <c r="F4" s="19" t="s">
        <v>27</v>
      </c>
      <c r="G4" s="2" t="s">
        <v>21</v>
      </c>
      <c r="H4" s="19" t="s">
        <v>22</v>
      </c>
      <c r="I4" s="2" t="s">
        <v>21</v>
      </c>
      <c r="J4" s="20" t="s">
        <v>22</v>
      </c>
    </row>
    <row r="5" spans="1:10" ht="1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4"/>
    </row>
    <row r="6" spans="1:10" ht="15" customHeight="1" x14ac:dyDescent="0.3">
      <c r="A6" s="130">
        <v>70</v>
      </c>
      <c r="B6" s="2" t="s">
        <v>102</v>
      </c>
      <c r="C6" s="2">
        <v>4.07</v>
      </c>
      <c r="D6" s="19">
        <v>4.01</v>
      </c>
      <c r="E6" s="2">
        <v>4.45</v>
      </c>
      <c r="F6" s="19">
        <v>4.04</v>
      </c>
      <c r="G6" s="2">
        <v>4.7300000000000004</v>
      </c>
      <c r="H6" s="19">
        <v>4.18</v>
      </c>
      <c r="I6" s="2"/>
      <c r="J6" s="20">
        <v>4.4000000000000004</v>
      </c>
    </row>
    <row r="7" spans="1:10" ht="15" customHeight="1" x14ac:dyDescent="0.3">
      <c r="A7" s="130"/>
      <c r="B7" s="2" t="s">
        <v>103</v>
      </c>
      <c r="C7" s="2">
        <v>4.3899999999999997</v>
      </c>
      <c r="D7" s="19">
        <v>4.32</v>
      </c>
      <c r="E7" s="2">
        <v>4.8</v>
      </c>
      <c r="F7" s="19">
        <v>4.3499999999999996</v>
      </c>
      <c r="G7" s="2">
        <v>5.0999999999999996</v>
      </c>
      <c r="H7" s="19">
        <v>4.5199999999999996</v>
      </c>
      <c r="I7" s="2"/>
      <c r="J7" s="20">
        <v>4.74</v>
      </c>
    </row>
    <row r="8" spans="1:10" ht="15" customHeight="1" x14ac:dyDescent="0.3">
      <c r="A8" s="130"/>
      <c r="B8" s="25" t="s">
        <v>104</v>
      </c>
      <c r="C8" s="26">
        <f t="shared" ref="C8:J8" si="0">IF(OR(C6="",C7=""),"",C7/C6)</f>
        <v>1.0786240786240784</v>
      </c>
      <c r="D8" s="27">
        <f t="shared" si="0"/>
        <v>1.0773067331670825</v>
      </c>
      <c r="E8" s="26">
        <f t="shared" si="0"/>
        <v>1.0786516853932584</v>
      </c>
      <c r="F8" s="27">
        <f t="shared" si="0"/>
        <v>1.0767326732673266</v>
      </c>
      <c r="G8" s="26">
        <f t="shared" si="0"/>
        <v>1.0782241014799152</v>
      </c>
      <c r="H8" s="27">
        <f t="shared" si="0"/>
        <v>1.0813397129186602</v>
      </c>
      <c r="I8" s="26" t="str">
        <f t="shared" si="0"/>
        <v/>
      </c>
      <c r="J8" s="28">
        <f t="shared" si="0"/>
        <v>1.0772727272727272</v>
      </c>
    </row>
    <row r="9" spans="1:10" ht="15" customHeight="1" x14ac:dyDescent="0.3">
      <c r="A9" s="130">
        <v>80</v>
      </c>
      <c r="B9" s="6" t="s">
        <v>102</v>
      </c>
      <c r="C9" s="6">
        <v>6.44</v>
      </c>
      <c r="D9" s="29">
        <v>6.34</v>
      </c>
      <c r="E9" s="6">
        <v>7.04</v>
      </c>
      <c r="F9" s="29">
        <v>6.39</v>
      </c>
      <c r="G9" s="6">
        <v>7.49</v>
      </c>
      <c r="H9" s="29">
        <v>6.61</v>
      </c>
      <c r="I9" s="6"/>
      <c r="J9" s="30">
        <v>6.92</v>
      </c>
    </row>
    <row r="10" spans="1:10" ht="15" customHeight="1" x14ac:dyDescent="0.3">
      <c r="A10" s="130"/>
      <c r="B10" s="2" t="s">
        <v>103</v>
      </c>
      <c r="C10" s="2">
        <v>6.81</v>
      </c>
      <c r="D10" s="19">
        <v>6.69</v>
      </c>
      <c r="E10" s="2">
        <v>7.43</v>
      </c>
      <c r="F10" s="19">
        <v>6.74</v>
      </c>
      <c r="G10" s="2">
        <v>7.9</v>
      </c>
      <c r="H10" s="19">
        <v>7</v>
      </c>
      <c r="I10" s="2"/>
      <c r="J10" s="20">
        <v>7.32</v>
      </c>
    </row>
    <row r="11" spans="1:10" ht="15" customHeight="1" x14ac:dyDescent="0.3">
      <c r="A11" s="130"/>
      <c r="B11" s="25" t="s">
        <v>104</v>
      </c>
      <c r="C11" s="26">
        <f t="shared" ref="C11:J11" si="1">IF(OR(C9="",C10=""),"",C10/C9)</f>
        <v>1.0574534161490683</v>
      </c>
      <c r="D11" s="27">
        <f t="shared" si="1"/>
        <v>1.0552050473186121</v>
      </c>
      <c r="E11" s="26">
        <f t="shared" si="1"/>
        <v>1.0553977272727273</v>
      </c>
      <c r="F11" s="27">
        <f t="shared" si="1"/>
        <v>1.0547730829420972</v>
      </c>
      <c r="G11" s="26">
        <f t="shared" si="1"/>
        <v>1.054739652870494</v>
      </c>
      <c r="H11" s="27">
        <f t="shared" si="1"/>
        <v>1.059001512859304</v>
      </c>
      <c r="I11" s="26" t="str">
        <f t="shared" si="1"/>
        <v/>
      </c>
      <c r="J11" s="28">
        <f t="shared" si="1"/>
        <v>1.0578034682080926</v>
      </c>
    </row>
    <row r="12" spans="1:10" ht="15" customHeight="1" x14ac:dyDescent="0.3">
      <c r="A12" s="130">
        <v>90</v>
      </c>
      <c r="B12" s="6" t="s">
        <v>102</v>
      </c>
      <c r="C12" s="6">
        <v>9.2899999999999991</v>
      </c>
      <c r="D12" s="29">
        <v>9.1300000000000008</v>
      </c>
      <c r="E12" s="6">
        <v>10.14</v>
      </c>
      <c r="F12" s="29">
        <v>9.1999999999999993</v>
      </c>
      <c r="G12" s="6">
        <v>10.77</v>
      </c>
      <c r="H12" s="29">
        <v>9.51</v>
      </c>
      <c r="I12" s="6"/>
      <c r="J12" s="30">
        <v>9.92</v>
      </c>
    </row>
    <row r="13" spans="1:10" ht="15" customHeight="1" x14ac:dyDescent="0.3">
      <c r="A13" s="130"/>
      <c r="B13" s="2" t="s">
        <v>103</v>
      </c>
      <c r="C13" s="2">
        <v>9.69</v>
      </c>
      <c r="D13" s="19">
        <v>9.5299999999999994</v>
      </c>
      <c r="E13" s="2">
        <v>10.59</v>
      </c>
      <c r="F13" s="19">
        <v>9.6</v>
      </c>
      <c r="G13" s="2">
        <v>11.25</v>
      </c>
      <c r="H13" s="19">
        <v>9.9600000000000009</v>
      </c>
      <c r="I13" s="2"/>
      <c r="J13" s="20">
        <v>10.38</v>
      </c>
    </row>
    <row r="14" spans="1:10" ht="15" customHeight="1" x14ac:dyDescent="0.3">
      <c r="A14" s="130"/>
      <c r="B14" s="25" t="s">
        <v>104</v>
      </c>
      <c r="C14" s="26">
        <f t="shared" ref="C14:J14" si="2">IF(OR(C12="",C13=""),"",C13/C12)</f>
        <v>1.0430570505920345</v>
      </c>
      <c r="D14" s="27">
        <f t="shared" si="2"/>
        <v>1.0438116100766701</v>
      </c>
      <c r="E14" s="26">
        <f t="shared" si="2"/>
        <v>1.044378698224852</v>
      </c>
      <c r="F14" s="27">
        <f t="shared" si="2"/>
        <v>1.0434782608695652</v>
      </c>
      <c r="G14" s="26">
        <f t="shared" si="2"/>
        <v>1.0445682451253482</v>
      </c>
      <c r="H14" s="27">
        <f t="shared" si="2"/>
        <v>1.0473186119873819</v>
      </c>
      <c r="I14" s="26" t="str">
        <f t="shared" si="2"/>
        <v/>
      </c>
      <c r="J14" s="28">
        <f t="shared" si="2"/>
        <v>1.0463709677419355</v>
      </c>
    </row>
    <row r="15" spans="1:10" ht="15" customHeight="1" x14ac:dyDescent="0.3">
      <c r="A15" s="130">
        <v>100</v>
      </c>
      <c r="B15" s="6" t="s">
        <v>102</v>
      </c>
      <c r="C15" s="6">
        <v>12.52</v>
      </c>
      <c r="D15" s="29">
        <v>12.31</v>
      </c>
      <c r="E15" s="6">
        <v>13.68</v>
      </c>
      <c r="F15" s="29">
        <v>12.42</v>
      </c>
      <c r="G15" s="6">
        <v>14.53</v>
      </c>
      <c r="H15" s="29">
        <v>12.81</v>
      </c>
      <c r="I15" s="6"/>
      <c r="J15" s="30">
        <v>13.32</v>
      </c>
    </row>
    <row r="16" spans="1:10" ht="15" customHeight="1" x14ac:dyDescent="0.3">
      <c r="A16" s="130"/>
      <c r="B16" s="2" t="s">
        <v>103</v>
      </c>
      <c r="C16" s="2">
        <v>12.96</v>
      </c>
      <c r="D16" s="19">
        <v>12.75</v>
      </c>
      <c r="E16" s="2">
        <v>14.17</v>
      </c>
      <c r="F16" s="19">
        <v>12.85</v>
      </c>
      <c r="G16" s="2">
        <v>15.04</v>
      </c>
      <c r="H16" s="19">
        <v>13.3</v>
      </c>
      <c r="I16" s="2"/>
      <c r="J16" s="20">
        <v>13.84</v>
      </c>
    </row>
    <row r="17" spans="1:10" ht="15" customHeight="1" x14ac:dyDescent="0.3">
      <c r="A17" s="130"/>
      <c r="B17" s="25" t="s">
        <v>104</v>
      </c>
      <c r="C17" s="26">
        <f t="shared" ref="C17:J17" si="3">IF(OR(C15="",C16=""),"",C16/C15)</f>
        <v>1.0351437699680512</v>
      </c>
      <c r="D17" s="27">
        <f t="shared" si="3"/>
        <v>1.0357432981316004</v>
      </c>
      <c r="E17" s="26">
        <f t="shared" si="3"/>
        <v>1.0358187134502923</v>
      </c>
      <c r="F17" s="27">
        <f t="shared" si="3"/>
        <v>1.0346215780998389</v>
      </c>
      <c r="G17" s="26">
        <f t="shared" si="3"/>
        <v>1.0350997935306263</v>
      </c>
      <c r="H17" s="27">
        <f t="shared" si="3"/>
        <v>1.0382513661202186</v>
      </c>
      <c r="I17" s="26" t="str">
        <f t="shared" si="3"/>
        <v/>
      </c>
      <c r="J17" s="28">
        <f t="shared" si="3"/>
        <v>1.0390390390390389</v>
      </c>
    </row>
    <row r="18" spans="1:10" ht="15" customHeight="1" x14ac:dyDescent="0.3">
      <c r="A18" s="130">
        <v>110</v>
      </c>
      <c r="B18" s="6" t="s">
        <v>102</v>
      </c>
      <c r="C18" s="6">
        <v>15.99</v>
      </c>
      <c r="D18" s="29">
        <v>15.79</v>
      </c>
      <c r="E18" s="6">
        <v>17.54</v>
      </c>
      <c r="F18" s="29">
        <v>15.9</v>
      </c>
      <c r="G18" s="6">
        <v>18.64</v>
      </c>
      <c r="H18" s="29">
        <v>16.420000000000002</v>
      </c>
      <c r="I18" s="6"/>
      <c r="J18" s="30">
        <v>17.02</v>
      </c>
    </row>
    <row r="19" spans="1:10" ht="15" customHeight="1" x14ac:dyDescent="0.3">
      <c r="A19" s="130"/>
      <c r="B19" s="2" t="s">
        <v>103</v>
      </c>
      <c r="C19" s="2">
        <v>16.57</v>
      </c>
      <c r="D19" s="19">
        <v>16.3</v>
      </c>
      <c r="E19" s="2">
        <v>18.11</v>
      </c>
      <c r="F19" s="19">
        <v>16.399999999999999</v>
      </c>
      <c r="G19" s="2">
        <v>19.21</v>
      </c>
      <c r="H19" s="19">
        <v>16.98</v>
      </c>
      <c r="I19" s="2"/>
      <c r="J19" s="20">
        <v>17.62</v>
      </c>
    </row>
    <row r="20" spans="1:10" ht="15" customHeight="1" x14ac:dyDescent="0.3">
      <c r="A20" s="130"/>
      <c r="B20" s="25" t="s">
        <v>104</v>
      </c>
      <c r="C20" s="26">
        <f t="shared" ref="C20:J20" si="4">IF(OR(C18="",C19=""),"",C19/C18)</f>
        <v>1.0362726704190119</v>
      </c>
      <c r="D20" s="27">
        <f t="shared" si="4"/>
        <v>1.032298923369221</v>
      </c>
      <c r="E20" s="26">
        <f t="shared" si="4"/>
        <v>1.0324971493728621</v>
      </c>
      <c r="F20" s="27">
        <f t="shared" si="4"/>
        <v>1.0314465408805031</v>
      </c>
      <c r="G20" s="26">
        <f t="shared" si="4"/>
        <v>1.030579399141631</v>
      </c>
      <c r="H20" s="27">
        <f t="shared" si="4"/>
        <v>1.0341047503045067</v>
      </c>
      <c r="I20" s="26" t="str">
        <f t="shared" si="4"/>
        <v/>
      </c>
      <c r="J20" s="28">
        <f t="shared" si="4"/>
        <v>1.0352526439482963</v>
      </c>
    </row>
    <row r="21" spans="1:10" ht="15" customHeight="1" x14ac:dyDescent="0.3">
      <c r="A21" s="130">
        <v>120</v>
      </c>
      <c r="B21" s="6" t="s">
        <v>102</v>
      </c>
      <c r="C21" s="6">
        <v>19.920000000000002</v>
      </c>
      <c r="D21" s="29">
        <v>19.600000000000001</v>
      </c>
      <c r="E21" s="6">
        <v>21.77</v>
      </c>
      <c r="F21" s="29">
        <v>19.71</v>
      </c>
      <c r="G21" s="6">
        <v>23.08</v>
      </c>
      <c r="H21" s="29">
        <v>20.34</v>
      </c>
      <c r="I21" s="6"/>
      <c r="J21" s="30">
        <v>21.08</v>
      </c>
    </row>
    <row r="22" spans="1:10" ht="15" customHeight="1" x14ac:dyDescent="0.3">
      <c r="A22" s="130"/>
      <c r="B22" s="2" t="s">
        <v>103</v>
      </c>
      <c r="C22" s="2">
        <v>20.5</v>
      </c>
      <c r="D22" s="19">
        <v>20.13</v>
      </c>
      <c r="E22" s="2">
        <v>22.37</v>
      </c>
      <c r="F22" s="19">
        <v>20.260000000000002</v>
      </c>
      <c r="G22" s="2">
        <v>23.73</v>
      </c>
      <c r="H22" s="19">
        <v>20.96</v>
      </c>
      <c r="I22" s="2"/>
      <c r="J22" s="20">
        <v>21.72</v>
      </c>
    </row>
    <row r="23" spans="1:10" ht="15" customHeight="1" x14ac:dyDescent="0.3">
      <c r="A23" s="130"/>
      <c r="B23" s="25" t="s">
        <v>104</v>
      </c>
      <c r="C23" s="26">
        <f t="shared" ref="C23:J23" si="5">IF(OR(C21="",C22=""),"",C22/C21)</f>
        <v>1.0291164658634537</v>
      </c>
      <c r="D23" s="27">
        <f t="shared" si="5"/>
        <v>1.0270408163265305</v>
      </c>
      <c r="E23" s="26">
        <f t="shared" si="5"/>
        <v>1.0275608635737254</v>
      </c>
      <c r="F23" s="27">
        <f t="shared" si="5"/>
        <v>1.0279046169457129</v>
      </c>
      <c r="G23" s="26">
        <f t="shared" si="5"/>
        <v>1.0281629116117852</v>
      </c>
      <c r="H23" s="27">
        <f t="shared" si="5"/>
        <v>1.0304818092428711</v>
      </c>
      <c r="I23" s="26" t="str">
        <f t="shared" si="5"/>
        <v/>
      </c>
      <c r="J23" s="28">
        <f t="shared" si="5"/>
        <v>1.0303605313092978</v>
      </c>
    </row>
    <row r="24" spans="1:10" ht="15" customHeight="1" x14ac:dyDescent="0.3">
      <c r="A24" s="130">
        <v>130</v>
      </c>
      <c r="B24" s="6" t="s">
        <v>102</v>
      </c>
      <c r="C24" s="6">
        <v>24.1</v>
      </c>
      <c r="D24" s="29">
        <v>23.69</v>
      </c>
      <c r="E24" s="6">
        <v>26.32</v>
      </c>
      <c r="F24" s="29">
        <v>23.81</v>
      </c>
      <c r="G24" s="6">
        <v>27.89</v>
      </c>
      <c r="H24" s="29">
        <v>24.52</v>
      </c>
      <c r="I24" s="6"/>
      <c r="J24" s="30">
        <v>25.36</v>
      </c>
    </row>
    <row r="25" spans="1:10" ht="15" customHeight="1" x14ac:dyDescent="0.3">
      <c r="A25" s="130"/>
      <c r="B25" s="2" t="s">
        <v>103</v>
      </c>
      <c r="C25" s="2">
        <v>24.72</v>
      </c>
      <c r="D25" s="19">
        <v>24.26</v>
      </c>
      <c r="E25" s="2">
        <v>26.95</v>
      </c>
      <c r="F25" s="19">
        <v>24.41</v>
      </c>
      <c r="G25" s="2">
        <v>28.57</v>
      </c>
      <c r="H25" s="19">
        <v>25.22</v>
      </c>
      <c r="I25" s="2"/>
      <c r="J25" s="20">
        <v>26.1</v>
      </c>
    </row>
    <row r="26" spans="1:10" ht="15" customHeight="1" x14ac:dyDescent="0.3">
      <c r="A26" s="130"/>
      <c r="B26" s="25" t="s">
        <v>104</v>
      </c>
      <c r="C26" s="26">
        <f t="shared" ref="C26:J26" si="6">IF(OR(C24="",C25=""),"",C25/C24)</f>
        <v>1.0257261410788381</v>
      </c>
      <c r="D26" s="27">
        <f t="shared" si="6"/>
        <v>1.0240607851414099</v>
      </c>
      <c r="E26" s="26">
        <f t="shared" si="6"/>
        <v>1.0239361702127658</v>
      </c>
      <c r="F26" s="27">
        <f t="shared" si="6"/>
        <v>1.0251994960100799</v>
      </c>
      <c r="G26" s="26">
        <f t="shared" si="6"/>
        <v>1.0243814987450699</v>
      </c>
      <c r="H26" s="27">
        <f t="shared" si="6"/>
        <v>1.0285481239804242</v>
      </c>
      <c r="I26" s="26" t="str">
        <f t="shared" si="6"/>
        <v/>
      </c>
      <c r="J26" s="28">
        <f t="shared" si="6"/>
        <v>1.0291798107255521</v>
      </c>
    </row>
    <row r="27" spans="1:10" ht="15" customHeight="1" x14ac:dyDescent="0.3">
      <c r="A27" s="130">
        <v>140</v>
      </c>
      <c r="B27" s="6" t="s">
        <v>102</v>
      </c>
      <c r="C27" s="6">
        <v>28.32</v>
      </c>
      <c r="D27" s="29">
        <v>27.94</v>
      </c>
      <c r="E27" s="6">
        <v>31.04</v>
      </c>
      <c r="F27" s="29">
        <v>28.13</v>
      </c>
      <c r="G27" s="6">
        <v>23.89</v>
      </c>
      <c r="H27" s="29">
        <v>29</v>
      </c>
      <c r="I27" s="6"/>
      <c r="J27" s="30">
        <v>30</v>
      </c>
    </row>
    <row r="28" spans="1:10" ht="15" customHeight="1" x14ac:dyDescent="0.3">
      <c r="A28" s="130"/>
      <c r="B28" s="2" t="s">
        <v>103</v>
      </c>
      <c r="C28" s="2">
        <v>29.08</v>
      </c>
      <c r="D28" s="19">
        <v>28.6</v>
      </c>
      <c r="E28" s="2">
        <v>31.78</v>
      </c>
      <c r="F28" s="19">
        <v>28.77</v>
      </c>
      <c r="G28" s="2">
        <v>33.69</v>
      </c>
      <c r="H28" s="19">
        <v>29.75</v>
      </c>
      <c r="I28" s="2"/>
      <c r="J28" s="20">
        <v>30.77</v>
      </c>
    </row>
    <row r="29" spans="1:10" ht="15" customHeight="1" x14ac:dyDescent="0.3">
      <c r="A29" s="130"/>
      <c r="B29" s="25" t="s">
        <v>104</v>
      </c>
      <c r="C29" s="26">
        <f t="shared" ref="C29:J29" si="7">IF(OR(C27="",C28=""),"",C28/C27)</f>
        <v>1.0268361581920904</v>
      </c>
      <c r="D29" s="27">
        <f t="shared" si="7"/>
        <v>1.0236220472440944</v>
      </c>
      <c r="E29" s="26">
        <f t="shared" si="7"/>
        <v>1.0238402061855671</v>
      </c>
      <c r="F29" s="27">
        <f t="shared" si="7"/>
        <v>1.0227515108425169</v>
      </c>
      <c r="G29" s="26">
        <f t="shared" si="7"/>
        <v>1.410213478442863</v>
      </c>
      <c r="H29" s="27">
        <f t="shared" si="7"/>
        <v>1.0258620689655173</v>
      </c>
      <c r="I29" s="26" t="str">
        <f t="shared" si="7"/>
        <v/>
      </c>
      <c r="J29" s="28">
        <f t="shared" si="7"/>
        <v>1.0256666666666667</v>
      </c>
    </row>
    <row r="30" spans="1:10" ht="15.6" x14ac:dyDescent="0.3">
      <c r="A30" s="130" t="s">
        <v>105</v>
      </c>
      <c r="B30" s="6" t="s">
        <v>102</v>
      </c>
      <c r="C30" s="6"/>
      <c r="D30" s="29"/>
      <c r="E30" s="6">
        <v>2.11</v>
      </c>
      <c r="F30" s="29">
        <v>1.92</v>
      </c>
      <c r="G30" s="6"/>
      <c r="H30" s="29">
        <v>2</v>
      </c>
      <c r="I30" s="6">
        <v>2.41</v>
      </c>
      <c r="J30" s="30">
        <v>2.08</v>
      </c>
    </row>
    <row r="31" spans="1:10" ht="15.6" x14ac:dyDescent="0.3">
      <c r="A31" s="130"/>
      <c r="B31" s="2" t="s">
        <v>103</v>
      </c>
      <c r="C31" s="2"/>
      <c r="D31" s="19"/>
      <c r="E31" s="2">
        <v>2.13</v>
      </c>
      <c r="F31" s="19">
        <v>1.93</v>
      </c>
      <c r="G31" s="2"/>
      <c r="H31" s="19">
        <v>2.02</v>
      </c>
      <c r="I31" s="2">
        <v>2.42</v>
      </c>
      <c r="J31" s="20">
        <v>2.11</v>
      </c>
    </row>
    <row r="32" spans="1:10" ht="15.6" x14ac:dyDescent="0.3">
      <c r="A32" s="130"/>
      <c r="B32" s="25" t="s">
        <v>104</v>
      </c>
      <c r="C32" s="26" t="str">
        <f t="shared" ref="C32:J32" si="8">IF(OR(C30="",C31=""),"",C31/C30)</f>
        <v/>
      </c>
      <c r="D32" s="27" t="str">
        <f t="shared" si="8"/>
        <v/>
      </c>
      <c r="E32" s="26">
        <f t="shared" si="8"/>
        <v>1.0094786729857821</v>
      </c>
      <c r="F32" s="27">
        <f t="shared" si="8"/>
        <v>1.0052083333333333</v>
      </c>
      <c r="G32" s="26" t="str">
        <f t="shared" si="8"/>
        <v/>
      </c>
      <c r="H32" s="27">
        <f t="shared" si="8"/>
        <v>1.01</v>
      </c>
      <c r="I32" s="26">
        <f t="shared" si="8"/>
        <v>1.004149377593361</v>
      </c>
      <c r="J32" s="28">
        <f t="shared" si="8"/>
        <v>1.0144230769230769</v>
      </c>
    </row>
    <row r="33" spans="1:10" ht="15.6" x14ac:dyDescent="0.3">
      <c r="A33" s="130" t="s">
        <v>106</v>
      </c>
      <c r="B33" s="6" t="s">
        <v>102</v>
      </c>
      <c r="C33" s="6"/>
      <c r="D33" s="29"/>
      <c r="E33" s="6">
        <v>3.26</v>
      </c>
      <c r="F33" s="29">
        <v>2.97</v>
      </c>
      <c r="G33" s="6"/>
      <c r="H33" s="29">
        <v>3.1</v>
      </c>
      <c r="I33" s="6">
        <v>3.71</v>
      </c>
      <c r="J33" s="30">
        <v>3.22</v>
      </c>
    </row>
    <row r="34" spans="1:10" ht="15.6" x14ac:dyDescent="0.3">
      <c r="A34" s="130"/>
      <c r="B34" s="2" t="s">
        <v>103</v>
      </c>
      <c r="C34" s="2"/>
      <c r="D34" s="19"/>
      <c r="E34" s="2">
        <v>3.3</v>
      </c>
      <c r="F34" s="19">
        <v>3</v>
      </c>
      <c r="G34" s="2"/>
      <c r="H34" s="19">
        <v>3.14</v>
      </c>
      <c r="I34" s="2">
        <v>3.7</v>
      </c>
      <c r="J34" s="20">
        <v>3.26</v>
      </c>
    </row>
    <row r="35" spans="1:10" ht="15.6" x14ac:dyDescent="0.3">
      <c r="A35" s="130"/>
      <c r="B35" s="25" t="s">
        <v>104</v>
      </c>
      <c r="C35" s="26" t="str">
        <f t="shared" ref="C35:J35" si="9">IF(OR(C33="",C34=""),"",C34/C33)</f>
        <v/>
      </c>
      <c r="D35" s="27" t="str">
        <f t="shared" si="9"/>
        <v/>
      </c>
      <c r="E35" s="26">
        <f t="shared" si="9"/>
        <v>1.0122699386503067</v>
      </c>
      <c r="F35" s="27">
        <f t="shared" si="9"/>
        <v>1.0101010101010099</v>
      </c>
      <c r="G35" s="26" t="str">
        <f t="shared" si="9"/>
        <v/>
      </c>
      <c r="H35" s="27">
        <f t="shared" si="9"/>
        <v>1.0129032258064516</v>
      </c>
      <c r="I35" s="26">
        <f t="shared" si="9"/>
        <v>0.99730458221024265</v>
      </c>
      <c r="J35" s="28">
        <f t="shared" si="9"/>
        <v>1.012422360248447</v>
      </c>
    </row>
    <row r="36" spans="1:10" ht="15.6" x14ac:dyDescent="0.3">
      <c r="A36" s="130" t="s">
        <v>107</v>
      </c>
      <c r="B36" s="6" t="s">
        <v>102</v>
      </c>
      <c r="C36" s="6"/>
      <c r="D36" s="29"/>
      <c r="E36" s="6">
        <v>4.72</v>
      </c>
      <c r="F36" s="29">
        <v>4.29</v>
      </c>
      <c r="G36" s="6"/>
      <c r="H36" s="29">
        <v>4.47</v>
      </c>
      <c r="I36" s="6">
        <v>5.35</v>
      </c>
      <c r="J36" s="30">
        <v>4.63</v>
      </c>
    </row>
    <row r="37" spans="1:10" ht="15.6" x14ac:dyDescent="0.3">
      <c r="A37" s="130"/>
      <c r="B37" s="2" t="s">
        <v>103</v>
      </c>
      <c r="C37" s="2"/>
      <c r="D37" s="19"/>
      <c r="E37" s="2">
        <v>4.7699999999999996</v>
      </c>
      <c r="F37" s="19">
        <v>4.33</v>
      </c>
      <c r="G37" s="2"/>
      <c r="H37" s="19">
        <v>4.53</v>
      </c>
      <c r="I37" s="2">
        <v>5.41</v>
      </c>
      <c r="J37" s="20">
        <v>4.6900000000000004</v>
      </c>
    </row>
    <row r="38" spans="1:10" ht="15.6" x14ac:dyDescent="0.3">
      <c r="A38" s="130"/>
      <c r="B38" s="25" t="s">
        <v>104</v>
      </c>
      <c r="C38" s="26" t="str">
        <f t="shared" ref="C38:J38" si="10">IF(OR(C36="",C37=""),"",C37/C36)</f>
        <v/>
      </c>
      <c r="D38" s="27" t="str">
        <f t="shared" si="10"/>
        <v/>
      </c>
      <c r="E38" s="26">
        <f t="shared" si="10"/>
        <v>1.0105932203389829</v>
      </c>
      <c r="F38" s="27">
        <f t="shared" si="10"/>
        <v>1.0093240093240092</v>
      </c>
      <c r="G38" s="26" t="str">
        <f t="shared" si="10"/>
        <v/>
      </c>
      <c r="H38" s="27">
        <f t="shared" si="10"/>
        <v>1.0134228187919465</v>
      </c>
      <c r="I38" s="26">
        <f t="shared" si="10"/>
        <v>1.0112149532710282</v>
      </c>
      <c r="J38" s="28">
        <f t="shared" si="10"/>
        <v>1.0129589632829374</v>
      </c>
    </row>
    <row r="39" spans="1:10" ht="15.6" x14ac:dyDescent="0.3">
      <c r="A39" s="130" t="s">
        <v>108</v>
      </c>
      <c r="B39" s="6" t="s">
        <v>102</v>
      </c>
      <c r="C39" s="6"/>
      <c r="D39" s="29"/>
      <c r="E39" s="6">
        <v>6.47</v>
      </c>
      <c r="F39" s="29">
        <v>5.87</v>
      </c>
      <c r="G39" s="6"/>
      <c r="H39" s="29">
        <v>6.11</v>
      </c>
      <c r="I39" s="6">
        <v>7.33</v>
      </c>
      <c r="J39" s="30">
        <v>6.33</v>
      </c>
    </row>
    <row r="40" spans="1:10" ht="15.6" x14ac:dyDescent="0.3">
      <c r="A40" s="130"/>
      <c r="B40" s="2" t="s">
        <v>103</v>
      </c>
      <c r="C40" s="2"/>
      <c r="D40" s="19"/>
      <c r="E40" s="2">
        <v>6.55</v>
      </c>
      <c r="F40" s="19">
        <v>5.95</v>
      </c>
      <c r="G40" s="2"/>
      <c r="H40" s="19">
        <v>6.21</v>
      </c>
      <c r="I40" s="2">
        <v>7.41</v>
      </c>
      <c r="J40" s="20">
        <v>6.43</v>
      </c>
    </row>
    <row r="41" spans="1:10" ht="15.6" x14ac:dyDescent="0.3">
      <c r="A41" s="130"/>
      <c r="B41" s="25" t="s">
        <v>104</v>
      </c>
      <c r="C41" s="26" t="str">
        <f t="shared" ref="C41:J41" si="11">IF(OR(C39="",C40=""),"",C40/C39)</f>
        <v/>
      </c>
      <c r="D41" s="27" t="str">
        <f t="shared" si="11"/>
        <v/>
      </c>
      <c r="E41" s="26">
        <f t="shared" si="11"/>
        <v>1.0123647604327666</v>
      </c>
      <c r="F41" s="27">
        <f t="shared" si="11"/>
        <v>1.0136286201022147</v>
      </c>
      <c r="G41" s="26" t="str">
        <f t="shared" si="11"/>
        <v/>
      </c>
      <c r="H41" s="27">
        <f t="shared" si="11"/>
        <v>1.0163666121112929</v>
      </c>
      <c r="I41" s="26">
        <f t="shared" si="11"/>
        <v>1.0109140518417463</v>
      </c>
      <c r="J41" s="28">
        <f t="shared" si="11"/>
        <v>1.0157977883096365</v>
      </c>
    </row>
    <row r="42" spans="1:10" ht="15.6" x14ac:dyDescent="0.3">
      <c r="A42" s="130" t="s">
        <v>109</v>
      </c>
      <c r="B42" s="6" t="s">
        <v>102</v>
      </c>
      <c r="C42" s="6"/>
      <c r="D42" s="29"/>
      <c r="E42" s="6">
        <v>8.5</v>
      </c>
      <c r="F42" s="29">
        <v>7.73</v>
      </c>
      <c r="G42" s="6"/>
      <c r="H42" s="29">
        <v>8.0399999999999991</v>
      </c>
      <c r="I42" s="6">
        <v>9.6199999999999992</v>
      </c>
      <c r="J42" s="30">
        <v>8.32</v>
      </c>
    </row>
    <row r="43" spans="1:10" ht="15.6" x14ac:dyDescent="0.3">
      <c r="A43" s="130"/>
      <c r="B43" s="2" t="s">
        <v>103</v>
      </c>
      <c r="C43" s="2"/>
      <c r="D43" s="19"/>
      <c r="E43" s="2">
        <v>8.6300000000000008</v>
      </c>
      <c r="F43" s="19">
        <v>7.83</v>
      </c>
      <c r="G43" s="2"/>
      <c r="H43" s="19">
        <v>8.19</v>
      </c>
      <c r="I43" s="2">
        <v>9.75</v>
      </c>
      <c r="J43" s="20">
        <v>8.4600000000000009</v>
      </c>
    </row>
    <row r="44" spans="1:10" ht="15.6" x14ac:dyDescent="0.3">
      <c r="A44" s="130"/>
      <c r="B44" s="25" t="s">
        <v>104</v>
      </c>
      <c r="C44" s="26" t="str">
        <f t="shared" ref="C44:J44" si="12">IF(OR(C42="",C43=""),"",C43/C42)</f>
        <v/>
      </c>
      <c r="D44" s="27" t="str">
        <f t="shared" si="12"/>
        <v/>
      </c>
      <c r="E44" s="26">
        <f t="shared" si="12"/>
        <v>1.0152941176470589</v>
      </c>
      <c r="F44" s="27">
        <f t="shared" si="12"/>
        <v>1.0129366106080206</v>
      </c>
      <c r="G44" s="26" t="str">
        <f t="shared" si="12"/>
        <v/>
      </c>
      <c r="H44" s="27">
        <f t="shared" si="12"/>
        <v>1.0186567164179106</v>
      </c>
      <c r="I44" s="26">
        <f t="shared" si="12"/>
        <v>1.0135135135135136</v>
      </c>
      <c r="J44" s="28">
        <f t="shared" si="12"/>
        <v>1.0168269230769231</v>
      </c>
    </row>
    <row r="46" spans="1:10" ht="15.6" x14ac:dyDescent="0.3">
      <c r="A46" s="8" t="s">
        <v>110</v>
      </c>
    </row>
    <row r="47" spans="1:10" ht="15.6" x14ac:dyDescent="0.3">
      <c r="B47" s="14"/>
      <c r="C47" s="131" t="s">
        <v>98</v>
      </c>
      <c r="D47" s="131"/>
      <c r="E47" s="131"/>
      <c r="F47" s="131"/>
      <c r="G47" s="131"/>
      <c r="H47" s="131"/>
      <c r="I47" s="131" t="s">
        <v>99</v>
      </c>
      <c r="J47" s="131"/>
    </row>
    <row r="48" spans="1:10" ht="15.6" x14ac:dyDescent="0.3">
      <c r="B48" s="15" t="s">
        <v>100</v>
      </c>
      <c r="C48" s="4" t="s">
        <v>14</v>
      </c>
      <c r="D48" s="16" t="s">
        <v>18</v>
      </c>
      <c r="E48" s="4" t="s">
        <v>68</v>
      </c>
      <c r="F48" s="16" t="s">
        <v>27</v>
      </c>
      <c r="G48" s="4" t="s">
        <v>21</v>
      </c>
      <c r="H48" s="16" t="s">
        <v>22</v>
      </c>
      <c r="I48" s="4" t="s">
        <v>21</v>
      </c>
      <c r="J48" s="17" t="s">
        <v>22</v>
      </c>
    </row>
    <row r="49" spans="1:10" ht="15.6" x14ac:dyDescent="0.3">
      <c r="B49" s="18" t="s">
        <v>101</v>
      </c>
      <c r="C49" s="2" t="s">
        <v>14</v>
      </c>
      <c r="D49" s="19" t="s">
        <v>18</v>
      </c>
      <c r="E49" s="2" t="s">
        <v>68</v>
      </c>
      <c r="F49" s="19" t="s">
        <v>27</v>
      </c>
      <c r="G49" s="2" t="s">
        <v>21</v>
      </c>
      <c r="H49" s="19" t="s">
        <v>22</v>
      </c>
      <c r="I49" s="2" t="s">
        <v>21</v>
      </c>
      <c r="J49" s="20" t="s">
        <v>22</v>
      </c>
    </row>
    <row r="50" spans="1:10" ht="15.6" x14ac:dyDescent="0.3">
      <c r="A50" s="7" t="s">
        <v>6</v>
      </c>
      <c r="B50" s="21"/>
      <c r="C50" s="22"/>
      <c r="D50" s="23"/>
      <c r="E50" s="22"/>
      <c r="F50" s="23"/>
      <c r="G50" s="22"/>
      <c r="H50" s="23"/>
      <c r="I50" s="22"/>
      <c r="J50" s="24"/>
    </row>
    <row r="51" spans="1:10" ht="15.6" x14ac:dyDescent="0.3">
      <c r="A51" s="130">
        <v>70</v>
      </c>
      <c r="B51" s="2" t="s">
        <v>102</v>
      </c>
      <c r="C51" s="2">
        <v>3.64</v>
      </c>
      <c r="D51" s="19">
        <v>3.61</v>
      </c>
      <c r="E51" s="2">
        <v>4.01</v>
      </c>
      <c r="F51" s="19">
        <v>3.63</v>
      </c>
      <c r="G51" s="2">
        <v>4.24</v>
      </c>
      <c r="H51" s="19">
        <v>3.74</v>
      </c>
      <c r="I51" s="2"/>
      <c r="J51" s="20">
        <v>3.93</v>
      </c>
    </row>
    <row r="52" spans="1:10" ht="15.6" x14ac:dyDescent="0.3">
      <c r="A52" s="130"/>
      <c r="B52" s="2" t="s">
        <v>103</v>
      </c>
      <c r="C52" s="2">
        <v>3.68</v>
      </c>
      <c r="D52" s="19">
        <v>3.63</v>
      </c>
      <c r="E52" s="2">
        <v>4.03</v>
      </c>
      <c r="F52" s="19">
        <v>3.65</v>
      </c>
      <c r="G52" s="2">
        <v>4.2699999999999996</v>
      </c>
      <c r="H52" s="19">
        <v>3.77</v>
      </c>
      <c r="I52" s="2"/>
      <c r="J52" s="20">
        <v>3.97</v>
      </c>
    </row>
    <row r="53" spans="1:10" ht="15.6" x14ac:dyDescent="0.3">
      <c r="A53" s="130"/>
      <c r="B53" s="25" t="s">
        <v>104</v>
      </c>
      <c r="C53" s="26">
        <f t="shared" ref="C53:J53" si="13">IF(OR(C51="",C52=""),"",C52/C51)</f>
        <v>1.0109890109890109</v>
      </c>
      <c r="D53" s="27">
        <f t="shared" si="13"/>
        <v>1.0055401662049861</v>
      </c>
      <c r="E53" s="26">
        <f t="shared" si="13"/>
        <v>1.00498753117207</v>
      </c>
      <c r="F53" s="27">
        <f t="shared" si="13"/>
        <v>1.0055096418732783</v>
      </c>
      <c r="G53" s="26">
        <f t="shared" si="13"/>
        <v>1.007075471698113</v>
      </c>
      <c r="H53" s="27">
        <f t="shared" si="13"/>
        <v>1.0080213903743316</v>
      </c>
      <c r="I53" s="26" t="str">
        <f t="shared" si="13"/>
        <v/>
      </c>
      <c r="J53" s="28">
        <f t="shared" si="13"/>
        <v>1.0101781170483461</v>
      </c>
    </row>
    <row r="54" spans="1:10" ht="15.6" x14ac:dyDescent="0.3">
      <c r="A54" s="130">
        <v>80</v>
      </c>
      <c r="B54" s="6" t="s">
        <v>102</v>
      </c>
      <c r="C54" s="6">
        <v>5.83</v>
      </c>
      <c r="D54" s="29">
        <v>5.76</v>
      </c>
      <c r="E54" s="6">
        <v>6.39</v>
      </c>
      <c r="F54" s="29">
        <v>5.8</v>
      </c>
      <c r="G54" s="6">
        <v>6.79</v>
      </c>
      <c r="H54" s="29">
        <v>5.98</v>
      </c>
      <c r="I54" s="6"/>
      <c r="J54" s="30">
        <v>6.25</v>
      </c>
    </row>
    <row r="55" spans="1:10" ht="15.6" x14ac:dyDescent="0.3">
      <c r="A55" s="130"/>
      <c r="B55" s="2" t="s">
        <v>103</v>
      </c>
      <c r="C55" s="2">
        <v>5.8</v>
      </c>
      <c r="D55" s="19">
        <v>5.72</v>
      </c>
      <c r="E55" s="2">
        <v>6.36</v>
      </c>
      <c r="F55" s="19">
        <v>5.76</v>
      </c>
      <c r="G55" s="2">
        <v>6.74</v>
      </c>
      <c r="H55" s="19">
        <v>5.95</v>
      </c>
      <c r="I55" s="2"/>
      <c r="J55" s="20">
        <v>6.23</v>
      </c>
    </row>
    <row r="56" spans="1:10" ht="15.6" x14ac:dyDescent="0.3">
      <c r="A56" s="130"/>
      <c r="B56" s="25" t="s">
        <v>104</v>
      </c>
      <c r="C56" s="26">
        <f t="shared" ref="C56:J56" si="14">IF(OR(C54="",C55=""),"",C55/C54)</f>
        <v>0.99485420240137212</v>
      </c>
      <c r="D56" s="27">
        <f t="shared" si="14"/>
        <v>0.99305555555555558</v>
      </c>
      <c r="E56" s="26">
        <f t="shared" si="14"/>
        <v>0.99530516431924898</v>
      </c>
      <c r="F56" s="27">
        <f t="shared" si="14"/>
        <v>0.99310344827586206</v>
      </c>
      <c r="G56" s="26">
        <f t="shared" si="14"/>
        <v>0.99263622974963184</v>
      </c>
      <c r="H56" s="27">
        <f t="shared" si="14"/>
        <v>0.99498327759197325</v>
      </c>
      <c r="I56" s="26" t="str">
        <f t="shared" si="14"/>
        <v/>
      </c>
      <c r="J56" s="28">
        <f t="shared" si="14"/>
        <v>0.99680000000000002</v>
      </c>
    </row>
    <row r="57" spans="1:10" ht="15.6" x14ac:dyDescent="0.3">
      <c r="A57" s="130">
        <v>90</v>
      </c>
      <c r="B57" s="6" t="s">
        <v>102</v>
      </c>
      <c r="C57" s="6">
        <v>8.5</v>
      </c>
      <c r="D57" s="29">
        <v>8.35</v>
      </c>
      <c r="E57" s="6">
        <v>9.2799999999999994</v>
      </c>
      <c r="F57" s="29">
        <v>8.41</v>
      </c>
      <c r="G57" s="6">
        <v>9.84</v>
      </c>
      <c r="H57" s="29">
        <v>8.66</v>
      </c>
      <c r="I57" s="6"/>
      <c r="J57" s="30">
        <v>9.0399999999999991</v>
      </c>
    </row>
    <row r="58" spans="1:10" ht="15.6" x14ac:dyDescent="0.3">
      <c r="A58" s="130"/>
      <c r="B58" s="2" t="s">
        <v>103</v>
      </c>
      <c r="C58" s="2">
        <v>8.39</v>
      </c>
      <c r="D58" s="19">
        <v>8.25</v>
      </c>
      <c r="E58" s="2">
        <v>9.17</v>
      </c>
      <c r="F58" s="19">
        <v>8.3000000000000007</v>
      </c>
      <c r="G58" s="2">
        <v>9.7200000000000006</v>
      </c>
      <c r="H58" s="19">
        <v>8.58</v>
      </c>
      <c r="I58" s="2"/>
      <c r="J58" s="20">
        <v>8.9499999999999993</v>
      </c>
    </row>
    <row r="59" spans="1:10" ht="15.6" x14ac:dyDescent="0.3">
      <c r="A59" s="130"/>
      <c r="B59" s="25" t="s">
        <v>104</v>
      </c>
      <c r="C59" s="26">
        <f t="shared" ref="C59:J59" si="15">IF(OR(C57="",C58=""),"",C58/C57)</f>
        <v>0.98705882352941188</v>
      </c>
      <c r="D59" s="27">
        <f t="shared" si="15"/>
        <v>0.9880239520958084</v>
      </c>
      <c r="E59" s="26">
        <f t="shared" si="15"/>
        <v>0.98814655172413801</v>
      </c>
      <c r="F59" s="27">
        <f t="shared" si="15"/>
        <v>0.98692033293697989</v>
      </c>
      <c r="G59" s="26">
        <f t="shared" si="15"/>
        <v>0.98780487804878059</v>
      </c>
      <c r="H59" s="27">
        <f t="shared" si="15"/>
        <v>0.99076212471131642</v>
      </c>
      <c r="I59" s="26" t="str">
        <f t="shared" si="15"/>
        <v/>
      </c>
      <c r="J59" s="28">
        <f t="shared" si="15"/>
        <v>0.99004424778761069</v>
      </c>
    </row>
    <row r="60" spans="1:10" ht="15.6" x14ac:dyDescent="0.3">
      <c r="A60" s="130">
        <v>100</v>
      </c>
      <c r="B60" s="6" t="s">
        <v>102</v>
      </c>
      <c r="C60" s="6">
        <v>11.51</v>
      </c>
      <c r="D60" s="29">
        <v>11.35</v>
      </c>
      <c r="E60" s="6">
        <v>12.61</v>
      </c>
      <c r="F60" s="29">
        <v>11.4</v>
      </c>
      <c r="G60" s="6">
        <v>13.35</v>
      </c>
      <c r="H60" s="29">
        <v>11.73</v>
      </c>
      <c r="I60" s="6"/>
      <c r="J60" s="30">
        <v>12.22</v>
      </c>
    </row>
    <row r="61" spans="1:10" ht="15.6" x14ac:dyDescent="0.3">
      <c r="A61" s="130"/>
      <c r="B61" s="2" t="s">
        <v>103</v>
      </c>
      <c r="C61" s="2">
        <v>11.33</v>
      </c>
      <c r="D61" s="19">
        <v>11.16</v>
      </c>
      <c r="E61" s="2">
        <v>12.4</v>
      </c>
      <c r="F61" s="19">
        <v>11.2</v>
      </c>
      <c r="G61" s="2">
        <v>13.12</v>
      </c>
      <c r="H61" s="19">
        <v>11.57</v>
      </c>
      <c r="I61" s="2"/>
      <c r="J61" s="20">
        <v>12.05</v>
      </c>
    </row>
    <row r="62" spans="1:10" ht="15.6" x14ac:dyDescent="0.3">
      <c r="A62" s="130"/>
      <c r="B62" s="25" t="s">
        <v>104</v>
      </c>
      <c r="C62" s="26">
        <f t="shared" ref="C62:J62" si="16">IF(OR(C60="",C61=""),"",C61/C60)</f>
        <v>0.9843614248479583</v>
      </c>
      <c r="D62" s="27">
        <f t="shared" si="16"/>
        <v>0.9832599118942732</v>
      </c>
      <c r="E62" s="26">
        <f t="shared" si="16"/>
        <v>0.98334655035685969</v>
      </c>
      <c r="F62" s="27">
        <f t="shared" si="16"/>
        <v>0.98245614035087714</v>
      </c>
      <c r="G62" s="26">
        <f t="shared" si="16"/>
        <v>0.98277153558052432</v>
      </c>
      <c r="H62" s="27">
        <f t="shared" si="16"/>
        <v>0.9863597612958227</v>
      </c>
      <c r="I62" s="26" t="str">
        <f t="shared" si="16"/>
        <v/>
      </c>
      <c r="J62" s="28">
        <f t="shared" si="16"/>
        <v>0.98608837970540097</v>
      </c>
    </row>
    <row r="63" spans="1:10" ht="15.6" x14ac:dyDescent="0.3">
      <c r="A63" s="130">
        <v>110</v>
      </c>
      <c r="B63" s="6" t="s">
        <v>102</v>
      </c>
      <c r="C63" s="6">
        <v>16.899999999999999</v>
      </c>
      <c r="D63" s="29">
        <v>16.649999999999999</v>
      </c>
      <c r="E63" s="6">
        <v>16.28</v>
      </c>
      <c r="F63" s="29">
        <v>14.72</v>
      </c>
      <c r="G63" s="6">
        <v>17.190000000000001</v>
      </c>
      <c r="H63" s="29">
        <v>15.1</v>
      </c>
      <c r="I63" s="6"/>
      <c r="J63" s="30">
        <v>15.7</v>
      </c>
    </row>
    <row r="64" spans="1:10" ht="15.6" x14ac:dyDescent="0.3">
      <c r="A64" s="130"/>
      <c r="B64" s="2" t="s">
        <v>103</v>
      </c>
      <c r="C64" s="2">
        <v>16.62</v>
      </c>
      <c r="D64" s="19">
        <v>14.38</v>
      </c>
      <c r="E64" s="2">
        <v>15.98</v>
      </c>
      <c r="F64" s="19">
        <v>14.44</v>
      </c>
      <c r="G64" s="2">
        <v>16.88</v>
      </c>
      <c r="H64" s="19">
        <v>14.88</v>
      </c>
      <c r="I64" s="2"/>
      <c r="J64" s="20">
        <v>15.46</v>
      </c>
    </row>
    <row r="65" spans="1:10" ht="15.6" x14ac:dyDescent="0.3">
      <c r="A65" s="130"/>
      <c r="B65" s="25" t="s">
        <v>104</v>
      </c>
      <c r="C65" s="26">
        <f t="shared" ref="C65:J65" si="17">IF(OR(C63="",C64=""),"",C64/C63)</f>
        <v>0.98343195266272199</v>
      </c>
      <c r="D65" s="27">
        <f t="shared" si="17"/>
        <v>0.86366366366366376</v>
      </c>
      <c r="E65" s="26">
        <f t="shared" si="17"/>
        <v>0.98157248157248156</v>
      </c>
      <c r="F65" s="27">
        <f t="shared" si="17"/>
        <v>0.98097826086956519</v>
      </c>
      <c r="G65" s="26">
        <f t="shared" si="17"/>
        <v>0.98196625945317029</v>
      </c>
      <c r="H65" s="27">
        <f t="shared" si="17"/>
        <v>0.98543046357615904</v>
      </c>
      <c r="I65" s="26" t="str">
        <f t="shared" si="17"/>
        <v/>
      </c>
      <c r="J65" s="28">
        <f t="shared" si="17"/>
        <v>0.98471337579617846</v>
      </c>
    </row>
    <row r="66" spans="1:10" ht="15.6" x14ac:dyDescent="0.3">
      <c r="A66" s="130">
        <v>120</v>
      </c>
      <c r="B66" s="6" t="s">
        <v>102</v>
      </c>
      <c r="C66" s="6">
        <v>18.54</v>
      </c>
      <c r="D66" s="29">
        <v>18.2</v>
      </c>
      <c r="E66" s="6">
        <v>20.22</v>
      </c>
      <c r="F66" s="29">
        <v>18.27</v>
      </c>
      <c r="G66" s="6">
        <v>21.41</v>
      </c>
      <c r="H66" s="29">
        <v>18.8</v>
      </c>
      <c r="I66" s="6"/>
      <c r="J66" s="30">
        <v>19.52</v>
      </c>
    </row>
    <row r="67" spans="1:10" ht="15.6" x14ac:dyDescent="0.3">
      <c r="A67" s="130"/>
      <c r="B67" s="2" t="s">
        <v>103</v>
      </c>
      <c r="C67" s="2">
        <v>18.190000000000001</v>
      </c>
      <c r="D67" s="19">
        <v>17.86</v>
      </c>
      <c r="E67" s="2">
        <v>19.84</v>
      </c>
      <c r="F67" s="19">
        <v>17.920000000000002</v>
      </c>
      <c r="G67" s="2">
        <v>20.99</v>
      </c>
      <c r="H67" s="19">
        <v>18.489999999999998</v>
      </c>
      <c r="I67" s="2"/>
      <c r="J67" s="20">
        <v>19.18</v>
      </c>
    </row>
    <row r="68" spans="1:10" ht="15.6" x14ac:dyDescent="0.3">
      <c r="A68" s="130"/>
      <c r="B68" s="25" t="s">
        <v>104</v>
      </c>
      <c r="C68" s="26">
        <f t="shared" ref="C68:J68" si="18">IF(OR(C66="",C67=""),"",C67/C66)</f>
        <v>0.98112189859762688</v>
      </c>
      <c r="D68" s="27">
        <f t="shared" si="18"/>
        <v>0.98131868131868127</v>
      </c>
      <c r="E68" s="26">
        <f t="shared" si="18"/>
        <v>0.98120672601384773</v>
      </c>
      <c r="F68" s="27">
        <f t="shared" si="18"/>
        <v>0.98084291187739481</v>
      </c>
      <c r="G68" s="26">
        <f t="shared" si="18"/>
        <v>0.98038299859878553</v>
      </c>
      <c r="H68" s="27">
        <f t="shared" si="18"/>
        <v>0.98351063829787222</v>
      </c>
      <c r="I68" s="26" t="str">
        <f t="shared" si="18"/>
        <v/>
      </c>
      <c r="J68" s="28">
        <f t="shared" si="18"/>
        <v>0.98258196721311475</v>
      </c>
    </row>
    <row r="69" spans="1:10" ht="15.6" x14ac:dyDescent="0.3">
      <c r="A69" s="130">
        <v>130</v>
      </c>
      <c r="B69" s="6" t="s">
        <v>102</v>
      </c>
      <c r="C69" s="6">
        <v>22.44</v>
      </c>
      <c r="D69" s="29">
        <v>22.05</v>
      </c>
      <c r="E69" s="6">
        <v>24.49</v>
      </c>
      <c r="F69" s="29">
        <v>22.15</v>
      </c>
      <c r="G69" s="6">
        <v>25.92</v>
      </c>
      <c r="H69" s="29">
        <v>22.75</v>
      </c>
      <c r="I69" s="6"/>
      <c r="J69" s="30">
        <v>23.57</v>
      </c>
    </row>
    <row r="70" spans="1:10" ht="15.6" x14ac:dyDescent="0.3">
      <c r="A70" s="130"/>
      <c r="B70" s="2" t="s">
        <v>103</v>
      </c>
      <c r="C70" s="2">
        <v>22.01</v>
      </c>
      <c r="D70" s="19">
        <v>21.61</v>
      </c>
      <c r="E70" s="2">
        <v>24.01</v>
      </c>
      <c r="F70" s="19">
        <v>21.7</v>
      </c>
      <c r="G70" s="2">
        <v>25.41</v>
      </c>
      <c r="H70" s="19">
        <v>22.37</v>
      </c>
      <c r="I70" s="2"/>
      <c r="J70" s="20">
        <v>23.18</v>
      </c>
    </row>
    <row r="71" spans="1:10" ht="15.6" x14ac:dyDescent="0.3">
      <c r="A71" s="130"/>
      <c r="B71" s="25" t="s">
        <v>104</v>
      </c>
      <c r="C71" s="26">
        <f t="shared" ref="C71:J71" si="19">IF(OR(C69="",C70=""),"",C70/C69)</f>
        <v>0.98083778966131907</v>
      </c>
      <c r="D71" s="27">
        <f t="shared" si="19"/>
        <v>0.9800453514739228</v>
      </c>
      <c r="E71" s="26">
        <f t="shared" si="19"/>
        <v>0.98040016333197233</v>
      </c>
      <c r="F71" s="27">
        <f t="shared" si="19"/>
        <v>0.97968397291196396</v>
      </c>
      <c r="G71" s="26">
        <f t="shared" si="19"/>
        <v>0.98032407407407407</v>
      </c>
      <c r="H71" s="27">
        <f t="shared" si="19"/>
        <v>0.98329670329670338</v>
      </c>
      <c r="I71" s="26" t="str">
        <f t="shared" si="19"/>
        <v/>
      </c>
      <c r="J71" s="28">
        <f t="shared" si="19"/>
        <v>0.9834535426389478</v>
      </c>
    </row>
    <row r="72" spans="1:10" ht="15.6" x14ac:dyDescent="0.3">
      <c r="A72" s="130">
        <v>140</v>
      </c>
      <c r="B72" s="6" t="s">
        <v>102</v>
      </c>
      <c r="C72" s="6">
        <v>26.59</v>
      </c>
      <c r="D72" s="29">
        <v>26.16</v>
      </c>
      <c r="E72" s="6">
        <v>29.06</v>
      </c>
      <c r="F72" s="29">
        <v>26.26</v>
      </c>
      <c r="G72" s="6">
        <v>30.73</v>
      </c>
      <c r="H72" s="29">
        <v>26.99</v>
      </c>
      <c r="I72" s="6"/>
      <c r="J72" s="30">
        <v>27.92</v>
      </c>
    </row>
    <row r="73" spans="1:10" ht="15.6" x14ac:dyDescent="0.3">
      <c r="A73" s="130"/>
      <c r="B73" s="2" t="s">
        <v>103</v>
      </c>
      <c r="C73" s="2">
        <v>26.09</v>
      </c>
      <c r="D73" s="19">
        <v>25.66</v>
      </c>
      <c r="E73" s="2">
        <v>28.53</v>
      </c>
      <c r="F73" s="19">
        <v>25.74</v>
      </c>
      <c r="G73" s="2">
        <v>30.1</v>
      </c>
      <c r="H73" s="19">
        <v>26.53</v>
      </c>
      <c r="I73" s="2"/>
      <c r="J73" s="20">
        <v>27.46</v>
      </c>
    </row>
    <row r="74" spans="1:10" ht="15.6" x14ac:dyDescent="0.3">
      <c r="A74" s="130"/>
      <c r="B74" s="25" t="s">
        <v>104</v>
      </c>
      <c r="C74" s="26">
        <f t="shared" ref="C74:J74" si="20">IF(OR(C72="",C73=""),"",C73/C72)</f>
        <v>0.98119593832267771</v>
      </c>
      <c r="D74" s="27">
        <f t="shared" si="20"/>
        <v>0.98088685015290522</v>
      </c>
      <c r="E74" s="26">
        <f t="shared" si="20"/>
        <v>0.98176187198898834</v>
      </c>
      <c r="F74" s="27">
        <f t="shared" si="20"/>
        <v>0.98019801980198007</v>
      </c>
      <c r="G74" s="26">
        <f t="shared" si="20"/>
        <v>0.97949886104783601</v>
      </c>
      <c r="H74" s="27">
        <f t="shared" si="20"/>
        <v>0.98295665061133763</v>
      </c>
      <c r="I74" s="26" t="str">
        <f t="shared" si="20"/>
        <v/>
      </c>
      <c r="J74" s="28">
        <f t="shared" si="20"/>
        <v>0.98352435530085958</v>
      </c>
    </row>
    <row r="75" spans="1:10" ht="15.6" x14ac:dyDescent="0.3">
      <c r="A75" s="130" t="s">
        <v>105</v>
      </c>
      <c r="B75" s="6" t="s">
        <v>102</v>
      </c>
      <c r="C75" s="6"/>
      <c r="D75" s="29"/>
      <c r="E75" s="6">
        <v>1.99</v>
      </c>
      <c r="F75" s="29">
        <v>1.8</v>
      </c>
      <c r="G75" s="6"/>
      <c r="H75" s="29">
        <v>1.88</v>
      </c>
      <c r="I75" s="6">
        <v>2.2599999999999998</v>
      </c>
      <c r="J75" s="30">
        <v>1.96</v>
      </c>
    </row>
    <row r="76" spans="1:10" ht="15.6" x14ac:dyDescent="0.3">
      <c r="A76" s="130"/>
      <c r="B76" s="2" t="s">
        <v>103</v>
      </c>
      <c r="C76" s="2"/>
      <c r="D76" s="19"/>
      <c r="E76" s="2">
        <v>1.94</v>
      </c>
      <c r="F76" s="19">
        <v>1.76</v>
      </c>
      <c r="G76" s="2"/>
      <c r="H76" s="19">
        <v>1.84</v>
      </c>
      <c r="I76" s="2">
        <v>2.2000000000000002</v>
      </c>
      <c r="J76" s="20">
        <v>1.91</v>
      </c>
    </row>
    <row r="77" spans="1:10" ht="15.6" x14ac:dyDescent="0.3">
      <c r="A77" s="130"/>
      <c r="B77" s="25" t="s">
        <v>104</v>
      </c>
      <c r="C77" s="26" t="str">
        <f t="shared" ref="C77:J77" si="21">IF(OR(C75="",C76=""),"",C76/C75)</f>
        <v/>
      </c>
      <c r="D77" s="27" t="str">
        <f t="shared" si="21"/>
        <v/>
      </c>
      <c r="E77" s="26">
        <f t="shared" si="21"/>
        <v>0.97487437185929648</v>
      </c>
      <c r="F77" s="27">
        <f t="shared" si="21"/>
        <v>0.97777777777777775</v>
      </c>
      <c r="G77" s="26" t="str">
        <f t="shared" si="21"/>
        <v/>
      </c>
      <c r="H77" s="27">
        <f t="shared" si="21"/>
        <v>0.97872340425531923</v>
      </c>
      <c r="I77" s="26">
        <f t="shared" si="21"/>
        <v>0.9734513274336285</v>
      </c>
      <c r="J77" s="28">
        <f t="shared" si="21"/>
        <v>0.97448979591836737</v>
      </c>
    </row>
    <row r="78" spans="1:10" ht="15.6" x14ac:dyDescent="0.3">
      <c r="A78" s="130" t="s">
        <v>106</v>
      </c>
      <c r="B78" s="6" t="s">
        <v>102</v>
      </c>
      <c r="C78" s="6"/>
      <c r="D78" s="29"/>
      <c r="E78" s="6">
        <v>3.1</v>
      </c>
      <c r="F78" s="29">
        <v>2.81</v>
      </c>
      <c r="G78" s="6"/>
      <c r="H78" s="29">
        <v>2.92</v>
      </c>
      <c r="I78" s="6">
        <v>3.51</v>
      </c>
      <c r="J78" s="30">
        <v>3.04</v>
      </c>
    </row>
    <row r="79" spans="1:10" ht="15.6" x14ac:dyDescent="0.3">
      <c r="A79" s="130"/>
      <c r="B79" s="2" t="s">
        <v>103</v>
      </c>
      <c r="C79" s="2"/>
      <c r="D79" s="19"/>
      <c r="E79" s="2">
        <v>3.03</v>
      </c>
      <c r="F79" s="19">
        <v>2.74</v>
      </c>
      <c r="G79" s="2"/>
      <c r="H79" s="19">
        <v>2.86</v>
      </c>
      <c r="I79" s="2">
        <v>3.43</v>
      </c>
      <c r="J79" s="20">
        <v>2.97</v>
      </c>
    </row>
    <row r="80" spans="1:10" ht="15.6" x14ac:dyDescent="0.3">
      <c r="A80" s="130"/>
      <c r="B80" s="25" t="s">
        <v>104</v>
      </c>
      <c r="C80" s="26" t="str">
        <f t="shared" ref="C80:J80" si="22">IF(OR(C78="",C79=""),"",C79/C78)</f>
        <v/>
      </c>
      <c r="D80" s="27" t="str">
        <f t="shared" si="22"/>
        <v/>
      </c>
      <c r="E80" s="26">
        <f t="shared" si="22"/>
        <v>0.97741935483870956</v>
      </c>
      <c r="F80" s="27">
        <f t="shared" si="22"/>
        <v>0.97508896797153033</v>
      </c>
      <c r="G80" s="26" t="str">
        <f t="shared" si="22"/>
        <v/>
      </c>
      <c r="H80" s="27">
        <f t="shared" si="22"/>
        <v>0.97945205479452058</v>
      </c>
      <c r="I80" s="26">
        <f t="shared" si="22"/>
        <v>0.97720797720797736</v>
      </c>
      <c r="J80" s="28">
        <f t="shared" si="22"/>
        <v>0.97697368421052633</v>
      </c>
    </row>
    <row r="81" spans="1:10" ht="15.6" x14ac:dyDescent="0.3">
      <c r="A81" s="130" t="s">
        <v>107</v>
      </c>
      <c r="B81" s="6" t="s">
        <v>102</v>
      </c>
      <c r="C81" s="6"/>
      <c r="D81" s="29"/>
      <c r="E81" s="6">
        <v>4.4800000000000004</v>
      </c>
      <c r="F81" s="29">
        <v>4.0599999999999996</v>
      </c>
      <c r="G81" s="6"/>
      <c r="H81" s="29">
        <v>4.2300000000000004</v>
      </c>
      <c r="I81" s="6">
        <v>5.08</v>
      </c>
      <c r="J81" s="30">
        <v>4.3899999999999997</v>
      </c>
    </row>
    <row r="82" spans="1:10" ht="15.6" x14ac:dyDescent="0.3">
      <c r="A82" s="130"/>
      <c r="B82" s="2" t="s">
        <v>103</v>
      </c>
      <c r="C82" s="2"/>
      <c r="D82" s="19"/>
      <c r="E82" s="2">
        <v>4.3899999999999997</v>
      </c>
      <c r="F82" s="19">
        <v>3.98</v>
      </c>
      <c r="G82" s="2"/>
      <c r="H82" s="19">
        <v>4.1500000000000004</v>
      </c>
      <c r="I82" s="2">
        <v>4.97</v>
      </c>
      <c r="J82" s="20">
        <v>4.3099999999999996</v>
      </c>
    </row>
    <row r="83" spans="1:10" ht="15.6" x14ac:dyDescent="0.3">
      <c r="A83" s="130"/>
      <c r="B83" s="25" t="s">
        <v>104</v>
      </c>
      <c r="C83" s="26" t="str">
        <f t="shared" ref="C83:J83" si="23">IF(OR(C81="",C82=""),"",C82/C81)</f>
        <v/>
      </c>
      <c r="D83" s="27" t="str">
        <f t="shared" si="23"/>
        <v/>
      </c>
      <c r="E83" s="26">
        <f t="shared" si="23"/>
        <v>0.97991071428571408</v>
      </c>
      <c r="F83" s="27">
        <f t="shared" si="23"/>
        <v>0.98029556650246319</v>
      </c>
      <c r="G83" s="26" t="str">
        <f t="shared" si="23"/>
        <v/>
      </c>
      <c r="H83" s="27">
        <f t="shared" si="23"/>
        <v>0.98108747044917255</v>
      </c>
      <c r="I83" s="26">
        <f t="shared" si="23"/>
        <v>0.97834645669291331</v>
      </c>
      <c r="J83" s="28">
        <f t="shared" si="23"/>
        <v>0.98177676537585423</v>
      </c>
    </row>
    <row r="84" spans="1:10" ht="15.6" x14ac:dyDescent="0.3">
      <c r="A84" s="130" t="s">
        <v>108</v>
      </c>
      <c r="B84" s="6" t="s">
        <v>102</v>
      </c>
      <c r="C84" s="6"/>
      <c r="D84" s="29"/>
      <c r="E84" s="6">
        <v>6.15</v>
      </c>
      <c r="F84" s="29">
        <v>5.58</v>
      </c>
      <c r="G84" s="6"/>
      <c r="H84" s="29">
        <v>5.8</v>
      </c>
      <c r="I84" s="6">
        <v>6.96</v>
      </c>
      <c r="J84" s="30">
        <v>6.01</v>
      </c>
    </row>
    <row r="85" spans="1:10" ht="15.6" x14ac:dyDescent="0.3">
      <c r="A85" s="130"/>
      <c r="B85" s="2" t="s">
        <v>103</v>
      </c>
      <c r="C85" s="2"/>
      <c r="D85" s="19"/>
      <c r="E85" s="2">
        <v>6.04</v>
      </c>
      <c r="F85" s="19">
        <v>5.48</v>
      </c>
      <c r="G85" s="2"/>
      <c r="H85" s="19">
        <v>5.71</v>
      </c>
      <c r="I85" s="2">
        <v>6.83</v>
      </c>
      <c r="J85" s="20">
        <v>5.92</v>
      </c>
    </row>
    <row r="86" spans="1:10" ht="15.6" x14ac:dyDescent="0.3">
      <c r="A86" s="130"/>
      <c r="B86" s="25" t="s">
        <v>104</v>
      </c>
      <c r="C86" s="26" t="str">
        <f t="shared" ref="C86:J86" si="24">IF(OR(C84="",C85=""),"",C85/C84)</f>
        <v/>
      </c>
      <c r="D86" s="27" t="str">
        <f t="shared" si="24"/>
        <v/>
      </c>
      <c r="E86" s="26">
        <f t="shared" si="24"/>
        <v>0.98211382113821133</v>
      </c>
      <c r="F86" s="27">
        <f t="shared" si="24"/>
        <v>0.98207885304659504</v>
      </c>
      <c r="G86" s="26" t="str">
        <f t="shared" si="24"/>
        <v/>
      </c>
      <c r="H86" s="27">
        <f t="shared" si="24"/>
        <v>0.98448275862068968</v>
      </c>
      <c r="I86" s="26">
        <f t="shared" si="24"/>
        <v>0.98132183908045978</v>
      </c>
      <c r="J86" s="28">
        <f t="shared" si="24"/>
        <v>0.98502495840266224</v>
      </c>
    </row>
    <row r="87" spans="1:10" ht="15.6" x14ac:dyDescent="0.3">
      <c r="A87" s="130" t="s">
        <v>109</v>
      </c>
      <c r="B87" s="6" t="s">
        <v>102</v>
      </c>
      <c r="C87" s="6"/>
      <c r="D87" s="29"/>
      <c r="E87" s="6">
        <v>8.1300000000000008</v>
      </c>
      <c r="F87" s="29">
        <v>7.36</v>
      </c>
      <c r="G87" s="6"/>
      <c r="H87" s="29">
        <v>7.64</v>
      </c>
      <c r="I87" s="6">
        <v>9.17</v>
      </c>
      <c r="J87" s="30">
        <v>7.92</v>
      </c>
    </row>
    <row r="88" spans="1:10" ht="15.6" x14ac:dyDescent="0.3">
      <c r="A88" s="130"/>
      <c r="B88" s="2" t="s">
        <v>103</v>
      </c>
      <c r="C88" s="2"/>
      <c r="D88" s="19"/>
      <c r="E88" s="2">
        <v>8.01</v>
      </c>
      <c r="F88" s="19">
        <v>7.25</v>
      </c>
      <c r="G88" s="2"/>
      <c r="H88" s="19">
        <v>7.55</v>
      </c>
      <c r="I88" s="2">
        <v>9.02</v>
      </c>
      <c r="J88" s="20">
        <v>7.81</v>
      </c>
    </row>
    <row r="89" spans="1:10" ht="15.6" x14ac:dyDescent="0.3">
      <c r="A89" s="130"/>
      <c r="B89" s="25" t="s">
        <v>104</v>
      </c>
      <c r="C89" s="26" t="str">
        <f t="shared" ref="C89:J89" si="25">IF(OR(C87="",C88=""),"",C88/C87)</f>
        <v/>
      </c>
      <c r="D89" s="27" t="str">
        <f t="shared" si="25"/>
        <v/>
      </c>
      <c r="E89" s="26">
        <f t="shared" si="25"/>
        <v>0.98523985239852385</v>
      </c>
      <c r="F89" s="27">
        <f t="shared" si="25"/>
        <v>0.98505434782608692</v>
      </c>
      <c r="G89" s="26" t="str">
        <f t="shared" si="25"/>
        <v/>
      </c>
      <c r="H89" s="27">
        <f t="shared" si="25"/>
        <v>0.98821989528795817</v>
      </c>
      <c r="I89" s="26">
        <f t="shared" si="25"/>
        <v>0.98364231188658668</v>
      </c>
      <c r="J89" s="28">
        <f t="shared" si="25"/>
        <v>0.98611111111111105</v>
      </c>
    </row>
    <row r="91" spans="1:10" ht="15.6" x14ac:dyDescent="0.3">
      <c r="A91" s="8" t="s">
        <v>111</v>
      </c>
    </row>
    <row r="92" spans="1:10" ht="15.6" x14ac:dyDescent="0.3">
      <c r="B92" s="14"/>
      <c r="C92" s="131" t="s">
        <v>98</v>
      </c>
      <c r="D92" s="131"/>
      <c r="E92" s="131"/>
      <c r="F92" s="131"/>
      <c r="G92" s="131"/>
      <c r="H92" s="131"/>
      <c r="I92" s="131" t="s">
        <v>99</v>
      </c>
      <c r="J92" s="131"/>
    </row>
    <row r="93" spans="1:10" ht="15.6" x14ac:dyDescent="0.3">
      <c r="B93" s="15" t="s">
        <v>100</v>
      </c>
      <c r="C93" s="4" t="s">
        <v>14</v>
      </c>
      <c r="D93" s="16" t="s">
        <v>18</v>
      </c>
      <c r="E93" s="4" t="s">
        <v>68</v>
      </c>
      <c r="F93" s="16" t="s">
        <v>27</v>
      </c>
      <c r="G93" s="4" t="s">
        <v>21</v>
      </c>
      <c r="H93" s="16" t="s">
        <v>22</v>
      </c>
      <c r="I93" s="4" t="s">
        <v>21</v>
      </c>
      <c r="J93" s="17" t="s">
        <v>22</v>
      </c>
    </row>
    <row r="94" spans="1:10" ht="15.6" x14ac:dyDescent="0.3">
      <c r="B94" s="18" t="s">
        <v>101</v>
      </c>
      <c r="C94" s="2" t="s">
        <v>14</v>
      </c>
      <c r="D94" s="19" t="s">
        <v>18</v>
      </c>
      <c r="E94" s="2" t="s">
        <v>68</v>
      </c>
      <c r="F94" s="19" t="s">
        <v>27</v>
      </c>
      <c r="G94" s="2" t="s">
        <v>21</v>
      </c>
      <c r="H94" s="19" t="s">
        <v>22</v>
      </c>
      <c r="I94" s="2" t="s">
        <v>21</v>
      </c>
      <c r="J94" s="20" t="s">
        <v>22</v>
      </c>
    </row>
    <row r="95" spans="1:10" ht="15.6" x14ac:dyDescent="0.3">
      <c r="A95" s="7" t="s">
        <v>6</v>
      </c>
      <c r="B95" s="21"/>
      <c r="C95" s="22"/>
      <c r="D95" s="23"/>
      <c r="E95" s="22"/>
      <c r="F95" s="23"/>
      <c r="G95" s="22"/>
      <c r="H95" s="23"/>
      <c r="I95" s="22"/>
      <c r="J95" s="24"/>
    </row>
    <row r="96" spans="1:10" ht="15.6" x14ac:dyDescent="0.3">
      <c r="A96" s="130">
        <v>70</v>
      </c>
      <c r="B96" s="2" t="s">
        <v>102</v>
      </c>
      <c r="C96" s="2">
        <v>0.91</v>
      </c>
      <c r="D96" s="19">
        <v>0.9</v>
      </c>
      <c r="E96" s="2">
        <v>1</v>
      </c>
      <c r="F96" s="19">
        <v>0.9</v>
      </c>
      <c r="G96" s="2">
        <v>1.05</v>
      </c>
      <c r="H96" s="19">
        <v>0.93</v>
      </c>
      <c r="I96" s="2"/>
      <c r="J96" s="20">
        <v>0.98</v>
      </c>
    </row>
    <row r="97" spans="1:10" ht="15.6" x14ac:dyDescent="0.3">
      <c r="A97" s="130"/>
      <c r="B97" s="2" t="s">
        <v>103</v>
      </c>
      <c r="C97" s="2">
        <v>1.83</v>
      </c>
      <c r="D97" s="19">
        <v>1.79</v>
      </c>
      <c r="E97" s="2">
        <v>1.98</v>
      </c>
      <c r="F97" s="19">
        <v>1.79</v>
      </c>
      <c r="G97" s="2">
        <v>2.1</v>
      </c>
      <c r="H97" s="19">
        <v>1.87</v>
      </c>
      <c r="I97" s="2"/>
      <c r="J97" s="20">
        <v>1.96</v>
      </c>
    </row>
    <row r="98" spans="1:10" ht="15.6" x14ac:dyDescent="0.3">
      <c r="A98" s="130"/>
      <c r="B98" s="25" t="s">
        <v>104</v>
      </c>
      <c r="C98" s="26">
        <f t="shared" ref="C98:J98" si="26">IF(OR(C96="",C97=""),"",C97/C96)</f>
        <v>2.0109890109890109</v>
      </c>
      <c r="D98" s="27">
        <f t="shared" si="26"/>
        <v>1.9888888888888889</v>
      </c>
      <c r="E98" s="26">
        <f t="shared" si="26"/>
        <v>1.98</v>
      </c>
      <c r="F98" s="27">
        <f t="shared" si="26"/>
        <v>1.9888888888888889</v>
      </c>
      <c r="G98" s="26">
        <f t="shared" si="26"/>
        <v>2</v>
      </c>
      <c r="H98" s="27">
        <f t="shared" si="26"/>
        <v>2.010752688172043</v>
      </c>
      <c r="I98" s="26" t="str">
        <f t="shared" si="26"/>
        <v/>
      </c>
      <c r="J98" s="28">
        <f t="shared" si="26"/>
        <v>2</v>
      </c>
    </row>
    <row r="99" spans="1:10" ht="15.6" x14ac:dyDescent="0.3">
      <c r="A99" s="130">
        <v>80</v>
      </c>
      <c r="B99" s="6" t="s">
        <v>102</v>
      </c>
      <c r="C99" s="6">
        <v>1.59</v>
      </c>
      <c r="D99" s="29">
        <v>1.57</v>
      </c>
      <c r="E99" s="6">
        <v>1.74</v>
      </c>
      <c r="F99" s="29">
        <v>1.57</v>
      </c>
      <c r="G99" s="6">
        <v>1.84</v>
      </c>
      <c r="H99" s="29">
        <v>1.63</v>
      </c>
      <c r="I99" s="6"/>
      <c r="J99" s="30">
        <v>1.7</v>
      </c>
    </row>
    <row r="100" spans="1:10" ht="15.6" x14ac:dyDescent="0.3">
      <c r="A100" s="130"/>
      <c r="B100" s="2" t="s">
        <v>103</v>
      </c>
      <c r="C100" s="2">
        <v>2.96</v>
      </c>
      <c r="D100" s="19">
        <v>2.89</v>
      </c>
      <c r="E100" s="2">
        <v>3.21</v>
      </c>
      <c r="F100" s="19">
        <v>2.9</v>
      </c>
      <c r="G100" s="2">
        <v>3.39</v>
      </c>
      <c r="H100" s="19">
        <v>3.01</v>
      </c>
      <c r="I100" s="2"/>
      <c r="J100" s="20">
        <v>3.14</v>
      </c>
    </row>
    <row r="101" spans="1:10" ht="15.6" x14ac:dyDescent="0.3">
      <c r="A101" s="130"/>
      <c r="B101" s="25" t="s">
        <v>104</v>
      </c>
      <c r="C101" s="26">
        <f t="shared" ref="C101:J101" si="27">IF(OR(C99="",C100=""),"",C100/C99)</f>
        <v>1.861635220125786</v>
      </c>
      <c r="D101" s="27">
        <f t="shared" si="27"/>
        <v>1.8407643312101911</v>
      </c>
      <c r="E101" s="26">
        <f t="shared" si="27"/>
        <v>1.8448275862068966</v>
      </c>
      <c r="F101" s="27">
        <f t="shared" si="27"/>
        <v>1.8471337579617833</v>
      </c>
      <c r="G101" s="26">
        <f t="shared" si="27"/>
        <v>1.8423913043478262</v>
      </c>
      <c r="H101" s="27">
        <f t="shared" si="27"/>
        <v>1.8466257668711656</v>
      </c>
      <c r="I101" s="26" t="str">
        <f t="shared" si="27"/>
        <v/>
      </c>
      <c r="J101" s="28">
        <f t="shared" si="27"/>
        <v>1.8470588235294119</v>
      </c>
    </row>
    <row r="102" spans="1:10" ht="15.6" x14ac:dyDescent="0.3">
      <c r="A102" s="130">
        <v>90</v>
      </c>
      <c r="B102" s="6" t="s">
        <v>102</v>
      </c>
      <c r="C102" s="6">
        <v>2.46</v>
      </c>
      <c r="D102" s="29">
        <v>2.42</v>
      </c>
      <c r="E102" s="6">
        <v>2.68</v>
      </c>
      <c r="F102" s="29">
        <v>2.4300000000000002</v>
      </c>
      <c r="G102" s="6">
        <v>2.85</v>
      </c>
      <c r="H102" s="29">
        <v>2.5099999999999998</v>
      </c>
      <c r="I102" s="6"/>
      <c r="J102" s="30">
        <v>2.9620000000000002</v>
      </c>
    </row>
    <row r="103" spans="1:10" ht="15.6" x14ac:dyDescent="0.3">
      <c r="A103" s="130"/>
      <c r="B103" s="2" t="s">
        <v>103</v>
      </c>
      <c r="C103" s="2">
        <v>4.3499999999999996</v>
      </c>
      <c r="D103" s="19">
        <v>4.25</v>
      </c>
      <c r="E103" s="2">
        <v>4.72</v>
      </c>
      <c r="F103" s="19">
        <v>4.26</v>
      </c>
      <c r="G103" s="2">
        <v>4.9800000000000004</v>
      </c>
      <c r="H103" s="19">
        <v>4.42</v>
      </c>
      <c r="I103" s="2"/>
      <c r="J103" s="20">
        <v>4.59</v>
      </c>
    </row>
    <row r="104" spans="1:10" ht="15.6" x14ac:dyDescent="0.3">
      <c r="A104" s="130"/>
      <c r="B104" s="25" t="s">
        <v>104</v>
      </c>
      <c r="C104" s="26">
        <f t="shared" ref="C104:J104" si="28">IF(OR(C102="",C103=""),"",C103/C102)</f>
        <v>1.7682926829268291</v>
      </c>
      <c r="D104" s="27">
        <f t="shared" si="28"/>
        <v>1.7561983471074381</v>
      </c>
      <c r="E104" s="26">
        <f t="shared" si="28"/>
        <v>1.761194029850746</v>
      </c>
      <c r="F104" s="27">
        <f t="shared" si="28"/>
        <v>1.7530864197530862</v>
      </c>
      <c r="G104" s="26">
        <f t="shared" si="28"/>
        <v>1.7473684210526317</v>
      </c>
      <c r="H104" s="27">
        <f t="shared" si="28"/>
        <v>1.760956175298805</v>
      </c>
      <c r="I104" s="26" t="str">
        <f t="shared" si="28"/>
        <v/>
      </c>
      <c r="J104" s="28">
        <f t="shared" si="28"/>
        <v>1.5496286293045238</v>
      </c>
    </row>
    <row r="105" spans="1:10" ht="15.6" x14ac:dyDescent="0.3">
      <c r="A105" s="130">
        <v>100</v>
      </c>
      <c r="B105" s="6" t="s">
        <v>102</v>
      </c>
      <c r="C105" s="6">
        <v>3.49</v>
      </c>
      <c r="D105" s="29">
        <v>3.43</v>
      </c>
      <c r="E105" s="6">
        <v>3.82</v>
      </c>
      <c r="F105" s="29">
        <v>3.45</v>
      </c>
      <c r="G105" s="6">
        <v>4.03</v>
      </c>
      <c r="H105" s="29">
        <v>3.56</v>
      </c>
      <c r="I105" s="6"/>
      <c r="J105" s="30">
        <v>3.7</v>
      </c>
    </row>
    <row r="106" spans="1:10" ht="15.6" x14ac:dyDescent="0.3">
      <c r="A106" s="130"/>
      <c r="B106" s="2" t="s">
        <v>103</v>
      </c>
      <c r="C106" s="2">
        <v>5.96</v>
      </c>
      <c r="D106" s="19">
        <v>5.81</v>
      </c>
      <c r="E106" s="2">
        <v>6.46</v>
      </c>
      <c r="F106" s="19">
        <v>5.84</v>
      </c>
      <c r="G106" s="2">
        <v>6.82</v>
      </c>
      <c r="H106" s="19">
        <v>6.06</v>
      </c>
      <c r="I106" s="2"/>
      <c r="J106" s="20">
        <v>6.28</v>
      </c>
    </row>
    <row r="107" spans="1:10" ht="15.6" x14ac:dyDescent="0.3">
      <c r="A107" s="130"/>
      <c r="B107" s="25" t="s">
        <v>104</v>
      </c>
      <c r="C107" s="26">
        <f t="shared" ref="C107:J107" si="29">IF(OR(C105="",C106=""),"",C106/C105)</f>
        <v>1.7077363896848137</v>
      </c>
      <c r="D107" s="27">
        <f t="shared" si="29"/>
        <v>1.693877551020408</v>
      </c>
      <c r="E107" s="26">
        <f t="shared" si="29"/>
        <v>1.6910994764397906</v>
      </c>
      <c r="F107" s="27">
        <f t="shared" si="29"/>
        <v>1.6927536231884057</v>
      </c>
      <c r="G107" s="26">
        <f t="shared" si="29"/>
        <v>1.6923076923076923</v>
      </c>
      <c r="H107" s="27">
        <f t="shared" si="29"/>
        <v>1.7022471910112358</v>
      </c>
      <c r="I107" s="26" t="str">
        <f t="shared" si="29"/>
        <v/>
      </c>
      <c r="J107" s="28">
        <f t="shared" si="29"/>
        <v>1.6972972972972973</v>
      </c>
    </row>
    <row r="108" spans="1:10" ht="15.6" x14ac:dyDescent="0.3">
      <c r="A108" s="130">
        <v>110</v>
      </c>
      <c r="B108" s="6" t="s">
        <v>102</v>
      </c>
      <c r="C108" s="6">
        <v>4.6900000000000004</v>
      </c>
      <c r="D108" s="29">
        <v>4.58</v>
      </c>
      <c r="E108" s="6">
        <v>5.09</v>
      </c>
      <c r="F108" s="29">
        <v>4.62</v>
      </c>
      <c r="G108" s="6">
        <v>5.4</v>
      </c>
      <c r="H108" s="29">
        <v>4.7699999999999996</v>
      </c>
      <c r="I108" s="6"/>
      <c r="J108" s="30">
        <v>4.9400000000000004</v>
      </c>
    </row>
    <row r="109" spans="1:10" ht="15.6" x14ac:dyDescent="0.3">
      <c r="A109" s="130"/>
      <c r="B109" s="2" t="s">
        <v>103</v>
      </c>
      <c r="C109" s="2">
        <v>7.79</v>
      </c>
      <c r="D109" s="19">
        <v>7.59</v>
      </c>
      <c r="E109" s="2">
        <v>8.44</v>
      </c>
      <c r="F109" s="19">
        <v>7.62</v>
      </c>
      <c r="G109" s="2">
        <v>8.91</v>
      </c>
      <c r="H109" s="19">
        <v>7.9</v>
      </c>
      <c r="I109" s="2"/>
      <c r="J109" s="20">
        <v>8.16</v>
      </c>
    </row>
    <row r="110" spans="1:10" ht="15.6" x14ac:dyDescent="0.3">
      <c r="A110" s="130"/>
      <c r="B110" s="25" t="s">
        <v>104</v>
      </c>
      <c r="C110" s="26">
        <f t="shared" ref="C110:J110" si="30">IF(OR(C108="",C109=""),"",C109/C108)</f>
        <v>1.6609808102345414</v>
      </c>
      <c r="D110" s="27">
        <f t="shared" si="30"/>
        <v>1.6572052401746724</v>
      </c>
      <c r="E110" s="26">
        <f t="shared" si="30"/>
        <v>1.6581532416502947</v>
      </c>
      <c r="F110" s="27">
        <f t="shared" si="30"/>
        <v>1.6493506493506493</v>
      </c>
      <c r="G110" s="26">
        <f t="shared" si="30"/>
        <v>1.65</v>
      </c>
      <c r="H110" s="27">
        <f t="shared" si="30"/>
        <v>1.6561844863731658</v>
      </c>
      <c r="I110" s="26" t="str">
        <f t="shared" si="30"/>
        <v/>
      </c>
      <c r="J110" s="28">
        <f t="shared" si="30"/>
        <v>1.651821862348178</v>
      </c>
    </row>
    <row r="111" spans="1:10" ht="15.6" x14ac:dyDescent="0.3">
      <c r="A111" s="130">
        <v>120</v>
      </c>
      <c r="B111" s="6" t="s">
        <v>102</v>
      </c>
      <c r="C111" s="6">
        <v>5.98</v>
      </c>
      <c r="D111" s="29">
        <v>5.87</v>
      </c>
      <c r="E111" s="6">
        <v>6.52</v>
      </c>
      <c r="F111" s="29">
        <v>5.9</v>
      </c>
      <c r="G111" s="6">
        <v>6.92</v>
      </c>
      <c r="H111" s="29">
        <v>6.11</v>
      </c>
      <c r="I111" s="6"/>
      <c r="J111" s="30">
        <v>6.31</v>
      </c>
    </row>
    <row r="112" spans="1:10" ht="15.6" x14ac:dyDescent="0.3">
      <c r="A112" s="130"/>
      <c r="B112" s="2" t="s">
        <v>103</v>
      </c>
      <c r="C112" s="2">
        <v>9.8000000000000007</v>
      </c>
      <c r="D112" s="19">
        <v>9.5399999999999991</v>
      </c>
      <c r="E112" s="2">
        <v>10.6</v>
      </c>
      <c r="F112" s="19">
        <v>9.57</v>
      </c>
      <c r="G112" s="2">
        <v>11.19</v>
      </c>
      <c r="H112" s="19">
        <v>9.92</v>
      </c>
      <c r="I112" s="2"/>
      <c r="J112" s="20">
        <v>10.24</v>
      </c>
    </row>
    <row r="113" spans="1:10" ht="15.6" x14ac:dyDescent="0.3">
      <c r="A113" s="130"/>
      <c r="B113" s="25" t="s">
        <v>104</v>
      </c>
      <c r="C113" s="26">
        <f t="shared" ref="C113:J113" si="31">IF(OR(C111="",C112=""),"",C112/C111)</f>
        <v>1.6387959866220736</v>
      </c>
      <c r="D113" s="27">
        <f t="shared" si="31"/>
        <v>1.625212947189097</v>
      </c>
      <c r="E113" s="26">
        <f t="shared" si="31"/>
        <v>1.6257668711656443</v>
      </c>
      <c r="F113" s="27">
        <f t="shared" si="31"/>
        <v>1.6220338983050846</v>
      </c>
      <c r="G113" s="26">
        <f t="shared" si="31"/>
        <v>1.6170520231213872</v>
      </c>
      <c r="H113" s="27">
        <f t="shared" si="31"/>
        <v>1.6235679214402619</v>
      </c>
      <c r="I113" s="26" t="str">
        <f t="shared" si="31"/>
        <v/>
      </c>
      <c r="J113" s="28">
        <f t="shared" si="31"/>
        <v>1.6228209191759113</v>
      </c>
    </row>
    <row r="114" spans="1:10" ht="15.6" x14ac:dyDescent="0.3">
      <c r="A114" s="130">
        <v>130</v>
      </c>
      <c r="B114" s="6" t="s">
        <v>102</v>
      </c>
      <c r="C114" s="6">
        <v>7.41</v>
      </c>
      <c r="D114" s="29">
        <v>7.27</v>
      </c>
      <c r="E114" s="6">
        <v>8.08</v>
      </c>
      <c r="F114" s="29">
        <v>7.33</v>
      </c>
      <c r="G114" s="6">
        <v>8.56</v>
      </c>
      <c r="H114" s="29">
        <v>7.57</v>
      </c>
      <c r="I114" s="6"/>
      <c r="J114" s="30">
        <v>7.81</v>
      </c>
    </row>
    <row r="115" spans="1:10" ht="15.6" x14ac:dyDescent="0.3">
      <c r="A115" s="130"/>
      <c r="B115" s="2" t="s">
        <v>103</v>
      </c>
      <c r="C115" s="2">
        <v>12</v>
      </c>
      <c r="D115" s="19">
        <v>11.68</v>
      </c>
      <c r="E115" s="2">
        <v>12.97</v>
      </c>
      <c r="F115" s="19">
        <v>1.71</v>
      </c>
      <c r="G115" s="2">
        <v>13.68</v>
      </c>
      <c r="H115" s="19">
        <v>12.12</v>
      </c>
      <c r="I115" s="2"/>
      <c r="J115" s="20">
        <v>12.49</v>
      </c>
    </row>
    <row r="116" spans="1:10" ht="15.6" x14ac:dyDescent="0.3">
      <c r="A116" s="130"/>
      <c r="B116" s="25" t="s">
        <v>104</v>
      </c>
      <c r="C116" s="26">
        <f t="shared" ref="C116:J116" si="32">IF(OR(C114="",C115=""),"",C115/C114)</f>
        <v>1.6194331983805668</v>
      </c>
      <c r="D116" s="27">
        <f t="shared" si="32"/>
        <v>1.6066024759284732</v>
      </c>
      <c r="E116" s="26">
        <f t="shared" si="32"/>
        <v>1.6051980198019802</v>
      </c>
      <c r="F116" s="27">
        <f t="shared" si="32"/>
        <v>0.23328785811732605</v>
      </c>
      <c r="G116" s="26">
        <f t="shared" si="32"/>
        <v>1.5981308411214952</v>
      </c>
      <c r="H116" s="27">
        <f t="shared" si="32"/>
        <v>1.6010568031704093</v>
      </c>
      <c r="I116" s="26" t="str">
        <f t="shared" si="32"/>
        <v/>
      </c>
      <c r="J116" s="28">
        <f t="shared" si="32"/>
        <v>1.5992317541613317</v>
      </c>
    </row>
    <row r="117" spans="1:10" ht="15.6" x14ac:dyDescent="0.3">
      <c r="A117" s="130">
        <v>140</v>
      </c>
      <c r="B117" s="6" t="s">
        <v>102</v>
      </c>
      <c r="C117" s="6">
        <v>8.9499999999999993</v>
      </c>
      <c r="D117" s="29">
        <v>8.77</v>
      </c>
      <c r="E117" s="6">
        <v>9.75</v>
      </c>
      <c r="F117" s="29">
        <v>8.83</v>
      </c>
      <c r="G117" s="6">
        <v>10.34</v>
      </c>
      <c r="H117" s="29">
        <v>9.1300000000000008</v>
      </c>
      <c r="I117" s="6"/>
      <c r="J117" s="30">
        <v>9.44</v>
      </c>
    </row>
    <row r="118" spans="1:10" ht="15.6" x14ac:dyDescent="0.3">
      <c r="A118" s="130"/>
      <c r="B118" s="2" t="s">
        <v>103</v>
      </c>
      <c r="C118" s="2">
        <v>14.39</v>
      </c>
      <c r="D118" s="19">
        <v>13.96</v>
      </c>
      <c r="E118" s="2">
        <v>15.51</v>
      </c>
      <c r="F118" s="19">
        <v>14</v>
      </c>
      <c r="G118" s="2">
        <v>16.350000000000001</v>
      </c>
      <c r="H118" s="19">
        <v>14.47</v>
      </c>
      <c r="I118" s="2"/>
      <c r="J118" s="20">
        <v>14.91</v>
      </c>
    </row>
    <row r="119" spans="1:10" ht="15.6" x14ac:dyDescent="0.3">
      <c r="A119" s="130"/>
      <c r="B119" s="25" t="s">
        <v>104</v>
      </c>
      <c r="C119" s="26">
        <f t="shared" ref="C119:J119" si="33">IF(OR(C117="",C118=""),"",C118/C117)</f>
        <v>1.6078212290502796</v>
      </c>
      <c r="D119" s="27">
        <f t="shared" si="33"/>
        <v>1.5917901938426455</v>
      </c>
      <c r="E119" s="26">
        <f t="shared" si="33"/>
        <v>1.5907692307692307</v>
      </c>
      <c r="F119" s="27">
        <f t="shared" si="33"/>
        <v>1.5855039637599093</v>
      </c>
      <c r="G119" s="26">
        <f t="shared" si="33"/>
        <v>1.5812379110251453</v>
      </c>
      <c r="H119" s="27">
        <f t="shared" si="33"/>
        <v>1.5848849945235486</v>
      </c>
      <c r="I119" s="26" t="str">
        <f t="shared" si="33"/>
        <v/>
      </c>
      <c r="J119" s="28">
        <f t="shared" si="33"/>
        <v>1.5794491525423731</v>
      </c>
    </row>
    <row r="120" spans="1:10" ht="15.6" x14ac:dyDescent="0.3">
      <c r="A120" s="130" t="s">
        <v>105</v>
      </c>
      <c r="B120" s="6" t="s">
        <v>102</v>
      </c>
      <c r="C120" s="6"/>
      <c r="D120" s="29"/>
      <c r="E120" s="6">
        <v>0.73</v>
      </c>
      <c r="F120" s="29">
        <v>0.66</v>
      </c>
      <c r="G120" s="6"/>
      <c r="H120" s="29">
        <v>0.69</v>
      </c>
      <c r="I120" s="6">
        <v>0.83</v>
      </c>
      <c r="J120" s="30">
        <v>0.71</v>
      </c>
    </row>
    <row r="121" spans="1:10" ht="15.6" x14ac:dyDescent="0.3">
      <c r="A121" s="130"/>
      <c r="B121" s="2" t="s">
        <v>103</v>
      </c>
      <c r="C121" s="2"/>
      <c r="D121" s="19"/>
      <c r="E121" s="2">
        <v>1.1000000000000001</v>
      </c>
      <c r="F121" s="19">
        <v>1</v>
      </c>
      <c r="G121" s="2"/>
      <c r="H121" s="19">
        <v>1.04</v>
      </c>
      <c r="I121" s="2">
        <v>1.24</v>
      </c>
      <c r="J121" s="20">
        <v>1.08</v>
      </c>
    </row>
    <row r="122" spans="1:10" ht="15.6" x14ac:dyDescent="0.3">
      <c r="A122" s="130"/>
      <c r="B122" s="25" t="s">
        <v>104</v>
      </c>
      <c r="C122" s="26" t="str">
        <f t="shared" ref="C122:J122" si="34">IF(OR(C120="",C121=""),"",C121/C120)</f>
        <v/>
      </c>
      <c r="D122" s="27" t="str">
        <f t="shared" si="34"/>
        <v/>
      </c>
      <c r="E122" s="26">
        <f t="shared" si="34"/>
        <v>1.5068493150684934</v>
      </c>
      <c r="F122" s="27">
        <f t="shared" si="34"/>
        <v>1.5151515151515151</v>
      </c>
      <c r="G122" s="26" t="str">
        <f t="shared" si="34"/>
        <v/>
      </c>
      <c r="H122" s="27">
        <f t="shared" si="34"/>
        <v>1.5072463768115945</v>
      </c>
      <c r="I122" s="26">
        <f t="shared" si="34"/>
        <v>1.493975903614458</v>
      </c>
      <c r="J122" s="28">
        <f t="shared" si="34"/>
        <v>1.5211267605633805</v>
      </c>
    </row>
    <row r="123" spans="1:10" ht="15.6" x14ac:dyDescent="0.3">
      <c r="A123" s="130" t="s">
        <v>106</v>
      </c>
      <c r="B123" s="6" t="s">
        <v>102</v>
      </c>
      <c r="C123" s="6"/>
      <c r="D123" s="29"/>
      <c r="E123" s="6">
        <v>1.1599999999999999</v>
      </c>
      <c r="F123" s="29">
        <v>1.06</v>
      </c>
      <c r="G123" s="6"/>
      <c r="H123" s="29">
        <v>1.1000000000000001</v>
      </c>
      <c r="I123" s="6">
        <v>1.32</v>
      </c>
      <c r="J123" s="30">
        <v>1.1399999999999999</v>
      </c>
    </row>
    <row r="124" spans="1:10" ht="15.6" x14ac:dyDescent="0.3">
      <c r="A124" s="130"/>
      <c r="B124" s="2" t="s">
        <v>103</v>
      </c>
      <c r="C124" s="2"/>
      <c r="D124" s="19"/>
      <c r="E124" s="2">
        <v>1.74</v>
      </c>
      <c r="F124" s="19">
        <v>1.57</v>
      </c>
      <c r="G124" s="2"/>
      <c r="H124" s="19">
        <v>1.65</v>
      </c>
      <c r="I124" s="2">
        <v>1.95</v>
      </c>
      <c r="J124" s="20">
        <v>1.7</v>
      </c>
    </row>
    <row r="125" spans="1:10" ht="15.6" x14ac:dyDescent="0.3">
      <c r="A125" s="130"/>
      <c r="B125" s="25" t="s">
        <v>104</v>
      </c>
      <c r="C125" s="26" t="str">
        <f t="shared" ref="C125:J125" si="35">IF(OR(C123="",C124=""),"",C124/C123)</f>
        <v/>
      </c>
      <c r="D125" s="27" t="str">
        <f t="shared" si="35"/>
        <v/>
      </c>
      <c r="E125" s="26">
        <f t="shared" si="35"/>
        <v>1.5</v>
      </c>
      <c r="F125" s="27">
        <f t="shared" si="35"/>
        <v>1.4811320754716981</v>
      </c>
      <c r="G125" s="26" t="str">
        <f t="shared" si="35"/>
        <v/>
      </c>
      <c r="H125" s="27">
        <f t="shared" si="35"/>
        <v>1.4999999999999998</v>
      </c>
      <c r="I125" s="26">
        <f t="shared" si="35"/>
        <v>1.4772727272727271</v>
      </c>
      <c r="J125" s="28">
        <f t="shared" si="35"/>
        <v>1.4912280701754388</v>
      </c>
    </row>
    <row r="126" spans="1:10" ht="15.6" x14ac:dyDescent="0.3">
      <c r="A126" s="130" t="s">
        <v>107</v>
      </c>
      <c r="B126" s="6" t="s">
        <v>102</v>
      </c>
      <c r="C126" s="6"/>
      <c r="D126" s="29"/>
      <c r="E126" s="6">
        <v>1.72</v>
      </c>
      <c r="F126" s="29">
        <v>1.56</v>
      </c>
      <c r="G126" s="6"/>
      <c r="H126" s="29">
        <v>1.63</v>
      </c>
      <c r="I126" s="6">
        <v>1.94</v>
      </c>
      <c r="J126" s="30">
        <v>1.68</v>
      </c>
    </row>
    <row r="127" spans="1:10" ht="15.6" x14ac:dyDescent="0.3">
      <c r="A127" s="130"/>
      <c r="B127" s="2" t="s">
        <v>103</v>
      </c>
      <c r="C127" s="2"/>
      <c r="D127" s="19"/>
      <c r="E127" s="2">
        <v>2.54</v>
      </c>
      <c r="F127" s="19">
        <v>2.2999999999999998</v>
      </c>
      <c r="G127" s="2"/>
      <c r="H127" s="19">
        <v>2.41</v>
      </c>
      <c r="I127" s="2">
        <v>2.85</v>
      </c>
      <c r="J127" s="20">
        <v>2.48</v>
      </c>
    </row>
    <row r="128" spans="1:10" ht="15.6" x14ac:dyDescent="0.3">
      <c r="A128" s="130"/>
      <c r="B128" s="25" t="s">
        <v>104</v>
      </c>
      <c r="C128" s="26" t="str">
        <f t="shared" ref="C128:J128" si="36">IF(OR(C126="",C127=""),"",C127/C126)</f>
        <v/>
      </c>
      <c r="D128" s="27" t="str">
        <f t="shared" si="36"/>
        <v/>
      </c>
      <c r="E128" s="26">
        <f t="shared" si="36"/>
        <v>1.4767441860465116</v>
      </c>
      <c r="F128" s="27">
        <f t="shared" si="36"/>
        <v>1.4743589743589742</v>
      </c>
      <c r="G128" s="26" t="str">
        <f t="shared" si="36"/>
        <v/>
      </c>
      <c r="H128" s="27">
        <f t="shared" si="36"/>
        <v>1.4785276073619633</v>
      </c>
      <c r="I128" s="26">
        <f t="shared" si="36"/>
        <v>1.4690721649484537</v>
      </c>
      <c r="J128" s="28">
        <f t="shared" si="36"/>
        <v>1.4761904761904763</v>
      </c>
    </row>
    <row r="129" spans="1:10" ht="15.6" x14ac:dyDescent="0.3">
      <c r="A129" s="130" t="s">
        <v>108</v>
      </c>
      <c r="B129" s="6" t="s">
        <v>102</v>
      </c>
      <c r="C129" s="6"/>
      <c r="D129" s="29"/>
      <c r="E129" s="6">
        <v>2.39</v>
      </c>
      <c r="F129" s="29">
        <v>2.17</v>
      </c>
      <c r="G129" s="6"/>
      <c r="H129" s="29">
        <v>2.27</v>
      </c>
      <c r="I129" s="6">
        <v>2.7</v>
      </c>
      <c r="J129" s="30">
        <v>2.34</v>
      </c>
    </row>
    <row r="130" spans="1:10" ht="15.6" x14ac:dyDescent="0.3">
      <c r="A130" s="130"/>
      <c r="B130" s="2" t="s">
        <v>103</v>
      </c>
      <c r="C130" s="2"/>
      <c r="D130" s="19"/>
      <c r="E130" s="2">
        <v>3.53</v>
      </c>
      <c r="F130" s="19">
        <v>3.19</v>
      </c>
      <c r="G130" s="2"/>
      <c r="H130" s="19">
        <v>3.34</v>
      </c>
      <c r="I130" s="2">
        <v>3.94</v>
      </c>
      <c r="J130" s="20">
        <v>3.43</v>
      </c>
    </row>
    <row r="131" spans="1:10" ht="15.6" x14ac:dyDescent="0.3">
      <c r="A131" s="130"/>
      <c r="B131" s="25" t="s">
        <v>104</v>
      </c>
      <c r="C131" s="26" t="str">
        <f t="shared" ref="C131:J131" si="37">IF(OR(C129="",C130=""),"",C130/C129)</f>
        <v/>
      </c>
      <c r="D131" s="27" t="str">
        <f t="shared" si="37"/>
        <v/>
      </c>
      <c r="E131" s="26">
        <f t="shared" si="37"/>
        <v>1.4769874476987446</v>
      </c>
      <c r="F131" s="27">
        <f t="shared" si="37"/>
        <v>1.4700460829493087</v>
      </c>
      <c r="G131" s="26" t="str">
        <f t="shared" si="37"/>
        <v/>
      </c>
      <c r="H131" s="27">
        <f t="shared" si="37"/>
        <v>1.4713656387665197</v>
      </c>
      <c r="I131" s="26">
        <f t="shared" si="37"/>
        <v>1.459259259259259</v>
      </c>
      <c r="J131" s="28">
        <f t="shared" si="37"/>
        <v>1.4658119658119659</v>
      </c>
    </row>
    <row r="132" spans="1:10" ht="15.6" x14ac:dyDescent="0.3">
      <c r="A132" s="130" t="s">
        <v>109</v>
      </c>
      <c r="B132" s="6" t="s">
        <v>102</v>
      </c>
      <c r="C132" s="6"/>
      <c r="D132" s="29"/>
      <c r="E132" s="6">
        <v>3.18</v>
      </c>
      <c r="F132" s="29">
        <v>2.89</v>
      </c>
      <c r="G132" s="6"/>
      <c r="H132" s="29">
        <v>3.02</v>
      </c>
      <c r="I132" s="6">
        <v>3.6</v>
      </c>
      <c r="J132" s="30">
        <v>3.12</v>
      </c>
    </row>
    <row r="133" spans="1:10" ht="15.6" x14ac:dyDescent="0.3">
      <c r="A133" s="130"/>
      <c r="B133" s="2" t="s">
        <v>103</v>
      </c>
      <c r="C133" s="2"/>
      <c r="D133" s="19"/>
      <c r="E133" s="2">
        <v>4.7</v>
      </c>
      <c r="F133" s="19">
        <v>4.25</v>
      </c>
      <c r="G133" s="2"/>
      <c r="H133" s="19">
        <v>4.4400000000000004</v>
      </c>
      <c r="I133" s="2">
        <v>5.24</v>
      </c>
      <c r="J133" s="20">
        <v>4.5599999999999996</v>
      </c>
    </row>
    <row r="134" spans="1:10" ht="15.6" x14ac:dyDescent="0.3">
      <c r="A134" s="130"/>
      <c r="B134" s="25" t="s">
        <v>104</v>
      </c>
      <c r="C134" s="26" t="str">
        <f t="shared" ref="C134:J134" si="38">IF(OR(C132="",C133=""),"",C133/C132)</f>
        <v/>
      </c>
      <c r="D134" s="27" t="str">
        <f t="shared" si="38"/>
        <v/>
      </c>
      <c r="E134" s="26">
        <f t="shared" si="38"/>
        <v>1.4779874213836477</v>
      </c>
      <c r="F134" s="27">
        <f t="shared" si="38"/>
        <v>1.4705882352941175</v>
      </c>
      <c r="G134" s="26" t="str">
        <f t="shared" si="38"/>
        <v/>
      </c>
      <c r="H134" s="27">
        <f t="shared" si="38"/>
        <v>1.4701986754966889</v>
      </c>
      <c r="I134" s="26">
        <f t="shared" si="38"/>
        <v>1.4555555555555555</v>
      </c>
      <c r="J134" s="28">
        <f t="shared" si="38"/>
        <v>1.4615384615384615</v>
      </c>
    </row>
    <row r="136" spans="1:10" ht="15.6" x14ac:dyDescent="0.3">
      <c r="A136" s="8" t="s">
        <v>112</v>
      </c>
    </row>
    <row r="137" spans="1:10" ht="15.6" x14ac:dyDescent="0.3">
      <c r="B137" s="14"/>
      <c r="C137" s="131" t="s">
        <v>98</v>
      </c>
      <c r="D137" s="131"/>
      <c r="E137" s="131"/>
      <c r="F137" s="131"/>
      <c r="G137" s="131"/>
      <c r="H137" s="131"/>
      <c r="I137" s="131" t="s">
        <v>99</v>
      </c>
      <c r="J137" s="131"/>
    </row>
    <row r="138" spans="1:10" ht="15.6" x14ac:dyDescent="0.3">
      <c r="B138" s="15" t="s">
        <v>100</v>
      </c>
      <c r="C138" s="4" t="s">
        <v>14</v>
      </c>
      <c r="D138" s="16" t="s">
        <v>18</v>
      </c>
      <c r="E138" s="4" t="s">
        <v>68</v>
      </c>
      <c r="F138" s="16" t="s">
        <v>27</v>
      </c>
      <c r="G138" s="4" t="s">
        <v>21</v>
      </c>
      <c r="H138" s="16" t="s">
        <v>22</v>
      </c>
      <c r="I138" s="4" t="s">
        <v>21</v>
      </c>
      <c r="J138" s="17" t="s">
        <v>22</v>
      </c>
    </row>
    <row r="139" spans="1:10" ht="15.6" x14ac:dyDescent="0.3">
      <c r="B139" s="18" t="s">
        <v>101</v>
      </c>
      <c r="C139" s="2" t="s">
        <v>14</v>
      </c>
      <c r="D139" s="19" t="s">
        <v>18</v>
      </c>
      <c r="E139" s="2" t="s">
        <v>68</v>
      </c>
      <c r="F139" s="19" t="s">
        <v>27</v>
      </c>
      <c r="G139" s="2" t="s">
        <v>21</v>
      </c>
      <c r="H139" s="19" t="s">
        <v>22</v>
      </c>
      <c r="I139" s="2" t="s">
        <v>21</v>
      </c>
      <c r="J139" s="20" t="s">
        <v>22</v>
      </c>
    </row>
    <row r="140" spans="1:10" ht="15.6" x14ac:dyDescent="0.3">
      <c r="A140" s="7" t="s">
        <v>6</v>
      </c>
      <c r="B140" s="21"/>
      <c r="C140" s="22"/>
      <c r="D140" s="23"/>
      <c r="E140" s="22"/>
      <c r="F140" s="23"/>
      <c r="G140" s="22"/>
      <c r="H140" s="23"/>
      <c r="I140" s="22"/>
      <c r="J140" s="24"/>
    </row>
    <row r="141" spans="1:10" ht="15.6" x14ac:dyDescent="0.3">
      <c r="A141" s="130">
        <v>70</v>
      </c>
      <c r="B141" s="2" t="s">
        <v>102</v>
      </c>
      <c r="C141" s="2">
        <v>0.79</v>
      </c>
      <c r="D141" s="19">
        <v>0.79</v>
      </c>
      <c r="E141" s="2">
        <v>0.86</v>
      </c>
      <c r="F141" s="19">
        <v>0.79</v>
      </c>
      <c r="G141" s="2">
        <v>0.91</v>
      </c>
      <c r="H141" s="19">
        <v>0.8</v>
      </c>
      <c r="I141" s="2"/>
      <c r="J141" s="20">
        <v>0.85</v>
      </c>
    </row>
    <row r="142" spans="1:10" ht="15.6" x14ac:dyDescent="0.3">
      <c r="A142" s="130"/>
      <c r="B142" s="2" t="s">
        <v>103</v>
      </c>
      <c r="C142" s="2">
        <v>1.38</v>
      </c>
      <c r="D142" s="19">
        <v>1.36</v>
      </c>
      <c r="E142" s="2">
        <v>1.51</v>
      </c>
      <c r="F142" s="19">
        <v>1.36</v>
      </c>
      <c r="G142" s="2">
        <v>1.59</v>
      </c>
      <c r="H142" s="19">
        <v>1.41</v>
      </c>
      <c r="I142" s="2"/>
      <c r="J142" s="20">
        <v>1.48</v>
      </c>
    </row>
    <row r="143" spans="1:10" ht="15.6" x14ac:dyDescent="0.3">
      <c r="A143" s="130"/>
      <c r="B143" s="25" t="s">
        <v>104</v>
      </c>
      <c r="C143" s="26">
        <f t="shared" ref="C143:J143" si="39">IF(OR(C141="",C142=""),"",C142/C141)</f>
        <v>1.7468354430379744</v>
      </c>
      <c r="D143" s="27">
        <f t="shared" si="39"/>
        <v>1.7215189873417722</v>
      </c>
      <c r="E143" s="26">
        <f t="shared" si="39"/>
        <v>1.7558139534883721</v>
      </c>
      <c r="F143" s="27">
        <f t="shared" si="39"/>
        <v>1.7215189873417722</v>
      </c>
      <c r="G143" s="26">
        <f t="shared" si="39"/>
        <v>1.7472527472527473</v>
      </c>
      <c r="H143" s="27">
        <f t="shared" si="39"/>
        <v>1.7624999999999997</v>
      </c>
      <c r="I143" s="26" t="str">
        <f t="shared" si="39"/>
        <v/>
      </c>
      <c r="J143" s="28">
        <f t="shared" si="39"/>
        <v>1.7411764705882353</v>
      </c>
    </row>
    <row r="144" spans="1:10" ht="15.6" x14ac:dyDescent="0.3">
      <c r="A144" s="130">
        <v>80</v>
      </c>
      <c r="B144" s="6" t="s">
        <v>102</v>
      </c>
      <c r="C144" s="6">
        <v>1.39</v>
      </c>
      <c r="D144" s="29">
        <v>1.37</v>
      </c>
      <c r="E144" s="6">
        <v>1.52</v>
      </c>
      <c r="F144" s="29">
        <v>1.37</v>
      </c>
      <c r="G144" s="6">
        <v>1.61</v>
      </c>
      <c r="H144" s="29">
        <v>1.42</v>
      </c>
      <c r="I144" s="6"/>
      <c r="J144" s="30">
        <v>1.48</v>
      </c>
    </row>
    <row r="145" spans="1:10" ht="15.6" x14ac:dyDescent="0.3">
      <c r="A145" s="130"/>
      <c r="B145" s="2" t="s">
        <v>103</v>
      </c>
      <c r="C145" s="2">
        <v>2.2599999999999998</v>
      </c>
      <c r="D145" s="19">
        <v>2.2200000000000002</v>
      </c>
      <c r="E145" s="2">
        <v>2.4700000000000002</v>
      </c>
      <c r="F145" s="19">
        <v>2.23</v>
      </c>
      <c r="G145" s="2">
        <v>2.61</v>
      </c>
      <c r="H145" s="19">
        <v>2.31</v>
      </c>
      <c r="I145" s="2"/>
      <c r="J145" s="20">
        <v>2.41</v>
      </c>
    </row>
    <row r="146" spans="1:10" ht="15.6" x14ac:dyDescent="0.3">
      <c r="A146" s="130"/>
      <c r="B146" s="25" t="s">
        <v>104</v>
      </c>
      <c r="C146" s="26">
        <f t="shared" ref="C146:J146" si="40">IF(OR(C144="",C145=""),"",C145/C144)</f>
        <v>1.6258992805755395</v>
      </c>
      <c r="D146" s="27">
        <f t="shared" si="40"/>
        <v>1.6204379562043796</v>
      </c>
      <c r="E146" s="26">
        <f t="shared" si="40"/>
        <v>1.625</v>
      </c>
      <c r="F146" s="27">
        <f t="shared" si="40"/>
        <v>1.6277372262773722</v>
      </c>
      <c r="G146" s="26">
        <f t="shared" si="40"/>
        <v>1.6211180124223601</v>
      </c>
      <c r="H146" s="27">
        <f t="shared" si="40"/>
        <v>1.6267605633802817</v>
      </c>
      <c r="I146" s="26" t="str">
        <f t="shared" si="40"/>
        <v/>
      </c>
      <c r="J146" s="28">
        <f t="shared" si="40"/>
        <v>1.6283783783783785</v>
      </c>
    </row>
    <row r="147" spans="1:10" ht="15.6" x14ac:dyDescent="0.3">
      <c r="A147" s="130">
        <v>90</v>
      </c>
      <c r="B147" s="6" t="s">
        <v>102</v>
      </c>
      <c r="C147" s="6">
        <v>2.17</v>
      </c>
      <c r="D147" s="29">
        <v>2.13</v>
      </c>
      <c r="E147" s="6">
        <v>2.36</v>
      </c>
      <c r="F147" s="29">
        <v>2.13</v>
      </c>
      <c r="G147" s="6">
        <v>2.5</v>
      </c>
      <c r="H147" s="29">
        <v>2.2000000000000002</v>
      </c>
      <c r="I147" s="6"/>
      <c r="J147" s="30">
        <v>2.2999999999999998</v>
      </c>
    </row>
    <row r="148" spans="1:10" ht="15.6" x14ac:dyDescent="0.3">
      <c r="A148" s="130"/>
      <c r="B148" s="2" t="s">
        <v>103</v>
      </c>
      <c r="C148" s="2">
        <v>3.37</v>
      </c>
      <c r="D148" s="19">
        <v>3.3</v>
      </c>
      <c r="E148" s="2">
        <v>3.67</v>
      </c>
      <c r="F148" s="19">
        <v>3.31</v>
      </c>
      <c r="G148" s="2">
        <v>3.87</v>
      </c>
      <c r="H148" s="19">
        <v>3.43</v>
      </c>
      <c r="I148" s="2"/>
      <c r="J148" s="20">
        <v>3.57</v>
      </c>
    </row>
    <row r="149" spans="1:10" ht="15.6" x14ac:dyDescent="0.3">
      <c r="A149" s="130"/>
      <c r="B149" s="25" t="s">
        <v>104</v>
      </c>
      <c r="C149" s="26">
        <f t="shared" ref="C149:J149" si="41">IF(OR(C147="",C148=""),"",C148/C147)</f>
        <v>1.5529953917050692</v>
      </c>
      <c r="D149" s="27">
        <f t="shared" si="41"/>
        <v>1.5492957746478873</v>
      </c>
      <c r="E149" s="26">
        <f t="shared" si="41"/>
        <v>1.5550847457627119</v>
      </c>
      <c r="F149" s="27">
        <f t="shared" si="41"/>
        <v>1.5539906103286385</v>
      </c>
      <c r="G149" s="26">
        <f t="shared" si="41"/>
        <v>1.548</v>
      </c>
      <c r="H149" s="27">
        <f t="shared" si="41"/>
        <v>1.5590909090909091</v>
      </c>
      <c r="I149" s="26" t="str">
        <f t="shared" si="41"/>
        <v/>
      </c>
      <c r="J149" s="28">
        <f t="shared" si="41"/>
        <v>1.5521739130434784</v>
      </c>
    </row>
    <row r="150" spans="1:10" ht="15.6" x14ac:dyDescent="0.3">
      <c r="A150" s="130">
        <v>100</v>
      </c>
      <c r="B150" s="6" t="s">
        <v>102</v>
      </c>
      <c r="C150" s="6">
        <v>3.09</v>
      </c>
      <c r="D150" s="29">
        <v>3.04</v>
      </c>
      <c r="E150" s="6">
        <v>3.38</v>
      </c>
      <c r="F150" s="29">
        <v>3.05</v>
      </c>
      <c r="G150" s="6">
        <v>3.57</v>
      </c>
      <c r="H150" s="29">
        <v>3.13</v>
      </c>
      <c r="I150" s="6"/>
      <c r="J150" s="30">
        <v>3.27</v>
      </c>
    </row>
    <row r="151" spans="1:10" ht="15.6" x14ac:dyDescent="0.3">
      <c r="A151" s="130"/>
      <c r="B151" s="2" t="s">
        <v>103</v>
      </c>
      <c r="C151" s="2">
        <v>4.66</v>
      </c>
      <c r="D151" s="19">
        <v>4.57</v>
      </c>
      <c r="E151" s="2">
        <v>5.08</v>
      </c>
      <c r="F151" s="19">
        <v>4.58</v>
      </c>
      <c r="G151" s="2">
        <v>5.36</v>
      </c>
      <c r="H151" s="19">
        <v>4.7300000000000004</v>
      </c>
      <c r="I151" s="2"/>
      <c r="J151" s="20">
        <v>4.92</v>
      </c>
    </row>
    <row r="152" spans="1:10" ht="15.6" x14ac:dyDescent="0.3">
      <c r="A152" s="130"/>
      <c r="B152" s="25" t="s">
        <v>104</v>
      </c>
      <c r="C152" s="26">
        <f t="shared" ref="C152:J152" si="42">IF(OR(C150="",C151=""),"",C151/C150)</f>
        <v>1.5080906148867315</v>
      </c>
      <c r="D152" s="27">
        <f t="shared" si="42"/>
        <v>1.5032894736842106</v>
      </c>
      <c r="E152" s="26">
        <f t="shared" si="42"/>
        <v>1.5029585798816569</v>
      </c>
      <c r="F152" s="27">
        <f t="shared" si="42"/>
        <v>1.5016393442622953</v>
      </c>
      <c r="G152" s="26">
        <f t="shared" si="42"/>
        <v>1.5014005602240899</v>
      </c>
      <c r="H152" s="27">
        <f t="shared" si="42"/>
        <v>1.5111821086261983</v>
      </c>
      <c r="I152" s="26" t="str">
        <f t="shared" si="42"/>
        <v/>
      </c>
      <c r="J152" s="28">
        <f t="shared" si="42"/>
        <v>1.5045871559633026</v>
      </c>
    </row>
    <row r="153" spans="1:10" ht="15.6" x14ac:dyDescent="0.3">
      <c r="A153" s="130">
        <v>110</v>
      </c>
      <c r="B153" s="6" t="s">
        <v>102</v>
      </c>
      <c r="C153" s="6">
        <v>4.1500000000000004</v>
      </c>
      <c r="D153" s="29">
        <v>4.08</v>
      </c>
      <c r="E153" s="6">
        <v>4.54</v>
      </c>
      <c r="F153" s="29">
        <v>4.0999999999999996</v>
      </c>
      <c r="G153" s="6">
        <v>4.79</v>
      </c>
      <c r="H153" s="29">
        <v>4.22</v>
      </c>
      <c r="I153" s="6"/>
      <c r="J153" s="30">
        <v>4.38</v>
      </c>
    </row>
    <row r="154" spans="1:10" ht="15.6" x14ac:dyDescent="0.3">
      <c r="A154" s="130"/>
      <c r="B154" s="2" t="s">
        <v>103</v>
      </c>
      <c r="C154" s="2">
        <v>6.14</v>
      </c>
      <c r="D154" s="19">
        <v>6.01</v>
      </c>
      <c r="E154" s="2">
        <v>6.68</v>
      </c>
      <c r="F154" s="19">
        <v>6.03</v>
      </c>
      <c r="G154" s="2">
        <v>7.04</v>
      </c>
      <c r="H154" s="19">
        <v>6.22</v>
      </c>
      <c r="I154" s="2"/>
      <c r="J154" s="20">
        <v>6.45</v>
      </c>
    </row>
    <row r="155" spans="1:10" ht="15.6" x14ac:dyDescent="0.3">
      <c r="A155" s="130"/>
      <c r="B155" s="25" t="s">
        <v>104</v>
      </c>
      <c r="C155" s="26">
        <f t="shared" ref="C155:J155" si="43">IF(OR(C153="",C154=""),"",C154/C153)</f>
        <v>1.4795180722891563</v>
      </c>
      <c r="D155" s="27">
        <f t="shared" si="43"/>
        <v>1.4730392156862744</v>
      </c>
      <c r="E155" s="26">
        <f t="shared" si="43"/>
        <v>1.4713656387665197</v>
      </c>
      <c r="F155" s="27">
        <f t="shared" si="43"/>
        <v>1.4707317073170734</v>
      </c>
      <c r="G155" s="26">
        <f t="shared" si="43"/>
        <v>1.4697286012526096</v>
      </c>
      <c r="H155" s="27">
        <f t="shared" si="43"/>
        <v>1.4739336492890995</v>
      </c>
      <c r="I155" s="26" t="str">
        <f t="shared" si="43"/>
        <v/>
      </c>
      <c r="J155" s="28">
        <f t="shared" si="43"/>
        <v>1.4726027397260275</v>
      </c>
    </row>
    <row r="156" spans="1:10" ht="15.6" x14ac:dyDescent="0.3">
      <c r="A156" s="130">
        <v>120</v>
      </c>
      <c r="B156" s="6" t="s">
        <v>102</v>
      </c>
      <c r="C156" s="6">
        <v>5.35</v>
      </c>
      <c r="D156" s="29">
        <v>5.25</v>
      </c>
      <c r="E156" s="6">
        <v>5.83</v>
      </c>
      <c r="F156" s="29">
        <v>5.26</v>
      </c>
      <c r="G156" s="6">
        <v>6.17</v>
      </c>
      <c r="H156" s="29">
        <v>5.42</v>
      </c>
      <c r="I156" s="6"/>
      <c r="J156" s="30">
        <v>5.62</v>
      </c>
    </row>
    <row r="157" spans="1:10" ht="15.6" x14ac:dyDescent="0.3">
      <c r="A157" s="130"/>
      <c r="B157" s="2" t="s">
        <v>103</v>
      </c>
      <c r="C157" s="2">
        <v>7.78</v>
      </c>
      <c r="D157" s="19">
        <v>7.6</v>
      </c>
      <c r="E157" s="2">
        <v>8.4499999999999993</v>
      </c>
      <c r="F157" s="19">
        <v>7.62</v>
      </c>
      <c r="G157" s="2">
        <v>8.91</v>
      </c>
      <c r="H157" s="19">
        <v>7.87</v>
      </c>
      <c r="I157" s="2"/>
      <c r="J157" s="20">
        <v>8.14</v>
      </c>
    </row>
    <row r="158" spans="1:10" ht="15.6" x14ac:dyDescent="0.3">
      <c r="A158" s="130"/>
      <c r="B158" s="25" t="s">
        <v>104</v>
      </c>
      <c r="C158" s="26">
        <f t="shared" ref="C158:J158" si="44">IF(OR(C156="",C157=""),"",C157/C156)</f>
        <v>1.4542056074766356</v>
      </c>
      <c r="D158" s="27">
        <f t="shared" si="44"/>
        <v>1.4476190476190476</v>
      </c>
      <c r="E158" s="26">
        <f t="shared" si="44"/>
        <v>1.4493996569468266</v>
      </c>
      <c r="F158" s="27">
        <f t="shared" si="44"/>
        <v>1.4486692015209126</v>
      </c>
      <c r="G158" s="26">
        <f t="shared" si="44"/>
        <v>1.4440842787682335</v>
      </c>
      <c r="H158" s="27">
        <f t="shared" si="44"/>
        <v>1.4520295202952029</v>
      </c>
      <c r="I158" s="26" t="str">
        <f t="shared" si="44"/>
        <v/>
      </c>
      <c r="J158" s="28">
        <f t="shared" si="44"/>
        <v>1.4483985765124556</v>
      </c>
    </row>
    <row r="159" spans="1:10" ht="15.6" x14ac:dyDescent="0.3">
      <c r="A159" s="130">
        <v>130</v>
      </c>
      <c r="B159" s="6" t="s">
        <v>102</v>
      </c>
      <c r="C159" s="6">
        <v>6.67</v>
      </c>
      <c r="D159" s="29">
        <v>6.54</v>
      </c>
      <c r="E159" s="6">
        <v>7.26</v>
      </c>
      <c r="F159" s="29">
        <v>6.55</v>
      </c>
      <c r="G159" s="6">
        <v>7.68</v>
      </c>
      <c r="H159" s="29">
        <v>6.74</v>
      </c>
      <c r="I159" s="6"/>
      <c r="J159" s="30">
        <v>6.98</v>
      </c>
    </row>
    <row r="160" spans="1:10" ht="15.6" x14ac:dyDescent="0.3">
      <c r="A160" s="130"/>
      <c r="B160" s="2" t="s">
        <v>103</v>
      </c>
      <c r="C160" s="2">
        <v>9.57</v>
      </c>
      <c r="D160" s="19">
        <v>9.36</v>
      </c>
      <c r="E160" s="2">
        <v>10.4</v>
      </c>
      <c r="F160" s="19">
        <v>9.3699999999999992</v>
      </c>
      <c r="G160" s="2">
        <v>10.95</v>
      </c>
      <c r="H160" s="19">
        <v>9.66</v>
      </c>
      <c r="I160" s="2"/>
      <c r="J160" s="20">
        <v>9.98</v>
      </c>
    </row>
    <row r="161" spans="1:10" ht="15.6" x14ac:dyDescent="0.3">
      <c r="A161" s="130"/>
      <c r="B161" s="25" t="s">
        <v>104</v>
      </c>
      <c r="C161" s="26">
        <f t="shared" ref="C161:J161" si="45">IF(OR(C159="",C160=""),"",C160/C159)</f>
        <v>1.4347826086956523</v>
      </c>
      <c r="D161" s="27">
        <f t="shared" si="45"/>
        <v>1.4311926605504586</v>
      </c>
      <c r="E161" s="26">
        <f t="shared" si="45"/>
        <v>1.4325068870523416</v>
      </c>
      <c r="F161" s="27">
        <f t="shared" si="45"/>
        <v>1.4305343511450381</v>
      </c>
      <c r="G161" s="26">
        <f t="shared" si="45"/>
        <v>1.42578125</v>
      </c>
      <c r="H161" s="27">
        <f t="shared" si="45"/>
        <v>1.4332344213649852</v>
      </c>
      <c r="I161" s="26" t="str">
        <f t="shared" si="45"/>
        <v/>
      </c>
      <c r="J161" s="28">
        <f t="shared" si="45"/>
        <v>1.4297994269340975</v>
      </c>
    </row>
    <row r="162" spans="1:10" ht="15.6" x14ac:dyDescent="0.3">
      <c r="A162" s="130">
        <v>140</v>
      </c>
      <c r="B162" s="6" t="s">
        <v>102</v>
      </c>
      <c r="C162" s="6">
        <v>8.0299999999999994</v>
      </c>
      <c r="D162" s="29">
        <v>7.9</v>
      </c>
      <c r="E162" s="6">
        <v>8.7799999999999994</v>
      </c>
      <c r="F162" s="29">
        <v>7.93</v>
      </c>
      <c r="G162" s="6">
        <v>9.3000000000000007</v>
      </c>
      <c r="H162" s="29">
        <v>8.18</v>
      </c>
      <c r="I162" s="6"/>
      <c r="J162" s="30">
        <v>8.4600000000000009</v>
      </c>
    </row>
    <row r="163" spans="1:10" ht="15.6" x14ac:dyDescent="0.3">
      <c r="A163" s="130"/>
      <c r="B163" s="2" t="s">
        <v>103</v>
      </c>
      <c r="C163" s="2">
        <v>11.5</v>
      </c>
      <c r="D163" s="19">
        <v>11.25</v>
      </c>
      <c r="E163" s="2">
        <v>12.5</v>
      </c>
      <c r="F163" s="19">
        <v>11.25</v>
      </c>
      <c r="G163" s="2">
        <v>13.15</v>
      </c>
      <c r="H163" s="19">
        <v>11.61</v>
      </c>
      <c r="I163" s="2"/>
      <c r="J163" s="20">
        <v>11.98</v>
      </c>
    </row>
    <row r="164" spans="1:10" ht="15.6" x14ac:dyDescent="0.3">
      <c r="A164" s="130"/>
      <c r="B164" s="25" t="s">
        <v>104</v>
      </c>
      <c r="C164" s="26">
        <f t="shared" ref="C164:J164" si="46">IF(OR(C162="",C163=""),"",C163/C162)</f>
        <v>1.4321295143212953</v>
      </c>
      <c r="D164" s="27">
        <f t="shared" si="46"/>
        <v>1.4240506329113924</v>
      </c>
      <c r="E164" s="26">
        <f t="shared" si="46"/>
        <v>1.4236902050113895</v>
      </c>
      <c r="F164" s="27">
        <f t="shared" si="46"/>
        <v>1.4186633039092056</v>
      </c>
      <c r="G164" s="26">
        <f t="shared" si="46"/>
        <v>1.4139784946236558</v>
      </c>
      <c r="H164" s="27">
        <f t="shared" si="46"/>
        <v>1.4193154034229829</v>
      </c>
      <c r="I164" s="26" t="str">
        <f t="shared" si="46"/>
        <v/>
      </c>
      <c r="J164" s="28">
        <f t="shared" si="46"/>
        <v>1.4160756501182032</v>
      </c>
    </row>
    <row r="165" spans="1:10" ht="15.6" x14ac:dyDescent="0.3">
      <c r="A165" s="130" t="s">
        <v>105</v>
      </c>
      <c r="B165" s="6" t="s">
        <v>102</v>
      </c>
      <c r="C165" s="6"/>
      <c r="D165" s="29"/>
      <c r="E165" s="6">
        <v>0.66</v>
      </c>
      <c r="F165" s="29">
        <v>0.59</v>
      </c>
      <c r="G165" s="6"/>
      <c r="H165" s="29">
        <v>0.62</v>
      </c>
      <c r="I165" s="6">
        <v>0.74</v>
      </c>
      <c r="J165" s="30">
        <v>0.64</v>
      </c>
    </row>
    <row r="166" spans="1:10" ht="15.6" x14ac:dyDescent="0.3">
      <c r="A166" s="130"/>
      <c r="B166" s="2" t="s">
        <v>103</v>
      </c>
      <c r="C166" s="2"/>
      <c r="D166" s="19"/>
      <c r="E166" s="2">
        <v>0.9</v>
      </c>
      <c r="F166" s="19">
        <v>0.81</v>
      </c>
      <c r="G166" s="2"/>
      <c r="H166" s="19">
        <v>0.85</v>
      </c>
      <c r="I166" s="2">
        <v>1.01</v>
      </c>
      <c r="J166" s="20">
        <v>0.88</v>
      </c>
    </row>
    <row r="167" spans="1:10" ht="15.6" x14ac:dyDescent="0.3">
      <c r="A167" s="130"/>
      <c r="B167" s="25" t="s">
        <v>104</v>
      </c>
      <c r="C167" s="26" t="str">
        <f t="shared" ref="C167:J167" si="47">IF(OR(C165="",C166=""),"",C166/C165)</f>
        <v/>
      </c>
      <c r="D167" s="27" t="str">
        <f t="shared" si="47"/>
        <v/>
      </c>
      <c r="E167" s="26">
        <f t="shared" si="47"/>
        <v>1.3636363636363635</v>
      </c>
      <c r="F167" s="27">
        <f t="shared" si="47"/>
        <v>1.3728813559322035</v>
      </c>
      <c r="G167" s="26" t="str">
        <f t="shared" si="47"/>
        <v/>
      </c>
      <c r="H167" s="27">
        <f t="shared" si="47"/>
        <v>1.3709677419354838</v>
      </c>
      <c r="I167" s="26">
        <f t="shared" si="47"/>
        <v>1.3648648648648649</v>
      </c>
      <c r="J167" s="28">
        <f t="shared" si="47"/>
        <v>1.375</v>
      </c>
    </row>
    <row r="168" spans="1:10" ht="15.6" x14ac:dyDescent="0.3">
      <c r="A168" s="130" t="s">
        <v>106</v>
      </c>
      <c r="B168" s="6" t="s">
        <v>102</v>
      </c>
      <c r="C168" s="6"/>
      <c r="D168" s="29"/>
      <c r="E168" s="6">
        <v>1.05</v>
      </c>
      <c r="F168" s="29">
        <v>0.95</v>
      </c>
      <c r="G168" s="6"/>
      <c r="H168" s="29">
        <v>0.99</v>
      </c>
      <c r="I168" s="6">
        <v>1.19</v>
      </c>
      <c r="J168" s="30">
        <v>1.03</v>
      </c>
    </row>
    <row r="169" spans="1:10" ht="15.6" x14ac:dyDescent="0.3">
      <c r="A169" s="130"/>
      <c r="B169" s="2" t="s">
        <v>103</v>
      </c>
      <c r="C169" s="2"/>
      <c r="D169" s="19"/>
      <c r="E169" s="2">
        <v>1.42</v>
      </c>
      <c r="F169" s="19">
        <v>1.29</v>
      </c>
      <c r="G169" s="2"/>
      <c r="H169" s="19">
        <v>1.34</v>
      </c>
      <c r="I169" s="2">
        <v>1.6</v>
      </c>
      <c r="J169" s="20">
        <v>1.39</v>
      </c>
    </row>
    <row r="170" spans="1:10" ht="15.6" x14ac:dyDescent="0.3">
      <c r="A170" s="130"/>
      <c r="B170" s="25" t="s">
        <v>104</v>
      </c>
      <c r="C170" s="26" t="str">
        <f t="shared" ref="C170:J170" si="48">IF(OR(C168="",C169=""),"",C169/C168)</f>
        <v/>
      </c>
      <c r="D170" s="27" t="str">
        <f t="shared" si="48"/>
        <v/>
      </c>
      <c r="E170" s="26">
        <f t="shared" si="48"/>
        <v>1.3523809523809522</v>
      </c>
      <c r="F170" s="27">
        <f t="shared" si="48"/>
        <v>1.3578947368421053</v>
      </c>
      <c r="G170" s="26" t="str">
        <f t="shared" si="48"/>
        <v/>
      </c>
      <c r="H170" s="27">
        <f t="shared" si="48"/>
        <v>1.3535353535353536</v>
      </c>
      <c r="I170" s="26">
        <f t="shared" si="48"/>
        <v>1.3445378151260505</v>
      </c>
      <c r="J170" s="28">
        <f t="shared" si="48"/>
        <v>1.349514563106796</v>
      </c>
    </row>
    <row r="171" spans="1:10" ht="15.6" x14ac:dyDescent="0.3">
      <c r="A171" s="130" t="s">
        <v>107</v>
      </c>
      <c r="B171" s="6" t="s">
        <v>102</v>
      </c>
      <c r="C171" s="6"/>
      <c r="D171" s="29"/>
      <c r="E171" s="6">
        <v>1.56</v>
      </c>
      <c r="F171" s="29">
        <v>1.41</v>
      </c>
      <c r="G171" s="6"/>
      <c r="H171" s="29">
        <v>1.47</v>
      </c>
      <c r="I171" s="6">
        <v>1.76</v>
      </c>
      <c r="J171" s="30">
        <v>1.53</v>
      </c>
    </row>
    <row r="172" spans="1:10" ht="15.6" x14ac:dyDescent="0.3">
      <c r="A172" s="130"/>
      <c r="B172" s="2" t="s">
        <v>103</v>
      </c>
      <c r="C172" s="2"/>
      <c r="D172" s="19"/>
      <c r="E172" s="2">
        <v>2.1</v>
      </c>
      <c r="F172" s="19">
        <v>1.9</v>
      </c>
      <c r="G172" s="2"/>
      <c r="H172" s="19">
        <v>1.98</v>
      </c>
      <c r="I172" s="2">
        <v>2.35</v>
      </c>
      <c r="J172" s="20">
        <v>2.04</v>
      </c>
    </row>
    <row r="173" spans="1:10" ht="15.6" x14ac:dyDescent="0.3">
      <c r="A173" s="130"/>
      <c r="B173" s="25" t="s">
        <v>104</v>
      </c>
      <c r="C173" s="26" t="str">
        <f t="shared" ref="C173:I173" si="49">IF(OR(C171="",C172=""),"",C172/C171)</f>
        <v/>
      </c>
      <c r="D173" s="27" t="str">
        <f t="shared" si="49"/>
        <v/>
      </c>
      <c r="E173" s="26">
        <f t="shared" si="49"/>
        <v>1.3461538461538463</v>
      </c>
      <c r="F173" s="27">
        <f t="shared" si="49"/>
        <v>1.3475177304964538</v>
      </c>
      <c r="G173" s="26" t="str">
        <f t="shared" si="49"/>
        <v/>
      </c>
      <c r="H173" s="27">
        <f t="shared" si="49"/>
        <v>1.346938775510204</v>
      </c>
      <c r="I173" s="26">
        <f t="shared" si="49"/>
        <v>1.3352272727272727</v>
      </c>
      <c r="J173" s="28">
        <v>2.13</v>
      </c>
    </row>
    <row r="174" spans="1:10" ht="15.6" x14ac:dyDescent="0.3">
      <c r="A174" s="130" t="s">
        <v>108</v>
      </c>
      <c r="B174" s="6" t="s">
        <v>102</v>
      </c>
      <c r="C174" s="6"/>
      <c r="D174" s="29"/>
      <c r="E174" s="6">
        <v>2.1800000000000002</v>
      </c>
      <c r="F174" s="29">
        <v>1.98</v>
      </c>
      <c r="G174" s="6"/>
      <c r="H174" s="29">
        <v>2.06</v>
      </c>
      <c r="I174" s="6">
        <v>2.46</v>
      </c>
      <c r="J174" s="30">
        <v>2.13</v>
      </c>
    </row>
    <row r="175" spans="1:10" ht="15.6" x14ac:dyDescent="0.3">
      <c r="A175" s="130"/>
      <c r="B175" s="2" t="s">
        <v>103</v>
      </c>
      <c r="C175" s="2"/>
      <c r="D175" s="19"/>
      <c r="E175" s="2">
        <v>2.92</v>
      </c>
      <c r="F175" s="19">
        <v>2.64</v>
      </c>
      <c r="G175" s="2"/>
      <c r="H175" s="19">
        <v>2.76</v>
      </c>
      <c r="I175" s="2">
        <v>3.27</v>
      </c>
      <c r="J175" s="20">
        <v>2.84</v>
      </c>
    </row>
    <row r="176" spans="1:10" ht="15.6" x14ac:dyDescent="0.3">
      <c r="A176" s="130"/>
      <c r="B176" s="25" t="s">
        <v>104</v>
      </c>
      <c r="C176" s="26" t="str">
        <f t="shared" ref="C176:I176" si="50">IF(OR(C174="",C175=""),"",C175/C174)</f>
        <v/>
      </c>
      <c r="D176" s="27" t="str">
        <f t="shared" si="50"/>
        <v/>
      </c>
      <c r="E176" s="26">
        <f t="shared" si="50"/>
        <v>1.3394495412844036</v>
      </c>
      <c r="F176" s="27">
        <f t="shared" si="50"/>
        <v>1.3333333333333335</v>
      </c>
      <c r="G176" s="26" t="str">
        <f t="shared" si="50"/>
        <v/>
      </c>
      <c r="H176" s="27">
        <f t="shared" si="50"/>
        <v>1.3398058252427183</v>
      </c>
      <c r="I176" s="26">
        <f t="shared" si="50"/>
        <v>1.3292682926829269</v>
      </c>
      <c r="J176" s="28">
        <v>3.79</v>
      </c>
    </row>
    <row r="177" spans="1:10" ht="15.6" x14ac:dyDescent="0.3">
      <c r="A177" s="130" t="s">
        <v>109</v>
      </c>
      <c r="B177" s="6" t="s">
        <v>102</v>
      </c>
      <c r="C177" s="6"/>
      <c r="D177" s="29"/>
      <c r="E177" s="6">
        <v>2.92</v>
      </c>
      <c r="F177" s="29">
        <v>2.64</v>
      </c>
      <c r="G177" s="6"/>
      <c r="H177" s="29">
        <v>2.75</v>
      </c>
      <c r="I177" s="6">
        <v>3.3</v>
      </c>
      <c r="J177" s="30">
        <v>2.85</v>
      </c>
    </row>
    <row r="178" spans="1:10" ht="15.6" x14ac:dyDescent="0.3">
      <c r="A178" s="130"/>
      <c r="B178" s="2" t="s">
        <v>103</v>
      </c>
      <c r="C178" s="2"/>
      <c r="D178" s="19"/>
      <c r="E178" s="2">
        <v>3.91</v>
      </c>
      <c r="F178" s="19">
        <v>3.53</v>
      </c>
      <c r="G178" s="2"/>
      <c r="H178" s="19">
        <v>6.68</v>
      </c>
      <c r="I178" s="2">
        <v>4.37</v>
      </c>
      <c r="J178" s="20">
        <v>3.79</v>
      </c>
    </row>
    <row r="179" spans="1:10" ht="15.6" x14ac:dyDescent="0.3">
      <c r="A179" s="130"/>
      <c r="B179" s="25" t="s">
        <v>104</v>
      </c>
      <c r="C179" s="26" t="str">
        <f t="shared" ref="C179:J179" si="51">IF(OR(C177="",C178=""),"",C178/C177)</f>
        <v/>
      </c>
      <c r="D179" s="27" t="str">
        <f t="shared" si="51"/>
        <v/>
      </c>
      <c r="E179" s="26">
        <f t="shared" si="51"/>
        <v>1.3390410958904111</v>
      </c>
      <c r="F179" s="27">
        <f t="shared" si="51"/>
        <v>1.3371212121212119</v>
      </c>
      <c r="G179" s="26" t="str">
        <f t="shared" si="51"/>
        <v/>
      </c>
      <c r="H179" s="27">
        <f t="shared" si="51"/>
        <v>2.4290909090909092</v>
      </c>
      <c r="I179" s="26">
        <f t="shared" si="51"/>
        <v>1.3242424242424244</v>
      </c>
      <c r="J179" s="28">
        <f t="shared" si="51"/>
        <v>1.3298245614035087</v>
      </c>
    </row>
  </sheetData>
  <mergeCells count="60">
    <mergeCell ref="C2:H2"/>
    <mergeCell ref="I2:J2"/>
    <mergeCell ref="A6:A8"/>
    <mergeCell ref="A9:A11"/>
    <mergeCell ref="A12:A14"/>
    <mergeCell ref="A15:A17"/>
    <mergeCell ref="A18:A20"/>
    <mergeCell ref="A21:A23"/>
    <mergeCell ref="A24:A26"/>
    <mergeCell ref="A27:A29"/>
    <mergeCell ref="A30:A32"/>
    <mergeCell ref="A33:A35"/>
    <mergeCell ref="A36:A38"/>
    <mergeCell ref="A39:A41"/>
    <mergeCell ref="A42:A44"/>
    <mergeCell ref="C47:H47"/>
    <mergeCell ref="I47:J47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78:A80"/>
    <mergeCell ref="A81:A83"/>
    <mergeCell ref="A84:A86"/>
    <mergeCell ref="A87:A89"/>
    <mergeCell ref="C92:H92"/>
    <mergeCell ref="I92:J92"/>
    <mergeCell ref="A96:A98"/>
    <mergeCell ref="A99:A101"/>
    <mergeCell ref="A102:A104"/>
    <mergeCell ref="A105:A107"/>
    <mergeCell ref="A108:A110"/>
    <mergeCell ref="A111:A113"/>
    <mergeCell ref="A114:A116"/>
    <mergeCell ref="A117:A119"/>
    <mergeCell ref="A120:A122"/>
    <mergeCell ref="A123:A125"/>
    <mergeCell ref="A126:A128"/>
    <mergeCell ref="A129:A131"/>
    <mergeCell ref="A132:A134"/>
    <mergeCell ref="C137:H137"/>
    <mergeCell ref="I137:J137"/>
    <mergeCell ref="A141:A143"/>
    <mergeCell ref="A144:A146"/>
    <mergeCell ref="A147:A149"/>
    <mergeCell ref="A150:A152"/>
    <mergeCell ref="A153:A155"/>
    <mergeCell ref="A156:A158"/>
    <mergeCell ref="A159:A161"/>
    <mergeCell ref="A162:A164"/>
    <mergeCell ref="A165:A167"/>
    <mergeCell ref="A168:A170"/>
    <mergeCell ref="A171:A173"/>
    <mergeCell ref="A174:A176"/>
    <mergeCell ref="A177:A179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C37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3" ht="15" customHeight="1" x14ac:dyDescent="0.3">
      <c r="A1" s="8" t="s">
        <v>113</v>
      </c>
    </row>
    <row r="2" spans="1:3" ht="15" customHeight="1" x14ac:dyDescent="0.3">
      <c r="B2" s="15" t="s">
        <v>100</v>
      </c>
      <c r="C2" s="31" t="s">
        <v>31</v>
      </c>
    </row>
    <row r="3" spans="1:3" ht="15" customHeight="1" x14ac:dyDescent="0.3">
      <c r="B3" s="18" t="s">
        <v>114</v>
      </c>
      <c r="C3" s="32">
        <f>16*0.6</f>
        <v>9.6</v>
      </c>
    </row>
    <row r="4" spans="1:3" ht="15" customHeight="1" x14ac:dyDescent="0.3">
      <c r="B4" s="18" t="s">
        <v>101</v>
      </c>
      <c r="C4" s="32" t="s">
        <v>31</v>
      </c>
    </row>
    <row r="5" spans="1:3" ht="15" customHeight="1" x14ac:dyDescent="0.3">
      <c r="A5" s="13"/>
      <c r="B5" s="33" t="s">
        <v>115</v>
      </c>
      <c r="C5" s="34"/>
    </row>
    <row r="6" spans="1:3" ht="15" customHeight="1" x14ac:dyDescent="0.3">
      <c r="A6" s="7" t="s">
        <v>6</v>
      </c>
      <c r="B6" s="35"/>
      <c r="C6" s="36"/>
    </row>
    <row r="7" spans="1:3" ht="15" customHeight="1" x14ac:dyDescent="0.3">
      <c r="A7" s="132">
        <v>80</v>
      </c>
      <c r="B7" s="30" t="s">
        <v>102</v>
      </c>
      <c r="C7" s="37">
        <v>7.9</v>
      </c>
    </row>
    <row r="8" spans="1:3" ht="15" customHeight="1" x14ac:dyDescent="0.3">
      <c r="A8" s="132"/>
      <c r="B8" s="20" t="s">
        <v>103</v>
      </c>
      <c r="C8" s="32">
        <v>9.4600000000000009</v>
      </c>
    </row>
    <row r="9" spans="1:3" ht="15" customHeight="1" x14ac:dyDescent="0.3">
      <c r="A9" s="132"/>
      <c r="B9" s="38" t="s">
        <v>104</v>
      </c>
      <c r="C9" s="26">
        <f>IF(OR(C7="",C8=""),"",C8/C7)</f>
        <v>1.1974683544303799</v>
      </c>
    </row>
    <row r="10" spans="1:3" ht="15" customHeight="1" x14ac:dyDescent="0.3">
      <c r="A10" s="132">
        <v>100</v>
      </c>
      <c r="B10" s="30" t="s">
        <v>102</v>
      </c>
      <c r="C10" s="37">
        <v>16.23</v>
      </c>
    </row>
    <row r="11" spans="1:3" ht="15" customHeight="1" x14ac:dyDescent="0.3">
      <c r="A11" s="132"/>
      <c r="B11" s="20" t="s">
        <v>103</v>
      </c>
      <c r="C11" s="32">
        <v>18.100000000000001</v>
      </c>
    </row>
    <row r="12" spans="1:3" ht="15" customHeight="1" x14ac:dyDescent="0.3">
      <c r="A12" s="132"/>
      <c r="B12" s="38" t="s">
        <v>104</v>
      </c>
      <c r="C12" s="26">
        <f>IF(OR(C10="",C11=""),"",C11/C10)</f>
        <v>1.115218730745533</v>
      </c>
    </row>
    <row r="13" spans="1:3" ht="15" customHeight="1" x14ac:dyDescent="0.3">
      <c r="A13" s="132">
        <v>120</v>
      </c>
      <c r="B13" s="30" t="s">
        <v>102</v>
      </c>
      <c r="C13" s="37">
        <v>24.62</v>
      </c>
    </row>
    <row r="14" spans="1:3" ht="15" customHeight="1" x14ac:dyDescent="0.3">
      <c r="A14" s="132"/>
      <c r="B14" s="20" t="s">
        <v>103</v>
      </c>
      <c r="C14" s="32">
        <v>27.07</v>
      </c>
    </row>
    <row r="15" spans="1:3" ht="15" customHeight="1" x14ac:dyDescent="0.3">
      <c r="A15" s="132"/>
      <c r="B15" s="38" t="s">
        <v>104</v>
      </c>
      <c r="C15" s="26">
        <f>IF(OR(C13="",C14=""),"",C14/C13)</f>
        <v>1.0995125913891146</v>
      </c>
    </row>
    <row r="16" spans="1:3" ht="15" customHeight="1" x14ac:dyDescent="0.3">
      <c r="A16" s="132">
        <v>140</v>
      </c>
      <c r="B16" s="30" t="s">
        <v>102</v>
      </c>
      <c r="C16" s="37">
        <v>35</v>
      </c>
    </row>
    <row r="17" spans="1:3" ht="15" customHeight="1" x14ac:dyDescent="0.3">
      <c r="A17" s="132"/>
      <c r="B17" s="20" t="s">
        <v>103</v>
      </c>
      <c r="C17" s="32">
        <v>37.74</v>
      </c>
    </row>
    <row r="18" spans="1:3" ht="15" customHeight="1" x14ac:dyDescent="0.3">
      <c r="A18" s="132"/>
      <c r="B18" s="38" t="s">
        <v>104</v>
      </c>
      <c r="C18" s="26">
        <f>IF(OR(C16="",C17=""),"",C17/C16)</f>
        <v>1.0782857142857143</v>
      </c>
    </row>
    <row r="20" spans="1:3" ht="15" customHeight="1" x14ac:dyDescent="0.3">
      <c r="A20" s="8" t="s">
        <v>116</v>
      </c>
    </row>
    <row r="21" spans="1:3" ht="15" customHeight="1" x14ac:dyDescent="0.3">
      <c r="B21" s="15" t="s">
        <v>100</v>
      </c>
      <c r="C21" s="31" t="s">
        <v>22</v>
      </c>
    </row>
    <row r="22" spans="1:3" ht="15" customHeight="1" x14ac:dyDescent="0.3">
      <c r="B22" s="18" t="s">
        <v>114</v>
      </c>
      <c r="C22" s="32">
        <v>38.4</v>
      </c>
    </row>
    <row r="23" spans="1:3" ht="15" customHeight="1" x14ac:dyDescent="0.3">
      <c r="B23" s="18" t="s">
        <v>101</v>
      </c>
      <c r="C23" s="32" t="s">
        <v>22</v>
      </c>
    </row>
    <row r="24" spans="1:3" ht="15" customHeight="1" x14ac:dyDescent="0.3">
      <c r="A24" s="13"/>
      <c r="B24" s="33" t="s">
        <v>115</v>
      </c>
      <c r="C24" s="34"/>
    </row>
    <row r="25" spans="1:3" ht="15" customHeight="1" x14ac:dyDescent="0.3">
      <c r="A25" s="7" t="s">
        <v>6</v>
      </c>
      <c r="B25" s="35"/>
      <c r="C25" s="36"/>
    </row>
    <row r="26" spans="1:3" ht="15" customHeight="1" x14ac:dyDescent="0.3">
      <c r="A26" s="132">
        <v>80</v>
      </c>
      <c r="B26" s="30" t="s">
        <v>102</v>
      </c>
      <c r="C26" s="37">
        <v>1.49</v>
      </c>
    </row>
    <row r="27" spans="1:3" ht="15" customHeight="1" x14ac:dyDescent="0.3">
      <c r="A27" s="132"/>
      <c r="B27" s="20" t="s">
        <v>103</v>
      </c>
      <c r="C27" s="32">
        <v>3.15</v>
      </c>
    </row>
    <row r="28" spans="1:3" ht="15" customHeight="1" x14ac:dyDescent="0.3">
      <c r="A28" s="132"/>
      <c r="B28" s="38" t="s">
        <v>104</v>
      </c>
      <c r="C28" s="26">
        <f>IF(OR(C26="",C27=""),"",C27/C26)</f>
        <v>2.1140939597315436</v>
      </c>
    </row>
    <row r="29" spans="1:3" ht="15" customHeight="1" x14ac:dyDescent="0.3">
      <c r="A29" s="132">
        <v>100</v>
      </c>
      <c r="B29" s="30" t="s">
        <v>102</v>
      </c>
      <c r="C29" s="37">
        <v>3.08</v>
      </c>
    </row>
    <row r="30" spans="1:3" ht="15.6" x14ac:dyDescent="0.3">
      <c r="A30" s="132"/>
      <c r="B30" s="20" t="s">
        <v>103</v>
      </c>
      <c r="C30" s="32">
        <v>5.85</v>
      </c>
    </row>
    <row r="31" spans="1:3" ht="15.6" x14ac:dyDescent="0.3">
      <c r="A31" s="132"/>
      <c r="B31" s="38" t="s">
        <v>104</v>
      </c>
      <c r="C31" s="26">
        <f>IF(OR(C29="",C30=""),"",C30/C29)</f>
        <v>1.8993506493506491</v>
      </c>
    </row>
    <row r="32" spans="1:3" ht="15.6" x14ac:dyDescent="0.3">
      <c r="A32" s="132">
        <v>120</v>
      </c>
      <c r="B32" s="30" t="s">
        <v>102</v>
      </c>
      <c r="C32" s="37">
        <v>5.53</v>
      </c>
    </row>
    <row r="33" spans="1:3" ht="15.6" x14ac:dyDescent="0.3">
      <c r="A33" s="132"/>
      <c r="B33" s="20" t="s">
        <v>103</v>
      </c>
      <c r="C33" s="32">
        <v>9.23</v>
      </c>
    </row>
    <row r="34" spans="1:3" ht="15.6" x14ac:dyDescent="0.3">
      <c r="A34" s="132"/>
      <c r="B34" s="38" t="s">
        <v>104</v>
      </c>
      <c r="C34" s="26">
        <f>IF(OR(C32="",C33=""),"",C33/C32)</f>
        <v>1.6690777576853526</v>
      </c>
    </row>
    <row r="35" spans="1:3" ht="15.6" x14ac:dyDescent="0.3">
      <c r="A35" s="132">
        <v>140</v>
      </c>
      <c r="B35" s="30" t="s">
        <v>102</v>
      </c>
      <c r="C35" s="37">
        <v>8.26</v>
      </c>
    </row>
    <row r="36" spans="1:3" ht="15.6" x14ac:dyDescent="0.3">
      <c r="A36" s="132"/>
      <c r="B36" s="20" t="s">
        <v>103</v>
      </c>
      <c r="C36" s="32">
        <v>13.13</v>
      </c>
    </row>
    <row r="37" spans="1:3" ht="15.6" x14ac:dyDescent="0.3">
      <c r="A37" s="132"/>
      <c r="B37" s="38" t="s">
        <v>104</v>
      </c>
      <c r="C37" s="26">
        <f>IF(OR(C35="",C36=""),"",C36/C35)</f>
        <v>1.589588377723971</v>
      </c>
    </row>
  </sheetData>
  <mergeCells count="8">
    <mergeCell ref="A29:A31"/>
    <mergeCell ref="A32:A34"/>
    <mergeCell ref="A35:A37"/>
    <mergeCell ref="A7:A9"/>
    <mergeCell ref="A10:A12"/>
    <mergeCell ref="A13:A15"/>
    <mergeCell ref="A16:A18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M3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3" ht="15" customHeight="1" x14ac:dyDescent="0.3">
      <c r="A1" s="8" t="s">
        <v>113</v>
      </c>
    </row>
    <row r="2" spans="1:13" ht="15" customHeight="1" x14ac:dyDescent="0.3">
      <c r="B2" s="15" t="s">
        <v>100</v>
      </c>
      <c r="C2" s="31" t="s">
        <v>14</v>
      </c>
      <c r="D2" s="31" t="s">
        <v>18</v>
      </c>
      <c r="E2" s="31" t="s">
        <v>68</v>
      </c>
      <c r="F2" s="31" t="s">
        <v>70</v>
      </c>
      <c r="G2" s="31" t="s">
        <v>77</v>
      </c>
    </row>
    <row r="3" spans="1:13" ht="15" customHeight="1" x14ac:dyDescent="0.3">
      <c r="B3" s="18" t="s">
        <v>114</v>
      </c>
      <c r="C3" s="32">
        <v>5</v>
      </c>
      <c r="D3" s="32">
        <v>10</v>
      </c>
      <c r="E3" s="32">
        <v>9</v>
      </c>
      <c r="F3" s="32">
        <v>11.2</v>
      </c>
      <c r="G3" s="32">
        <v>11.2</v>
      </c>
    </row>
    <row r="4" spans="1:13" ht="15" customHeight="1" x14ac:dyDescent="0.3">
      <c r="B4" s="18" t="s">
        <v>101</v>
      </c>
      <c r="C4" s="32" t="s">
        <v>14</v>
      </c>
      <c r="D4" s="32" t="s">
        <v>18</v>
      </c>
      <c r="E4" s="32" t="s">
        <v>68</v>
      </c>
      <c r="F4" s="32" t="s">
        <v>70</v>
      </c>
      <c r="G4" s="32" t="s">
        <v>77</v>
      </c>
      <c r="I4" s="39"/>
      <c r="J4" s="39"/>
      <c r="K4" s="39"/>
      <c r="L4" s="39"/>
      <c r="M4" s="39"/>
    </row>
    <row r="5" spans="1:13" ht="15" customHeight="1" x14ac:dyDescent="0.3">
      <c r="A5" s="13"/>
      <c r="B5" s="33" t="s">
        <v>115</v>
      </c>
      <c r="C5" s="34"/>
      <c r="D5" s="34"/>
      <c r="E5" s="34"/>
      <c r="F5" s="34"/>
      <c r="G5" s="34"/>
      <c r="I5" s="39"/>
      <c r="J5" s="39"/>
      <c r="K5" s="39"/>
      <c r="L5" s="39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8"/>
      <c r="I6" s="39"/>
    </row>
    <row r="7" spans="1:13" ht="15" customHeight="1" x14ac:dyDescent="0.3">
      <c r="A7" s="132">
        <v>80</v>
      </c>
      <c r="B7" s="30" t="s">
        <v>102</v>
      </c>
      <c r="C7" s="37">
        <v>5.33</v>
      </c>
      <c r="D7" s="37">
        <v>5.36</v>
      </c>
      <c r="E7" s="37">
        <v>5.96</v>
      </c>
      <c r="F7" s="37">
        <v>6.38</v>
      </c>
      <c r="G7" s="37"/>
      <c r="I7" s="39"/>
    </row>
    <row r="8" spans="1:13" ht="15" customHeight="1" x14ac:dyDescent="0.3">
      <c r="A8" s="132"/>
      <c r="B8" s="20" t="s">
        <v>103</v>
      </c>
      <c r="C8" s="32">
        <v>5.92</v>
      </c>
      <c r="D8" s="32">
        <v>5.93</v>
      </c>
      <c r="E8" s="32">
        <v>6.59</v>
      </c>
      <c r="F8" s="32">
        <v>7.08</v>
      </c>
      <c r="G8" s="32"/>
      <c r="I8" s="39"/>
    </row>
    <row r="9" spans="1:13" ht="15" customHeight="1" x14ac:dyDescent="0.3">
      <c r="A9" s="132"/>
      <c r="B9" s="38" t="s">
        <v>104</v>
      </c>
      <c r="C9" s="26">
        <f>IF(OR(C7="",C8=""),"",C8/C7)</f>
        <v>1.1106941838649156</v>
      </c>
      <c r="D9" s="26">
        <f>IF(OR(D7="",D8=""),"",D8/D7)</f>
        <v>1.1063432835820894</v>
      </c>
      <c r="E9" s="26">
        <f>IF(OR(E7="",E8=""),"",E8/E7)</f>
        <v>1.1057046979865772</v>
      </c>
      <c r="F9" s="26">
        <f>IF(OR(F7="",F8=""),"",F8/F7)</f>
        <v>1.109717868338558</v>
      </c>
      <c r="G9" s="26" t="str">
        <f>IF(OR(G7="",G8=""),"",G8/G7)</f>
        <v/>
      </c>
      <c r="H9" s="39"/>
      <c r="I9" s="39"/>
      <c r="J9" s="39"/>
      <c r="K9" s="39"/>
      <c r="L9" s="39"/>
      <c r="M9" s="39"/>
    </row>
    <row r="10" spans="1:13" ht="15" customHeight="1" x14ac:dyDescent="0.3">
      <c r="A10" s="132">
        <v>110</v>
      </c>
      <c r="B10" s="30" t="s">
        <v>102</v>
      </c>
      <c r="C10" s="37">
        <v>13.33</v>
      </c>
      <c r="D10" s="37">
        <v>13.39</v>
      </c>
      <c r="E10" s="37">
        <v>14.87</v>
      </c>
      <c r="F10" s="37">
        <v>15.98</v>
      </c>
      <c r="G10" s="37">
        <v>2.99</v>
      </c>
      <c r="I10" s="39"/>
    </row>
    <row r="11" spans="1:13" ht="15" customHeight="1" x14ac:dyDescent="0.3">
      <c r="A11" s="132"/>
      <c r="B11" s="20" t="s">
        <v>103</v>
      </c>
      <c r="C11" s="32">
        <v>14.3</v>
      </c>
      <c r="D11" s="32">
        <v>14.32</v>
      </c>
      <c r="E11" s="32">
        <v>15.92</v>
      </c>
      <c r="F11" s="32">
        <v>17.100000000000001</v>
      </c>
      <c r="G11" s="32">
        <v>3.08</v>
      </c>
      <c r="I11" s="39"/>
    </row>
    <row r="12" spans="1:13" ht="15" customHeight="1" x14ac:dyDescent="0.3">
      <c r="A12" s="132"/>
      <c r="B12" s="38" t="s">
        <v>104</v>
      </c>
      <c r="C12" s="26">
        <f>IF(OR(C10="",C11=""),"",C11/C10)</f>
        <v>1.0727681920480121</v>
      </c>
      <c r="D12" s="26">
        <f>IF(OR(D10="",D11=""),"",D11/D10)</f>
        <v>1.0694548170276326</v>
      </c>
      <c r="E12" s="26">
        <f>IF(OR(E10="",E11=""),"",E11/E10)</f>
        <v>1.0706119704102219</v>
      </c>
      <c r="F12" s="26">
        <f>IF(OR(F10="",F11=""),"",F11/F10)</f>
        <v>1.0700876095118899</v>
      </c>
      <c r="G12" s="26">
        <f>IF(OR(G10="",G11=""),"",G11/G10)</f>
        <v>1.0301003344481605</v>
      </c>
      <c r="H12" s="39"/>
      <c r="I12" s="39"/>
    </row>
    <row r="13" spans="1:13" ht="15" customHeight="1" x14ac:dyDescent="0.3">
      <c r="A13" s="132">
        <v>130</v>
      </c>
      <c r="B13" s="30" t="s">
        <v>102</v>
      </c>
      <c r="C13" s="37">
        <v>20.27</v>
      </c>
      <c r="D13" s="37">
        <v>20.27</v>
      </c>
      <c r="E13" s="37">
        <v>22.52</v>
      </c>
      <c r="F13" s="37">
        <v>24.24</v>
      </c>
      <c r="G13" s="37">
        <v>5.86</v>
      </c>
      <c r="I13" s="39"/>
    </row>
    <row r="14" spans="1:13" ht="15" customHeight="1" x14ac:dyDescent="0.3">
      <c r="A14" s="132"/>
      <c r="B14" s="20" t="s">
        <v>103</v>
      </c>
      <c r="C14" s="32">
        <v>21.52</v>
      </c>
      <c r="D14" s="32">
        <v>21.52</v>
      </c>
      <c r="E14" s="32">
        <v>23.91</v>
      </c>
      <c r="F14" s="32">
        <v>25.7</v>
      </c>
      <c r="G14" s="32">
        <v>6.05</v>
      </c>
      <c r="I14" s="39"/>
      <c r="J14" s="39"/>
      <c r="K14" s="39"/>
      <c r="L14" s="39"/>
      <c r="M14" s="39"/>
    </row>
    <row r="15" spans="1:13" ht="15" customHeight="1" x14ac:dyDescent="0.3">
      <c r="A15" s="132"/>
      <c r="B15" s="38" t="s">
        <v>104</v>
      </c>
      <c r="C15" s="26">
        <f>IF(OR(C13="",C14=""),"",C14/C13)</f>
        <v>1.0616674888998521</v>
      </c>
      <c r="D15" s="26">
        <f>IF(OR(D13="",D14=""),"",D14/D13)</f>
        <v>1.0616674888998521</v>
      </c>
      <c r="E15" s="26">
        <f>IF(OR(E13="",E14=""),"",E14/E13)</f>
        <v>1.0617229129662522</v>
      </c>
      <c r="F15" s="26">
        <f>IF(OR(F13="",F14=""),"",F14/F13)</f>
        <v>1.0602310231023102</v>
      </c>
      <c r="G15" s="26">
        <f>IF(OR(G13="",G14=""),"",G14/G13)</f>
        <v>1.0324232081911262</v>
      </c>
      <c r="H15" s="39"/>
      <c r="I15" s="39"/>
    </row>
    <row r="16" spans="1:13" ht="15" customHeight="1" x14ac:dyDescent="0.3">
      <c r="I16" s="39"/>
    </row>
    <row r="17" spans="1:9" ht="15" customHeight="1" x14ac:dyDescent="0.3">
      <c r="A17" s="8" t="s">
        <v>116</v>
      </c>
      <c r="I17" s="39"/>
    </row>
    <row r="18" spans="1:9" ht="15" customHeight="1" x14ac:dyDescent="0.3">
      <c r="B18" s="15" t="s">
        <v>100</v>
      </c>
      <c r="C18" s="31" t="s">
        <v>14</v>
      </c>
      <c r="D18" s="31" t="s">
        <v>18</v>
      </c>
      <c r="E18" s="31" t="s">
        <v>68</v>
      </c>
      <c r="F18" s="31" t="s">
        <v>70</v>
      </c>
      <c r="G18" s="31" t="s">
        <v>77</v>
      </c>
      <c r="I18" s="39"/>
    </row>
    <row r="19" spans="1:9" ht="15" customHeight="1" x14ac:dyDescent="0.3">
      <c r="B19" s="18" t="s">
        <v>114</v>
      </c>
      <c r="C19" s="32">
        <v>5</v>
      </c>
      <c r="D19" s="32">
        <v>10</v>
      </c>
      <c r="E19" s="32">
        <v>9</v>
      </c>
      <c r="F19" s="32">
        <v>11.2</v>
      </c>
      <c r="G19" s="32">
        <v>11.2</v>
      </c>
    </row>
    <row r="20" spans="1:9" ht="15" customHeight="1" x14ac:dyDescent="0.3">
      <c r="B20" s="18" t="s">
        <v>101</v>
      </c>
      <c r="C20" s="32" t="s">
        <v>14</v>
      </c>
      <c r="D20" s="32" t="s">
        <v>18</v>
      </c>
      <c r="E20" s="32" t="s">
        <v>68</v>
      </c>
      <c r="F20" s="32" t="s">
        <v>70</v>
      </c>
      <c r="G20" s="32" t="s">
        <v>77</v>
      </c>
    </row>
    <row r="21" spans="1:9" ht="15" customHeight="1" x14ac:dyDescent="0.3">
      <c r="A21" s="13"/>
      <c r="B21" s="33" t="s">
        <v>115</v>
      </c>
      <c r="C21" s="34"/>
      <c r="D21" s="34"/>
      <c r="E21" s="34"/>
      <c r="F21" s="34"/>
      <c r="G21" s="34"/>
    </row>
    <row r="22" spans="1:9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8"/>
      <c r="I22" s="8"/>
    </row>
    <row r="23" spans="1:9" ht="15" customHeight="1" x14ac:dyDescent="0.3">
      <c r="A23" s="132">
        <v>80</v>
      </c>
      <c r="B23" s="30" t="s">
        <v>102</v>
      </c>
      <c r="C23" s="37">
        <v>1.36</v>
      </c>
      <c r="D23" s="37">
        <v>1.36</v>
      </c>
      <c r="E23" s="37">
        <v>1.51</v>
      </c>
      <c r="F23" s="37">
        <v>1.62</v>
      </c>
      <c r="G23" s="37"/>
    </row>
    <row r="24" spans="1:9" ht="15" customHeight="1" x14ac:dyDescent="0.3">
      <c r="A24" s="132"/>
      <c r="B24" s="20" t="s">
        <v>103</v>
      </c>
      <c r="C24" s="32">
        <v>2.64</v>
      </c>
      <c r="D24" s="32">
        <v>2.64</v>
      </c>
      <c r="E24" s="32">
        <v>2.94</v>
      </c>
      <c r="F24" s="32">
        <v>3.15</v>
      </c>
      <c r="G24" s="32"/>
    </row>
    <row r="25" spans="1:9" ht="15" customHeight="1" x14ac:dyDescent="0.3">
      <c r="A25" s="132"/>
      <c r="B25" s="38" t="s">
        <v>104</v>
      </c>
      <c r="C25" s="26">
        <f>IF(OR(C23="",C24=""),"",C24/C23)</f>
        <v>1.9411764705882353</v>
      </c>
      <c r="D25" s="26">
        <f>IF(OR(D23="",D24=""),"",D24/D23)</f>
        <v>1.9411764705882353</v>
      </c>
      <c r="E25" s="26">
        <f>IF(OR(E23="",E24=""),"",E24/E23)</f>
        <v>1.9470198675496688</v>
      </c>
      <c r="F25" s="26">
        <f>IF(OR(F23="",F24=""),"",F24/F23)</f>
        <v>1.9444444444444442</v>
      </c>
      <c r="G25" s="26" t="str">
        <f>IF(OR(G23="",G24=""),"",G24/G23)</f>
        <v/>
      </c>
      <c r="H25" s="39"/>
      <c r="I25" s="39"/>
    </row>
    <row r="26" spans="1:9" ht="15" customHeight="1" x14ac:dyDescent="0.3">
      <c r="A26" s="132">
        <v>110</v>
      </c>
      <c r="B26" s="30" t="s">
        <v>102</v>
      </c>
      <c r="C26" s="37">
        <v>3.98</v>
      </c>
      <c r="D26" s="37">
        <v>3.97</v>
      </c>
      <c r="E26" s="37">
        <v>4.41</v>
      </c>
      <c r="F26" s="37">
        <v>4.75</v>
      </c>
      <c r="G26" s="37">
        <v>1.0900000000000001</v>
      </c>
    </row>
    <row r="27" spans="1:9" ht="15" customHeight="1" x14ac:dyDescent="0.3">
      <c r="A27" s="132"/>
      <c r="B27" s="20" t="s">
        <v>103</v>
      </c>
      <c r="C27" s="32">
        <v>6.82</v>
      </c>
      <c r="D27" s="32">
        <v>6.83</v>
      </c>
      <c r="E27" s="32">
        <v>7.59</v>
      </c>
      <c r="F27" s="32">
        <v>8.1300000000000008</v>
      </c>
      <c r="G27" s="32">
        <v>1.65</v>
      </c>
    </row>
    <row r="28" spans="1:9" ht="15" customHeight="1" x14ac:dyDescent="0.3">
      <c r="A28" s="132"/>
      <c r="B28" s="38" t="s">
        <v>104</v>
      </c>
      <c r="C28" s="26">
        <f>IF(OR(C26="",C27=""),"",C27/C26)</f>
        <v>1.7135678391959799</v>
      </c>
      <c r="D28" s="26">
        <f>IF(OR(D26="",D27=""),"",D27/D26)</f>
        <v>1.7204030226700251</v>
      </c>
      <c r="E28" s="26">
        <f>IF(OR(E26="",E27=""),"",E27/E26)</f>
        <v>1.7210884353741496</v>
      </c>
      <c r="F28" s="26">
        <f>IF(OR(F26="",F27=""),"",F27/F26)</f>
        <v>1.7115789473684213</v>
      </c>
      <c r="G28" s="26">
        <f>IF(OR(G26="",G27=""),"",G27/G26)</f>
        <v>1.5137614678899081</v>
      </c>
      <c r="H28" s="39"/>
      <c r="I28" s="39"/>
    </row>
    <row r="29" spans="1:9" ht="15" customHeight="1" x14ac:dyDescent="0.3">
      <c r="A29" s="132">
        <v>130</v>
      </c>
      <c r="B29" s="30" t="s">
        <v>102</v>
      </c>
      <c r="C29" s="37">
        <v>6.4</v>
      </c>
      <c r="D29" s="37">
        <v>6.39</v>
      </c>
      <c r="E29" s="37">
        <v>7.1</v>
      </c>
      <c r="F29" s="37">
        <v>7.63</v>
      </c>
      <c r="G29" s="37">
        <v>2.23</v>
      </c>
    </row>
    <row r="30" spans="1:9" ht="15.6" x14ac:dyDescent="0.3">
      <c r="A30" s="132"/>
      <c r="B30" s="20" t="s">
        <v>103</v>
      </c>
      <c r="C30" s="32">
        <v>10.57</v>
      </c>
      <c r="D30" s="32">
        <v>10.57</v>
      </c>
      <c r="E30" s="32">
        <v>11.74</v>
      </c>
      <c r="F30" s="32">
        <v>12.57</v>
      </c>
      <c r="G30" s="32">
        <v>3.32</v>
      </c>
    </row>
    <row r="31" spans="1:9" ht="15.6" x14ac:dyDescent="0.3">
      <c r="A31" s="132"/>
      <c r="B31" s="38" t="s">
        <v>104</v>
      </c>
      <c r="C31" s="26">
        <f>IF(OR(C29="",C30=""),"",C30/C29)</f>
        <v>1.6515625</v>
      </c>
      <c r="D31" s="26">
        <f>IF(OR(D29="",D30=""),"",D30/D29)</f>
        <v>1.6541471048513303</v>
      </c>
      <c r="E31" s="26">
        <f>IF(OR(E29="",E30=""),"",E30/E29)</f>
        <v>1.6535211267605634</v>
      </c>
      <c r="F31" s="26">
        <f>IF(OR(F29="",F30=""),"",F30/F29)</f>
        <v>1.6474442988204456</v>
      </c>
      <c r="G31" s="26">
        <f>IF(OR(G29="",G30=""),"",G30/G29)</f>
        <v>1.4887892376681613</v>
      </c>
      <c r="H31" s="39"/>
      <c r="I31" s="39"/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I3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9" ht="15" customHeight="1" x14ac:dyDescent="0.3">
      <c r="A1" s="8" t="s">
        <v>117</v>
      </c>
    </row>
    <row r="2" spans="1:9" ht="15" customHeight="1" x14ac:dyDescent="0.3">
      <c r="B2" s="15" t="s">
        <v>100</v>
      </c>
      <c r="C2" s="31" t="s">
        <v>29</v>
      </c>
      <c r="D2" s="31" t="s">
        <v>30</v>
      </c>
      <c r="E2" s="31" t="s">
        <v>31</v>
      </c>
      <c r="F2" s="31" t="s">
        <v>18</v>
      </c>
      <c r="G2" s="31" t="s">
        <v>20</v>
      </c>
      <c r="H2" s="31" t="s">
        <v>32</v>
      </c>
      <c r="I2" s="31" t="s">
        <v>23</v>
      </c>
    </row>
    <row r="3" spans="1:9" ht="15" customHeight="1" x14ac:dyDescent="0.3">
      <c r="B3" s="18" t="s">
        <v>114</v>
      </c>
      <c r="C3" s="32">
        <v>2.4</v>
      </c>
      <c r="D3" s="32">
        <v>7.2</v>
      </c>
      <c r="E3" s="32">
        <v>9.6</v>
      </c>
      <c r="F3" s="32">
        <v>10</v>
      </c>
      <c r="G3" s="32">
        <v>14.4</v>
      </c>
      <c r="H3" s="32">
        <v>16</v>
      </c>
      <c r="I3" s="32">
        <v>19.2</v>
      </c>
    </row>
    <row r="4" spans="1:9" ht="15" customHeight="1" x14ac:dyDescent="0.3">
      <c r="B4" s="18" t="s">
        <v>101</v>
      </c>
      <c r="C4" s="32" t="s">
        <v>29</v>
      </c>
      <c r="D4" s="32" t="s">
        <v>30</v>
      </c>
      <c r="E4" s="32" t="s">
        <v>31</v>
      </c>
      <c r="F4" s="32" t="s">
        <v>18</v>
      </c>
      <c r="G4" s="32" t="s">
        <v>20</v>
      </c>
      <c r="H4" s="32" t="s">
        <v>32</v>
      </c>
      <c r="I4" s="32" t="s">
        <v>23</v>
      </c>
    </row>
    <row r="5" spans="1:9" ht="15" customHeight="1" x14ac:dyDescent="0.3">
      <c r="A5" s="13"/>
      <c r="B5" s="33" t="s">
        <v>115</v>
      </c>
      <c r="C5" s="34"/>
      <c r="D5" s="34"/>
      <c r="E5" s="34"/>
      <c r="F5" s="34"/>
      <c r="G5" s="34"/>
      <c r="H5" s="34"/>
      <c r="I5" s="34"/>
    </row>
    <row r="6" spans="1:9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</row>
    <row r="7" spans="1:9" ht="15" customHeight="1" x14ac:dyDescent="0.3">
      <c r="A7" s="132">
        <v>80</v>
      </c>
      <c r="B7" s="30" t="s">
        <v>102</v>
      </c>
      <c r="C7" s="37">
        <v>7.6</v>
      </c>
      <c r="D7" s="37">
        <v>7.7</v>
      </c>
      <c r="E7" s="37">
        <v>6.64</v>
      </c>
      <c r="F7" s="37">
        <v>5.55</v>
      </c>
      <c r="G7" s="37">
        <v>6.04</v>
      </c>
      <c r="H7" s="37">
        <v>5.43</v>
      </c>
      <c r="I7" s="37">
        <v>6.13</v>
      </c>
    </row>
    <row r="8" spans="1:9" ht="15" customHeight="1" x14ac:dyDescent="0.3">
      <c r="A8" s="132"/>
      <c r="B8" s="20" t="s">
        <v>103</v>
      </c>
      <c r="C8" s="32">
        <v>8.1199999999999992</v>
      </c>
      <c r="D8" s="32">
        <v>8.1999999999999993</v>
      </c>
      <c r="E8" s="32">
        <v>7.19</v>
      </c>
      <c r="F8" s="32">
        <v>5.9</v>
      </c>
      <c r="G8" s="32">
        <v>6.45</v>
      </c>
      <c r="H8" s="32">
        <v>5.81</v>
      </c>
      <c r="I8" s="32">
        <v>6.56</v>
      </c>
    </row>
    <row r="9" spans="1:9" ht="15" customHeight="1" x14ac:dyDescent="0.3">
      <c r="A9" s="132"/>
      <c r="B9" s="38" t="s">
        <v>104</v>
      </c>
      <c r="C9" s="26">
        <f t="shared" ref="C9:I9" si="0">IF(OR(C7="",C8=""),"",C8/C7)</f>
        <v>1.0684210526315789</v>
      </c>
      <c r="D9" s="26">
        <f t="shared" si="0"/>
        <v>1.0649350649350648</v>
      </c>
      <c r="E9" s="26">
        <f t="shared" si="0"/>
        <v>1.082831325301205</v>
      </c>
      <c r="F9" s="26">
        <f t="shared" si="0"/>
        <v>1.0630630630630631</v>
      </c>
      <c r="G9" s="26">
        <f t="shared" si="0"/>
        <v>1.0678807947019868</v>
      </c>
      <c r="H9" s="26">
        <f t="shared" si="0"/>
        <v>1.0699815837937385</v>
      </c>
      <c r="I9" s="26">
        <f t="shared" si="0"/>
        <v>1.0701468189233279</v>
      </c>
    </row>
    <row r="10" spans="1:9" ht="15" customHeight="1" x14ac:dyDescent="0.3">
      <c r="A10" s="132">
        <v>110</v>
      </c>
      <c r="B10" s="30" t="s">
        <v>102</v>
      </c>
      <c r="C10" s="37">
        <v>18</v>
      </c>
      <c r="D10" s="37">
        <v>17.63</v>
      </c>
      <c r="E10" s="37">
        <v>15.57</v>
      </c>
      <c r="F10" s="37">
        <v>12.69</v>
      </c>
      <c r="G10" s="37">
        <v>13.88</v>
      </c>
      <c r="H10" s="37">
        <v>12.49</v>
      </c>
      <c r="I10" s="37">
        <v>14.14</v>
      </c>
    </row>
    <row r="11" spans="1:9" ht="15" customHeight="1" x14ac:dyDescent="0.3">
      <c r="A11" s="132"/>
      <c r="B11" s="20" t="s">
        <v>103</v>
      </c>
      <c r="C11" s="32">
        <v>18.649999999999999</v>
      </c>
      <c r="D11" s="32">
        <v>18.309999999999999</v>
      </c>
      <c r="E11" s="32">
        <v>16.18</v>
      </c>
      <c r="F11" s="32">
        <v>13.18</v>
      </c>
      <c r="G11" s="32">
        <v>14.43</v>
      </c>
      <c r="H11" s="32">
        <v>12.99</v>
      </c>
      <c r="I11" s="32">
        <v>14.7</v>
      </c>
    </row>
    <row r="12" spans="1:9" ht="15" customHeight="1" x14ac:dyDescent="0.3">
      <c r="A12" s="132"/>
      <c r="B12" s="38" t="s">
        <v>104</v>
      </c>
      <c r="C12" s="26">
        <f t="shared" ref="C12:I12" si="1">IF(OR(C10="",C11=""),"",C11/C10)</f>
        <v>1.036111111111111</v>
      </c>
      <c r="D12" s="26">
        <f t="shared" si="1"/>
        <v>1.0385706182643222</v>
      </c>
      <c r="E12" s="26">
        <f t="shared" si="1"/>
        <v>1.0391779062299293</v>
      </c>
      <c r="F12" s="26">
        <f t="shared" si="1"/>
        <v>1.0386130811662726</v>
      </c>
      <c r="G12" s="26">
        <f t="shared" si="1"/>
        <v>1.0396253602305474</v>
      </c>
      <c r="H12" s="26">
        <f t="shared" si="1"/>
        <v>1.0400320256204965</v>
      </c>
      <c r="I12" s="26">
        <f t="shared" si="1"/>
        <v>1.0396039603960394</v>
      </c>
    </row>
    <row r="13" spans="1:9" ht="15" customHeight="1" x14ac:dyDescent="0.3">
      <c r="A13" s="132">
        <v>130</v>
      </c>
      <c r="B13" s="30" t="s">
        <v>102</v>
      </c>
      <c r="C13" s="37">
        <v>25.78</v>
      </c>
      <c r="D13" s="37">
        <v>25.93</v>
      </c>
      <c r="E13" s="37">
        <v>22.91</v>
      </c>
      <c r="F13" s="37">
        <v>18.670000000000002</v>
      </c>
      <c r="G13" s="37">
        <v>20.420000000000002</v>
      </c>
      <c r="H13" s="37">
        <v>18.38</v>
      </c>
      <c r="I13" s="37">
        <v>20.81</v>
      </c>
    </row>
    <row r="14" spans="1:9" ht="15" customHeight="1" x14ac:dyDescent="0.3">
      <c r="A14" s="132"/>
      <c r="B14" s="20" t="s">
        <v>103</v>
      </c>
      <c r="C14" s="32">
        <v>26.52</v>
      </c>
      <c r="D14" s="32">
        <v>26.72</v>
      </c>
      <c r="E14" s="32">
        <v>23.62</v>
      </c>
      <c r="F14" s="32">
        <v>19.239999999999998</v>
      </c>
      <c r="G14" s="32">
        <v>21.05</v>
      </c>
      <c r="H14" s="32">
        <v>18.940000000000001</v>
      </c>
      <c r="I14" s="32">
        <v>21.45</v>
      </c>
    </row>
    <row r="15" spans="1:9" ht="15" customHeight="1" x14ac:dyDescent="0.3">
      <c r="A15" s="132"/>
      <c r="B15" s="38" t="s">
        <v>104</v>
      </c>
      <c r="C15" s="26">
        <f t="shared" ref="C15:I15" si="2">IF(OR(C13="",C14=""),"",C14/C13)</f>
        <v>1.0287044220325834</v>
      </c>
      <c r="D15" s="26">
        <f t="shared" si="2"/>
        <v>1.0304666409564212</v>
      </c>
      <c r="E15" s="26">
        <f t="shared" si="2"/>
        <v>1.0309908336970754</v>
      </c>
      <c r="F15" s="26">
        <f t="shared" si="2"/>
        <v>1.0305302624531332</v>
      </c>
      <c r="G15" s="26">
        <f t="shared" si="2"/>
        <v>1.0308521057786484</v>
      </c>
      <c r="H15" s="26">
        <f t="shared" si="2"/>
        <v>1.0304678998911863</v>
      </c>
      <c r="I15" s="26">
        <f t="shared" si="2"/>
        <v>1.0307544449783759</v>
      </c>
    </row>
    <row r="17" spans="1:9" ht="15" customHeight="1" x14ac:dyDescent="0.3">
      <c r="A17" s="8" t="s">
        <v>116</v>
      </c>
    </row>
    <row r="18" spans="1:9" ht="15" customHeight="1" x14ac:dyDescent="0.3">
      <c r="B18" s="15" t="s">
        <v>100</v>
      </c>
      <c r="C18" s="31" t="s">
        <v>29</v>
      </c>
      <c r="D18" s="31" t="s">
        <v>30</v>
      </c>
      <c r="E18" s="31" t="s">
        <v>31</v>
      </c>
      <c r="F18" s="31" t="s">
        <v>18</v>
      </c>
      <c r="G18" s="31" t="s">
        <v>20</v>
      </c>
      <c r="H18" s="31" t="s">
        <v>32</v>
      </c>
      <c r="I18" s="31" t="s">
        <v>23</v>
      </c>
    </row>
    <row r="19" spans="1:9" ht="15" customHeight="1" x14ac:dyDescent="0.3">
      <c r="B19" s="18" t="s">
        <v>114</v>
      </c>
      <c r="C19" s="32">
        <v>2.4</v>
      </c>
      <c r="D19" s="32">
        <v>7.2</v>
      </c>
      <c r="E19" s="32">
        <v>9.6</v>
      </c>
      <c r="F19" s="32">
        <v>10</v>
      </c>
      <c r="G19" s="32">
        <v>14.4</v>
      </c>
      <c r="H19" s="32">
        <v>16</v>
      </c>
      <c r="I19" s="32">
        <v>19.2</v>
      </c>
    </row>
    <row r="20" spans="1:9" ht="15" customHeight="1" x14ac:dyDescent="0.3">
      <c r="B20" s="18" t="s">
        <v>101</v>
      </c>
      <c r="C20" s="32" t="s">
        <v>29</v>
      </c>
      <c r="D20" s="32" t="s">
        <v>30</v>
      </c>
      <c r="E20" s="32" t="s">
        <v>31</v>
      </c>
      <c r="F20" s="32" t="s">
        <v>18</v>
      </c>
      <c r="G20" s="32" t="s">
        <v>20</v>
      </c>
      <c r="H20" s="32" t="s">
        <v>32</v>
      </c>
      <c r="I20" s="32" t="s">
        <v>23</v>
      </c>
    </row>
    <row r="21" spans="1:9" ht="15" customHeight="1" x14ac:dyDescent="0.3">
      <c r="A21" s="13"/>
      <c r="B21" s="33" t="s">
        <v>115</v>
      </c>
      <c r="C21" s="34"/>
      <c r="D21" s="34"/>
      <c r="E21" s="34"/>
      <c r="F21" s="34"/>
      <c r="G21" s="34"/>
      <c r="H21" s="34"/>
      <c r="I21" s="34"/>
    </row>
    <row r="22" spans="1:9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36"/>
      <c r="I22" s="36"/>
    </row>
    <row r="23" spans="1:9" ht="15" customHeight="1" x14ac:dyDescent="0.3">
      <c r="A23" s="132">
        <v>80</v>
      </c>
      <c r="B23" s="30" t="s">
        <v>102</v>
      </c>
      <c r="C23" s="37">
        <v>1.88</v>
      </c>
      <c r="D23" s="37">
        <v>1.9</v>
      </c>
      <c r="E23" s="37">
        <v>1.68</v>
      </c>
      <c r="F23" s="37">
        <v>1.37</v>
      </c>
      <c r="G23" s="37">
        <v>1.5</v>
      </c>
      <c r="H23" s="37">
        <v>1.35</v>
      </c>
      <c r="I23" s="37">
        <v>1.52</v>
      </c>
    </row>
    <row r="24" spans="1:9" ht="15" customHeight="1" x14ac:dyDescent="0.3">
      <c r="A24" s="132"/>
      <c r="B24" s="20" t="s">
        <v>103</v>
      </c>
      <c r="C24" s="32">
        <v>3.49</v>
      </c>
      <c r="D24" s="32">
        <v>3.54</v>
      </c>
      <c r="E24" s="32">
        <v>3.12</v>
      </c>
      <c r="F24" s="32">
        <v>2.5499999999999998</v>
      </c>
      <c r="G24" s="32">
        <v>2.78</v>
      </c>
      <c r="H24" s="32">
        <v>2.5</v>
      </c>
      <c r="I24" s="32">
        <v>2.9</v>
      </c>
    </row>
    <row r="25" spans="1:9" ht="15" customHeight="1" x14ac:dyDescent="0.3">
      <c r="A25" s="132"/>
      <c r="B25" s="38" t="s">
        <v>104</v>
      </c>
      <c r="C25" s="26">
        <f t="shared" ref="C25:I25" si="3">IF(OR(C23="",C24=""),"",C24/C23)</f>
        <v>1.8563829787234045</v>
      </c>
      <c r="D25" s="26">
        <f t="shared" si="3"/>
        <v>1.8631578947368421</v>
      </c>
      <c r="E25" s="26">
        <f t="shared" si="3"/>
        <v>1.8571428571428572</v>
      </c>
      <c r="F25" s="26">
        <f t="shared" si="3"/>
        <v>1.8613138686131385</v>
      </c>
      <c r="G25" s="26">
        <f t="shared" si="3"/>
        <v>1.8533333333333333</v>
      </c>
      <c r="H25" s="26">
        <f t="shared" si="3"/>
        <v>1.8518518518518516</v>
      </c>
      <c r="I25" s="26">
        <f t="shared" si="3"/>
        <v>1.9078947368421051</v>
      </c>
    </row>
    <row r="26" spans="1:9" ht="15" customHeight="1" x14ac:dyDescent="0.3">
      <c r="A26" s="132">
        <v>110</v>
      </c>
      <c r="B26" s="30" t="s">
        <v>102</v>
      </c>
      <c r="C26" s="37">
        <v>5.24</v>
      </c>
      <c r="D26" s="37">
        <v>5.12</v>
      </c>
      <c r="E26" s="37">
        <v>4.5199999999999996</v>
      </c>
      <c r="F26" s="37">
        <v>3.68</v>
      </c>
      <c r="G26" s="37">
        <v>4.05</v>
      </c>
      <c r="H26" s="37">
        <v>3.64</v>
      </c>
      <c r="I26" s="37">
        <v>4.12</v>
      </c>
    </row>
    <row r="27" spans="1:9" ht="15" customHeight="1" x14ac:dyDescent="0.3">
      <c r="A27" s="132"/>
      <c r="B27" s="20" t="s">
        <v>103</v>
      </c>
      <c r="C27" s="32">
        <v>8.6300000000000008</v>
      </c>
      <c r="D27" s="32">
        <v>8.5</v>
      </c>
      <c r="E27" s="32">
        <v>7.51</v>
      </c>
      <c r="F27" s="32">
        <v>6.12</v>
      </c>
      <c r="G27" s="32">
        <v>6.69</v>
      </c>
      <c r="H27" s="32">
        <v>6.02</v>
      </c>
      <c r="I27" s="32">
        <v>6.82</v>
      </c>
    </row>
    <row r="28" spans="1:9" ht="15" customHeight="1" x14ac:dyDescent="0.3">
      <c r="A28" s="132"/>
      <c r="B28" s="38" t="s">
        <v>104</v>
      </c>
      <c r="C28" s="26">
        <f t="shared" ref="C28:I28" si="4">IF(OR(C26="",C27=""),"",C27/C26)</f>
        <v>1.6469465648854962</v>
      </c>
      <c r="D28" s="26">
        <f t="shared" si="4"/>
        <v>1.66015625</v>
      </c>
      <c r="E28" s="26">
        <f t="shared" si="4"/>
        <v>1.6615044247787611</v>
      </c>
      <c r="F28" s="26">
        <f t="shared" si="4"/>
        <v>1.6630434782608696</v>
      </c>
      <c r="G28" s="26">
        <f t="shared" si="4"/>
        <v>1.6518518518518521</v>
      </c>
      <c r="H28" s="26">
        <f t="shared" si="4"/>
        <v>1.6538461538461537</v>
      </c>
      <c r="I28" s="26">
        <f t="shared" si="4"/>
        <v>1.6553398058252426</v>
      </c>
    </row>
    <row r="29" spans="1:9" ht="15" customHeight="1" x14ac:dyDescent="0.3">
      <c r="A29" s="132">
        <v>130</v>
      </c>
      <c r="B29" s="30" t="s">
        <v>102</v>
      </c>
      <c r="C29" s="37">
        <v>7.95</v>
      </c>
      <c r="D29" s="37">
        <v>8.02</v>
      </c>
      <c r="E29" s="37">
        <v>7.09</v>
      </c>
      <c r="F29" s="37">
        <v>5.78</v>
      </c>
      <c r="G29" s="37">
        <v>6.31</v>
      </c>
      <c r="H29" s="37">
        <v>5.68</v>
      </c>
      <c r="I29" s="37">
        <v>6.41</v>
      </c>
    </row>
    <row r="30" spans="1:9" ht="15.6" x14ac:dyDescent="0.3">
      <c r="A30" s="132"/>
      <c r="B30" s="20" t="s">
        <v>103</v>
      </c>
      <c r="C30" s="32">
        <v>12.63</v>
      </c>
      <c r="D30" s="32">
        <v>12.79</v>
      </c>
      <c r="E30" s="32">
        <v>11.29</v>
      </c>
      <c r="F30" s="32">
        <v>9.2100000000000009</v>
      </c>
      <c r="G30" s="32">
        <v>10.039999999999999</v>
      </c>
      <c r="H30" s="32">
        <v>9.0399999999999991</v>
      </c>
      <c r="I30" s="32">
        <v>10.210000000000001</v>
      </c>
    </row>
    <row r="31" spans="1:9" ht="15.6" x14ac:dyDescent="0.3">
      <c r="A31" s="132"/>
      <c r="B31" s="38" t="s">
        <v>104</v>
      </c>
      <c r="C31" s="26">
        <f t="shared" ref="C31:I31" si="5">IF(OR(C29="",C30=""),"",C30/C29)</f>
        <v>1.588679245283019</v>
      </c>
      <c r="D31" s="26">
        <f t="shared" si="5"/>
        <v>1.5947630922693266</v>
      </c>
      <c r="E31" s="26">
        <f t="shared" si="5"/>
        <v>1.5923836389280677</v>
      </c>
      <c r="F31" s="26">
        <f t="shared" si="5"/>
        <v>1.5934256055363323</v>
      </c>
      <c r="G31" s="26">
        <f t="shared" si="5"/>
        <v>1.5911251980982566</v>
      </c>
      <c r="H31" s="26">
        <f t="shared" si="5"/>
        <v>1.5915492957746478</v>
      </c>
      <c r="I31" s="26">
        <f t="shared" si="5"/>
        <v>1.5928237129485181</v>
      </c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N87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22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19.2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32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32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32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32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32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32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32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32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32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32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32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32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32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32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32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32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32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32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32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32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32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32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32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32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32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32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32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32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32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32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32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32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32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32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32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32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32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32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32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32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32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32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32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32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32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32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32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32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32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32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32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32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32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32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32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32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32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32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32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32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:A9"/>
    <mergeCell ref="A10:A12"/>
    <mergeCell ref="A13:A15"/>
    <mergeCell ref="A16:A18"/>
    <mergeCell ref="A19:A21"/>
    <mergeCell ref="A29:A31"/>
    <mergeCell ref="A32:A34"/>
    <mergeCell ref="A35:A37"/>
    <mergeCell ref="A38:A40"/>
    <mergeCell ref="A41:A43"/>
    <mergeCell ref="A51:A53"/>
    <mergeCell ref="A54:A56"/>
    <mergeCell ref="A57:A59"/>
    <mergeCell ref="A60:A62"/>
    <mergeCell ref="A63:A65"/>
    <mergeCell ref="A73:A75"/>
    <mergeCell ref="A76:A78"/>
    <mergeCell ref="A79:A81"/>
    <mergeCell ref="A82:A84"/>
    <mergeCell ref="A85:A87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J235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5" t="s">
        <v>100</v>
      </c>
      <c r="C2" s="4" t="s">
        <v>26</v>
      </c>
      <c r="D2" s="16" t="s">
        <v>14</v>
      </c>
      <c r="E2" s="4" t="s">
        <v>18</v>
      </c>
      <c r="F2" s="16" t="s">
        <v>68</v>
      </c>
      <c r="G2" s="4" t="s">
        <v>27</v>
      </c>
      <c r="H2" s="16" t="s">
        <v>22</v>
      </c>
      <c r="I2" s="4" t="s">
        <v>22</v>
      </c>
      <c r="J2" s="17" t="s">
        <v>40</v>
      </c>
    </row>
    <row r="3" spans="1:10" ht="15" customHeight="1" x14ac:dyDescent="0.3">
      <c r="B3" s="41" t="s">
        <v>101</v>
      </c>
      <c r="C3" s="42" t="s">
        <v>26</v>
      </c>
      <c r="D3" s="43" t="s">
        <v>14</v>
      </c>
      <c r="E3" s="42" t="s">
        <v>18</v>
      </c>
      <c r="F3" s="43" t="s">
        <v>68</v>
      </c>
      <c r="G3" s="42" t="s">
        <v>27</v>
      </c>
      <c r="H3" s="43" t="s">
        <v>21</v>
      </c>
      <c r="I3" s="42" t="s">
        <v>22</v>
      </c>
      <c r="J3" s="44" t="s">
        <v>22</v>
      </c>
    </row>
    <row r="4" spans="1:10" ht="15" customHeight="1" x14ac:dyDescent="0.3">
      <c r="A4" s="7" t="s">
        <v>6</v>
      </c>
      <c r="B4" s="21"/>
      <c r="C4" s="22"/>
      <c r="D4" s="23"/>
      <c r="E4" s="22"/>
      <c r="F4" s="23"/>
      <c r="G4" s="22"/>
      <c r="H4" s="23"/>
      <c r="I4" s="22"/>
      <c r="J4" s="24"/>
    </row>
    <row r="5" spans="1:10" ht="15" customHeight="1" x14ac:dyDescent="0.3">
      <c r="A5" s="130">
        <v>70</v>
      </c>
      <c r="B5" s="2" t="s">
        <v>102</v>
      </c>
      <c r="C5" s="2"/>
      <c r="D5" s="19"/>
      <c r="E5" s="2">
        <v>3.16</v>
      </c>
      <c r="F5" s="19"/>
      <c r="G5" s="2"/>
      <c r="H5" s="19">
        <v>4.47</v>
      </c>
      <c r="I5" s="2">
        <v>3.93</v>
      </c>
      <c r="J5" s="20">
        <v>3.91</v>
      </c>
    </row>
    <row r="6" spans="1:10" ht="15" customHeight="1" x14ac:dyDescent="0.3">
      <c r="A6" s="130"/>
      <c r="B6" s="2" t="s">
        <v>103</v>
      </c>
      <c r="C6" s="2"/>
      <c r="D6" s="19"/>
      <c r="E6" s="2">
        <v>3.4</v>
      </c>
      <c r="F6" s="19"/>
      <c r="G6" s="2"/>
      <c r="H6" s="19">
        <v>4.8</v>
      </c>
      <c r="I6" s="2">
        <v>4.24</v>
      </c>
      <c r="J6" s="20">
        <v>4.21</v>
      </c>
    </row>
    <row r="7" spans="1:10" ht="15" customHeight="1" x14ac:dyDescent="0.3">
      <c r="A7" s="130"/>
      <c r="B7" s="25" t="s">
        <v>104</v>
      </c>
      <c r="C7" s="26" t="str">
        <f t="shared" ref="C7:J7" si="0">IF(OR(C5="",C6=""),"",C6/C5)</f>
        <v/>
      </c>
      <c r="D7" s="27" t="str">
        <f t="shared" si="0"/>
        <v/>
      </c>
      <c r="E7" s="26">
        <f t="shared" si="0"/>
        <v>1.0759493670886076</v>
      </c>
      <c r="F7" s="27" t="str">
        <f t="shared" si="0"/>
        <v/>
      </c>
      <c r="G7" s="26" t="str">
        <f t="shared" si="0"/>
        <v/>
      </c>
      <c r="H7" s="27">
        <f t="shared" si="0"/>
        <v>1.0738255033557047</v>
      </c>
      <c r="I7" s="26">
        <f t="shared" si="0"/>
        <v>1.078880407124682</v>
      </c>
      <c r="J7" s="28">
        <f t="shared" si="0"/>
        <v>1.0767263427109974</v>
      </c>
    </row>
    <row r="8" spans="1:10" ht="15" customHeight="1" x14ac:dyDescent="0.3">
      <c r="A8" s="130">
        <v>80</v>
      </c>
      <c r="B8" s="6" t="s">
        <v>102</v>
      </c>
      <c r="C8" s="6"/>
      <c r="D8" s="29"/>
      <c r="E8" s="6">
        <v>4.87</v>
      </c>
      <c r="F8" s="29"/>
      <c r="G8" s="6"/>
      <c r="H8" s="29">
        <v>6.88</v>
      </c>
      <c r="I8" s="6">
        <v>6.05</v>
      </c>
      <c r="J8" s="30">
        <v>6.02</v>
      </c>
    </row>
    <row r="9" spans="1:10" ht="15" customHeight="1" x14ac:dyDescent="0.3">
      <c r="A9" s="130"/>
      <c r="B9" s="2" t="s">
        <v>103</v>
      </c>
      <c r="C9" s="2"/>
      <c r="D9" s="19"/>
      <c r="E9" s="2">
        <v>5.14</v>
      </c>
      <c r="F9" s="19"/>
      <c r="G9" s="2"/>
      <c r="H9" s="19">
        <v>7.25</v>
      </c>
      <c r="I9" s="2">
        <v>6.42</v>
      </c>
      <c r="J9" s="20">
        <v>6.37</v>
      </c>
    </row>
    <row r="10" spans="1:10" ht="15" customHeight="1" x14ac:dyDescent="0.3">
      <c r="A10" s="130"/>
      <c r="B10" s="25" t="s">
        <v>104</v>
      </c>
      <c r="C10" s="26" t="str">
        <f t="shared" ref="C10:J10" si="1">IF(OR(C8="",C9=""),"",C9/C8)</f>
        <v/>
      </c>
      <c r="D10" s="27" t="str">
        <f t="shared" si="1"/>
        <v/>
      </c>
      <c r="E10" s="26">
        <f t="shared" si="1"/>
        <v>1.055441478439425</v>
      </c>
      <c r="F10" s="27" t="str">
        <f t="shared" si="1"/>
        <v/>
      </c>
      <c r="G10" s="26" t="str">
        <f t="shared" si="1"/>
        <v/>
      </c>
      <c r="H10" s="27">
        <f t="shared" si="1"/>
        <v>1.0537790697674418</v>
      </c>
      <c r="I10" s="26">
        <f t="shared" si="1"/>
        <v>1.0611570247933884</v>
      </c>
      <c r="J10" s="28">
        <f t="shared" si="1"/>
        <v>1.058139534883721</v>
      </c>
    </row>
    <row r="11" spans="1:10" ht="15" customHeight="1" x14ac:dyDescent="0.3">
      <c r="A11" s="130">
        <v>90</v>
      </c>
      <c r="B11" s="6" t="s">
        <v>102</v>
      </c>
      <c r="C11" s="6"/>
      <c r="D11" s="29"/>
      <c r="E11" s="6">
        <v>6.88</v>
      </c>
      <c r="F11" s="29"/>
      <c r="G11" s="6"/>
      <c r="H11" s="29">
        <v>9.73</v>
      </c>
      <c r="I11" s="6">
        <v>8.56</v>
      </c>
      <c r="J11" s="30">
        <v>8.52</v>
      </c>
    </row>
    <row r="12" spans="1:10" ht="15" customHeight="1" x14ac:dyDescent="0.3">
      <c r="A12" s="130"/>
      <c r="B12" s="2" t="s">
        <v>103</v>
      </c>
      <c r="C12" s="2"/>
      <c r="D12" s="19"/>
      <c r="E12" s="2">
        <v>7.19</v>
      </c>
      <c r="F12" s="19"/>
      <c r="G12" s="2"/>
      <c r="H12" s="19">
        <v>10.15</v>
      </c>
      <c r="I12" s="2">
        <v>8.9700000000000006</v>
      </c>
      <c r="J12" s="20">
        <v>8.9</v>
      </c>
    </row>
    <row r="13" spans="1:10" ht="15" customHeight="1" x14ac:dyDescent="0.3">
      <c r="A13" s="130"/>
      <c r="B13" s="25" t="s">
        <v>104</v>
      </c>
      <c r="C13" s="26" t="str">
        <f t="shared" ref="C13:J13" si="2">IF(OR(C11="",C12=""),"",C12/C11)</f>
        <v/>
      </c>
      <c r="D13" s="27" t="str">
        <f t="shared" si="2"/>
        <v/>
      </c>
      <c r="E13" s="26">
        <f t="shared" si="2"/>
        <v>1.0450581395348837</v>
      </c>
      <c r="F13" s="27" t="str">
        <f t="shared" si="2"/>
        <v/>
      </c>
      <c r="G13" s="26" t="str">
        <f t="shared" si="2"/>
        <v/>
      </c>
      <c r="H13" s="27">
        <f t="shared" si="2"/>
        <v>1.0431654676258992</v>
      </c>
      <c r="I13" s="26">
        <f t="shared" si="2"/>
        <v>1.0478971962616823</v>
      </c>
      <c r="J13" s="28">
        <f t="shared" si="2"/>
        <v>1.0446009389671362</v>
      </c>
    </row>
    <row r="14" spans="1:10" ht="15" customHeight="1" x14ac:dyDescent="0.3">
      <c r="A14" s="130">
        <v>100</v>
      </c>
      <c r="B14" s="6" t="s">
        <v>102</v>
      </c>
      <c r="C14" s="6"/>
      <c r="D14" s="29"/>
      <c r="E14" s="6">
        <v>9.15</v>
      </c>
      <c r="F14" s="29"/>
      <c r="G14" s="6"/>
      <c r="H14" s="29">
        <v>12.95</v>
      </c>
      <c r="I14" s="6">
        <v>11.38</v>
      </c>
      <c r="J14" s="30">
        <v>11.33</v>
      </c>
    </row>
    <row r="15" spans="1:10" ht="15" customHeight="1" x14ac:dyDescent="0.3">
      <c r="A15" s="130"/>
      <c r="B15" s="2" t="s">
        <v>103</v>
      </c>
      <c r="C15" s="2"/>
      <c r="D15" s="19"/>
      <c r="E15" s="2">
        <v>9.49</v>
      </c>
      <c r="F15" s="19"/>
      <c r="G15" s="2"/>
      <c r="H15" s="19">
        <v>13.39</v>
      </c>
      <c r="I15" s="2">
        <v>11.84</v>
      </c>
      <c r="J15" s="19">
        <v>11.75</v>
      </c>
    </row>
    <row r="16" spans="1:10" ht="15" customHeight="1" x14ac:dyDescent="0.3">
      <c r="A16" s="130"/>
      <c r="B16" s="25" t="s">
        <v>104</v>
      </c>
      <c r="C16" s="26" t="str">
        <f t="shared" ref="C16:J16" si="3">IF(OR(C14="",C15=""),"",C15/C14)</f>
        <v/>
      </c>
      <c r="D16" s="27" t="str">
        <f t="shared" si="3"/>
        <v/>
      </c>
      <c r="E16" s="26">
        <f t="shared" si="3"/>
        <v>1.0371584699453551</v>
      </c>
      <c r="F16" s="27" t="str">
        <f t="shared" si="3"/>
        <v/>
      </c>
      <c r="G16" s="26" t="str">
        <f t="shared" si="3"/>
        <v/>
      </c>
      <c r="H16" s="27">
        <f t="shared" si="3"/>
        <v>1.033976833976834</v>
      </c>
      <c r="I16" s="26">
        <f t="shared" si="3"/>
        <v>1.040421792618629</v>
      </c>
      <c r="J16" s="28">
        <f t="shared" si="3"/>
        <v>1.0370697263901147</v>
      </c>
    </row>
    <row r="17" spans="1:10" ht="15" customHeight="1" x14ac:dyDescent="0.3">
      <c r="A17" s="130">
        <v>110</v>
      </c>
      <c r="B17" s="6" t="s">
        <v>102</v>
      </c>
      <c r="C17" s="6"/>
      <c r="D17" s="29"/>
      <c r="E17" s="6">
        <v>11.63</v>
      </c>
      <c r="F17" s="29"/>
      <c r="G17" s="6"/>
      <c r="H17" s="29">
        <v>16.45</v>
      </c>
      <c r="I17" s="6">
        <v>14.46</v>
      </c>
      <c r="J17" s="30">
        <v>14.4</v>
      </c>
    </row>
    <row r="18" spans="1:10" ht="15" customHeight="1" x14ac:dyDescent="0.3">
      <c r="A18" s="130"/>
      <c r="B18" s="2" t="s">
        <v>103</v>
      </c>
      <c r="C18" s="2"/>
      <c r="D18" s="19"/>
      <c r="E18" s="2">
        <v>12.01</v>
      </c>
      <c r="F18" s="19"/>
      <c r="G18" s="2"/>
      <c r="H18" s="19">
        <v>16.940000000000001</v>
      </c>
      <c r="I18" s="2">
        <v>14.98</v>
      </c>
      <c r="J18" s="20">
        <v>14.86</v>
      </c>
    </row>
    <row r="19" spans="1:10" ht="15" customHeight="1" x14ac:dyDescent="0.3">
      <c r="A19" s="130"/>
      <c r="B19" s="25" t="s">
        <v>104</v>
      </c>
      <c r="C19" s="26" t="str">
        <f t="shared" ref="C19:J19" si="4">IF(OR(C17="",C18=""),"",C18/C17)</f>
        <v/>
      </c>
      <c r="D19" s="27" t="str">
        <f t="shared" si="4"/>
        <v/>
      </c>
      <c r="E19" s="26">
        <f t="shared" si="4"/>
        <v>1.0326741186586414</v>
      </c>
      <c r="F19" s="27" t="str">
        <f t="shared" si="4"/>
        <v/>
      </c>
      <c r="G19" s="26" t="str">
        <f t="shared" si="4"/>
        <v/>
      </c>
      <c r="H19" s="27">
        <f t="shared" si="4"/>
        <v>1.0297872340425533</v>
      </c>
      <c r="I19" s="26">
        <f t="shared" si="4"/>
        <v>1.0359612724757952</v>
      </c>
      <c r="J19" s="28">
        <f t="shared" si="4"/>
        <v>1.0319444444444443</v>
      </c>
    </row>
    <row r="20" spans="1:10" ht="15" customHeight="1" x14ac:dyDescent="0.3">
      <c r="A20" s="130">
        <v>120</v>
      </c>
      <c r="B20" s="6" t="s">
        <v>102</v>
      </c>
      <c r="C20" s="6"/>
      <c r="D20" s="29"/>
      <c r="E20" s="6">
        <v>14.33</v>
      </c>
      <c r="F20" s="29"/>
      <c r="G20" s="6"/>
      <c r="H20" s="29">
        <v>20.260000000000002</v>
      </c>
      <c r="I20" s="6">
        <v>17.809999999999999</v>
      </c>
      <c r="J20" s="30">
        <v>17.73</v>
      </c>
    </row>
    <row r="21" spans="1:10" ht="15" customHeight="1" x14ac:dyDescent="0.3">
      <c r="A21" s="130"/>
      <c r="B21" s="2" t="s">
        <v>103</v>
      </c>
      <c r="C21" s="2"/>
      <c r="D21" s="19"/>
      <c r="E21" s="2">
        <v>14.71</v>
      </c>
      <c r="F21" s="19"/>
      <c r="G21" s="2"/>
      <c r="H21" s="19">
        <v>20.75</v>
      </c>
      <c r="I21" s="2">
        <v>18.36</v>
      </c>
      <c r="J21" s="20">
        <v>18.21</v>
      </c>
    </row>
    <row r="22" spans="1:10" ht="15" customHeight="1" x14ac:dyDescent="0.3">
      <c r="A22" s="130"/>
      <c r="B22" s="25" t="s">
        <v>104</v>
      </c>
      <c r="C22" s="26" t="str">
        <f t="shared" ref="C22:J22" si="5">IF(OR(C20="",C21=""),"",C21/C20)</f>
        <v/>
      </c>
      <c r="D22" s="27" t="str">
        <f t="shared" si="5"/>
        <v/>
      </c>
      <c r="E22" s="26">
        <f t="shared" si="5"/>
        <v>1.0265177948360085</v>
      </c>
      <c r="F22" s="27" t="str">
        <f t="shared" si="5"/>
        <v/>
      </c>
      <c r="G22" s="26" t="str">
        <f t="shared" si="5"/>
        <v/>
      </c>
      <c r="H22" s="27">
        <f t="shared" si="5"/>
        <v>1.0241855873642645</v>
      </c>
      <c r="I22" s="26">
        <f t="shared" si="5"/>
        <v>1.0308815272318923</v>
      </c>
      <c r="J22" s="28">
        <f t="shared" si="5"/>
        <v>1.027072758037225</v>
      </c>
    </row>
    <row r="23" spans="1:10" ht="15" customHeight="1" x14ac:dyDescent="0.3">
      <c r="A23" s="130">
        <v>130</v>
      </c>
      <c r="B23" s="6" t="s">
        <v>102</v>
      </c>
      <c r="C23" s="6"/>
      <c r="D23" s="29"/>
      <c r="E23" s="6">
        <v>17.149999999999999</v>
      </c>
      <c r="F23" s="29"/>
      <c r="G23" s="6"/>
      <c r="H23" s="29">
        <v>24.27</v>
      </c>
      <c r="I23" s="6">
        <v>21.33</v>
      </c>
      <c r="J23" s="30">
        <v>21.24</v>
      </c>
    </row>
    <row r="24" spans="1:10" ht="15" customHeight="1" x14ac:dyDescent="0.3">
      <c r="A24" s="130"/>
      <c r="B24" s="2" t="s">
        <v>103</v>
      </c>
      <c r="C24" s="2"/>
      <c r="D24" s="19"/>
      <c r="E24" s="2">
        <v>17.600000000000001</v>
      </c>
      <c r="F24" s="19"/>
      <c r="G24" s="2"/>
      <c r="H24" s="19">
        <v>24.83</v>
      </c>
      <c r="I24" s="2">
        <v>21.96</v>
      </c>
      <c r="J24" s="20">
        <v>21.79</v>
      </c>
    </row>
    <row r="25" spans="1:10" ht="15" customHeight="1" x14ac:dyDescent="0.3">
      <c r="A25" s="130"/>
      <c r="B25" s="25" t="s">
        <v>104</v>
      </c>
      <c r="C25" s="26" t="str">
        <f t="shared" ref="C25:J25" si="6">IF(OR(C23="",C24=""),"",C24/C23)</f>
        <v/>
      </c>
      <c r="D25" s="27" t="str">
        <f t="shared" si="6"/>
        <v/>
      </c>
      <c r="E25" s="26">
        <f t="shared" si="6"/>
        <v>1.0262390670553938</v>
      </c>
      <c r="F25" s="27" t="str">
        <f t="shared" si="6"/>
        <v/>
      </c>
      <c r="G25" s="26" t="str">
        <f t="shared" si="6"/>
        <v/>
      </c>
      <c r="H25" s="27">
        <f t="shared" si="6"/>
        <v>1.0230737536052739</v>
      </c>
      <c r="I25" s="26">
        <f t="shared" si="6"/>
        <v>1.029535864978903</v>
      </c>
      <c r="J25" s="28">
        <f t="shared" si="6"/>
        <v>1.0258945386064031</v>
      </c>
    </row>
    <row r="26" spans="1:10" ht="15" customHeight="1" x14ac:dyDescent="0.3">
      <c r="A26" s="130">
        <v>140</v>
      </c>
      <c r="B26" s="6" t="s">
        <v>102</v>
      </c>
      <c r="C26" s="6"/>
      <c r="D26" s="29"/>
      <c r="E26" s="6">
        <v>20.149999999999999</v>
      </c>
      <c r="F26" s="29"/>
      <c r="G26" s="6"/>
      <c r="H26" s="29">
        <v>28.51</v>
      </c>
      <c r="I26" s="6">
        <v>25.06</v>
      </c>
      <c r="J26" s="30">
        <v>24.95</v>
      </c>
    </row>
    <row r="27" spans="1:10" ht="15" customHeight="1" x14ac:dyDescent="0.3">
      <c r="A27" s="130"/>
      <c r="B27" s="2" t="s">
        <v>103</v>
      </c>
      <c r="C27" s="2"/>
      <c r="D27" s="19"/>
      <c r="E27" s="2">
        <v>20.65</v>
      </c>
      <c r="F27" s="19"/>
      <c r="G27" s="2"/>
      <c r="H27" s="19">
        <v>29.14</v>
      </c>
      <c r="I27" s="2">
        <v>25.77</v>
      </c>
      <c r="J27" s="19">
        <v>25.57</v>
      </c>
    </row>
    <row r="28" spans="1:10" ht="15" customHeight="1" x14ac:dyDescent="0.3">
      <c r="A28" s="130"/>
      <c r="B28" s="25" t="s">
        <v>104</v>
      </c>
      <c r="C28" s="26" t="str">
        <f t="shared" ref="C28:J28" si="7">IF(OR(C26="",C27=""),"",C27/C26)</f>
        <v/>
      </c>
      <c r="D28" s="27" t="str">
        <f t="shared" si="7"/>
        <v/>
      </c>
      <c r="E28" s="26">
        <f t="shared" si="7"/>
        <v>1.0248138957816377</v>
      </c>
      <c r="F28" s="27" t="str">
        <f t="shared" si="7"/>
        <v/>
      </c>
      <c r="G28" s="26" t="str">
        <f t="shared" si="7"/>
        <v/>
      </c>
      <c r="H28" s="27">
        <f t="shared" si="7"/>
        <v>1.0220975096457383</v>
      </c>
      <c r="I28" s="26">
        <f t="shared" si="7"/>
        <v>1.0283320031923384</v>
      </c>
      <c r="J28" s="28">
        <f t="shared" si="7"/>
        <v>1.0248496993987977</v>
      </c>
    </row>
    <row r="29" spans="1:10" ht="15" customHeight="1" x14ac:dyDescent="0.3">
      <c r="A29" s="130">
        <v>150</v>
      </c>
      <c r="B29" s="6" t="s">
        <v>102</v>
      </c>
      <c r="C29" s="6"/>
      <c r="D29" s="29"/>
      <c r="E29" s="6">
        <v>23.36</v>
      </c>
      <c r="F29" s="29"/>
      <c r="G29" s="6"/>
      <c r="H29" s="29">
        <v>33.04</v>
      </c>
      <c r="I29" s="6">
        <v>29.05</v>
      </c>
      <c r="J29" s="30">
        <v>28.92</v>
      </c>
    </row>
    <row r="30" spans="1:10" ht="15.6" x14ac:dyDescent="0.3">
      <c r="A30" s="130"/>
      <c r="B30" s="2" t="s">
        <v>103</v>
      </c>
      <c r="C30" s="2"/>
      <c r="D30" s="19"/>
      <c r="E30" s="2">
        <v>23.89</v>
      </c>
      <c r="F30" s="19"/>
      <c r="G30" s="2"/>
      <c r="H30" s="19">
        <v>33.700000000000003</v>
      </c>
      <c r="I30" s="2">
        <v>29.81</v>
      </c>
      <c r="J30" s="20">
        <v>29.57</v>
      </c>
    </row>
    <row r="31" spans="1:10" ht="15.6" x14ac:dyDescent="0.3">
      <c r="A31" s="130"/>
      <c r="B31" s="25" t="s">
        <v>104</v>
      </c>
      <c r="C31" s="26" t="str">
        <f t="shared" ref="C31:J31" si="8">IF(OR(C29="",C30=""),"",C30/C29)</f>
        <v/>
      </c>
      <c r="D31" s="27" t="str">
        <f t="shared" si="8"/>
        <v/>
      </c>
      <c r="E31" s="26">
        <f t="shared" si="8"/>
        <v>1.0226883561643836</v>
      </c>
      <c r="F31" s="27" t="str">
        <f t="shared" si="8"/>
        <v/>
      </c>
      <c r="G31" s="26" t="str">
        <f t="shared" si="8"/>
        <v/>
      </c>
      <c r="H31" s="27">
        <f t="shared" si="8"/>
        <v>1.0199757869249395</v>
      </c>
      <c r="I31" s="26">
        <f t="shared" si="8"/>
        <v>1.0261617900172115</v>
      </c>
      <c r="J31" s="28">
        <f t="shared" si="8"/>
        <v>1.022475795297372</v>
      </c>
    </row>
    <row r="32" spans="1:10" ht="15.6" x14ac:dyDescent="0.3">
      <c r="A32" s="130" t="s">
        <v>126</v>
      </c>
      <c r="B32" s="6" t="s">
        <v>102</v>
      </c>
      <c r="C32" s="6">
        <v>2.7</v>
      </c>
      <c r="D32" s="29"/>
      <c r="E32" s="6"/>
      <c r="F32" s="29"/>
      <c r="G32" s="6"/>
      <c r="H32" s="29">
        <v>2.08</v>
      </c>
      <c r="I32" s="6">
        <v>1.83</v>
      </c>
      <c r="J32" s="30">
        <v>1.82</v>
      </c>
    </row>
    <row r="33" spans="1:10" ht="15.6" x14ac:dyDescent="0.3">
      <c r="A33" s="130"/>
      <c r="B33" s="2" t="s">
        <v>103</v>
      </c>
      <c r="C33" s="2">
        <v>2.69</v>
      </c>
      <c r="D33" s="19"/>
      <c r="E33" s="2"/>
      <c r="F33" s="19"/>
      <c r="G33" s="2"/>
      <c r="H33" s="19">
        <v>2.08</v>
      </c>
      <c r="I33" s="2">
        <v>1.84</v>
      </c>
      <c r="J33" s="20">
        <v>1.83</v>
      </c>
    </row>
    <row r="34" spans="1:10" ht="15.6" x14ac:dyDescent="0.3">
      <c r="A34" s="130"/>
      <c r="B34" s="25" t="s">
        <v>104</v>
      </c>
      <c r="C34" s="26">
        <f t="shared" ref="C34:J34" si="9">IF(OR(C32="",C33=""),"",C33/C32)</f>
        <v>0.99629629629629624</v>
      </c>
      <c r="D34" s="27" t="str">
        <f t="shared" si="9"/>
        <v/>
      </c>
      <c r="E34" s="26" t="str">
        <f t="shared" si="9"/>
        <v/>
      </c>
      <c r="F34" s="27" t="str">
        <f t="shared" si="9"/>
        <v/>
      </c>
      <c r="G34" s="26" t="str">
        <f t="shared" si="9"/>
        <v/>
      </c>
      <c r="H34" s="27">
        <f t="shared" si="9"/>
        <v>1</v>
      </c>
      <c r="I34" s="26">
        <f t="shared" si="9"/>
        <v>1.0054644808743169</v>
      </c>
      <c r="J34" s="28">
        <f t="shared" si="9"/>
        <v>1.0054945054945055</v>
      </c>
    </row>
    <row r="35" spans="1:10" ht="15.6" x14ac:dyDescent="0.3">
      <c r="A35" s="130" t="s">
        <v>127</v>
      </c>
      <c r="B35" s="6" t="s">
        <v>102</v>
      </c>
      <c r="C35" s="6"/>
      <c r="D35" s="29"/>
      <c r="E35" s="6"/>
      <c r="F35" s="29"/>
      <c r="G35" s="6"/>
      <c r="H35" s="29">
        <v>3.19</v>
      </c>
      <c r="I35" s="6">
        <v>2.8</v>
      </c>
      <c r="J35" s="30">
        <v>2.79</v>
      </c>
    </row>
    <row r="36" spans="1:10" ht="15.6" x14ac:dyDescent="0.3">
      <c r="A36" s="130"/>
      <c r="B36" s="2" t="s">
        <v>103</v>
      </c>
      <c r="C36" s="2"/>
      <c r="D36" s="19"/>
      <c r="E36" s="2"/>
      <c r="F36" s="19"/>
      <c r="G36" s="2"/>
      <c r="H36" s="19">
        <v>3.18</v>
      </c>
      <c r="I36" s="2">
        <v>2.8210000000000002</v>
      </c>
      <c r="J36" s="20">
        <v>2.8</v>
      </c>
    </row>
    <row r="37" spans="1:10" ht="15.6" x14ac:dyDescent="0.3">
      <c r="A37" s="130"/>
      <c r="B37" s="25" t="s">
        <v>104</v>
      </c>
      <c r="C37" s="26" t="str">
        <f t="shared" ref="C37:J37" si="10">IF(OR(C35="",C36=""),"",C36/C35)</f>
        <v/>
      </c>
      <c r="D37" s="27" t="str">
        <f t="shared" si="10"/>
        <v/>
      </c>
      <c r="E37" s="26" t="str">
        <f t="shared" si="10"/>
        <v/>
      </c>
      <c r="F37" s="27" t="str">
        <f t="shared" si="10"/>
        <v/>
      </c>
      <c r="G37" s="26" t="str">
        <f t="shared" si="10"/>
        <v/>
      </c>
      <c r="H37" s="27">
        <f t="shared" si="10"/>
        <v>0.99686520376175558</v>
      </c>
      <c r="I37" s="26">
        <f t="shared" si="10"/>
        <v>1.0075000000000001</v>
      </c>
      <c r="J37" s="28">
        <f t="shared" si="10"/>
        <v>1.0035842293906809</v>
      </c>
    </row>
    <row r="38" spans="1:10" ht="15.6" x14ac:dyDescent="0.3">
      <c r="A38" s="130" t="s">
        <v>128</v>
      </c>
      <c r="B38" s="6" t="s">
        <v>102</v>
      </c>
      <c r="C38" s="6"/>
      <c r="D38" s="29"/>
      <c r="E38" s="6"/>
      <c r="F38" s="29"/>
      <c r="G38" s="6"/>
      <c r="H38" s="29">
        <v>4.55</v>
      </c>
      <c r="I38" s="6">
        <v>4</v>
      </c>
      <c r="J38" s="30">
        <v>3.97</v>
      </c>
    </row>
    <row r="39" spans="1:10" ht="15.6" x14ac:dyDescent="0.3">
      <c r="A39" s="130"/>
      <c r="B39" s="2" t="s">
        <v>103</v>
      </c>
      <c r="C39" s="2"/>
      <c r="D39" s="19"/>
      <c r="E39" s="2"/>
      <c r="F39" s="19"/>
      <c r="G39" s="2"/>
      <c r="H39" s="19">
        <v>4.55</v>
      </c>
      <c r="I39" s="2">
        <v>4.03</v>
      </c>
      <c r="J39" s="20">
        <v>4</v>
      </c>
    </row>
    <row r="40" spans="1:10" ht="15.6" x14ac:dyDescent="0.3">
      <c r="A40" s="130"/>
      <c r="B40" s="25" t="s">
        <v>104</v>
      </c>
      <c r="C40" s="26" t="str">
        <f t="shared" ref="C40:J40" si="11">IF(OR(C38="",C39=""),"",C39/C38)</f>
        <v/>
      </c>
      <c r="D40" s="27" t="str">
        <f t="shared" si="11"/>
        <v/>
      </c>
      <c r="E40" s="26" t="str">
        <f t="shared" si="11"/>
        <v/>
      </c>
      <c r="F40" s="27" t="str">
        <f t="shared" si="11"/>
        <v/>
      </c>
      <c r="G40" s="26" t="str">
        <f t="shared" si="11"/>
        <v/>
      </c>
      <c r="H40" s="27">
        <f t="shared" si="11"/>
        <v>1</v>
      </c>
      <c r="I40" s="26">
        <f t="shared" si="11"/>
        <v>1.0075000000000001</v>
      </c>
      <c r="J40" s="28">
        <f t="shared" si="11"/>
        <v>1.0075566750629723</v>
      </c>
    </row>
    <row r="41" spans="1:10" ht="15.6" x14ac:dyDescent="0.3">
      <c r="A41" s="130" t="s">
        <v>129</v>
      </c>
      <c r="B41" s="6" t="s">
        <v>102</v>
      </c>
      <c r="C41" s="6"/>
      <c r="D41" s="29"/>
      <c r="E41" s="6"/>
      <c r="F41" s="29"/>
      <c r="G41" s="6"/>
      <c r="H41" s="29">
        <v>6.17</v>
      </c>
      <c r="I41" s="6">
        <v>5.43</v>
      </c>
      <c r="J41" s="30">
        <v>5.39</v>
      </c>
    </row>
    <row r="42" spans="1:10" ht="15.6" x14ac:dyDescent="0.3">
      <c r="A42" s="130"/>
      <c r="B42" s="2" t="s">
        <v>103</v>
      </c>
      <c r="C42" s="2"/>
      <c r="D42" s="19"/>
      <c r="E42" s="2"/>
      <c r="F42" s="19"/>
      <c r="G42" s="2"/>
      <c r="H42" s="19">
        <v>6.19</v>
      </c>
      <c r="I42" s="2">
        <v>5.49</v>
      </c>
      <c r="J42" s="20">
        <v>5.44</v>
      </c>
    </row>
    <row r="43" spans="1:10" ht="15.6" x14ac:dyDescent="0.3">
      <c r="A43" s="130"/>
      <c r="B43" s="25" t="s">
        <v>104</v>
      </c>
      <c r="C43" s="26" t="str">
        <f t="shared" ref="C43:J43" si="12">IF(OR(C41="",C42=""),"",C42/C41)</f>
        <v/>
      </c>
      <c r="D43" s="27" t="str">
        <f t="shared" si="12"/>
        <v/>
      </c>
      <c r="E43" s="26" t="str">
        <f t="shared" si="12"/>
        <v/>
      </c>
      <c r="F43" s="27" t="str">
        <f t="shared" si="12"/>
        <v/>
      </c>
      <c r="G43" s="26" t="str">
        <f t="shared" si="12"/>
        <v/>
      </c>
      <c r="H43" s="27">
        <f t="shared" si="12"/>
        <v>1.0032414910858996</v>
      </c>
      <c r="I43" s="26">
        <f t="shared" si="12"/>
        <v>1.0110497237569063</v>
      </c>
      <c r="J43" s="28">
        <f t="shared" si="12"/>
        <v>1.0092764378478665</v>
      </c>
    </row>
    <row r="44" spans="1:10" ht="15.6" x14ac:dyDescent="0.3">
      <c r="A44" s="130" t="s">
        <v>130</v>
      </c>
      <c r="B44" s="6" t="s">
        <v>102</v>
      </c>
      <c r="C44" s="6">
        <v>10.39</v>
      </c>
      <c r="D44" s="29"/>
      <c r="E44" s="6"/>
      <c r="F44" s="29"/>
      <c r="G44" s="6"/>
      <c r="H44" s="29">
        <v>8.0500000000000007</v>
      </c>
      <c r="I44" s="6">
        <v>7.09</v>
      </c>
      <c r="J44" s="30">
        <v>7.04</v>
      </c>
    </row>
    <row r="45" spans="1:10" ht="15.6" x14ac:dyDescent="0.3">
      <c r="A45" s="130"/>
      <c r="B45" s="2" t="s">
        <v>103</v>
      </c>
      <c r="C45" s="2">
        <v>10.47</v>
      </c>
      <c r="D45" s="19"/>
      <c r="E45" s="2"/>
      <c r="F45" s="19"/>
      <c r="G45" s="2"/>
      <c r="H45" s="19">
        <v>8.1</v>
      </c>
      <c r="I45" s="2">
        <v>7.18</v>
      </c>
      <c r="J45" s="20">
        <v>7.12</v>
      </c>
    </row>
    <row r="46" spans="1:10" ht="15.6" x14ac:dyDescent="0.3">
      <c r="A46" s="130"/>
      <c r="B46" s="25" t="s">
        <v>104</v>
      </c>
      <c r="C46" s="26">
        <f t="shared" ref="C46:J46" si="13">IF(OR(C44="",C45=""),"",C45/C44)</f>
        <v>1.0076997112608277</v>
      </c>
      <c r="D46" s="27" t="str">
        <f t="shared" si="13"/>
        <v/>
      </c>
      <c r="E46" s="26" t="str">
        <f t="shared" si="13"/>
        <v/>
      </c>
      <c r="F46" s="27" t="str">
        <f t="shared" si="13"/>
        <v/>
      </c>
      <c r="G46" s="26" t="str">
        <f t="shared" si="13"/>
        <v/>
      </c>
      <c r="H46" s="27">
        <f t="shared" si="13"/>
        <v>1.0062111801242235</v>
      </c>
      <c r="I46" s="26">
        <f t="shared" si="13"/>
        <v>1.0126939351198871</v>
      </c>
      <c r="J46" s="28">
        <f t="shared" si="13"/>
        <v>1.0113636363636365</v>
      </c>
    </row>
    <row r="47" spans="1:10" ht="15.6" x14ac:dyDescent="0.3">
      <c r="A47" s="130" t="s">
        <v>131</v>
      </c>
      <c r="B47" s="6" t="s">
        <v>102</v>
      </c>
      <c r="C47" s="6"/>
      <c r="D47" s="29"/>
      <c r="E47" s="6"/>
      <c r="F47" s="29"/>
      <c r="G47" s="6"/>
      <c r="H47" s="29">
        <v>10.19</v>
      </c>
      <c r="I47" s="6">
        <v>8.9700000000000006</v>
      </c>
      <c r="J47" s="30">
        <v>8.91</v>
      </c>
    </row>
    <row r="48" spans="1:10" ht="15.6" x14ac:dyDescent="0.3">
      <c r="A48" s="130"/>
      <c r="B48" s="2" t="s">
        <v>103</v>
      </c>
      <c r="C48" s="2"/>
      <c r="D48" s="19"/>
      <c r="E48" s="2"/>
      <c r="F48" s="19"/>
      <c r="G48" s="2"/>
      <c r="H48" s="19">
        <v>10.28</v>
      </c>
      <c r="I48" s="2">
        <v>9.11</v>
      </c>
      <c r="J48" s="20">
        <v>9.0399999999999991</v>
      </c>
    </row>
    <row r="49" spans="1:10" ht="15.6" x14ac:dyDescent="0.3">
      <c r="A49" s="130"/>
      <c r="B49" s="25" t="s">
        <v>104</v>
      </c>
      <c r="C49" s="26" t="str">
        <f t="shared" ref="C49:J49" si="14">IF(OR(C47="",C48=""),"",C48/C47)</f>
        <v/>
      </c>
      <c r="D49" s="27" t="str">
        <f t="shared" si="14"/>
        <v/>
      </c>
      <c r="E49" s="26" t="str">
        <f t="shared" si="14"/>
        <v/>
      </c>
      <c r="F49" s="27" t="str">
        <f t="shared" si="14"/>
        <v/>
      </c>
      <c r="G49" s="26" t="str">
        <f t="shared" si="14"/>
        <v/>
      </c>
      <c r="H49" s="27">
        <f t="shared" si="14"/>
        <v>1.0088321884200195</v>
      </c>
      <c r="I49" s="26">
        <f t="shared" si="14"/>
        <v>1.015607580824972</v>
      </c>
      <c r="J49" s="28">
        <f t="shared" si="14"/>
        <v>1.0145903479236811</v>
      </c>
    </row>
    <row r="50" spans="1:10" ht="15.6" x14ac:dyDescent="0.3">
      <c r="A50" s="130" t="s">
        <v>132</v>
      </c>
      <c r="B50" s="6" t="s">
        <v>102</v>
      </c>
      <c r="C50" s="6"/>
      <c r="D50" s="29"/>
      <c r="E50" s="6"/>
      <c r="F50" s="29"/>
      <c r="G50" s="6"/>
      <c r="H50" s="29">
        <v>6.01</v>
      </c>
      <c r="I50" s="6">
        <v>5.3</v>
      </c>
      <c r="J50" s="30">
        <v>5.27</v>
      </c>
    </row>
    <row r="51" spans="1:10" ht="15.6" x14ac:dyDescent="0.3">
      <c r="A51" s="130"/>
      <c r="B51" s="2" t="s">
        <v>103</v>
      </c>
      <c r="C51" s="2"/>
      <c r="D51" s="19"/>
      <c r="E51" s="2"/>
      <c r="F51" s="19"/>
      <c r="G51" s="2"/>
      <c r="H51" s="19">
        <v>6.1</v>
      </c>
      <c r="I51" s="2">
        <v>5.41</v>
      </c>
      <c r="J51" s="20">
        <v>6.36</v>
      </c>
    </row>
    <row r="52" spans="1:10" ht="15.6" x14ac:dyDescent="0.3">
      <c r="A52" s="130"/>
      <c r="B52" s="25" t="s">
        <v>104</v>
      </c>
      <c r="C52" s="26" t="str">
        <f t="shared" ref="C52:J52" si="15">IF(OR(C50="",C51=""),"",C51/C50)</f>
        <v/>
      </c>
      <c r="D52" s="27" t="str">
        <f t="shared" si="15"/>
        <v/>
      </c>
      <c r="E52" s="26" t="str">
        <f t="shared" si="15"/>
        <v/>
      </c>
      <c r="F52" s="27" t="str">
        <f t="shared" si="15"/>
        <v/>
      </c>
      <c r="G52" s="26" t="str">
        <f t="shared" si="15"/>
        <v/>
      </c>
      <c r="H52" s="27">
        <f t="shared" si="15"/>
        <v>1.0149750415973378</v>
      </c>
      <c r="I52" s="26">
        <f t="shared" si="15"/>
        <v>1.0207547169811322</v>
      </c>
      <c r="J52" s="28">
        <f t="shared" si="15"/>
        <v>1.2068311195445922</v>
      </c>
    </row>
    <row r="53" spans="1:10" ht="15.6" x14ac:dyDescent="0.3">
      <c r="A53" s="133" t="s">
        <v>133</v>
      </c>
      <c r="B53" s="45" t="s">
        <v>102</v>
      </c>
      <c r="C53" s="45"/>
      <c r="D53" s="46"/>
      <c r="E53" s="45"/>
      <c r="F53" s="46"/>
      <c r="G53" s="45"/>
      <c r="H53" s="46"/>
      <c r="I53" s="45">
        <v>4.09</v>
      </c>
      <c r="J53" s="47"/>
    </row>
    <row r="54" spans="1:10" ht="15.6" x14ac:dyDescent="0.3">
      <c r="A54" s="133"/>
      <c r="B54" s="48" t="s">
        <v>103</v>
      </c>
      <c r="C54" s="48"/>
      <c r="D54" s="49"/>
      <c r="E54" s="48"/>
      <c r="F54" s="49"/>
      <c r="G54" s="48"/>
      <c r="H54" s="49"/>
      <c r="I54" s="48">
        <v>4.1100000000000003</v>
      </c>
      <c r="J54" s="50"/>
    </row>
    <row r="55" spans="1:10" ht="15.6" x14ac:dyDescent="0.3">
      <c r="A55" s="133"/>
      <c r="B55" s="51" t="s">
        <v>104</v>
      </c>
      <c r="C55" s="52" t="str">
        <f t="shared" ref="C55:J55" si="16">IF(OR(C53="",C54=""),"",C54/C53)</f>
        <v/>
      </c>
      <c r="D55" s="53" t="str">
        <f t="shared" si="16"/>
        <v/>
      </c>
      <c r="E55" s="52" t="str">
        <f t="shared" si="16"/>
        <v/>
      </c>
      <c r="F55" s="53" t="str">
        <f t="shared" si="16"/>
        <v/>
      </c>
      <c r="G55" s="52" t="str">
        <f t="shared" si="16"/>
        <v/>
      </c>
      <c r="H55" s="53" t="str">
        <f t="shared" si="16"/>
        <v/>
      </c>
      <c r="I55" s="52">
        <f t="shared" si="16"/>
        <v>1.0048899755501224</v>
      </c>
      <c r="J55" s="54" t="str">
        <f t="shared" si="16"/>
        <v/>
      </c>
    </row>
    <row r="56" spans="1:10" ht="15.6" x14ac:dyDescent="0.3">
      <c r="A56" s="133" t="s">
        <v>134</v>
      </c>
      <c r="B56" s="45" t="s">
        <v>102</v>
      </c>
      <c r="C56" s="45"/>
      <c r="D56" s="46"/>
      <c r="E56" s="45"/>
      <c r="F56" s="46"/>
      <c r="G56" s="45"/>
      <c r="H56" s="46"/>
      <c r="I56" s="45">
        <v>6.73</v>
      </c>
      <c r="J56" s="47"/>
    </row>
    <row r="57" spans="1:10" ht="15.6" x14ac:dyDescent="0.3">
      <c r="A57" s="133"/>
      <c r="B57" s="48" t="s">
        <v>103</v>
      </c>
      <c r="C57" s="48"/>
      <c r="D57" s="49"/>
      <c r="E57" s="48"/>
      <c r="F57" s="49"/>
      <c r="G57" s="48"/>
      <c r="H57" s="49"/>
      <c r="I57" s="48">
        <v>6.8</v>
      </c>
      <c r="J57" s="50"/>
    </row>
    <row r="58" spans="1:10" ht="15.6" x14ac:dyDescent="0.3">
      <c r="A58" s="133"/>
      <c r="B58" s="51" t="s">
        <v>104</v>
      </c>
      <c r="C58" s="52" t="str">
        <f t="shared" ref="C58:J58" si="17">IF(OR(C56="",C57=""),"",C57/C56)</f>
        <v/>
      </c>
      <c r="D58" s="53" t="str">
        <f t="shared" si="17"/>
        <v/>
      </c>
      <c r="E58" s="52" t="str">
        <f t="shared" si="17"/>
        <v/>
      </c>
      <c r="F58" s="53" t="str">
        <f t="shared" si="17"/>
        <v/>
      </c>
      <c r="G58" s="52" t="str">
        <f t="shared" si="17"/>
        <v/>
      </c>
      <c r="H58" s="53" t="str">
        <f t="shared" si="17"/>
        <v/>
      </c>
      <c r="I58" s="52">
        <f t="shared" si="17"/>
        <v>1.0104011887072808</v>
      </c>
      <c r="J58" s="54" t="str">
        <f t="shared" si="17"/>
        <v/>
      </c>
    </row>
    <row r="60" spans="1:10" ht="15.6" x14ac:dyDescent="0.3">
      <c r="A60" s="8" t="s">
        <v>110</v>
      </c>
    </row>
    <row r="61" spans="1:10" ht="15.6" x14ac:dyDescent="0.3">
      <c r="B61" s="15" t="s">
        <v>100</v>
      </c>
      <c r="C61" s="4" t="s">
        <v>26</v>
      </c>
      <c r="D61" s="16" t="s">
        <v>14</v>
      </c>
      <c r="E61" s="4" t="s">
        <v>18</v>
      </c>
      <c r="F61" s="16" t="s">
        <v>68</v>
      </c>
      <c r="G61" s="4" t="s">
        <v>27</v>
      </c>
      <c r="H61" s="16" t="s">
        <v>22</v>
      </c>
      <c r="I61" s="4" t="s">
        <v>22</v>
      </c>
      <c r="J61" s="17" t="s">
        <v>40</v>
      </c>
    </row>
    <row r="62" spans="1:10" ht="15.6" x14ac:dyDescent="0.3">
      <c r="B62" s="41" t="s">
        <v>101</v>
      </c>
      <c r="C62" s="42" t="s">
        <v>26</v>
      </c>
      <c r="D62" s="43" t="s">
        <v>14</v>
      </c>
      <c r="E62" s="42" t="s">
        <v>18</v>
      </c>
      <c r="F62" s="43" t="s">
        <v>68</v>
      </c>
      <c r="G62" s="42" t="s">
        <v>27</v>
      </c>
      <c r="H62" s="43" t="s">
        <v>21</v>
      </c>
      <c r="I62" s="42" t="s">
        <v>22</v>
      </c>
      <c r="J62" s="44" t="s">
        <v>22</v>
      </c>
    </row>
    <row r="63" spans="1:10" ht="15.6" x14ac:dyDescent="0.3">
      <c r="A63" s="7" t="s">
        <v>6</v>
      </c>
      <c r="B63" s="21"/>
      <c r="C63" s="22"/>
      <c r="D63" s="23"/>
      <c r="E63" s="22"/>
      <c r="F63" s="23"/>
      <c r="G63" s="22"/>
      <c r="H63" s="23"/>
      <c r="I63" s="22"/>
      <c r="J63" s="24"/>
    </row>
    <row r="64" spans="1:10" ht="15.6" x14ac:dyDescent="0.3">
      <c r="A64" s="130">
        <v>70</v>
      </c>
      <c r="B64" s="2" t="s">
        <v>102</v>
      </c>
      <c r="C64" s="2"/>
      <c r="D64" s="2">
        <v>3.1</v>
      </c>
      <c r="E64" s="19">
        <v>2.82</v>
      </c>
      <c r="F64" s="2">
        <v>3.93</v>
      </c>
      <c r="G64" s="19">
        <v>3.75</v>
      </c>
      <c r="H64" s="2">
        <v>3.98</v>
      </c>
      <c r="I64" s="19">
        <v>3.5</v>
      </c>
      <c r="J64" s="2">
        <v>3.48</v>
      </c>
    </row>
    <row r="65" spans="1:10" ht="15.6" x14ac:dyDescent="0.3">
      <c r="A65" s="130"/>
      <c r="B65" s="2" t="s">
        <v>103</v>
      </c>
      <c r="C65" s="2"/>
      <c r="D65" s="19">
        <v>3.12</v>
      </c>
      <c r="E65" s="2">
        <v>2.84</v>
      </c>
      <c r="F65" s="19">
        <v>4</v>
      </c>
      <c r="G65" s="2">
        <v>3.81</v>
      </c>
      <c r="H65" s="19">
        <v>4.01</v>
      </c>
      <c r="I65" s="2">
        <v>3.55</v>
      </c>
      <c r="J65" s="20">
        <v>3.52</v>
      </c>
    </row>
    <row r="66" spans="1:10" ht="15.6" x14ac:dyDescent="0.3">
      <c r="A66" s="130"/>
      <c r="B66" s="25" t="s">
        <v>104</v>
      </c>
      <c r="C66" s="26" t="str">
        <f t="shared" ref="C66:J66" si="18">IF(OR(C64="",C65=""),"",C65/C64)</f>
        <v/>
      </c>
      <c r="D66" s="27">
        <f t="shared" si="18"/>
        <v>1.0064516129032257</v>
      </c>
      <c r="E66" s="26">
        <f t="shared" si="18"/>
        <v>1.0070921985815602</v>
      </c>
      <c r="F66" s="27">
        <f t="shared" si="18"/>
        <v>1.0178117048346056</v>
      </c>
      <c r="G66" s="26">
        <f t="shared" si="18"/>
        <v>1.016</v>
      </c>
      <c r="H66" s="27">
        <f t="shared" si="18"/>
        <v>1.0075376884422109</v>
      </c>
      <c r="I66" s="26">
        <f t="shared" si="18"/>
        <v>1.0142857142857142</v>
      </c>
      <c r="J66" s="28">
        <f t="shared" si="18"/>
        <v>1.0114942528735633</v>
      </c>
    </row>
    <row r="67" spans="1:10" ht="15.6" x14ac:dyDescent="0.3">
      <c r="A67" s="130">
        <v>80</v>
      </c>
      <c r="B67" s="6" t="s">
        <v>102</v>
      </c>
      <c r="C67" s="6"/>
      <c r="D67" s="29">
        <v>4.83</v>
      </c>
      <c r="E67" s="6">
        <v>4.38</v>
      </c>
      <c r="F67" s="29">
        <v>6.13</v>
      </c>
      <c r="G67" s="6">
        <v>5.85</v>
      </c>
      <c r="H67" s="29">
        <v>6.19</v>
      </c>
      <c r="I67" s="6">
        <v>5.45</v>
      </c>
      <c r="J67" s="30">
        <v>5.42</v>
      </c>
    </row>
    <row r="68" spans="1:10" ht="15.6" x14ac:dyDescent="0.3">
      <c r="A68" s="130"/>
      <c r="B68" s="2" t="s">
        <v>103</v>
      </c>
      <c r="C68" s="2"/>
      <c r="D68" s="19">
        <v>4.8</v>
      </c>
      <c r="E68" s="2">
        <v>4.37</v>
      </c>
      <c r="F68" s="19">
        <v>6.15</v>
      </c>
      <c r="G68" s="2">
        <v>5.86</v>
      </c>
      <c r="H68" s="19">
        <v>6.16</v>
      </c>
      <c r="I68" s="2">
        <v>5.46</v>
      </c>
      <c r="J68" s="20">
        <v>5.41</v>
      </c>
    </row>
    <row r="69" spans="1:10" ht="15.6" x14ac:dyDescent="0.3">
      <c r="A69" s="130"/>
      <c r="B69" s="25" t="s">
        <v>104</v>
      </c>
      <c r="C69" s="26" t="str">
        <f t="shared" ref="C69:J69" si="19">IF(OR(C67="",C68=""),"",C68/C67)</f>
        <v/>
      </c>
      <c r="D69" s="27">
        <f t="shared" si="19"/>
        <v>0.99378881987577639</v>
      </c>
      <c r="E69" s="26">
        <f t="shared" si="19"/>
        <v>0.99771689497716898</v>
      </c>
      <c r="F69" s="27">
        <f t="shared" si="19"/>
        <v>1.0032626427406199</v>
      </c>
      <c r="G69" s="26">
        <f t="shared" si="19"/>
        <v>1.0017094017094019</v>
      </c>
      <c r="H69" s="27">
        <f t="shared" si="19"/>
        <v>0.99515347334410331</v>
      </c>
      <c r="I69" s="26">
        <f t="shared" si="19"/>
        <v>1.001834862385321</v>
      </c>
      <c r="J69" s="28">
        <f t="shared" si="19"/>
        <v>0.99815498154981552</v>
      </c>
    </row>
    <row r="70" spans="1:10" ht="15.6" x14ac:dyDescent="0.3">
      <c r="A70" s="130">
        <v>90</v>
      </c>
      <c r="B70" s="6" t="s">
        <v>102</v>
      </c>
      <c r="C70" s="6"/>
      <c r="D70" s="29">
        <v>6.89</v>
      </c>
      <c r="E70" s="6">
        <v>6.26</v>
      </c>
      <c r="F70" s="29">
        <v>8.75</v>
      </c>
      <c r="G70" s="6">
        <v>8.34</v>
      </c>
      <c r="H70" s="29">
        <v>8.84</v>
      </c>
      <c r="I70" s="6">
        <v>7.78</v>
      </c>
      <c r="J70" s="30">
        <v>7.74</v>
      </c>
    </row>
    <row r="71" spans="1:10" ht="15.6" x14ac:dyDescent="0.3">
      <c r="A71" s="130"/>
      <c r="B71" s="2" t="s">
        <v>103</v>
      </c>
      <c r="C71" s="2"/>
      <c r="D71" s="19">
        <v>6.8</v>
      </c>
      <c r="E71" s="2">
        <v>6.19</v>
      </c>
      <c r="F71" s="19">
        <v>8.7200000000000006</v>
      </c>
      <c r="G71" s="2">
        <v>8.3000000000000007</v>
      </c>
      <c r="H71" s="19">
        <v>8.73</v>
      </c>
      <c r="I71" s="2">
        <v>7.74</v>
      </c>
      <c r="J71" s="20">
        <v>7.67</v>
      </c>
    </row>
    <row r="72" spans="1:10" ht="15.6" x14ac:dyDescent="0.3">
      <c r="A72" s="130"/>
      <c r="B72" s="25" t="s">
        <v>104</v>
      </c>
      <c r="C72" s="26" t="str">
        <f t="shared" ref="C72:J72" si="20">IF(OR(C70="",C71=""),"",C71/C70)</f>
        <v/>
      </c>
      <c r="D72" s="27">
        <f t="shared" si="20"/>
        <v>0.98693759071117559</v>
      </c>
      <c r="E72" s="26">
        <f t="shared" si="20"/>
        <v>0.98881789137380205</v>
      </c>
      <c r="F72" s="27">
        <f t="shared" si="20"/>
        <v>0.99657142857142866</v>
      </c>
      <c r="G72" s="26">
        <f t="shared" si="20"/>
        <v>0.99520383693045578</v>
      </c>
      <c r="H72" s="27">
        <f t="shared" si="20"/>
        <v>0.98755656108597289</v>
      </c>
      <c r="I72" s="26">
        <f t="shared" si="20"/>
        <v>0.99485861182519275</v>
      </c>
      <c r="J72" s="28">
        <f t="shared" si="20"/>
        <v>0.99095607235142114</v>
      </c>
    </row>
    <row r="73" spans="1:10" ht="15.6" x14ac:dyDescent="0.3">
      <c r="A73" s="130">
        <v>100</v>
      </c>
      <c r="B73" s="6" t="s">
        <v>102</v>
      </c>
      <c r="C73" s="6"/>
      <c r="D73" s="29">
        <v>9.2200000000000006</v>
      </c>
      <c r="E73" s="6">
        <v>8.36</v>
      </c>
      <c r="F73" s="29">
        <v>11.69</v>
      </c>
      <c r="G73" s="6">
        <v>11.15</v>
      </c>
      <c r="H73" s="29">
        <v>11.81</v>
      </c>
      <c r="I73" s="6">
        <v>10.4</v>
      </c>
      <c r="J73" s="30">
        <v>10.35</v>
      </c>
    </row>
    <row r="74" spans="1:10" ht="15.6" x14ac:dyDescent="0.3">
      <c r="A74" s="130"/>
      <c r="B74" s="2" t="s">
        <v>103</v>
      </c>
      <c r="C74" s="2"/>
      <c r="D74" s="19">
        <v>9.06</v>
      </c>
      <c r="E74" s="2">
        <v>8.24</v>
      </c>
      <c r="F74" s="19">
        <v>11.61</v>
      </c>
      <c r="G74" s="2">
        <v>11.06</v>
      </c>
      <c r="H74" s="19">
        <v>11.63</v>
      </c>
      <c r="I74" s="2">
        <v>10.3</v>
      </c>
      <c r="J74" s="20">
        <v>10.210000000000001</v>
      </c>
    </row>
    <row r="75" spans="1:10" ht="15.6" x14ac:dyDescent="0.3">
      <c r="A75" s="130"/>
      <c r="B75" s="25" t="s">
        <v>104</v>
      </c>
      <c r="C75" s="26" t="str">
        <f t="shared" ref="C75:J75" si="21">IF(OR(C73="",C74=""),"",C74/C73)</f>
        <v/>
      </c>
      <c r="D75" s="27">
        <f t="shared" si="21"/>
        <v>0.98264642082429499</v>
      </c>
      <c r="E75" s="26">
        <f t="shared" si="21"/>
        <v>0.98564593301435421</v>
      </c>
      <c r="F75" s="27">
        <f t="shared" si="21"/>
        <v>0.99315654405474763</v>
      </c>
      <c r="G75" s="26">
        <f t="shared" si="21"/>
        <v>0.9919282511210763</v>
      </c>
      <c r="H75" s="27">
        <f t="shared" si="21"/>
        <v>0.98475867908552073</v>
      </c>
      <c r="I75" s="26">
        <f t="shared" si="21"/>
        <v>0.99038461538461542</v>
      </c>
      <c r="J75" s="28">
        <f t="shared" si="21"/>
        <v>0.98647342995169096</v>
      </c>
    </row>
    <row r="76" spans="1:10" ht="15.6" x14ac:dyDescent="0.3">
      <c r="A76" s="130">
        <v>110</v>
      </c>
      <c r="B76" s="6" t="s">
        <v>102</v>
      </c>
      <c r="C76" s="6"/>
      <c r="D76" s="29">
        <v>11.77</v>
      </c>
      <c r="E76" s="6">
        <v>10.69</v>
      </c>
      <c r="F76" s="29">
        <v>14.94</v>
      </c>
      <c r="G76" s="6">
        <v>14.23</v>
      </c>
      <c r="H76" s="29">
        <v>15.1</v>
      </c>
      <c r="I76" s="6">
        <v>13.29</v>
      </c>
      <c r="J76" s="30">
        <v>13.23</v>
      </c>
    </row>
    <row r="77" spans="1:10" ht="15.6" x14ac:dyDescent="0.3">
      <c r="A77" s="130"/>
      <c r="B77" s="2" t="s">
        <v>103</v>
      </c>
      <c r="C77" s="2"/>
      <c r="D77" s="19">
        <v>11.53</v>
      </c>
      <c r="E77" s="2">
        <v>10.5</v>
      </c>
      <c r="F77" s="19">
        <v>14.79</v>
      </c>
      <c r="G77" s="2">
        <v>14.09</v>
      </c>
      <c r="H77" s="19">
        <v>14.81</v>
      </c>
      <c r="I77" s="2">
        <v>13.13</v>
      </c>
      <c r="J77" s="20">
        <v>13.01</v>
      </c>
    </row>
    <row r="78" spans="1:10" ht="15.6" x14ac:dyDescent="0.3">
      <c r="A78" s="130"/>
      <c r="B78" s="25" t="s">
        <v>104</v>
      </c>
      <c r="C78" s="26" t="str">
        <f t="shared" ref="C78:J78" si="22">IF(OR(C76="",C77=""),"",C77/C76)</f>
        <v/>
      </c>
      <c r="D78" s="27">
        <f t="shared" si="22"/>
        <v>0.97960917587085805</v>
      </c>
      <c r="E78" s="26">
        <f t="shared" si="22"/>
        <v>0.98222637979420024</v>
      </c>
      <c r="F78" s="27">
        <f t="shared" si="22"/>
        <v>0.98995983935742971</v>
      </c>
      <c r="G78" s="26">
        <f t="shared" si="22"/>
        <v>0.99016163035839766</v>
      </c>
      <c r="H78" s="27">
        <f t="shared" si="22"/>
        <v>0.980794701986755</v>
      </c>
      <c r="I78" s="26">
        <f t="shared" si="22"/>
        <v>0.98796087283671941</v>
      </c>
      <c r="J78" s="28">
        <f t="shared" si="22"/>
        <v>0.98337112622826905</v>
      </c>
    </row>
    <row r="79" spans="1:10" ht="15.6" x14ac:dyDescent="0.3">
      <c r="A79" s="130">
        <v>120</v>
      </c>
      <c r="B79" s="6" t="s">
        <v>102</v>
      </c>
      <c r="C79" s="6"/>
      <c r="D79" s="29">
        <v>14.55</v>
      </c>
      <c r="E79" s="6">
        <v>13.2</v>
      </c>
      <c r="F79" s="29">
        <v>18.440000000000001</v>
      </c>
      <c r="G79" s="6">
        <v>17.59</v>
      </c>
      <c r="H79" s="29">
        <v>18.64</v>
      </c>
      <c r="I79" s="6">
        <v>16.41</v>
      </c>
      <c r="J79" s="30">
        <v>16.329999999999998</v>
      </c>
    </row>
    <row r="80" spans="1:10" ht="15.6" x14ac:dyDescent="0.3">
      <c r="A80" s="130"/>
      <c r="B80" s="2" t="s">
        <v>103</v>
      </c>
      <c r="C80" s="2"/>
      <c r="D80" s="19">
        <v>14.23</v>
      </c>
      <c r="E80" s="2">
        <v>12.95</v>
      </c>
      <c r="F80" s="19">
        <v>18.239999999999998</v>
      </c>
      <c r="G80" s="2">
        <v>17.38</v>
      </c>
      <c r="H80" s="19">
        <v>18.260000000000002</v>
      </c>
      <c r="I80" s="2">
        <v>16.190000000000001</v>
      </c>
      <c r="J80" s="20">
        <v>16.04</v>
      </c>
    </row>
    <row r="81" spans="1:10" ht="15.6" x14ac:dyDescent="0.3">
      <c r="A81" s="130"/>
      <c r="B81" s="25" t="s">
        <v>104</v>
      </c>
      <c r="C81" s="26" t="str">
        <f t="shared" ref="C81:J81" si="23">IF(OR(C79="",C80=""),"",C80/C79)</f>
        <v/>
      </c>
      <c r="D81" s="27">
        <f t="shared" si="23"/>
        <v>0.97800687285223364</v>
      </c>
      <c r="E81" s="26">
        <f t="shared" si="23"/>
        <v>0.98106060606060608</v>
      </c>
      <c r="F81" s="27">
        <f t="shared" si="23"/>
        <v>0.98915401301518424</v>
      </c>
      <c r="G81" s="26">
        <f t="shared" si="23"/>
        <v>0.98806139852188735</v>
      </c>
      <c r="H81" s="27">
        <f t="shared" si="23"/>
        <v>0.97961373390557949</v>
      </c>
      <c r="I81" s="26">
        <f t="shared" si="23"/>
        <v>0.98659354052407078</v>
      </c>
      <c r="J81" s="28">
        <f t="shared" si="23"/>
        <v>0.98224127372933256</v>
      </c>
    </row>
    <row r="82" spans="1:10" ht="15.6" x14ac:dyDescent="0.3">
      <c r="A82" s="130">
        <v>130</v>
      </c>
      <c r="B82" s="6" t="s">
        <v>102</v>
      </c>
      <c r="C82" s="6"/>
      <c r="D82" s="29">
        <v>17.510000000000002</v>
      </c>
      <c r="E82" s="6">
        <v>15.87</v>
      </c>
      <c r="F82" s="29">
        <v>22.17</v>
      </c>
      <c r="G82" s="6">
        <v>21.17</v>
      </c>
      <c r="H82" s="29">
        <v>22.41</v>
      </c>
      <c r="I82" s="6">
        <v>19.73</v>
      </c>
      <c r="J82" s="30">
        <v>19.64</v>
      </c>
    </row>
    <row r="83" spans="1:10" ht="15.6" x14ac:dyDescent="0.3">
      <c r="A83" s="130"/>
      <c r="B83" s="2" t="s">
        <v>103</v>
      </c>
      <c r="C83" s="2"/>
      <c r="D83" s="19">
        <v>17.11</v>
      </c>
      <c r="E83" s="2">
        <v>15.57</v>
      </c>
      <c r="F83" s="19">
        <v>21.93</v>
      </c>
      <c r="G83" s="2">
        <v>20.9</v>
      </c>
      <c r="H83" s="19">
        <v>21.96</v>
      </c>
      <c r="I83" s="2">
        <v>19.46</v>
      </c>
      <c r="J83" s="20">
        <v>19.29</v>
      </c>
    </row>
    <row r="84" spans="1:10" ht="15.6" x14ac:dyDescent="0.3">
      <c r="A84" s="130"/>
      <c r="B84" s="25" t="s">
        <v>104</v>
      </c>
      <c r="C84" s="26" t="str">
        <f t="shared" ref="C84:J84" si="24">IF(OR(C82="",C83=""),"",C83/C82)</f>
        <v/>
      </c>
      <c r="D84" s="27">
        <f t="shared" si="24"/>
        <v>0.97715591090805243</v>
      </c>
      <c r="E84" s="26">
        <f t="shared" si="24"/>
        <v>0.98109640831758038</v>
      </c>
      <c r="F84" s="27">
        <f t="shared" si="24"/>
        <v>0.98917456021650874</v>
      </c>
      <c r="G84" s="26">
        <f t="shared" si="24"/>
        <v>0.9872461029759092</v>
      </c>
      <c r="H84" s="27">
        <f t="shared" si="24"/>
        <v>0.97991967871485952</v>
      </c>
      <c r="I84" s="26">
        <f t="shared" si="24"/>
        <v>0.98631525595539793</v>
      </c>
      <c r="J84" s="28">
        <f t="shared" si="24"/>
        <v>0.98217922606924635</v>
      </c>
    </row>
    <row r="85" spans="1:10" ht="15.6" x14ac:dyDescent="0.3">
      <c r="A85" s="130">
        <v>140</v>
      </c>
      <c r="B85" s="6" t="s">
        <v>102</v>
      </c>
      <c r="C85" s="6"/>
      <c r="D85" s="29">
        <v>20.65</v>
      </c>
      <c r="E85" s="6">
        <v>18.71</v>
      </c>
      <c r="F85" s="29">
        <v>26.14</v>
      </c>
      <c r="G85" s="6">
        <v>24.97</v>
      </c>
      <c r="H85" s="29">
        <v>26.42</v>
      </c>
      <c r="I85" s="6">
        <v>23.26</v>
      </c>
      <c r="J85" s="30">
        <v>23.15</v>
      </c>
    </row>
    <row r="86" spans="1:10" ht="15.6" x14ac:dyDescent="0.3">
      <c r="A86" s="130"/>
      <c r="B86" s="2" t="s">
        <v>103</v>
      </c>
      <c r="C86" s="2"/>
      <c r="D86" s="19">
        <v>20.18</v>
      </c>
      <c r="E86" s="2">
        <v>18.36</v>
      </c>
      <c r="F86" s="19">
        <v>25.86</v>
      </c>
      <c r="G86" s="2">
        <v>24.65</v>
      </c>
      <c r="H86" s="19">
        <v>25.89</v>
      </c>
      <c r="I86" s="2">
        <v>22.95</v>
      </c>
      <c r="J86" s="20">
        <v>22.74</v>
      </c>
    </row>
    <row r="87" spans="1:10" ht="15.6" x14ac:dyDescent="0.3">
      <c r="A87" s="130"/>
      <c r="B87" s="25" t="s">
        <v>104</v>
      </c>
      <c r="C87" s="26" t="str">
        <f t="shared" ref="C87:J87" si="25">IF(OR(C85="",C86=""),"",C86/C85)</f>
        <v/>
      </c>
      <c r="D87" s="27">
        <f t="shared" si="25"/>
        <v>0.97723970944309935</v>
      </c>
      <c r="E87" s="26">
        <f t="shared" si="25"/>
        <v>0.98129342597541414</v>
      </c>
      <c r="F87" s="27">
        <f t="shared" si="25"/>
        <v>0.98928844682478956</v>
      </c>
      <c r="G87" s="26">
        <f t="shared" si="25"/>
        <v>0.98718462154585507</v>
      </c>
      <c r="H87" s="27">
        <f t="shared" si="25"/>
        <v>0.97993943981831944</v>
      </c>
      <c r="I87" s="26">
        <f t="shared" si="25"/>
        <v>0.98667239896818559</v>
      </c>
      <c r="J87" s="28">
        <f t="shared" si="25"/>
        <v>0.98228941684665227</v>
      </c>
    </row>
    <row r="88" spans="1:10" ht="15.6" x14ac:dyDescent="0.3">
      <c r="A88" s="130">
        <v>150</v>
      </c>
      <c r="B88" s="6" t="s">
        <v>102</v>
      </c>
      <c r="C88" s="6"/>
      <c r="D88" s="29">
        <v>23.98</v>
      </c>
      <c r="E88" s="6">
        <v>21.71</v>
      </c>
      <c r="F88" s="29">
        <v>30.33</v>
      </c>
      <c r="G88" s="6">
        <v>28.92</v>
      </c>
      <c r="H88" s="29">
        <v>30.66</v>
      </c>
      <c r="I88" s="6">
        <v>26.99</v>
      </c>
      <c r="J88" s="30">
        <v>26.86</v>
      </c>
    </row>
    <row r="89" spans="1:10" ht="15.6" x14ac:dyDescent="0.3">
      <c r="A89" s="130"/>
      <c r="B89" s="2" t="s">
        <v>103</v>
      </c>
      <c r="C89" s="2"/>
      <c r="D89" s="19">
        <v>23.43</v>
      </c>
      <c r="E89" s="2">
        <v>21.31</v>
      </c>
      <c r="F89" s="19">
        <v>30.02</v>
      </c>
      <c r="G89" s="2">
        <v>28.6</v>
      </c>
      <c r="H89" s="19">
        <v>30.06</v>
      </c>
      <c r="I89" s="2">
        <v>26.64</v>
      </c>
      <c r="J89" s="20">
        <v>26.4</v>
      </c>
    </row>
    <row r="90" spans="1:10" ht="15.6" x14ac:dyDescent="0.3">
      <c r="A90" s="130"/>
      <c r="B90" s="25" t="s">
        <v>104</v>
      </c>
      <c r="C90" s="26" t="str">
        <f t="shared" ref="C90:J90" si="26">IF(OR(C88="",C89=""),"",C89/C88)</f>
        <v/>
      </c>
      <c r="D90" s="27">
        <f t="shared" si="26"/>
        <v>0.97706422018348615</v>
      </c>
      <c r="E90" s="26">
        <f t="shared" si="26"/>
        <v>0.9815753109166282</v>
      </c>
      <c r="F90" s="27">
        <f t="shared" si="26"/>
        <v>0.98977909660402241</v>
      </c>
      <c r="G90" s="26">
        <f t="shared" si="26"/>
        <v>0.98893499308437072</v>
      </c>
      <c r="H90" s="27">
        <f t="shared" si="26"/>
        <v>0.98043052837573386</v>
      </c>
      <c r="I90" s="26">
        <f t="shared" si="26"/>
        <v>0.98703223416080033</v>
      </c>
      <c r="J90" s="28">
        <f t="shared" si="26"/>
        <v>0.98287416232315705</v>
      </c>
    </row>
    <row r="91" spans="1:10" ht="15.6" x14ac:dyDescent="0.3">
      <c r="A91" s="130" t="s">
        <v>126</v>
      </c>
      <c r="B91" s="6" t="s">
        <v>102</v>
      </c>
      <c r="C91" s="6">
        <v>2.5299999999999998</v>
      </c>
      <c r="D91" s="29"/>
      <c r="E91" s="6"/>
      <c r="F91" s="29">
        <v>1094</v>
      </c>
      <c r="G91" s="6">
        <v>1.84</v>
      </c>
      <c r="H91" s="29">
        <v>1.96</v>
      </c>
      <c r="I91" s="6">
        <v>1.72</v>
      </c>
      <c r="J91" s="30">
        <v>1.71</v>
      </c>
    </row>
    <row r="92" spans="1:10" ht="15.6" x14ac:dyDescent="0.3">
      <c r="A92" s="130"/>
      <c r="B92" s="2" t="s">
        <v>103</v>
      </c>
      <c r="C92" s="2">
        <v>2.4500000000000002</v>
      </c>
      <c r="D92" s="19"/>
      <c r="E92" s="2"/>
      <c r="F92" s="19">
        <v>1.89</v>
      </c>
      <c r="G92" s="2">
        <v>1.8</v>
      </c>
      <c r="H92" s="19">
        <v>1.9</v>
      </c>
      <c r="I92" s="2">
        <v>1.68</v>
      </c>
      <c r="J92" s="20">
        <v>1.66</v>
      </c>
    </row>
    <row r="93" spans="1:10" ht="15.6" x14ac:dyDescent="0.3">
      <c r="A93" s="130"/>
      <c r="B93" s="25" t="s">
        <v>104</v>
      </c>
      <c r="C93" s="26">
        <f t="shared" ref="C93:J93" si="27">IF(OR(C91="",C92=""),"",C92/C91)</f>
        <v>0.96837944664031639</v>
      </c>
      <c r="D93" s="27" t="str">
        <f t="shared" si="27"/>
        <v/>
      </c>
      <c r="E93" s="26" t="str">
        <f t="shared" si="27"/>
        <v/>
      </c>
      <c r="F93" s="27">
        <f t="shared" si="27"/>
        <v>1.7276051188299816E-3</v>
      </c>
      <c r="G93" s="26">
        <f t="shared" si="27"/>
        <v>0.97826086956521741</v>
      </c>
      <c r="H93" s="27">
        <f t="shared" si="27"/>
        <v>0.96938775510204078</v>
      </c>
      <c r="I93" s="26">
        <f t="shared" si="27"/>
        <v>0.97674418604651159</v>
      </c>
      <c r="J93" s="28">
        <f t="shared" si="27"/>
        <v>0.9707602339181286</v>
      </c>
    </row>
    <row r="94" spans="1:10" ht="15.6" x14ac:dyDescent="0.3">
      <c r="A94" s="130" t="s">
        <v>127</v>
      </c>
      <c r="B94" s="6" t="s">
        <v>102</v>
      </c>
      <c r="C94" s="6"/>
      <c r="D94" s="29"/>
      <c r="E94" s="6"/>
      <c r="F94" s="29">
        <v>2.97</v>
      </c>
      <c r="G94" s="6">
        <v>2.82</v>
      </c>
      <c r="H94" s="29">
        <v>3</v>
      </c>
      <c r="I94" s="6">
        <v>2.64</v>
      </c>
      <c r="J94" s="30">
        <v>2.62</v>
      </c>
    </row>
    <row r="95" spans="1:10" ht="15.6" x14ac:dyDescent="0.3">
      <c r="A95" s="130"/>
      <c r="B95" s="2" t="s">
        <v>103</v>
      </c>
      <c r="C95" s="2"/>
      <c r="D95" s="19"/>
      <c r="E95" s="2"/>
      <c r="F95" s="19">
        <v>2.91</v>
      </c>
      <c r="G95" s="2">
        <v>2.77</v>
      </c>
      <c r="H95" s="19">
        <v>2.92</v>
      </c>
      <c r="I95" s="2">
        <v>2.58</v>
      </c>
      <c r="J95" s="20">
        <v>2.56</v>
      </c>
    </row>
    <row r="96" spans="1:10" ht="15.6" x14ac:dyDescent="0.3">
      <c r="A96" s="130"/>
      <c r="B96" s="25" t="s">
        <v>104</v>
      </c>
      <c r="C96" s="26" t="str">
        <f t="shared" ref="C96:J96" si="28">IF(OR(C94="",C95=""),"",C95/C94)</f>
        <v/>
      </c>
      <c r="D96" s="27" t="str">
        <f t="shared" si="28"/>
        <v/>
      </c>
      <c r="E96" s="26" t="str">
        <f t="shared" si="28"/>
        <v/>
      </c>
      <c r="F96" s="27">
        <f t="shared" si="28"/>
        <v>0.97979797979797978</v>
      </c>
      <c r="G96" s="26">
        <f t="shared" si="28"/>
        <v>0.98226950354609932</v>
      </c>
      <c r="H96" s="27">
        <f t="shared" si="28"/>
        <v>0.97333333333333327</v>
      </c>
      <c r="I96" s="26">
        <f t="shared" si="28"/>
        <v>0.97727272727272729</v>
      </c>
      <c r="J96" s="28">
        <f t="shared" si="28"/>
        <v>0.97709923664122134</v>
      </c>
    </row>
    <row r="97" spans="1:10" ht="15.6" x14ac:dyDescent="0.3">
      <c r="A97" s="130" t="s">
        <v>128</v>
      </c>
      <c r="B97" s="6" t="s">
        <v>102</v>
      </c>
      <c r="C97" s="6"/>
      <c r="D97" s="29"/>
      <c r="E97" s="6"/>
      <c r="F97" s="29">
        <v>4.25</v>
      </c>
      <c r="G97" s="6">
        <v>4.04</v>
      </c>
      <c r="H97" s="29">
        <v>4.3</v>
      </c>
      <c r="I97" s="6">
        <v>3.78</v>
      </c>
      <c r="J97" s="30">
        <v>3.76</v>
      </c>
    </row>
    <row r="98" spans="1:10" ht="15.6" x14ac:dyDescent="0.3">
      <c r="A98" s="130"/>
      <c r="B98" s="2" t="s">
        <v>103</v>
      </c>
      <c r="C98" s="2"/>
      <c r="D98" s="19"/>
      <c r="E98" s="2"/>
      <c r="F98" s="19">
        <v>4.17</v>
      </c>
      <c r="G98" s="2">
        <v>3.97</v>
      </c>
      <c r="H98" s="19">
        <v>4.1900000000000004</v>
      </c>
      <c r="I98" s="2">
        <v>3.7</v>
      </c>
      <c r="J98" s="20">
        <v>3.67</v>
      </c>
    </row>
    <row r="99" spans="1:10" ht="15.6" x14ac:dyDescent="0.3">
      <c r="A99" s="130"/>
      <c r="B99" s="25" t="s">
        <v>104</v>
      </c>
      <c r="C99" s="26" t="str">
        <f t="shared" ref="C99:J99" si="29">IF(OR(C97="",C98=""),"",C98/C97)</f>
        <v/>
      </c>
      <c r="D99" s="27" t="str">
        <f t="shared" si="29"/>
        <v/>
      </c>
      <c r="E99" s="26" t="str">
        <f t="shared" si="29"/>
        <v/>
      </c>
      <c r="F99" s="27">
        <f t="shared" si="29"/>
        <v>0.98117647058823532</v>
      </c>
      <c r="G99" s="26">
        <f t="shared" si="29"/>
        <v>0.98267326732673266</v>
      </c>
      <c r="H99" s="27">
        <f t="shared" si="29"/>
        <v>0.97441860465116292</v>
      </c>
      <c r="I99" s="26">
        <f t="shared" si="29"/>
        <v>0.97883597883597895</v>
      </c>
      <c r="J99" s="28">
        <f t="shared" si="29"/>
        <v>0.97606382978723405</v>
      </c>
    </row>
    <row r="100" spans="1:10" ht="15.6" x14ac:dyDescent="0.3">
      <c r="A100" s="130" t="s">
        <v>129</v>
      </c>
      <c r="B100" s="6" t="s">
        <v>102</v>
      </c>
      <c r="C100" s="6"/>
      <c r="D100" s="29"/>
      <c r="E100" s="6"/>
      <c r="F100" s="29">
        <v>5.77</v>
      </c>
      <c r="G100" s="6">
        <v>5.49</v>
      </c>
      <c r="H100" s="29">
        <v>5.84</v>
      </c>
      <c r="I100" s="6">
        <v>4.1399999999999997</v>
      </c>
      <c r="J100" s="30">
        <v>5.1100000000000003</v>
      </c>
    </row>
    <row r="101" spans="1:10" ht="15.6" x14ac:dyDescent="0.3">
      <c r="A101" s="130"/>
      <c r="B101" s="2" t="s">
        <v>103</v>
      </c>
      <c r="C101" s="2"/>
      <c r="D101" s="19"/>
      <c r="E101" s="2"/>
      <c r="F101" s="19">
        <v>5.69</v>
      </c>
      <c r="G101" s="2">
        <v>5.42</v>
      </c>
      <c r="H101" s="19">
        <v>5.71</v>
      </c>
      <c r="I101" s="2">
        <v>5.05</v>
      </c>
      <c r="J101" s="20">
        <v>5.01</v>
      </c>
    </row>
    <row r="102" spans="1:10" ht="15.6" x14ac:dyDescent="0.3">
      <c r="A102" s="130"/>
      <c r="B102" s="25" t="s">
        <v>104</v>
      </c>
      <c r="C102" s="26" t="str">
        <f t="shared" ref="C102:J102" si="30">IF(OR(C100="",C101=""),"",C101/C100)</f>
        <v/>
      </c>
      <c r="D102" s="27" t="str">
        <f t="shared" si="30"/>
        <v/>
      </c>
      <c r="E102" s="26" t="str">
        <f t="shared" si="30"/>
        <v/>
      </c>
      <c r="F102" s="27">
        <f t="shared" si="30"/>
        <v>0.98613518197573669</v>
      </c>
      <c r="G102" s="26">
        <f t="shared" si="30"/>
        <v>0.98724954462659376</v>
      </c>
      <c r="H102" s="27">
        <f t="shared" si="30"/>
        <v>0.97773972602739723</v>
      </c>
      <c r="I102" s="26">
        <f t="shared" si="30"/>
        <v>1.2198067632850242</v>
      </c>
      <c r="J102" s="28">
        <f t="shared" si="30"/>
        <v>0.98043052837573375</v>
      </c>
    </row>
    <row r="103" spans="1:10" ht="15.6" x14ac:dyDescent="0.3">
      <c r="A103" s="130" t="s">
        <v>130</v>
      </c>
      <c r="B103" s="6" t="s">
        <v>102</v>
      </c>
      <c r="C103" s="6">
        <v>9.8699999999999992</v>
      </c>
      <c r="D103" s="29"/>
      <c r="E103" s="6"/>
      <c r="F103" s="29">
        <v>7.55</v>
      </c>
      <c r="G103" s="6">
        <v>7.18</v>
      </c>
      <c r="H103" s="29">
        <v>7.64</v>
      </c>
      <c r="I103" s="6">
        <v>6.73</v>
      </c>
      <c r="J103" s="30">
        <v>6.68</v>
      </c>
    </row>
    <row r="104" spans="1:10" ht="15.6" x14ac:dyDescent="0.3">
      <c r="A104" s="130"/>
      <c r="B104" s="2" t="s">
        <v>103</v>
      </c>
      <c r="C104" s="2">
        <v>9.68</v>
      </c>
      <c r="D104" s="19"/>
      <c r="E104" s="2"/>
      <c r="F104" s="19">
        <v>7.48</v>
      </c>
      <c r="G104" s="2">
        <v>7.12</v>
      </c>
      <c r="H104" s="19">
        <v>7.5</v>
      </c>
      <c r="I104" s="2">
        <v>6.63</v>
      </c>
      <c r="J104" s="20">
        <v>6.58</v>
      </c>
    </row>
    <row r="105" spans="1:10" ht="15.6" x14ac:dyDescent="0.3">
      <c r="A105" s="130"/>
      <c r="B105" s="25" t="s">
        <v>104</v>
      </c>
      <c r="C105" s="26">
        <f t="shared" ref="C105:J105" si="31">IF(OR(C103="",C104=""),"",C104/C103)</f>
        <v>0.98074974670719361</v>
      </c>
      <c r="D105" s="27" t="str">
        <f t="shared" si="31"/>
        <v/>
      </c>
      <c r="E105" s="26" t="str">
        <f t="shared" si="31"/>
        <v/>
      </c>
      <c r="F105" s="27">
        <f t="shared" si="31"/>
        <v>0.99072847682119214</v>
      </c>
      <c r="G105" s="26">
        <f t="shared" si="31"/>
        <v>0.99164345403899723</v>
      </c>
      <c r="H105" s="27">
        <f t="shared" si="31"/>
        <v>0.98167539267015713</v>
      </c>
      <c r="I105" s="26">
        <f t="shared" si="31"/>
        <v>0.98514115898959875</v>
      </c>
      <c r="J105" s="28">
        <f t="shared" si="31"/>
        <v>0.98502994011976053</v>
      </c>
    </row>
    <row r="106" spans="1:10" ht="15.6" x14ac:dyDescent="0.3">
      <c r="A106" s="130" t="s">
        <v>131</v>
      </c>
      <c r="B106" s="6" t="s">
        <v>102</v>
      </c>
      <c r="C106" s="6"/>
      <c r="D106" s="29"/>
      <c r="E106" s="6"/>
      <c r="F106" s="29">
        <v>9.58</v>
      </c>
      <c r="G106" s="6">
        <v>9.11</v>
      </c>
      <c r="H106" s="29">
        <v>9.69</v>
      </c>
      <c r="I106" s="6">
        <v>8.5299999999999994</v>
      </c>
      <c r="J106" s="30">
        <v>8.4700000000000006</v>
      </c>
    </row>
    <row r="107" spans="1:10" ht="15.6" x14ac:dyDescent="0.3">
      <c r="A107" s="130"/>
      <c r="B107" s="2" t="s">
        <v>103</v>
      </c>
      <c r="C107" s="2"/>
      <c r="D107" s="19"/>
      <c r="E107" s="2"/>
      <c r="F107" s="19">
        <v>9.51</v>
      </c>
      <c r="G107" s="2">
        <v>9.0500000000000007</v>
      </c>
      <c r="H107" s="19">
        <v>9.5500000000000007</v>
      </c>
      <c r="I107" s="2">
        <v>8.43</v>
      </c>
      <c r="J107" s="20">
        <v>8.3699999999999992</v>
      </c>
    </row>
    <row r="108" spans="1:10" ht="15.6" x14ac:dyDescent="0.3">
      <c r="A108" s="130"/>
      <c r="B108" s="25" t="s">
        <v>104</v>
      </c>
      <c r="C108" s="26" t="str">
        <f t="shared" ref="C108:J108" si="32">IF(OR(C106="",C107=""),"",C107/C106)</f>
        <v/>
      </c>
      <c r="D108" s="27" t="str">
        <f t="shared" si="32"/>
        <v/>
      </c>
      <c r="E108" s="26" t="str">
        <f t="shared" si="32"/>
        <v/>
      </c>
      <c r="F108" s="27">
        <f t="shared" si="32"/>
        <v>0.99269311064718158</v>
      </c>
      <c r="G108" s="26">
        <f t="shared" si="32"/>
        <v>0.99341383095499469</v>
      </c>
      <c r="H108" s="27">
        <f t="shared" si="32"/>
        <v>0.98555211558307543</v>
      </c>
      <c r="I108" s="26">
        <f t="shared" si="32"/>
        <v>0.98827667057444313</v>
      </c>
      <c r="J108" s="28">
        <f t="shared" si="32"/>
        <v>0.98819362455726079</v>
      </c>
    </row>
    <row r="109" spans="1:10" ht="15.6" x14ac:dyDescent="0.3">
      <c r="A109" s="130" t="s">
        <v>132</v>
      </c>
      <c r="B109" s="6" t="s">
        <v>102</v>
      </c>
      <c r="C109" s="6"/>
      <c r="D109" s="29"/>
      <c r="E109" s="6"/>
      <c r="F109" s="29"/>
      <c r="G109" s="6"/>
      <c r="H109" s="29">
        <v>5.73</v>
      </c>
      <c r="I109" s="6">
        <v>5.0599999999999996</v>
      </c>
      <c r="J109" s="30">
        <v>5.0199999999999996</v>
      </c>
    </row>
    <row r="110" spans="1:10" ht="15.6" x14ac:dyDescent="0.3">
      <c r="A110" s="130"/>
      <c r="B110" s="2" t="s">
        <v>103</v>
      </c>
      <c r="C110" s="2"/>
      <c r="D110" s="19"/>
      <c r="E110" s="2"/>
      <c r="F110" s="19"/>
      <c r="G110" s="2"/>
      <c r="H110" s="19">
        <v>5.67</v>
      </c>
      <c r="I110" s="2">
        <v>5.0199999999999996</v>
      </c>
      <c r="J110" s="20">
        <v>4.9800000000000004</v>
      </c>
    </row>
    <row r="111" spans="1:10" ht="15.6" x14ac:dyDescent="0.3">
      <c r="A111" s="130"/>
      <c r="B111" s="25" t="s">
        <v>104</v>
      </c>
      <c r="C111" s="26" t="str">
        <f t="shared" ref="C111:J111" si="33">IF(OR(C109="",C110=""),"",C110/C109)</f>
        <v/>
      </c>
      <c r="D111" s="27" t="str">
        <f t="shared" si="33"/>
        <v/>
      </c>
      <c r="E111" s="26" t="str">
        <f t="shared" si="33"/>
        <v/>
      </c>
      <c r="F111" s="27" t="str">
        <f t="shared" si="33"/>
        <v/>
      </c>
      <c r="G111" s="26" t="str">
        <f t="shared" si="33"/>
        <v/>
      </c>
      <c r="H111" s="27">
        <f t="shared" si="33"/>
        <v>0.9895287958115182</v>
      </c>
      <c r="I111" s="26">
        <f t="shared" si="33"/>
        <v>0.9920948616600791</v>
      </c>
      <c r="J111" s="28">
        <f t="shared" si="33"/>
        <v>0.99203187250996028</v>
      </c>
    </row>
    <row r="112" spans="1:10" ht="15.6" x14ac:dyDescent="0.3">
      <c r="A112" s="133" t="s">
        <v>133</v>
      </c>
      <c r="B112" s="45" t="s">
        <v>102</v>
      </c>
      <c r="C112" s="45"/>
      <c r="D112" s="46"/>
      <c r="E112" s="45"/>
      <c r="F112" s="46"/>
      <c r="G112" s="45"/>
      <c r="H112" s="46"/>
      <c r="I112" s="45"/>
      <c r="J112" s="47"/>
    </row>
    <row r="113" spans="1:10" ht="15.6" x14ac:dyDescent="0.3">
      <c r="A113" s="133"/>
      <c r="B113" s="48" t="s">
        <v>103</v>
      </c>
      <c r="C113" s="48"/>
      <c r="D113" s="49"/>
      <c r="E113" s="48"/>
      <c r="F113" s="49"/>
      <c r="G113" s="48"/>
      <c r="H113" s="49"/>
      <c r="I113" s="48"/>
      <c r="J113" s="50"/>
    </row>
    <row r="114" spans="1:10" ht="15.6" x14ac:dyDescent="0.3">
      <c r="A114" s="133"/>
      <c r="B114" s="51" t="s">
        <v>104</v>
      </c>
      <c r="C114" s="52" t="str">
        <f t="shared" ref="C114:J114" si="34">IF(OR(C112="",C113=""),"",C113/C112)</f>
        <v/>
      </c>
      <c r="D114" s="53" t="str">
        <f t="shared" si="34"/>
        <v/>
      </c>
      <c r="E114" s="52" t="str">
        <f t="shared" si="34"/>
        <v/>
      </c>
      <c r="F114" s="53" t="str">
        <f t="shared" si="34"/>
        <v/>
      </c>
      <c r="G114" s="52" t="str">
        <f t="shared" si="34"/>
        <v/>
      </c>
      <c r="H114" s="53" t="str">
        <f t="shared" si="34"/>
        <v/>
      </c>
      <c r="I114" s="52" t="str">
        <f t="shared" si="34"/>
        <v/>
      </c>
      <c r="J114" s="54" t="str">
        <f t="shared" si="34"/>
        <v/>
      </c>
    </row>
    <row r="115" spans="1:10" ht="15.6" x14ac:dyDescent="0.3">
      <c r="A115" s="133" t="s">
        <v>134</v>
      </c>
      <c r="B115" s="45" t="s">
        <v>102</v>
      </c>
      <c r="C115" s="45"/>
      <c r="D115" s="46"/>
      <c r="E115" s="45"/>
      <c r="F115" s="46"/>
      <c r="G115" s="45"/>
      <c r="H115" s="46"/>
      <c r="I115" s="45"/>
      <c r="J115" s="47"/>
    </row>
    <row r="116" spans="1:10" ht="15.6" x14ac:dyDescent="0.3">
      <c r="A116" s="133"/>
      <c r="B116" s="48" t="s">
        <v>103</v>
      </c>
      <c r="C116" s="48"/>
      <c r="D116" s="49"/>
      <c r="E116" s="48"/>
      <c r="F116" s="49"/>
      <c r="G116" s="48"/>
      <c r="H116" s="49"/>
      <c r="I116" s="48"/>
      <c r="J116" s="50"/>
    </row>
    <row r="117" spans="1:10" ht="15.6" x14ac:dyDescent="0.3">
      <c r="A117" s="133"/>
      <c r="B117" s="51" t="s">
        <v>104</v>
      </c>
      <c r="C117" s="52" t="str">
        <f t="shared" ref="C117:J117" si="35">IF(OR(C115="",C116=""),"",C116/C115)</f>
        <v/>
      </c>
      <c r="D117" s="53" t="str">
        <f t="shared" si="35"/>
        <v/>
      </c>
      <c r="E117" s="52" t="str">
        <f t="shared" si="35"/>
        <v/>
      </c>
      <c r="F117" s="53" t="str">
        <f t="shared" si="35"/>
        <v/>
      </c>
      <c r="G117" s="52" t="str">
        <f t="shared" si="35"/>
        <v/>
      </c>
      <c r="H117" s="53" t="str">
        <f t="shared" si="35"/>
        <v/>
      </c>
      <c r="I117" s="52" t="str">
        <f t="shared" si="35"/>
        <v/>
      </c>
      <c r="J117" s="54" t="str">
        <f t="shared" si="35"/>
        <v/>
      </c>
    </row>
    <row r="119" spans="1:10" ht="15.6" x14ac:dyDescent="0.3">
      <c r="A119" s="8" t="s">
        <v>135</v>
      </c>
    </row>
    <row r="120" spans="1:10" ht="15.6" x14ac:dyDescent="0.3">
      <c r="B120" s="15" t="s">
        <v>100</v>
      </c>
      <c r="C120" s="4" t="s">
        <v>26</v>
      </c>
      <c r="D120" s="16" t="s">
        <v>14</v>
      </c>
      <c r="E120" s="4" t="s">
        <v>18</v>
      </c>
      <c r="F120" s="16" t="s">
        <v>68</v>
      </c>
      <c r="G120" s="4" t="s">
        <v>27</v>
      </c>
      <c r="H120" s="16" t="s">
        <v>22</v>
      </c>
      <c r="I120" s="4" t="s">
        <v>22</v>
      </c>
      <c r="J120" s="17" t="s">
        <v>40</v>
      </c>
    </row>
    <row r="121" spans="1:10" ht="15.6" x14ac:dyDescent="0.3">
      <c r="B121" s="41" t="s">
        <v>101</v>
      </c>
      <c r="C121" s="42" t="s">
        <v>26</v>
      </c>
      <c r="D121" s="43" t="s">
        <v>14</v>
      </c>
      <c r="E121" s="42" t="s">
        <v>18</v>
      </c>
      <c r="F121" s="43" t="s">
        <v>68</v>
      </c>
      <c r="G121" s="42" t="s">
        <v>27</v>
      </c>
      <c r="H121" s="43" t="s">
        <v>21</v>
      </c>
      <c r="I121" s="42" t="s">
        <v>22</v>
      </c>
      <c r="J121" s="44" t="s">
        <v>22</v>
      </c>
    </row>
    <row r="122" spans="1:10" ht="15.6" x14ac:dyDescent="0.3">
      <c r="A122" s="7" t="s">
        <v>6</v>
      </c>
      <c r="B122" s="21"/>
      <c r="C122" s="22"/>
      <c r="D122" s="23"/>
      <c r="E122" s="22"/>
      <c r="F122" s="23"/>
      <c r="G122" s="22"/>
      <c r="H122" s="23"/>
      <c r="I122" s="22"/>
      <c r="J122" s="24"/>
    </row>
    <row r="123" spans="1:10" ht="15.6" x14ac:dyDescent="0.3">
      <c r="A123" s="130">
        <v>70</v>
      </c>
      <c r="B123" s="2" t="s">
        <v>102</v>
      </c>
      <c r="C123" s="2"/>
      <c r="D123" s="19"/>
      <c r="E123" s="2">
        <v>0.69</v>
      </c>
      <c r="F123" s="19"/>
      <c r="G123" s="2"/>
      <c r="H123" s="19">
        <v>0.97</v>
      </c>
      <c r="I123" s="2">
        <v>0.86</v>
      </c>
      <c r="J123" s="20">
        <v>0.85</v>
      </c>
    </row>
    <row r="124" spans="1:10" ht="15.6" x14ac:dyDescent="0.3">
      <c r="A124" s="130"/>
      <c r="B124" s="2" t="s">
        <v>103</v>
      </c>
      <c r="C124" s="2"/>
      <c r="D124" s="19"/>
      <c r="E124" s="2">
        <v>1.37</v>
      </c>
      <c r="F124" s="19"/>
      <c r="G124" s="2"/>
      <c r="H124" s="19">
        <v>1.94</v>
      </c>
      <c r="I124" s="2">
        <v>1.72</v>
      </c>
      <c r="J124" s="20">
        <v>1.7</v>
      </c>
    </row>
    <row r="125" spans="1:10" ht="15.6" x14ac:dyDescent="0.3">
      <c r="A125" s="130"/>
      <c r="B125" s="25" t="s">
        <v>104</v>
      </c>
      <c r="C125" s="26" t="str">
        <f t="shared" ref="C125:J125" si="36">IF(OR(C123="",C124=""),"",C124/C123)</f>
        <v/>
      </c>
      <c r="D125" s="27" t="str">
        <f t="shared" si="36"/>
        <v/>
      </c>
      <c r="E125" s="26">
        <f t="shared" si="36"/>
        <v>1.985507246376812</v>
      </c>
      <c r="F125" s="27" t="str">
        <f t="shared" si="36"/>
        <v/>
      </c>
      <c r="G125" s="26" t="str">
        <f t="shared" si="36"/>
        <v/>
      </c>
      <c r="H125" s="27">
        <f t="shared" si="36"/>
        <v>2</v>
      </c>
      <c r="I125" s="26">
        <f t="shared" si="36"/>
        <v>2</v>
      </c>
      <c r="J125" s="28">
        <f t="shared" si="36"/>
        <v>2</v>
      </c>
    </row>
    <row r="126" spans="1:10" ht="15.6" x14ac:dyDescent="0.3">
      <c r="A126" s="130">
        <v>80</v>
      </c>
      <c r="B126" s="6" t="s">
        <v>102</v>
      </c>
      <c r="C126" s="6"/>
      <c r="D126" s="29"/>
      <c r="E126" s="6">
        <v>1.18</v>
      </c>
      <c r="F126" s="29"/>
      <c r="G126" s="6"/>
      <c r="H126" s="29">
        <v>1.66</v>
      </c>
      <c r="I126" s="6">
        <v>1.46</v>
      </c>
      <c r="J126" s="30">
        <v>1.45</v>
      </c>
    </row>
    <row r="127" spans="1:10" ht="15.6" x14ac:dyDescent="0.3">
      <c r="A127" s="130"/>
      <c r="B127" s="2" t="s">
        <v>103</v>
      </c>
      <c r="C127" s="2"/>
      <c r="D127" s="19"/>
      <c r="E127" s="2">
        <v>2.16</v>
      </c>
      <c r="F127" s="19"/>
      <c r="G127" s="2"/>
      <c r="H127" s="19">
        <v>3.05</v>
      </c>
      <c r="I127" s="2">
        <v>2.7</v>
      </c>
      <c r="J127" s="20">
        <v>2.68</v>
      </c>
    </row>
    <row r="128" spans="1:10" ht="15.6" x14ac:dyDescent="0.3">
      <c r="A128" s="130"/>
      <c r="B128" s="25" t="s">
        <v>104</v>
      </c>
      <c r="C128" s="26" t="str">
        <f t="shared" ref="C128:J128" si="37">IF(OR(C126="",C127=""),"",C127/C126)</f>
        <v/>
      </c>
      <c r="D128" s="27" t="str">
        <f t="shared" si="37"/>
        <v/>
      </c>
      <c r="E128" s="26">
        <f t="shared" si="37"/>
        <v>1.8305084745762714</v>
      </c>
      <c r="F128" s="27" t="str">
        <f t="shared" si="37"/>
        <v/>
      </c>
      <c r="G128" s="26" t="str">
        <f t="shared" si="37"/>
        <v/>
      </c>
      <c r="H128" s="27">
        <f t="shared" si="37"/>
        <v>1.8373493975903614</v>
      </c>
      <c r="I128" s="26">
        <f t="shared" si="37"/>
        <v>1.8493150684931507</v>
      </c>
      <c r="J128" s="28">
        <f t="shared" si="37"/>
        <v>1.8482758620689657</v>
      </c>
    </row>
    <row r="129" spans="1:10" ht="15.6" x14ac:dyDescent="0.3">
      <c r="A129" s="130">
        <v>90</v>
      </c>
      <c r="B129" s="6" t="s">
        <v>102</v>
      </c>
      <c r="C129" s="6"/>
      <c r="D129" s="29"/>
      <c r="E129" s="6">
        <v>1.79</v>
      </c>
      <c r="F129" s="29"/>
      <c r="G129" s="6"/>
      <c r="H129" s="29">
        <v>2.52</v>
      </c>
      <c r="I129" s="6">
        <v>2.21</v>
      </c>
      <c r="J129" s="30">
        <v>2.2000000000000002</v>
      </c>
    </row>
    <row r="130" spans="1:10" ht="15.6" x14ac:dyDescent="0.3">
      <c r="A130" s="130"/>
      <c r="B130" s="2" t="s">
        <v>103</v>
      </c>
      <c r="C130" s="2"/>
      <c r="D130" s="19"/>
      <c r="E130" s="2">
        <v>3.11</v>
      </c>
      <c r="F130" s="19"/>
      <c r="G130" s="2"/>
      <c r="H130" s="19">
        <v>4.3899999999999997</v>
      </c>
      <c r="I130" s="2">
        <v>3.89</v>
      </c>
      <c r="J130" s="20">
        <v>3.86</v>
      </c>
    </row>
    <row r="131" spans="1:10" ht="15.6" x14ac:dyDescent="0.3">
      <c r="A131" s="130"/>
      <c r="B131" s="25" t="s">
        <v>104</v>
      </c>
      <c r="C131" s="26" t="str">
        <f t="shared" ref="C131:J131" si="38">IF(OR(C129="",C130=""),"",C130/C129)</f>
        <v/>
      </c>
      <c r="D131" s="27" t="str">
        <f t="shared" si="38"/>
        <v/>
      </c>
      <c r="E131" s="26">
        <f t="shared" si="38"/>
        <v>1.7374301675977653</v>
      </c>
      <c r="F131" s="27" t="str">
        <f t="shared" si="38"/>
        <v/>
      </c>
      <c r="G131" s="26" t="str">
        <f t="shared" si="38"/>
        <v/>
      </c>
      <c r="H131" s="27">
        <f t="shared" si="38"/>
        <v>1.7420634920634919</v>
      </c>
      <c r="I131" s="26">
        <f t="shared" si="38"/>
        <v>1.7601809954751133</v>
      </c>
      <c r="J131" s="28">
        <f t="shared" si="38"/>
        <v>1.7545454545454544</v>
      </c>
    </row>
    <row r="132" spans="1:10" ht="15.6" x14ac:dyDescent="0.3">
      <c r="A132" s="130">
        <v>100</v>
      </c>
      <c r="B132" s="6" t="s">
        <v>102</v>
      </c>
      <c r="C132" s="6"/>
      <c r="D132" s="29"/>
      <c r="E132" s="6">
        <v>2.5099999999999998</v>
      </c>
      <c r="F132" s="29"/>
      <c r="G132" s="6"/>
      <c r="H132" s="29">
        <v>3.54</v>
      </c>
      <c r="I132" s="6">
        <v>3.1</v>
      </c>
      <c r="J132" s="30">
        <v>3.09</v>
      </c>
    </row>
    <row r="133" spans="1:10" ht="15.6" x14ac:dyDescent="0.3">
      <c r="A133" s="130"/>
      <c r="B133" s="2" t="s">
        <v>103</v>
      </c>
      <c r="C133" s="2"/>
      <c r="D133" s="19"/>
      <c r="E133" s="2">
        <v>4.21</v>
      </c>
      <c r="F133" s="19"/>
      <c r="G133" s="2"/>
      <c r="H133" s="19">
        <v>5.95</v>
      </c>
      <c r="I133" s="2">
        <v>5.27</v>
      </c>
      <c r="J133" s="20">
        <v>5.23</v>
      </c>
    </row>
    <row r="134" spans="1:10" ht="15.6" x14ac:dyDescent="0.3">
      <c r="A134" s="130"/>
      <c r="B134" s="25" t="s">
        <v>104</v>
      </c>
      <c r="C134" s="26" t="str">
        <f t="shared" ref="C134:J134" si="39">IF(OR(C132="",C133=""),"",C133/C132)</f>
        <v/>
      </c>
      <c r="D134" s="27" t="str">
        <f t="shared" si="39"/>
        <v/>
      </c>
      <c r="E134" s="26">
        <f t="shared" si="39"/>
        <v>1.6772908366533865</v>
      </c>
      <c r="F134" s="27" t="str">
        <f t="shared" si="39"/>
        <v/>
      </c>
      <c r="G134" s="26" t="str">
        <f t="shared" si="39"/>
        <v/>
      </c>
      <c r="H134" s="27">
        <f t="shared" si="39"/>
        <v>1.6807909604519775</v>
      </c>
      <c r="I134" s="26">
        <f t="shared" si="39"/>
        <v>1.6999999999999997</v>
      </c>
      <c r="J134" s="28">
        <f t="shared" si="39"/>
        <v>1.6925566343042073</v>
      </c>
    </row>
    <row r="135" spans="1:10" ht="15.6" x14ac:dyDescent="0.3">
      <c r="A135" s="130">
        <v>110</v>
      </c>
      <c r="B135" s="6" t="s">
        <v>102</v>
      </c>
      <c r="C135" s="6"/>
      <c r="D135" s="29"/>
      <c r="E135" s="6">
        <v>3.33</v>
      </c>
      <c r="F135" s="29"/>
      <c r="G135" s="6"/>
      <c r="H135" s="29">
        <v>4.68</v>
      </c>
      <c r="I135" s="6">
        <v>4.12</v>
      </c>
      <c r="J135" s="30">
        <v>4.09</v>
      </c>
    </row>
    <row r="136" spans="1:10" ht="15.6" x14ac:dyDescent="0.3">
      <c r="A136" s="130"/>
      <c r="B136" s="2" t="s">
        <v>103</v>
      </c>
      <c r="C136" s="2"/>
      <c r="D136" s="19"/>
      <c r="E136" s="2">
        <v>5.44</v>
      </c>
      <c r="F136" s="19"/>
      <c r="G136" s="2"/>
      <c r="H136" s="19">
        <v>7.69</v>
      </c>
      <c r="I136" s="2">
        <v>6.8</v>
      </c>
      <c r="J136" s="20">
        <v>6.75</v>
      </c>
    </row>
    <row r="137" spans="1:10" ht="15.6" x14ac:dyDescent="0.3">
      <c r="A137" s="130"/>
      <c r="B137" s="25" t="s">
        <v>104</v>
      </c>
      <c r="C137" s="26" t="str">
        <f t="shared" ref="C137:J137" si="40">IF(OR(C135="",C136=""),"",C136/C135)</f>
        <v/>
      </c>
      <c r="D137" s="27" t="str">
        <f t="shared" si="40"/>
        <v/>
      </c>
      <c r="E137" s="26">
        <f t="shared" si="40"/>
        <v>1.6336336336336337</v>
      </c>
      <c r="F137" s="27" t="str">
        <f t="shared" si="40"/>
        <v/>
      </c>
      <c r="G137" s="26" t="str">
        <f t="shared" si="40"/>
        <v/>
      </c>
      <c r="H137" s="27">
        <f t="shared" si="40"/>
        <v>1.6431623931623933</v>
      </c>
      <c r="I137" s="26">
        <f t="shared" si="40"/>
        <v>1.6504854368932038</v>
      </c>
      <c r="J137" s="28">
        <f t="shared" si="40"/>
        <v>1.6503667481662592</v>
      </c>
    </row>
    <row r="138" spans="1:10" ht="15.6" x14ac:dyDescent="0.3">
      <c r="A138" s="130">
        <v>120</v>
      </c>
      <c r="B138" s="6" t="s">
        <v>102</v>
      </c>
      <c r="C138" s="6"/>
      <c r="D138" s="29"/>
      <c r="E138" s="6">
        <v>4.2300000000000004</v>
      </c>
      <c r="F138" s="29"/>
      <c r="G138" s="6"/>
      <c r="H138" s="29">
        <v>5.97</v>
      </c>
      <c r="I138" s="6">
        <v>5.24</v>
      </c>
      <c r="J138" s="30">
        <v>5.2</v>
      </c>
    </row>
    <row r="139" spans="1:10" ht="15.6" x14ac:dyDescent="0.3">
      <c r="A139" s="130"/>
      <c r="B139" s="2" t="s">
        <v>103</v>
      </c>
      <c r="C139" s="2"/>
      <c r="D139" s="19"/>
      <c r="E139" s="2">
        <v>6.8</v>
      </c>
      <c r="F139" s="19"/>
      <c r="G139" s="2"/>
      <c r="H139" s="19">
        <v>9.61</v>
      </c>
      <c r="I139" s="2">
        <v>8.49</v>
      </c>
      <c r="J139" s="20">
        <v>8.42</v>
      </c>
    </row>
    <row r="140" spans="1:10" ht="15.6" x14ac:dyDescent="0.3">
      <c r="A140" s="130"/>
      <c r="B140" s="25" t="s">
        <v>104</v>
      </c>
      <c r="C140" s="26" t="str">
        <f t="shared" ref="C140:J140" si="41">IF(OR(C138="",C139=""),"",C139/C138)</f>
        <v/>
      </c>
      <c r="D140" s="27" t="str">
        <f t="shared" si="41"/>
        <v/>
      </c>
      <c r="E140" s="26">
        <f t="shared" si="41"/>
        <v>1.6075650118203308</v>
      </c>
      <c r="F140" s="27" t="str">
        <f t="shared" si="41"/>
        <v/>
      </c>
      <c r="G140" s="26" t="str">
        <f t="shared" si="41"/>
        <v/>
      </c>
      <c r="H140" s="27">
        <f t="shared" si="41"/>
        <v>1.6097152428810719</v>
      </c>
      <c r="I140" s="26">
        <f t="shared" si="41"/>
        <v>1.6202290076335877</v>
      </c>
      <c r="J140" s="28">
        <f t="shared" si="41"/>
        <v>1.6192307692307693</v>
      </c>
    </row>
    <row r="141" spans="1:10" ht="15.6" x14ac:dyDescent="0.3">
      <c r="A141" s="130">
        <v>130</v>
      </c>
      <c r="B141" s="6" t="s">
        <v>102</v>
      </c>
      <c r="C141" s="6"/>
      <c r="D141" s="29"/>
      <c r="E141" s="6">
        <v>5.22</v>
      </c>
      <c r="F141" s="29"/>
      <c r="G141" s="6"/>
      <c r="H141" s="29">
        <v>7.37</v>
      </c>
      <c r="I141" s="6">
        <v>6.46</v>
      </c>
      <c r="J141" s="30">
        <v>6.42</v>
      </c>
    </row>
    <row r="142" spans="1:10" ht="15.6" x14ac:dyDescent="0.3">
      <c r="A142" s="130"/>
      <c r="B142" s="2" t="s">
        <v>103</v>
      </c>
      <c r="C142" s="2"/>
      <c r="D142" s="19"/>
      <c r="E142" s="2">
        <v>8.26</v>
      </c>
      <c r="F142" s="19"/>
      <c r="G142" s="2"/>
      <c r="H142" s="19">
        <v>11.66</v>
      </c>
      <c r="I142" s="2">
        <v>10.31</v>
      </c>
      <c r="J142" s="20">
        <v>10.23</v>
      </c>
    </row>
    <row r="143" spans="1:10" ht="15.6" x14ac:dyDescent="0.3">
      <c r="A143" s="130"/>
      <c r="B143" s="25" t="s">
        <v>104</v>
      </c>
      <c r="C143" s="26" t="str">
        <f t="shared" ref="C143:J143" si="42">IF(OR(C141="",C142=""),"",C142/C141)</f>
        <v/>
      </c>
      <c r="D143" s="27" t="str">
        <f t="shared" si="42"/>
        <v/>
      </c>
      <c r="E143" s="26">
        <f t="shared" si="42"/>
        <v>1.5823754789272031</v>
      </c>
      <c r="F143" s="27" t="str">
        <f t="shared" si="42"/>
        <v/>
      </c>
      <c r="G143" s="26" t="str">
        <f t="shared" si="42"/>
        <v/>
      </c>
      <c r="H143" s="27">
        <f t="shared" si="42"/>
        <v>1.5820895522388059</v>
      </c>
      <c r="I143" s="26">
        <f t="shared" si="42"/>
        <v>1.5959752321981424</v>
      </c>
      <c r="J143" s="28">
        <f t="shared" si="42"/>
        <v>1.5934579439252337</v>
      </c>
    </row>
    <row r="144" spans="1:10" ht="15.6" x14ac:dyDescent="0.3">
      <c r="A144" s="130">
        <v>140</v>
      </c>
      <c r="B144" s="6" t="s">
        <v>102</v>
      </c>
      <c r="C144" s="6"/>
      <c r="D144" s="29"/>
      <c r="E144" s="6">
        <v>6.29</v>
      </c>
      <c r="F144" s="29"/>
      <c r="G144" s="6"/>
      <c r="H144" s="29">
        <v>8.8699999999999992</v>
      </c>
      <c r="I144" s="6">
        <v>7.8</v>
      </c>
      <c r="J144" s="30">
        <v>7.73</v>
      </c>
    </row>
    <row r="145" spans="1:10" ht="15.6" x14ac:dyDescent="0.3">
      <c r="A145" s="130"/>
      <c r="B145" s="2" t="s">
        <v>103</v>
      </c>
      <c r="C145" s="2"/>
      <c r="D145" s="19"/>
      <c r="E145" s="2">
        <v>9.82</v>
      </c>
      <c r="F145" s="19"/>
      <c r="G145" s="2"/>
      <c r="H145" s="19">
        <v>13.88</v>
      </c>
      <c r="I145" s="2">
        <v>12.27</v>
      </c>
      <c r="J145" s="20">
        <v>12.15</v>
      </c>
    </row>
    <row r="146" spans="1:10" ht="15.6" x14ac:dyDescent="0.3">
      <c r="A146" s="130"/>
      <c r="B146" s="25" t="s">
        <v>104</v>
      </c>
      <c r="C146" s="26" t="str">
        <f t="shared" ref="C146:J146" si="43">IF(OR(C144="",C145=""),"",C145/C144)</f>
        <v/>
      </c>
      <c r="D146" s="27" t="str">
        <f t="shared" si="43"/>
        <v/>
      </c>
      <c r="E146" s="26">
        <f t="shared" si="43"/>
        <v>1.56120826709062</v>
      </c>
      <c r="F146" s="27" t="str">
        <f t="shared" si="43"/>
        <v/>
      </c>
      <c r="G146" s="26" t="str">
        <f t="shared" si="43"/>
        <v/>
      </c>
      <c r="H146" s="27">
        <f t="shared" si="43"/>
        <v>1.5648252536640364</v>
      </c>
      <c r="I146" s="26">
        <f t="shared" si="43"/>
        <v>1.573076923076923</v>
      </c>
      <c r="J146" s="28">
        <f t="shared" si="43"/>
        <v>1.5717981888745149</v>
      </c>
    </row>
    <row r="147" spans="1:10" ht="15.6" x14ac:dyDescent="0.3">
      <c r="A147" s="130">
        <v>150</v>
      </c>
      <c r="B147" s="6" t="s">
        <v>102</v>
      </c>
      <c r="C147" s="6"/>
      <c r="D147" s="29"/>
      <c r="E147" s="6">
        <v>7.43</v>
      </c>
      <c r="F147" s="29"/>
      <c r="G147" s="6"/>
      <c r="H147" s="29">
        <v>10.49</v>
      </c>
      <c r="I147" s="6">
        <v>9.23</v>
      </c>
      <c r="J147" s="30">
        <v>9.15</v>
      </c>
    </row>
    <row r="148" spans="1:10" ht="15.6" x14ac:dyDescent="0.3">
      <c r="A148" s="130"/>
      <c r="B148" s="2" t="s">
        <v>103</v>
      </c>
      <c r="C148" s="2"/>
      <c r="D148" s="19"/>
      <c r="E148" s="2">
        <v>11.51</v>
      </c>
      <c r="F148" s="19"/>
      <c r="G148" s="2"/>
      <c r="H148" s="19">
        <v>16.23</v>
      </c>
      <c r="I148" s="2">
        <v>14.37</v>
      </c>
      <c r="J148" s="20">
        <v>14.23</v>
      </c>
    </row>
    <row r="149" spans="1:10" ht="15.6" x14ac:dyDescent="0.3">
      <c r="A149" s="130"/>
      <c r="B149" s="25" t="s">
        <v>104</v>
      </c>
      <c r="C149" s="26" t="str">
        <f t="shared" ref="C149:J149" si="44">IF(OR(C147="",C148=""),"",C148/C147)</f>
        <v/>
      </c>
      <c r="D149" s="27" t="str">
        <f t="shared" si="44"/>
        <v/>
      </c>
      <c r="E149" s="26">
        <f t="shared" si="44"/>
        <v>1.5491251682368776</v>
      </c>
      <c r="F149" s="27" t="str">
        <f t="shared" si="44"/>
        <v/>
      </c>
      <c r="G149" s="26" t="str">
        <f t="shared" si="44"/>
        <v/>
      </c>
      <c r="H149" s="27">
        <f t="shared" si="44"/>
        <v>1.5471877979027646</v>
      </c>
      <c r="I149" s="26">
        <f t="shared" si="44"/>
        <v>1.5568797399783314</v>
      </c>
      <c r="J149" s="28">
        <f t="shared" si="44"/>
        <v>1.555191256830601</v>
      </c>
    </row>
    <row r="150" spans="1:10" ht="15.6" x14ac:dyDescent="0.3">
      <c r="A150" s="130" t="s">
        <v>126</v>
      </c>
      <c r="B150" s="6" t="s">
        <v>102</v>
      </c>
      <c r="C150" s="6">
        <v>0.92</v>
      </c>
      <c r="D150" s="29"/>
      <c r="E150" s="6"/>
      <c r="F150" s="29"/>
      <c r="G150" s="6"/>
      <c r="H150" s="29">
        <v>0.71</v>
      </c>
      <c r="I150" s="6">
        <v>0.63</v>
      </c>
      <c r="J150" s="30">
        <v>0.62</v>
      </c>
    </row>
    <row r="151" spans="1:10" ht="15.6" x14ac:dyDescent="0.3">
      <c r="A151" s="130"/>
      <c r="B151" s="2" t="s">
        <v>103</v>
      </c>
      <c r="C151" s="2">
        <v>1.35</v>
      </c>
      <c r="D151" s="19"/>
      <c r="E151" s="2"/>
      <c r="F151" s="19"/>
      <c r="G151" s="2"/>
      <c r="H151" s="19">
        <v>1.05</v>
      </c>
      <c r="I151" s="2">
        <v>0.93</v>
      </c>
      <c r="J151" s="20">
        <v>0.92</v>
      </c>
    </row>
    <row r="152" spans="1:10" ht="15.6" x14ac:dyDescent="0.3">
      <c r="A152" s="130"/>
      <c r="B152" s="25" t="s">
        <v>104</v>
      </c>
      <c r="C152" s="26">
        <f t="shared" ref="C152:J152" si="45">IF(OR(C150="",C151=""),"",C151/C150)</f>
        <v>1.4673913043478262</v>
      </c>
      <c r="D152" s="27" t="str">
        <f t="shared" si="45"/>
        <v/>
      </c>
      <c r="E152" s="26" t="str">
        <f t="shared" si="45"/>
        <v/>
      </c>
      <c r="F152" s="27" t="str">
        <f t="shared" si="45"/>
        <v/>
      </c>
      <c r="G152" s="26" t="str">
        <f t="shared" si="45"/>
        <v/>
      </c>
      <c r="H152" s="27">
        <f t="shared" si="45"/>
        <v>1.4788732394366197</v>
      </c>
      <c r="I152" s="26">
        <f t="shared" si="45"/>
        <v>1.4761904761904763</v>
      </c>
      <c r="J152" s="28">
        <f t="shared" si="45"/>
        <v>1.4838709677419355</v>
      </c>
    </row>
    <row r="153" spans="1:10" ht="15.6" x14ac:dyDescent="0.3">
      <c r="A153" s="130" t="s">
        <v>127</v>
      </c>
      <c r="B153" s="6" t="s">
        <v>102</v>
      </c>
      <c r="C153" s="6"/>
      <c r="D153" s="29"/>
      <c r="E153" s="6"/>
      <c r="F153" s="29"/>
      <c r="G153" s="6"/>
      <c r="H153" s="29">
        <v>1.1200000000000001</v>
      </c>
      <c r="I153" s="6">
        <v>0.99</v>
      </c>
      <c r="J153" s="30">
        <v>0.98</v>
      </c>
    </row>
    <row r="154" spans="1:10" ht="15.6" x14ac:dyDescent="0.3">
      <c r="A154" s="130"/>
      <c r="B154" s="2" t="s">
        <v>103</v>
      </c>
      <c r="C154" s="2"/>
      <c r="D154" s="19"/>
      <c r="E154" s="2"/>
      <c r="F154" s="19"/>
      <c r="G154" s="2"/>
      <c r="H154" s="19">
        <v>1.63</v>
      </c>
      <c r="I154" s="2">
        <v>1.44</v>
      </c>
      <c r="J154" s="20">
        <v>1.43</v>
      </c>
    </row>
    <row r="155" spans="1:10" ht="15.6" x14ac:dyDescent="0.3">
      <c r="A155" s="130"/>
      <c r="B155" s="25" t="s">
        <v>104</v>
      </c>
      <c r="C155" s="26" t="str">
        <f t="shared" ref="C155:J155" si="46">IF(OR(C153="",C154=""),"",C154/C153)</f>
        <v/>
      </c>
      <c r="D155" s="27" t="str">
        <f t="shared" si="46"/>
        <v/>
      </c>
      <c r="E155" s="26" t="str">
        <f t="shared" si="46"/>
        <v/>
      </c>
      <c r="F155" s="27" t="str">
        <f t="shared" si="46"/>
        <v/>
      </c>
      <c r="G155" s="26" t="str">
        <f t="shared" si="46"/>
        <v/>
      </c>
      <c r="H155" s="27">
        <f t="shared" si="46"/>
        <v>1.4553571428571426</v>
      </c>
      <c r="I155" s="26">
        <f t="shared" si="46"/>
        <v>1.4545454545454546</v>
      </c>
      <c r="J155" s="28">
        <f t="shared" si="46"/>
        <v>1.4591836734693877</v>
      </c>
    </row>
    <row r="156" spans="1:10" ht="15.6" x14ac:dyDescent="0.3">
      <c r="A156" s="130" t="s">
        <v>128</v>
      </c>
      <c r="B156" s="6" t="s">
        <v>102</v>
      </c>
      <c r="C156" s="6"/>
      <c r="D156" s="29"/>
      <c r="E156" s="6"/>
      <c r="F156" s="29"/>
      <c r="G156" s="6"/>
      <c r="H156" s="29">
        <v>1.63</v>
      </c>
      <c r="I156" s="6">
        <v>1.44</v>
      </c>
      <c r="J156" s="30">
        <v>1.43</v>
      </c>
    </row>
    <row r="157" spans="1:10" ht="15.6" x14ac:dyDescent="0.3">
      <c r="A157" s="130"/>
      <c r="B157" s="2" t="s">
        <v>103</v>
      </c>
      <c r="C157" s="2"/>
      <c r="D157" s="19"/>
      <c r="E157" s="2"/>
      <c r="F157" s="19"/>
      <c r="G157" s="2"/>
      <c r="H157" s="19">
        <v>2.36</v>
      </c>
      <c r="I157" s="2">
        <v>2.09</v>
      </c>
      <c r="J157" s="20">
        <v>2.0699999999999998</v>
      </c>
    </row>
    <row r="158" spans="1:10" ht="15.6" x14ac:dyDescent="0.3">
      <c r="A158" s="130"/>
      <c r="B158" s="25" t="s">
        <v>104</v>
      </c>
      <c r="C158" s="26" t="str">
        <f t="shared" ref="C158:J158" si="47">IF(OR(C156="",C157=""),"",C157/C156)</f>
        <v/>
      </c>
      <c r="D158" s="27" t="str">
        <f t="shared" si="47"/>
        <v/>
      </c>
      <c r="E158" s="26" t="str">
        <f t="shared" si="47"/>
        <v/>
      </c>
      <c r="F158" s="27" t="str">
        <f t="shared" si="47"/>
        <v/>
      </c>
      <c r="G158" s="26" t="str">
        <f t="shared" si="47"/>
        <v/>
      </c>
      <c r="H158" s="27">
        <f t="shared" si="47"/>
        <v>1.4478527607361964</v>
      </c>
      <c r="I158" s="26">
        <f t="shared" si="47"/>
        <v>1.4513888888888888</v>
      </c>
      <c r="J158" s="28">
        <f t="shared" si="47"/>
        <v>1.4475524475524475</v>
      </c>
    </row>
    <row r="159" spans="1:10" ht="15.6" x14ac:dyDescent="0.3">
      <c r="A159" s="130" t="s">
        <v>129</v>
      </c>
      <c r="B159" s="6" t="s">
        <v>102</v>
      </c>
      <c r="C159" s="6"/>
      <c r="D159" s="29"/>
      <c r="E159" s="6"/>
      <c r="F159" s="29"/>
      <c r="G159" s="6"/>
      <c r="H159" s="29">
        <v>2.2599999999999998</v>
      </c>
      <c r="I159" s="6">
        <v>1.99</v>
      </c>
      <c r="J159" s="30">
        <v>1.98</v>
      </c>
    </row>
    <row r="160" spans="1:10" ht="15.6" x14ac:dyDescent="0.3">
      <c r="A160" s="130"/>
      <c r="B160" s="2" t="s">
        <v>103</v>
      </c>
      <c r="C160" s="2"/>
      <c r="D160" s="19"/>
      <c r="E160" s="2"/>
      <c r="F160" s="19"/>
      <c r="G160" s="2"/>
      <c r="H160" s="19">
        <v>3.25</v>
      </c>
      <c r="I160" s="2">
        <v>2.88</v>
      </c>
      <c r="J160" s="20">
        <v>2.85</v>
      </c>
    </row>
    <row r="161" spans="1:10" ht="15.6" x14ac:dyDescent="0.3">
      <c r="A161" s="130"/>
      <c r="B161" s="25" t="s">
        <v>104</v>
      </c>
      <c r="C161" s="26" t="str">
        <f t="shared" ref="C161:J161" si="48">IF(OR(C159="",C160=""),"",C160/C159)</f>
        <v/>
      </c>
      <c r="D161" s="27" t="str">
        <f t="shared" si="48"/>
        <v/>
      </c>
      <c r="E161" s="26" t="str">
        <f t="shared" si="48"/>
        <v/>
      </c>
      <c r="F161" s="27" t="str">
        <f t="shared" si="48"/>
        <v/>
      </c>
      <c r="G161" s="26" t="str">
        <f t="shared" si="48"/>
        <v/>
      </c>
      <c r="H161" s="27">
        <f t="shared" si="48"/>
        <v>1.4380530973451329</v>
      </c>
      <c r="I161" s="26">
        <f t="shared" si="48"/>
        <v>1.4472361809045227</v>
      </c>
      <c r="J161" s="28">
        <f t="shared" si="48"/>
        <v>1.4393939393939394</v>
      </c>
    </row>
    <row r="162" spans="1:10" ht="15.6" x14ac:dyDescent="0.3">
      <c r="A162" s="130" t="s">
        <v>130</v>
      </c>
      <c r="B162" s="6" t="s">
        <v>102</v>
      </c>
      <c r="C162" s="6">
        <v>3.86</v>
      </c>
      <c r="D162" s="29"/>
      <c r="E162" s="6"/>
      <c r="F162" s="29"/>
      <c r="G162" s="6"/>
      <c r="H162" s="29">
        <v>3</v>
      </c>
      <c r="I162" s="6">
        <v>2.63</v>
      </c>
      <c r="J162" s="30">
        <v>2.62</v>
      </c>
    </row>
    <row r="163" spans="1:10" ht="15.6" x14ac:dyDescent="0.3">
      <c r="A163" s="130"/>
      <c r="B163" s="2" t="s">
        <v>103</v>
      </c>
      <c r="C163" s="2">
        <v>5.54</v>
      </c>
      <c r="D163" s="19"/>
      <c r="E163" s="2"/>
      <c r="F163" s="19"/>
      <c r="G163" s="2"/>
      <c r="H163" s="19">
        <v>4.3</v>
      </c>
      <c r="I163" s="2">
        <v>3.81</v>
      </c>
      <c r="J163" s="20">
        <v>3.77</v>
      </c>
    </row>
    <row r="164" spans="1:10" ht="15.6" x14ac:dyDescent="0.3">
      <c r="A164" s="130"/>
      <c r="B164" s="25" t="s">
        <v>104</v>
      </c>
      <c r="C164" s="26">
        <f t="shared" ref="C164:J164" si="49">IF(OR(C162="",C163=""),"",C163/C162)</f>
        <v>1.4352331606217616</v>
      </c>
      <c r="D164" s="27" t="str">
        <f t="shared" si="49"/>
        <v/>
      </c>
      <c r="E164" s="26" t="str">
        <f t="shared" si="49"/>
        <v/>
      </c>
      <c r="F164" s="27" t="str">
        <f t="shared" si="49"/>
        <v/>
      </c>
      <c r="G164" s="26" t="str">
        <f t="shared" si="49"/>
        <v/>
      </c>
      <c r="H164" s="27">
        <f t="shared" si="49"/>
        <v>1.4333333333333333</v>
      </c>
      <c r="I164" s="26">
        <f t="shared" si="49"/>
        <v>1.4486692015209126</v>
      </c>
      <c r="J164" s="28">
        <f t="shared" si="49"/>
        <v>1.4389312977099236</v>
      </c>
    </row>
    <row r="165" spans="1:10" ht="15.6" x14ac:dyDescent="0.3">
      <c r="A165" s="130" t="s">
        <v>131</v>
      </c>
      <c r="B165" s="6" t="s">
        <v>102</v>
      </c>
      <c r="C165" s="6"/>
      <c r="D165" s="29"/>
      <c r="E165" s="6"/>
      <c r="F165" s="29"/>
      <c r="G165" s="6"/>
      <c r="H165" s="29">
        <v>3.84</v>
      </c>
      <c r="I165" s="6">
        <v>3.38</v>
      </c>
      <c r="J165" s="30">
        <v>3.36</v>
      </c>
    </row>
    <row r="166" spans="1:10" ht="15.6" x14ac:dyDescent="0.3">
      <c r="A166" s="130"/>
      <c r="B166" s="2" t="s">
        <v>103</v>
      </c>
      <c r="C166" s="2"/>
      <c r="D166" s="19"/>
      <c r="E166" s="2"/>
      <c r="F166" s="19"/>
      <c r="G166" s="2"/>
      <c r="H166" s="19">
        <v>5.5</v>
      </c>
      <c r="I166" s="2">
        <v>4.87</v>
      </c>
      <c r="J166" s="20">
        <v>4.83</v>
      </c>
    </row>
    <row r="167" spans="1:10" ht="15.6" x14ac:dyDescent="0.3">
      <c r="A167" s="130"/>
      <c r="B167" s="25" t="s">
        <v>104</v>
      </c>
      <c r="C167" s="26" t="str">
        <f t="shared" ref="C167:J167" si="50">IF(OR(C165="",C166=""),"",C166/C165)</f>
        <v/>
      </c>
      <c r="D167" s="27" t="str">
        <f t="shared" si="50"/>
        <v/>
      </c>
      <c r="E167" s="26" t="str">
        <f t="shared" si="50"/>
        <v/>
      </c>
      <c r="F167" s="27" t="str">
        <f t="shared" si="50"/>
        <v/>
      </c>
      <c r="G167" s="26" t="str">
        <f t="shared" si="50"/>
        <v/>
      </c>
      <c r="H167" s="27">
        <f t="shared" si="50"/>
        <v>1.4322916666666667</v>
      </c>
      <c r="I167" s="26">
        <f t="shared" si="50"/>
        <v>1.440828402366864</v>
      </c>
      <c r="J167" s="28">
        <f t="shared" si="50"/>
        <v>1.4375</v>
      </c>
    </row>
    <row r="168" spans="1:10" ht="15.6" x14ac:dyDescent="0.3">
      <c r="A168" s="130" t="s">
        <v>132</v>
      </c>
      <c r="B168" s="6" t="s">
        <v>102</v>
      </c>
      <c r="C168" s="6"/>
      <c r="D168" s="29"/>
      <c r="E168" s="6"/>
      <c r="F168" s="29"/>
      <c r="G168" s="6"/>
      <c r="H168" s="29">
        <v>2.34</v>
      </c>
      <c r="I168" s="6">
        <v>2.06</v>
      </c>
      <c r="J168" s="30">
        <v>2.06</v>
      </c>
    </row>
    <row r="169" spans="1:10" ht="15.6" x14ac:dyDescent="0.3">
      <c r="A169" s="130"/>
      <c r="B169" s="2" t="s">
        <v>103</v>
      </c>
      <c r="C169" s="2"/>
      <c r="D169" s="19"/>
      <c r="E169" s="2"/>
      <c r="F169" s="19"/>
      <c r="G169" s="2"/>
      <c r="H169" s="19">
        <v>3.32</v>
      </c>
      <c r="I169" s="2">
        <v>2.95</v>
      </c>
      <c r="J169" s="20">
        <v>2.93</v>
      </c>
    </row>
    <row r="170" spans="1:10" ht="15.6" x14ac:dyDescent="0.3">
      <c r="A170" s="130"/>
      <c r="B170" s="25" t="s">
        <v>104</v>
      </c>
      <c r="C170" s="26" t="str">
        <f t="shared" ref="C170:J170" si="51">IF(OR(C168="",C169=""),"",C169/C168)</f>
        <v/>
      </c>
      <c r="D170" s="27" t="str">
        <f t="shared" si="51"/>
        <v/>
      </c>
      <c r="E170" s="26" t="str">
        <f t="shared" si="51"/>
        <v/>
      </c>
      <c r="F170" s="27" t="str">
        <f t="shared" si="51"/>
        <v/>
      </c>
      <c r="G170" s="26" t="str">
        <f t="shared" si="51"/>
        <v/>
      </c>
      <c r="H170" s="27">
        <f t="shared" si="51"/>
        <v>1.4188034188034189</v>
      </c>
      <c r="I170" s="26">
        <f t="shared" si="51"/>
        <v>1.4320388349514563</v>
      </c>
      <c r="J170" s="28">
        <f t="shared" si="51"/>
        <v>1.4223300970873787</v>
      </c>
    </row>
    <row r="171" spans="1:10" ht="15.6" x14ac:dyDescent="0.3">
      <c r="A171" s="133" t="s">
        <v>133</v>
      </c>
      <c r="B171" s="45" t="s">
        <v>102</v>
      </c>
      <c r="C171" s="45"/>
      <c r="D171" s="46"/>
      <c r="E171" s="45"/>
      <c r="F171" s="46"/>
      <c r="G171" s="45"/>
      <c r="H171" s="46"/>
      <c r="I171" s="45">
        <v>1.38</v>
      </c>
      <c r="J171" s="47"/>
    </row>
    <row r="172" spans="1:10" ht="15.6" x14ac:dyDescent="0.3">
      <c r="A172" s="133"/>
      <c r="B172" s="48" t="s">
        <v>103</v>
      </c>
      <c r="C172" s="48"/>
      <c r="D172" s="49"/>
      <c r="E172" s="48"/>
      <c r="F172" s="49"/>
      <c r="G172" s="48"/>
      <c r="H172" s="49"/>
      <c r="I172" s="48">
        <v>2.06</v>
      </c>
      <c r="J172" s="50"/>
    </row>
    <row r="173" spans="1:10" ht="15.6" x14ac:dyDescent="0.3">
      <c r="A173" s="133"/>
      <c r="B173" s="51" t="s">
        <v>104</v>
      </c>
      <c r="C173" s="52" t="str">
        <f t="shared" ref="C173:J173" si="52">IF(OR(C171="",C172=""),"",C172/C171)</f>
        <v/>
      </c>
      <c r="D173" s="53" t="str">
        <f t="shared" si="52"/>
        <v/>
      </c>
      <c r="E173" s="52" t="str">
        <f t="shared" si="52"/>
        <v/>
      </c>
      <c r="F173" s="53" t="str">
        <f t="shared" si="52"/>
        <v/>
      </c>
      <c r="G173" s="52" t="str">
        <f t="shared" si="52"/>
        <v/>
      </c>
      <c r="H173" s="53" t="str">
        <f t="shared" si="52"/>
        <v/>
      </c>
      <c r="I173" s="52">
        <f t="shared" si="52"/>
        <v>1.492753623188406</v>
      </c>
      <c r="J173" s="54" t="str">
        <f t="shared" si="52"/>
        <v/>
      </c>
    </row>
    <row r="174" spans="1:10" ht="15.6" x14ac:dyDescent="0.3">
      <c r="A174" s="133" t="s">
        <v>134</v>
      </c>
      <c r="B174" s="45" t="s">
        <v>102</v>
      </c>
      <c r="C174" s="45"/>
      <c r="D174" s="46"/>
      <c r="E174" s="45"/>
      <c r="F174" s="46"/>
      <c r="G174" s="45"/>
      <c r="H174" s="46"/>
      <c r="I174" s="45">
        <v>2.38</v>
      </c>
      <c r="J174" s="47"/>
    </row>
    <row r="175" spans="1:10" ht="15.6" x14ac:dyDescent="0.3">
      <c r="A175" s="133"/>
      <c r="B175" s="48" t="s">
        <v>103</v>
      </c>
      <c r="C175" s="48"/>
      <c r="D175" s="49"/>
      <c r="E175" s="48"/>
      <c r="F175" s="49"/>
      <c r="G175" s="48"/>
      <c r="H175" s="49"/>
      <c r="I175" s="48">
        <v>3.5</v>
      </c>
      <c r="J175" s="50"/>
    </row>
    <row r="176" spans="1:10" ht="15.6" x14ac:dyDescent="0.3">
      <c r="A176" s="133"/>
      <c r="B176" s="51" t="s">
        <v>104</v>
      </c>
      <c r="C176" s="52" t="str">
        <f t="shared" ref="C176:J176" si="53">IF(OR(C174="",C175=""),"",C175/C174)</f>
        <v/>
      </c>
      <c r="D176" s="53" t="str">
        <f t="shared" si="53"/>
        <v/>
      </c>
      <c r="E176" s="52" t="str">
        <f t="shared" si="53"/>
        <v/>
      </c>
      <c r="F176" s="53" t="str">
        <f t="shared" si="53"/>
        <v/>
      </c>
      <c r="G176" s="52" t="str">
        <f t="shared" si="53"/>
        <v/>
      </c>
      <c r="H176" s="53" t="str">
        <f t="shared" si="53"/>
        <v/>
      </c>
      <c r="I176" s="52">
        <f t="shared" si="53"/>
        <v>1.4705882352941178</v>
      </c>
      <c r="J176" s="54" t="str">
        <f t="shared" si="53"/>
        <v/>
      </c>
    </row>
    <row r="178" spans="1:10" ht="15.6" x14ac:dyDescent="0.3">
      <c r="A178" s="8" t="s">
        <v>112</v>
      </c>
    </row>
    <row r="179" spans="1:10" ht="15.6" x14ac:dyDescent="0.3">
      <c r="B179" s="15" t="s">
        <v>100</v>
      </c>
      <c r="C179" s="4" t="s">
        <v>26</v>
      </c>
      <c r="D179" s="16" t="s">
        <v>14</v>
      </c>
      <c r="E179" s="4" t="s">
        <v>18</v>
      </c>
      <c r="F179" s="16" t="s">
        <v>68</v>
      </c>
      <c r="G179" s="4" t="s">
        <v>27</v>
      </c>
      <c r="H179" s="16" t="s">
        <v>22</v>
      </c>
      <c r="I179" s="4" t="s">
        <v>22</v>
      </c>
      <c r="J179" s="17" t="s">
        <v>40</v>
      </c>
    </row>
    <row r="180" spans="1:10" ht="15.6" x14ac:dyDescent="0.3">
      <c r="B180" s="41" t="s">
        <v>101</v>
      </c>
      <c r="C180" s="42" t="s">
        <v>26</v>
      </c>
      <c r="D180" s="43" t="s">
        <v>14</v>
      </c>
      <c r="E180" s="42" t="s">
        <v>18</v>
      </c>
      <c r="F180" s="43" t="s">
        <v>68</v>
      </c>
      <c r="G180" s="42" t="s">
        <v>27</v>
      </c>
      <c r="H180" s="43" t="s">
        <v>21</v>
      </c>
      <c r="I180" s="42" t="s">
        <v>22</v>
      </c>
      <c r="J180" s="44" t="s">
        <v>22</v>
      </c>
    </row>
    <row r="181" spans="1:10" ht="15.6" x14ac:dyDescent="0.3">
      <c r="A181" s="7" t="s">
        <v>6</v>
      </c>
      <c r="B181" s="21"/>
      <c r="C181" s="22"/>
      <c r="D181" s="23"/>
      <c r="E181" s="22"/>
      <c r="F181" s="23"/>
      <c r="G181" s="22"/>
      <c r="H181" s="23"/>
      <c r="I181" s="22"/>
      <c r="J181" s="24"/>
    </row>
    <row r="182" spans="1:10" ht="15.6" x14ac:dyDescent="0.3">
      <c r="A182" s="130">
        <v>70</v>
      </c>
      <c r="B182" s="2" t="s">
        <v>102</v>
      </c>
      <c r="C182" s="2"/>
      <c r="D182" s="19">
        <v>0.65</v>
      </c>
      <c r="E182" s="2">
        <v>0.6</v>
      </c>
      <c r="F182" s="19">
        <v>0.83</v>
      </c>
      <c r="G182" s="2">
        <v>0.79</v>
      </c>
      <c r="H182" s="19">
        <v>0.84</v>
      </c>
      <c r="I182" s="2">
        <v>0.74</v>
      </c>
      <c r="J182" s="20">
        <v>0.73</v>
      </c>
    </row>
    <row r="183" spans="1:10" ht="15.6" x14ac:dyDescent="0.3">
      <c r="A183" s="130"/>
      <c r="B183" s="2" t="s">
        <v>103</v>
      </c>
      <c r="C183" s="2"/>
      <c r="D183" s="19">
        <v>1.1499999999999999</v>
      </c>
      <c r="E183" s="2">
        <v>1.05</v>
      </c>
      <c r="F183" s="19">
        <v>1.45</v>
      </c>
      <c r="G183" s="2">
        <v>1.4</v>
      </c>
      <c r="H183" s="19">
        <v>1.48</v>
      </c>
      <c r="I183" s="2">
        <v>1.31</v>
      </c>
      <c r="J183" s="20">
        <v>1.3</v>
      </c>
    </row>
    <row r="184" spans="1:10" ht="15.6" x14ac:dyDescent="0.3">
      <c r="A184" s="130"/>
      <c r="B184" s="25" t="s">
        <v>104</v>
      </c>
      <c r="C184" s="26" t="str">
        <f t="shared" ref="C184:J184" si="54">IF(OR(C182="",C183=""),"",C183/C182)</f>
        <v/>
      </c>
      <c r="D184" s="27">
        <f t="shared" si="54"/>
        <v>1.7692307692307689</v>
      </c>
      <c r="E184" s="26">
        <f t="shared" si="54"/>
        <v>1.7500000000000002</v>
      </c>
      <c r="F184" s="27">
        <f t="shared" si="54"/>
        <v>1.7469879518072289</v>
      </c>
      <c r="G184" s="26">
        <f t="shared" si="54"/>
        <v>1.7721518987341771</v>
      </c>
      <c r="H184" s="27">
        <f t="shared" si="54"/>
        <v>1.7619047619047619</v>
      </c>
      <c r="I184" s="26">
        <f t="shared" si="54"/>
        <v>1.7702702702702704</v>
      </c>
      <c r="J184" s="28">
        <f t="shared" si="54"/>
        <v>1.7808219178082192</v>
      </c>
    </row>
    <row r="185" spans="1:10" ht="15.6" x14ac:dyDescent="0.3">
      <c r="A185" s="130">
        <v>80</v>
      </c>
      <c r="B185" s="6" t="s">
        <v>102</v>
      </c>
      <c r="C185" s="6"/>
      <c r="D185" s="29">
        <v>1.1200000000000001</v>
      </c>
      <c r="E185" s="6">
        <v>1.03</v>
      </c>
      <c r="F185" s="29">
        <v>1.42</v>
      </c>
      <c r="G185" s="6">
        <v>1.36</v>
      </c>
      <c r="H185" s="29">
        <v>1.44</v>
      </c>
      <c r="I185" s="6">
        <v>1.27</v>
      </c>
      <c r="J185" s="30">
        <v>1.26</v>
      </c>
    </row>
    <row r="186" spans="1:10" ht="15.6" x14ac:dyDescent="0.3">
      <c r="A186" s="130"/>
      <c r="B186" s="2" t="s">
        <v>103</v>
      </c>
      <c r="C186" s="2"/>
      <c r="D186" s="19">
        <v>1.83</v>
      </c>
      <c r="E186" s="2">
        <v>1.67</v>
      </c>
      <c r="F186" s="19">
        <v>2.31</v>
      </c>
      <c r="G186" s="2">
        <v>2.2200000000000002</v>
      </c>
      <c r="H186" s="19">
        <v>2.35</v>
      </c>
      <c r="I186" s="2">
        <v>2.09</v>
      </c>
      <c r="J186" s="20">
        <v>2.0699999999999998</v>
      </c>
    </row>
    <row r="187" spans="1:10" ht="15.6" x14ac:dyDescent="0.3">
      <c r="A187" s="130"/>
      <c r="B187" s="25" t="s">
        <v>104</v>
      </c>
      <c r="C187" s="26" t="str">
        <f t="shared" ref="C187:J187" si="55">IF(OR(C185="",C186=""),"",C186/C185)</f>
        <v/>
      </c>
      <c r="D187" s="27">
        <f t="shared" si="55"/>
        <v>1.6339285714285714</v>
      </c>
      <c r="E187" s="26">
        <f t="shared" si="55"/>
        <v>1.6213592233009708</v>
      </c>
      <c r="F187" s="27">
        <f t="shared" si="55"/>
        <v>1.6267605633802817</v>
      </c>
      <c r="G187" s="26">
        <f t="shared" si="55"/>
        <v>1.6323529411764706</v>
      </c>
      <c r="H187" s="27">
        <f t="shared" si="55"/>
        <v>1.6319444444444446</v>
      </c>
      <c r="I187" s="26">
        <f t="shared" si="55"/>
        <v>1.6456692913385826</v>
      </c>
      <c r="J187" s="28">
        <f t="shared" si="55"/>
        <v>1.6428571428571428</v>
      </c>
    </row>
    <row r="188" spans="1:10" ht="15.6" x14ac:dyDescent="0.3">
      <c r="A188" s="130">
        <v>90</v>
      </c>
      <c r="B188" s="6" t="s">
        <v>102</v>
      </c>
      <c r="C188" s="6"/>
      <c r="D188" s="29">
        <v>1.72</v>
      </c>
      <c r="E188" s="6">
        <v>1.57</v>
      </c>
      <c r="F188" s="29">
        <v>2.1800000000000002</v>
      </c>
      <c r="G188" s="6">
        <v>2.08</v>
      </c>
      <c r="H188" s="29">
        <v>2.21</v>
      </c>
      <c r="I188" s="6">
        <v>1.94</v>
      </c>
      <c r="J188" s="30">
        <v>1.92</v>
      </c>
    </row>
    <row r="189" spans="1:10" ht="15.6" x14ac:dyDescent="0.3">
      <c r="A189" s="130"/>
      <c r="B189" s="2" t="s">
        <v>103</v>
      </c>
      <c r="C189" s="2"/>
      <c r="D189" s="19">
        <v>2.66</v>
      </c>
      <c r="E189" s="2">
        <v>2.44</v>
      </c>
      <c r="F189" s="19">
        <v>3.37</v>
      </c>
      <c r="G189" s="2">
        <v>3.24</v>
      </c>
      <c r="H189" s="19">
        <v>3.43</v>
      </c>
      <c r="I189" s="2">
        <v>3.04</v>
      </c>
      <c r="J189" s="20">
        <v>3.01</v>
      </c>
    </row>
    <row r="190" spans="1:10" ht="15.6" x14ac:dyDescent="0.3">
      <c r="A190" s="130"/>
      <c r="B190" s="25" t="s">
        <v>104</v>
      </c>
      <c r="C190" s="26" t="str">
        <f t="shared" ref="C190:J190" si="56">IF(OR(C188="",C189=""),"",C189/C188)</f>
        <v/>
      </c>
      <c r="D190" s="27">
        <f t="shared" si="56"/>
        <v>1.5465116279069768</v>
      </c>
      <c r="E190" s="26">
        <f t="shared" si="56"/>
        <v>1.5541401273885349</v>
      </c>
      <c r="F190" s="27">
        <f t="shared" si="56"/>
        <v>1.5458715596330275</v>
      </c>
      <c r="G190" s="26">
        <f t="shared" si="56"/>
        <v>1.5576923076923077</v>
      </c>
      <c r="H190" s="27">
        <f t="shared" si="56"/>
        <v>1.5520361990950227</v>
      </c>
      <c r="I190" s="26">
        <f t="shared" si="56"/>
        <v>1.5670103092783505</v>
      </c>
      <c r="J190" s="28">
        <f t="shared" si="56"/>
        <v>1.5677083333333333</v>
      </c>
    </row>
    <row r="191" spans="1:10" ht="15.6" x14ac:dyDescent="0.3">
      <c r="A191" s="130">
        <v>100</v>
      </c>
      <c r="B191" s="6" t="s">
        <v>102</v>
      </c>
      <c r="C191" s="6"/>
      <c r="D191" s="29">
        <v>2.42</v>
      </c>
      <c r="E191" s="6">
        <v>2.21</v>
      </c>
      <c r="F191" s="29">
        <v>3.08</v>
      </c>
      <c r="G191" s="6">
        <v>2.93</v>
      </c>
      <c r="H191" s="29">
        <v>3.12</v>
      </c>
      <c r="I191" s="6">
        <v>2.74</v>
      </c>
      <c r="J191" s="30">
        <v>2.71</v>
      </c>
    </row>
    <row r="192" spans="1:10" ht="15.6" x14ac:dyDescent="0.3">
      <c r="A192" s="130"/>
      <c r="B192" s="2" t="s">
        <v>103</v>
      </c>
      <c r="C192" s="2"/>
      <c r="D192" s="19">
        <v>3.63</v>
      </c>
      <c r="E192" s="2">
        <v>3.32</v>
      </c>
      <c r="F192" s="19">
        <v>4.59</v>
      </c>
      <c r="G192" s="2">
        <v>4.42</v>
      </c>
      <c r="H192" s="19">
        <v>4.68</v>
      </c>
      <c r="I192" s="2">
        <v>4.1500000000000004</v>
      </c>
      <c r="J192" s="20">
        <v>4.0999999999999996</v>
      </c>
    </row>
    <row r="193" spans="1:10" ht="15.6" x14ac:dyDescent="0.3">
      <c r="A193" s="130"/>
      <c r="B193" s="25" t="s">
        <v>104</v>
      </c>
      <c r="C193" s="26" t="str">
        <f t="shared" ref="C193:J193" si="57">IF(OR(C191="",C192=""),"",C192/C191)</f>
        <v/>
      </c>
      <c r="D193" s="27">
        <f t="shared" si="57"/>
        <v>1.5</v>
      </c>
      <c r="E193" s="26">
        <f t="shared" si="57"/>
        <v>1.502262443438914</v>
      </c>
      <c r="F193" s="27">
        <f t="shared" si="57"/>
        <v>1.4902597402597402</v>
      </c>
      <c r="G193" s="26">
        <f t="shared" si="57"/>
        <v>1.5085324232081909</v>
      </c>
      <c r="H193" s="27">
        <f t="shared" si="57"/>
        <v>1.4999999999999998</v>
      </c>
      <c r="I193" s="26">
        <f t="shared" si="57"/>
        <v>1.5145985401459854</v>
      </c>
      <c r="J193" s="28">
        <f t="shared" si="57"/>
        <v>1.5129151291512914</v>
      </c>
    </row>
    <row r="194" spans="1:10" ht="15.6" x14ac:dyDescent="0.3">
      <c r="A194" s="130">
        <v>110</v>
      </c>
      <c r="B194" s="6" t="s">
        <v>102</v>
      </c>
      <c r="C194" s="6"/>
      <c r="D194" s="29">
        <v>3.21</v>
      </c>
      <c r="E194" s="6">
        <v>2.94</v>
      </c>
      <c r="F194" s="29">
        <v>4.09</v>
      </c>
      <c r="G194" s="6">
        <v>3.89</v>
      </c>
      <c r="H194" s="29">
        <v>4.1399999999999997</v>
      </c>
      <c r="I194" s="6">
        <v>3.65</v>
      </c>
      <c r="J194" s="30">
        <v>3.61</v>
      </c>
    </row>
    <row r="195" spans="1:10" ht="15.6" x14ac:dyDescent="0.3">
      <c r="A195" s="130"/>
      <c r="B195" s="2" t="s">
        <v>103</v>
      </c>
      <c r="C195" s="2"/>
      <c r="D195" s="19">
        <v>4.71</v>
      </c>
      <c r="E195" s="2">
        <v>4.3099999999999996</v>
      </c>
      <c r="F195" s="19">
        <v>5.96</v>
      </c>
      <c r="G195" s="2">
        <v>5.74</v>
      </c>
      <c r="H195" s="19">
        <v>6.08</v>
      </c>
      <c r="I195" s="2">
        <v>5.39</v>
      </c>
      <c r="J195" s="20">
        <v>5.33</v>
      </c>
    </row>
    <row r="196" spans="1:10" ht="15.6" x14ac:dyDescent="0.3">
      <c r="A196" s="130"/>
      <c r="B196" s="25" t="s">
        <v>104</v>
      </c>
      <c r="C196" s="26" t="str">
        <f t="shared" ref="C196:J196" si="58">IF(OR(C194="",C195=""),"",C195/C194)</f>
        <v/>
      </c>
      <c r="D196" s="27">
        <f t="shared" si="58"/>
        <v>1.4672897196261683</v>
      </c>
      <c r="E196" s="26">
        <f t="shared" si="58"/>
        <v>1.4659863945578231</v>
      </c>
      <c r="F196" s="27">
        <f t="shared" si="58"/>
        <v>1.4572127139364304</v>
      </c>
      <c r="G196" s="26">
        <f t="shared" si="58"/>
        <v>1.4755784061696657</v>
      </c>
      <c r="H196" s="27">
        <f t="shared" si="58"/>
        <v>1.4685990338164252</v>
      </c>
      <c r="I196" s="26">
        <f t="shared" si="58"/>
        <v>1.4767123287671233</v>
      </c>
      <c r="J196" s="28">
        <f t="shared" si="58"/>
        <v>1.476454293628809</v>
      </c>
    </row>
    <row r="197" spans="1:10" ht="15.6" x14ac:dyDescent="0.3">
      <c r="A197" s="130">
        <v>120</v>
      </c>
      <c r="B197" s="6" t="s">
        <v>102</v>
      </c>
      <c r="C197" s="6"/>
      <c r="D197" s="29">
        <v>4.1100000000000003</v>
      </c>
      <c r="E197" s="6">
        <v>3.76</v>
      </c>
      <c r="F197" s="29">
        <v>5.22</v>
      </c>
      <c r="G197" s="6">
        <v>4.97</v>
      </c>
      <c r="H197" s="29">
        <v>5.29</v>
      </c>
      <c r="I197" s="6">
        <v>4.6500000000000004</v>
      </c>
      <c r="J197" s="30">
        <v>4.6100000000000003</v>
      </c>
    </row>
    <row r="198" spans="1:10" ht="15.6" x14ac:dyDescent="0.3">
      <c r="A198" s="130"/>
      <c r="B198" s="2" t="s">
        <v>103</v>
      </c>
      <c r="C198" s="2"/>
      <c r="D198" s="19">
        <v>5.92</v>
      </c>
      <c r="E198" s="2">
        <v>5.41</v>
      </c>
      <c r="F198" s="19">
        <v>7.49</v>
      </c>
      <c r="G198" s="2">
        <v>7.2</v>
      </c>
      <c r="H198" s="19">
        <v>7.63</v>
      </c>
      <c r="I198" s="2">
        <v>6.76</v>
      </c>
      <c r="J198" s="20">
        <v>6.69</v>
      </c>
    </row>
    <row r="199" spans="1:10" ht="15.6" x14ac:dyDescent="0.3">
      <c r="A199" s="130"/>
      <c r="B199" s="25" t="s">
        <v>104</v>
      </c>
      <c r="C199" s="26" t="str">
        <f t="shared" ref="C199:J199" si="59">IF(OR(C197="",C198=""),"",C198/C197)</f>
        <v/>
      </c>
      <c r="D199" s="27">
        <f t="shared" si="59"/>
        <v>1.4403892944038927</v>
      </c>
      <c r="E199" s="26">
        <f t="shared" si="59"/>
        <v>1.4388297872340428</v>
      </c>
      <c r="F199" s="27">
        <f t="shared" si="59"/>
        <v>1.4348659003831419</v>
      </c>
      <c r="G199" s="26">
        <f t="shared" si="59"/>
        <v>1.4486921529175052</v>
      </c>
      <c r="H199" s="27">
        <f t="shared" si="59"/>
        <v>1.44234404536862</v>
      </c>
      <c r="I199" s="26">
        <f t="shared" si="59"/>
        <v>1.4537634408602149</v>
      </c>
      <c r="J199" s="28">
        <f t="shared" si="59"/>
        <v>1.4511930585683297</v>
      </c>
    </row>
    <row r="200" spans="1:10" ht="15.6" x14ac:dyDescent="0.3">
      <c r="A200" s="130">
        <v>130</v>
      </c>
      <c r="B200" s="6" t="s">
        <v>102</v>
      </c>
      <c r="C200" s="6"/>
      <c r="D200" s="29">
        <v>5.08</v>
      </c>
      <c r="E200" s="6">
        <v>4.6500000000000004</v>
      </c>
      <c r="F200" s="29">
        <v>6.47</v>
      </c>
      <c r="G200" s="6">
        <v>6.14</v>
      </c>
      <c r="H200" s="29">
        <v>6.55</v>
      </c>
      <c r="I200" s="6">
        <v>5.76</v>
      </c>
      <c r="J200" s="30">
        <v>5.71</v>
      </c>
    </row>
    <row r="201" spans="1:10" ht="15.6" x14ac:dyDescent="0.3">
      <c r="A201" s="130"/>
      <c r="B201" s="2" t="s">
        <v>103</v>
      </c>
      <c r="C201" s="2"/>
      <c r="D201" s="19">
        <v>7.22</v>
      </c>
      <c r="E201" s="2">
        <v>6.61</v>
      </c>
      <c r="F201" s="19">
        <v>9.16</v>
      </c>
      <c r="G201" s="2">
        <v>8.7799999999999994</v>
      </c>
      <c r="H201" s="19">
        <v>9.31</v>
      </c>
      <c r="I201" s="2">
        <v>8.25</v>
      </c>
      <c r="J201" s="20">
        <v>8.17</v>
      </c>
    </row>
    <row r="202" spans="1:10" ht="15.6" x14ac:dyDescent="0.3">
      <c r="A202" s="130"/>
      <c r="B202" s="25" t="s">
        <v>104</v>
      </c>
      <c r="C202" s="26" t="str">
        <f t="shared" ref="C202:J202" si="60">IF(OR(C200="",C201=""),"",C201/C200)</f>
        <v/>
      </c>
      <c r="D202" s="27">
        <f t="shared" si="60"/>
        <v>1.421259842519685</v>
      </c>
      <c r="E202" s="26">
        <f t="shared" si="60"/>
        <v>1.4215053763440859</v>
      </c>
      <c r="F202" s="27">
        <f t="shared" si="60"/>
        <v>1.4157650695517776</v>
      </c>
      <c r="G202" s="26">
        <f t="shared" si="60"/>
        <v>1.4299674267100977</v>
      </c>
      <c r="H202" s="27">
        <f t="shared" si="60"/>
        <v>1.4213740458015269</v>
      </c>
      <c r="I202" s="26">
        <f t="shared" si="60"/>
        <v>1.4322916666666667</v>
      </c>
      <c r="J202" s="28">
        <f t="shared" si="60"/>
        <v>1.4308231173380035</v>
      </c>
    </row>
    <row r="203" spans="1:10" ht="15.6" x14ac:dyDescent="0.3">
      <c r="A203" s="130">
        <v>140</v>
      </c>
      <c r="B203" s="6" t="s">
        <v>102</v>
      </c>
      <c r="C203" s="6"/>
      <c r="D203" s="29">
        <v>6.14</v>
      </c>
      <c r="E203" s="6">
        <v>5.62</v>
      </c>
      <c r="F203" s="29">
        <v>7.81</v>
      </c>
      <c r="G203" s="6">
        <v>7.43</v>
      </c>
      <c r="H203" s="29">
        <v>7.92</v>
      </c>
      <c r="I203" s="6">
        <v>6.96</v>
      </c>
      <c r="J203" s="30">
        <v>6.9</v>
      </c>
    </row>
    <row r="204" spans="1:10" ht="15.6" x14ac:dyDescent="0.3">
      <c r="A204" s="130"/>
      <c r="B204" s="2" t="s">
        <v>103</v>
      </c>
      <c r="C204" s="2"/>
      <c r="D204" s="19">
        <v>8.6300000000000008</v>
      </c>
      <c r="E204" s="2">
        <v>7.91</v>
      </c>
      <c r="F204" s="19">
        <v>10.94</v>
      </c>
      <c r="G204" s="2">
        <v>10.5</v>
      </c>
      <c r="H204" s="19">
        <v>11.13</v>
      </c>
      <c r="I204" s="2">
        <v>9.86</v>
      </c>
      <c r="J204" s="20">
        <v>9.76</v>
      </c>
    </row>
    <row r="205" spans="1:10" ht="15.6" x14ac:dyDescent="0.3">
      <c r="A205" s="130"/>
      <c r="B205" s="25" t="s">
        <v>104</v>
      </c>
      <c r="C205" s="26" t="str">
        <f t="shared" ref="C205:J205" si="61">IF(OR(C203="",C204=""),"",C204/C203)</f>
        <v/>
      </c>
      <c r="D205" s="27">
        <f t="shared" si="61"/>
        <v>1.4055374592833878</v>
      </c>
      <c r="E205" s="26">
        <f t="shared" si="61"/>
        <v>1.407473309608541</v>
      </c>
      <c r="F205" s="27">
        <f t="shared" si="61"/>
        <v>1.4007682458386683</v>
      </c>
      <c r="G205" s="26">
        <f t="shared" si="61"/>
        <v>1.4131897711978467</v>
      </c>
      <c r="H205" s="27">
        <f t="shared" si="61"/>
        <v>1.4053030303030305</v>
      </c>
      <c r="I205" s="26">
        <f t="shared" si="61"/>
        <v>1.4166666666666665</v>
      </c>
      <c r="J205" s="28">
        <f t="shared" si="61"/>
        <v>1.4144927536231884</v>
      </c>
    </row>
    <row r="206" spans="1:10" ht="15.6" x14ac:dyDescent="0.3">
      <c r="A206" s="130">
        <v>150</v>
      </c>
      <c r="B206" s="6" t="s">
        <v>102</v>
      </c>
      <c r="C206" s="6"/>
      <c r="D206" s="29">
        <v>7.29</v>
      </c>
      <c r="E206" s="6">
        <v>6.66</v>
      </c>
      <c r="F206" s="29">
        <v>9.26</v>
      </c>
      <c r="G206" s="6">
        <v>8.8000000000000007</v>
      </c>
      <c r="H206" s="29">
        <v>9.3800000000000008</v>
      </c>
      <c r="I206" s="6">
        <v>8.26</v>
      </c>
      <c r="J206" s="30">
        <v>8.18</v>
      </c>
    </row>
    <row r="207" spans="1:10" ht="15.6" x14ac:dyDescent="0.3">
      <c r="A207" s="130"/>
      <c r="B207" s="2" t="s">
        <v>103</v>
      </c>
      <c r="C207" s="2"/>
      <c r="D207" s="19">
        <v>10.15</v>
      </c>
      <c r="E207" s="2">
        <v>9.2899999999999991</v>
      </c>
      <c r="F207" s="19">
        <v>12.85</v>
      </c>
      <c r="G207" s="2">
        <v>12.32</v>
      </c>
      <c r="H207" s="19">
        <v>13.08</v>
      </c>
      <c r="I207" s="2">
        <v>11.6</v>
      </c>
      <c r="J207" s="20">
        <v>11.47</v>
      </c>
    </row>
    <row r="208" spans="1:10" ht="15.6" x14ac:dyDescent="0.3">
      <c r="A208" s="130"/>
      <c r="B208" s="25" t="s">
        <v>104</v>
      </c>
      <c r="C208" s="26" t="str">
        <f t="shared" ref="C208:J208" si="62">IF(OR(C206="",C207=""),"",C207/C206)</f>
        <v/>
      </c>
      <c r="D208" s="27">
        <f t="shared" si="62"/>
        <v>1.3923182441700961</v>
      </c>
      <c r="E208" s="26">
        <f t="shared" si="62"/>
        <v>1.3948948948948947</v>
      </c>
      <c r="F208" s="27">
        <f t="shared" si="62"/>
        <v>1.3876889848812095</v>
      </c>
      <c r="G208" s="26">
        <f t="shared" si="62"/>
        <v>1.4</v>
      </c>
      <c r="H208" s="27">
        <f t="shared" si="62"/>
        <v>1.3944562899786779</v>
      </c>
      <c r="I208" s="26">
        <f t="shared" si="62"/>
        <v>1.4043583535108959</v>
      </c>
      <c r="J208" s="28">
        <f t="shared" si="62"/>
        <v>1.4022004889975552</v>
      </c>
    </row>
    <row r="209" spans="1:10" ht="15.6" x14ac:dyDescent="0.3">
      <c r="A209" s="130" t="s">
        <v>126</v>
      </c>
      <c r="B209" s="6" t="s">
        <v>102</v>
      </c>
      <c r="C209" s="6">
        <v>0.83</v>
      </c>
      <c r="D209" s="29"/>
      <c r="E209" s="6"/>
      <c r="F209" s="29">
        <v>0.63</v>
      </c>
      <c r="G209" s="6">
        <v>0.6</v>
      </c>
      <c r="H209" s="29">
        <v>0.64</v>
      </c>
      <c r="I209" s="6">
        <v>0.56000000000000005</v>
      </c>
      <c r="J209" s="30">
        <v>0.56000000000000005</v>
      </c>
    </row>
    <row r="210" spans="1:10" ht="15.6" x14ac:dyDescent="0.3">
      <c r="A210" s="130"/>
      <c r="B210" s="2" t="s">
        <v>103</v>
      </c>
      <c r="C210" s="2">
        <v>1.1000000000000001</v>
      </c>
      <c r="D210" s="19"/>
      <c r="E210" s="2"/>
      <c r="F210" s="19">
        <v>0.84</v>
      </c>
      <c r="G210" s="2">
        <v>0.81</v>
      </c>
      <c r="H210" s="19">
        <v>0.85</v>
      </c>
      <c r="I210" s="2">
        <v>0.76</v>
      </c>
      <c r="J210" s="20">
        <v>0.75</v>
      </c>
    </row>
    <row r="211" spans="1:10" ht="15.6" x14ac:dyDescent="0.3">
      <c r="A211" s="130"/>
      <c r="B211" s="25" t="s">
        <v>104</v>
      </c>
      <c r="C211" s="26">
        <f t="shared" ref="C211:J211" si="63">IF(OR(C209="",C210=""),"",C210/C209)</f>
        <v>1.3253012048192774</v>
      </c>
      <c r="D211" s="27" t="str">
        <f t="shared" si="63"/>
        <v/>
      </c>
      <c r="E211" s="26" t="str">
        <f t="shared" si="63"/>
        <v/>
      </c>
      <c r="F211" s="27">
        <f t="shared" si="63"/>
        <v>1.3333333333333333</v>
      </c>
      <c r="G211" s="26">
        <f t="shared" si="63"/>
        <v>1.35</v>
      </c>
      <c r="H211" s="27">
        <f t="shared" si="63"/>
        <v>1.328125</v>
      </c>
      <c r="I211" s="26">
        <f t="shared" si="63"/>
        <v>1.357142857142857</v>
      </c>
      <c r="J211" s="28">
        <f t="shared" si="63"/>
        <v>1.3392857142857142</v>
      </c>
    </row>
    <row r="212" spans="1:10" ht="15.6" x14ac:dyDescent="0.3">
      <c r="A212" s="130" t="s">
        <v>127</v>
      </c>
      <c r="B212" s="6" t="s">
        <v>102</v>
      </c>
      <c r="C212" s="6"/>
      <c r="D212" s="29"/>
      <c r="E212" s="6"/>
      <c r="F212" s="29">
        <v>1</v>
      </c>
      <c r="G212" s="6">
        <v>0.95</v>
      </c>
      <c r="H212" s="29">
        <v>1.01</v>
      </c>
      <c r="I212" s="6">
        <v>0.89</v>
      </c>
      <c r="J212" s="30">
        <v>0.88</v>
      </c>
    </row>
    <row r="213" spans="1:10" ht="15.6" x14ac:dyDescent="0.3">
      <c r="A213" s="130"/>
      <c r="B213" s="2" t="s">
        <v>103</v>
      </c>
      <c r="C213" s="2"/>
      <c r="D213" s="19"/>
      <c r="E213" s="2"/>
      <c r="F213" s="19">
        <v>1.31</v>
      </c>
      <c r="G213" s="2">
        <v>1.26</v>
      </c>
      <c r="H213" s="19">
        <v>1.33</v>
      </c>
      <c r="I213" s="2">
        <v>1.18</v>
      </c>
      <c r="J213" s="20">
        <v>1.17</v>
      </c>
    </row>
    <row r="214" spans="1:10" ht="15.6" x14ac:dyDescent="0.3">
      <c r="A214" s="130"/>
      <c r="B214" s="25" t="s">
        <v>104</v>
      </c>
      <c r="C214" s="26" t="str">
        <f t="shared" ref="C214:J214" si="64">IF(OR(C212="",C213=""),"",C213/C212)</f>
        <v/>
      </c>
      <c r="D214" s="27" t="str">
        <f t="shared" si="64"/>
        <v/>
      </c>
      <c r="E214" s="26" t="str">
        <f t="shared" si="64"/>
        <v/>
      </c>
      <c r="F214" s="27">
        <f t="shared" si="64"/>
        <v>1.31</v>
      </c>
      <c r="G214" s="26">
        <f t="shared" si="64"/>
        <v>1.3263157894736843</v>
      </c>
      <c r="H214" s="27">
        <f t="shared" si="64"/>
        <v>1.3168316831683169</v>
      </c>
      <c r="I214" s="26">
        <f t="shared" si="64"/>
        <v>1.3258426966292134</v>
      </c>
      <c r="J214" s="28">
        <f t="shared" si="64"/>
        <v>1.3295454545454544</v>
      </c>
    </row>
    <row r="215" spans="1:10" ht="15.6" x14ac:dyDescent="0.3">
      <c r="A215" s="130" t="s">
        <v>128</v>
      </c>
      <c r="B215" s="6" t="s">
        <v>102</v>
      </c>
      <c r="C215" s="6"/>
      <c r="D215" s="29"/>
      <c r="E215" s="6"/>
      <c r="F215" s="29">
        <v>1.46</v>
      </c>
      <c r="G215" s="6">
        <v>1.39</v>
      </c>
      <c r="H215" s="29">
        <v>1.48</v>
      </c>
      <c r="I215" s="6">
        <v>1.3</v>
      </c>
      <c r="J215" s="30">
        <v>1.29</v>
      </c>
    </row>
    <row r="216" spans="1:10" ht="15.6" x14ac:dyDescent="0.3">
      <c r="A216" s="130"/>
      <c r="B216" s="2" t="s">
        <v>103</v>
      </c>
      <c r="C216" s="2"/>
      <c r="D216" s="19"/>
      <c r="E216" s="2"/>
      <c r="F216" s="19">
        <v>1.91</v>
      </c>
      <c r="G216" s="2">
        <v>1.84</v>
      </c>
      <c r="H216" s="19">
        <v>1.94</v>
      </c>
      <c r="I216" s="2">
        <v>1.75</v>
      </c>
      <c r="J216" s="20">
        <v>1.71</v>
      </c>
    </row>
    <row r="217" spans="1:10" ht="15.6" x14ac:dyDescent="0.3">
      <c r="A217" s="130"/>
      <c r="B217" s="25" t="s">
        <v>104</v>
      </c>
      <c r="C217" s="26" t="str">
        <f t="shared" ref="C217:J217" si="65">IF(OR(C215="",C216=""),"",C216/C215)</f>
        <v/>
      </c>
      <c r="D217" s="27" t="str">
        <f t="shared" si="65"/>
        <v/>
      </c>
      <c r="E217" s="26" t="str">
        <f t="shared" si="65"/>
        <v/>
      </c>
      <c r="F217" s="27">
        <f t="shared" si="65"/>
        <v>1.3082191780821917</v>
      </c>
      <c r="G217" s="26">
        <f t="shared" si="65"/>
        <v>1.3237410071942448</v>
      </c>
      <c r="H217" s="27">
        <f t="shared" si="65"/>
        <v>1.3108108108108107</v>
      </c>
      <c r="I217" s="26">
        <f t="shared" si="65"/>
        <v>1.346153846153846</v>
      </c>
      <c r="J217" s="28">
        <f t="shared" si="65"/>
        <v>1.3255813953488371</v>
      </c>
    </row>
    <row r="218" spans="1:10" ht="15.6" x14ac:dyDescent="0.3">
      <c r="A218" s="130" t="s">
        <v>129</v>
      </c>
      <c r="B218" s="6" t="s">
        <v>102</v>
      </c>
      <c r="C218" s="6"/>
      <c r="D218" s="29"/>
      <c r="E218" s="6"/>
      <c r="F218" s="29">
        <v>2.02</v>
      </c>
      <c r="G218" s="6">
        <v>1.93</v>
      </c>
      <c r="H218" s="29">
        <v>2.0499999999999998</v>
      </c>
      <c r="I218" s="6">
        <v>1.8</v>
      </c>
      <c r="J218" s="30">
        <v>1.79</v>
      </c>
    </row>
    <row r="219" spans="1:10" ht="15.6" x14ac:dyDescent="0.3">
      <c r="A219" s="130"/>
      <c r="B219" s="2" t="s">
        <v>103</v>
      </c>
      <c r="C219" s="2"/>
      <c r="D219" s="19"/>
      <c r="E219" s="2"/>
      <c r="F219" s="19">
        <v>2.63</v>
      </c>
      <c r="G219" s="2">
        <v>2.5299999999999998</v>
      </c>
      <c r="H219" s="19">
        <v>2.68</v>
      </c>
      <c r="I219" s="2">
        <v>2.38</v>
      </c>
      <c r="J219" s="20">
        <v>2.36</v>
      </c>
    </row>
    <row r="220" spans="1:10" ht="15.6" x14ac:dyDescent="0.3">
      <c r="A220" s="130"/>
      <c r="B220" s="25" t="s">
        <v>104</v>
      </c>
      <c r="C220" s="26" t="str">
        <f t="shared" ref="C220:J220" si="66">IF(OR(C218="",C219=""),"",C219/C218)</f>
        <v/>
      </c>
      <c r="D220" s="27" t="str">
        <f t="shared" si="66"/>
        <v/>
      </c>
      <c r="E220" s="26" t="str">
        <f t="shared" si="66"/>
        <v/>
      </c>
      <c r="F220" s="27">
        <f t="shared" si="66"/>
        <v>1.301980198019802</v>
      </c>
      <c r="G220" s="26">
        <f t="shared" si="66"/>
        <v>1.310880829015544</v>
      </c>
      <c r="H220" s="27">
        <f t="shared" si="66"/>
        <v>1.307317073170732</v>
      </c>
      <c r="I220" s="26">
        <f t="shared" si="66"/>
        <v>1.3222222222222222</v>
      </c>
      <c r="J220" s="28">
        <f t="shared" si="66"/>
        <v>1.3184357541899441</v>
      </c>
    </row>
    <row r="221" spans="1:10" ht="15.6" x14ac:dyDescent="0.3">
      <c r="A221" s="130" t="s">
        <v>130</v>
      </c>
      <c r="B221" s="6" t="s">
        <v>102</v>
      </c>
      <c r="C221" s="6"/>
      <c r="D221" s="29"/>
      <c r="E221" s="6"/>
      <c r="F221" s="29">
        <v>2.69</v>
      </c>
      <c r="G221" s="6">
        <v>2.56</v>
      </c>
      <c r="H221" s="29">
        <v>2.73</v>
      </c>
      <c r="I221" s="6">
        <v>2.4</v>
      </c>
      <c r="J221" s="30">
        <v>2.38</v>
      </c>
    </row>
    <row r="222" spans="1:10" ht="15.6" x14ac:dyDescent="0.3">
      <c r="A222" s="130"/>
      <c r="B222" s="2" t="s">
        <v>103</v>
      </c>
      <c r="C222" s="2"/>
      <c r="D222" s="19"/>
      <c r="E222" s="2"/>
      <c r="F222" s="19">
        <v>3.5</v>
      </c>
      <c r="G222" s="2">
        <v>3.36</v>
      </c>
      <c r="H222" s="19">
        <v>3.56</v>
      </c>
      <c r="I222" s="2">
        <v>3.16</v>
      </c>
      <c r="J222" s="20">
        <v>3.13</v>
      </c>
    </row>
    <row r="223" spans="1:10" ht="15.6" x14ac:dyDescent="0.3">
      <c r="A223" s="130"/>
      <c r="B223" s="25" t="s">
        <v>104</v>
      </c>
      <c r="C223" s="26" t="str">
        <f t="shared" ref="C223:J223" si="67">IF(OR(C221="",C222=""),"",C222/C221)</f>
        <v/>
      </c>
      <c r="D223" s="27" t="str">
        <f t="shared" si="67"/>
        <v/>
      </c>
      <c r="E223" s="26" t="str">
        <f t="shared" si="67"/>
        <v/>
      </c>
      <c r="F223" s="27">
        <f t="shared" si="67"/>
        <v>1.3011152416356877</v>
      </c>
      <c r="G223" s="26">
        <f t="shared" si="67"/>
        <v>1.3125</v>
      </c>
      <c r="H223" s="27">
        <f t="shared" si="67"/>
        <v>1.3040293040293041</v>
      </c>
      <c r="I223" s="26">
        <f t="shared" si="67"/>
        <v>1.3166666666666669</v>
      </c>
      <c r="J223" s="28">
        <f t="shared" si="67"/>
        <v>1.3151260504201681</v>
      </c>
    </row>
    <row r="224" spans="1:10" ht="15.6" x14ac:dyDescent="0.3">
      <c r="A224" s="130" t="s">
        <v>131</v>
      </c>
      <c r="B224" s="6" t="s">
        <v>102</v>
      </c>
      <c r="C224" s="6"/>
      <c r="D224" s="29"/>
      <c r="E224" s="6"/>
      <c r="F224" s="29">
        <v>3.46</v>
      </c>
      <c r="G224" s="6">
        <v>3.3</v>
      </c>
      <c r="H224" s="29">
        <v>3.51</v>
      </c>
      <c r="I224" s="6">
        <v>3.08</v>
      </c>
      <c r="J224" s="30">
        <v>3.06</v>
      </c>
    </row>
    <row r="225" spans="1:10" ht="15.6" x14ac:dyDescent="0.3">
      <c r="A225" s="130"/>
      <c r="B225" s="2" t="s">
        <v>103</v>
      </c>
      <c r="C225" s="2"/>
      <c r="D225" s="19"/>
      <c r="E225" s="2"/>
      <c r="F225" s="19">
        <v>4.49</v>
      </c>
      <c r="G225" s="2">
        <v>4.3099999999999996</v>
      </c>
      <c r="H225" s="19">
        <v>4.57</v>
      </c>
      <c r="I225" s="2">
        <v>4.0599999999999996</v>
      </c>
      <c r="J225" s="20">
        <v>4.0199999999999996</v>
      </c>
    </row>
    <row r="226" spans="1:10" ht="15.6" x14ac:dyDescent="0.3">
      <c r="A226" s="130"/>
      <c r="B226" s="25" t="s">
        <v>104</v>
      </c>
      <c r="C226" s="26" t="str">
        <f t="shared" ref="C226:J226" si="68">IF(OR(C224="",C225=""),"",C225/C224)</f>
        <v/>
      </c>
      <c r="D226" s="27" t="str">
        <f t="shared" si="68"/>
        <v/>
      </c>
      <c r="E226" s="26" t="str">
        <f t="shared" si="68"/>
        <v/>
      </c>
      <c r="F226" s="27">
        <f t="shared" si="68"/>
        <v>1.2976878612716765</v>
      </c>
      <c r="G226" s="26">
        <f t="shared" si="68"/>
        <v>1.3060606060606059</v>
      </c>
      <c r="H226" s="27">
        <f t="shared" si="68"/>
        <v>1.3019943019943021</v>
      </c>
      <c r="I226" s="26">
        <f t="shared" si="68"/>
        <v>1.3181818181818181</v>
      </c>
      <c r="J226" s="28">
        <f t="shared" si="68"/>
        <v>1.3137254901960782</v>
      </c>
    </row>
    <row r="227" spans="1:10" ht="15.6" x14ac:dyDescent="0.3">
      <c r="A227" s="130" t="s">
        <v>132</v>
      </c>
      <c r="B227" s="6" t="s">
        <v>102</v>
      </c>
      <c r="C227" s="6"/>
      <c r="D227" s="29"/>
      <c r="E227" s="6"/>
      <c r="F227" s="29"/>
      <c r="G227" s="6"/>
      <c r="H227" s="29">
        <v>2.14</v>
      </c>
      <c r="I227" s="6">
        <v>1.89</v>
      </c>
      <c r="J227" s="30">
        <v>1.88</v>
      </c>
    </row>
    <row r="228" spans="1:10" ht="15.6" x14ac:dyDescent="0.3">
      <c r="A228" s="130"/>
      <c r="B228" s="2" t="s">
        <v>103</v>
      </c>
      <c r="C228" s="2"/>
      <c r="D228" s="19"/>
      <c r="E228" s="2"/>
      <c r="F228" s="19"/>
      <c r="G228" s="2"/>
      <c r="H228" s="19">
        <v>2.78</v>
      </c>
      <c r="I228" s="2">
        <v>2.4700000000000002</v>
      </c>
      <c r="J228" s="20">
        <v>2.4500000000000002</v>
      </c>
    </row>
    <row r="229" spans="1:10" ht="15.6" x14ac:dyDescent="0.3">
      <c r="A229" s="130"/>
      <c r="B229" s="25" t="s">
        <v>104</v>
      </c>
      <c r="C229" s="26" t="str">
        <f t="shared" ref="C229:J229" si="69">IF(OR(C227="",C228=""),"",C228/C227)</f>
        <v/>
      </c>
      <c r="D229" s="27" t="str">
        <f t="shared" si="69"/>
        <v/>
      </c>
      <c r="E229" s="26" t="str">
        <f t="shared" si="69"/>
        <v/>
      </c>
      <c r="F229" s="27" t="str">
        <f t="shared" si="69"/>
        <v/>
      </c>
      <c r="G229" s="26" t="str">
        <f t="shared" si="69"/>
        <v/>
      </c>
      <c r="H229" s="27">
        <f t="shared" si="69"/>
        <v>1.2990654205607475</v>
      </c>
      <c r="I229" s="26">
        <f t="shared" si="69"/>
        <v>1.306878306878307</v>
      </c>
      <c r="J229" s="28">
        <f t="shared" si="69"/>
        <v>1.3031914893617023</v>
      </c>
    </row>
    <row r="230" spans="1:10" ht="15.6" x14ac:dyDescent="0.3">
      <c r="A230" s="133" t="s">
        <v>133</v>
      </c>
      <c r="B230" s="45" t="s">
        <v>102</v>
      </c>
      <c r="C230" s="45"/>
      <c r="D230" s="46"/>
      <c r="E230" s="45"/>
      <c r="F230" s="46"/>
      <c r="G230" s="45"/>
      <c r="H230" s="46"/>
      <c r="I230" s="45"/>
      <c r="J230" s="47"/>
    </row>
    <row r="231" spans="1:10" ht="15.6" x14ac:dyDescent="0.3">
      <c r="A231" s="133"/>
      <c r="B231" s="48" t="s">
        <v>103</v>
      </c>
      <c r="C231" s="48"/>
      <c r="D231" s="49"/>
      <c r="E231" s="48"/>
      <c r="F231" s="49"/>
      <c r="G231" s="48"/>
      <c r="H231" s="49"/>
      <c r="I231" s="48"/>
      <c r="J231" s="50"/>
    </row>
    <row r="232" spans="1:10" ht="15.6" x14ac:dyDescent="0.3">
      <c r="A232" s="133"/>
      <c r="B232" s="51" t="s">
        <v>104</v>
      </c>
      <c r="C232" s="52" t="str">
        <f t="shared" ref="C232:J232" si="70">IF(OR(C230="",C231=""),"",C231/C230)</f>
        <v/>
      </c>
      <c r="D232" s="53" t="str">
        <f t="shared" si="70"/>
        <v/>
      </c>
      <c r="E232" s="52" t="str">
        <f t="shared" si="70"/>
        <v/>
      </c>
      <c r="F232" s="53" t="str">
        <f t="shared" si="70"/>
        <v/>
      </c>
      <c r="G232" s="52" t="str">
        <f t="shared" si="70"/>
        <v/>
      </c>
      <c r="H232" s="53" t="str">
        <f t="shared" si="70"/>
        <v/>
      </c>
      <c r="I232" s="52" t="str">
        <f t="shared" si="70"/>
        <v/>
      </c>
      <c r="J232" s="54" t="str">
        <f t="shared" si="70"/>
        <v/>
      </c>
    </row>
    <row r="233" spans="1:10" ht="15.6" x14ac:dyDescent="0.3">
      <c r="A233" s="133" t="s">
        <v>134</v>
      </c>
      <c r="B233" s="45" t="s">
        <v>102</v>
      </c>
      <c r="C233" s="45"/>
      <c r="D233" s="46"/>
      <c r="E233" s="45"/>
      <c r="F233" s="46"/>
      <c r="G233" s="45"/>
      <c r="H233" s="46"/>
      <c r="I233" s="45"/>
      <c r="J233" s="47"/>
    </row>
    <row r="234" spans="1:10" ht="15.6" x14ac:dyDescent="0.3">
      <c r="A234" s="133"/>
      <c r="B234" s="48" t="s">
        <v>103</v>
      </c>
      <c r="C234" s="48"/>
      <c r="D234" s="49"/>
      <c r="E234" s="48"/>
      <c r="F234" s="49"/>
      <c r="G234" s="48"/>
      <c r="H234" s="49"/>
      <c r="I234" s="48"/>
      <c r="J234" s="50"/>
    </row>
    <row r="235" spans="1:10" ht="15.6" x14ac:dyDescent="0.3">
      <c r="A235" s="133"/>
      <c r="B235" s="51" t="s">
        <v>104</v>
      </c>
      <c r="C235" s="52" t="str">
        <f t="shared" ref="C235:J235" si="71">IF(OR(C233="",C234=""),"",C234/C233)</f>
        <v/>
      </c>
      <c r="D235" s="53" t="str">
        <f t="shared" si="71"/>
        <v/>
      </c>
      <c r="E235" s="52" t="str">
        <f t="shared" si="71"/>
        <v/>
      </c>
      <c r="F235" s="53" t="str">
        <f t="shared" si="71"/>
        <v/>
      </c>
      <c r="G235" s="52" t="str">
        <f t="shared" si="71"/>
        <v/>
      </c>
      <c r="H235" s="53" t="str">
        <f t="shared" si="71"/>
        <v/>
      </c>
      <c r="I235" s="52" t="str">
        <f t="shared" si="71"/>
        <v/>
      </c>
      <c r="J235" s="54" t="str">
        <f t="shared" si="71"/>
        <v/>
      </c>
    </row>
  </sheetData>
  <mergeCells count="72">
    <mergeCell ref="A5:A7"/>
    <mergeCell ref="A8:A10"/>
    <mergeCell ref="A11:A13"/>
    <mergeCell ref="A14:A16"/>
    <mergeCell ref="A17:A19"/>
    <mergeCell ref="A20:A22"/>
    <mergeCell ref="A23:A25"/>
    <mergeCell ref="A26:A28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  <mergeCell ref="A64:A66"/>
    <mergeCell ref="A67:A69"/>
    <mergeCell ref="A70:A72"/>
    <mergeCell ref="A73:A75"/>
    <mergeCell ref="A76:A78"/>
    <mergeCell ref="A79:A81"/>
    <mergeCell ref="A82:A84"/>
    <mergeCell ref="A85:A87"/>
    <mergeCell ref="A88:A90"/>
    <mergeCell ref="A91:A93"/>
    <mergeCell ref="A94:A96"/>
    <mergeCell ref="A97:A99"/>
    <mergeCell ref="A100:A102"/>
    <mergeCell ref="A103:A105"/>
    <mergeCell ref="A106:A108"/>
    <mergeCell ref="A109:A111"/>
    <mergeCell ref="A112:A114"/>
    <mergeCell ref="A115:A117"/>
    <mergeCell ref="A123:A125"/>
    <mergeCell ref="A126:A128"/>
    <mergeCell ref="A129:A131"/>
    <mergeCell ref="A132:A134"/>
    <mergeCell ref="A135:A137"/>
    <mergeCell ref="A138:A140"/>
    <mergeCell ref="A141:A143"/>
    <mergeCell ref="A144:A146"/>
    <mergeCell ref="A147:A149"/>
    <mergeCell ref="A150:A152"/>
    <mergeCell ref="A153:A155"/>
    <mergeCell ref="A156:A158"/>
    <mergeCell ref="A159:A161"/>
    <mergeCell ref="A162:A164"/>
    <mergeCell ref="A165:A167"/>
    <mergeCell ref="A168:A170"/>
    <mergeCell ref="A171:A173"/>
    <mergeCell ref="A174:A176"/>
    <mergeCell ref="A182:A184"/>
    <mergeCell ref="A185:A187"/>
    <mergeCell ref="A188:A190"/>
    <mergeCell ref="A191:A193"/>
    <mergeCell ref="A194:A196"/>
    <mergeCell ref="A197:A199"/>
    <mergeCell ref="A200:A202"/>
    <mergeCell ref="A203:A205"/>
    <mergeCell ref="A206:A208"/>
    <mergeCell ref="A209:A211"/>
    <mergeCell ref="A212:A214"/>
    <mergeCell ref="A230:A232"/>
    <mergeCell ref="A233:A235"/>
    <mergeCell ref="A215:A217"/>
    <mergeCell ref="A218:A220"/>
    <mergeCell ref="A221:A223"/>
    <mergeCell ref="A224:A226"/>
    <mergeCell ref="A227:A229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4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10" width="8.59765625" customWidth="1"/>
  </cols>
  <sheetData>
    <row r="1" spans="1:10" ht="15.75" customHeight="1" thickBot="1" x14ac:dyDescent="0.35">
      <c r="A1" s="8" t="s">
        <v>97</v>
      </c>
    </row>
    <row r="2" spans="1:10" ht="15.75" customHeight="1" thickTop="1" x14ac:dyDescent="0.3">
      <c r="B2" s="5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7" t="s">
        <v>23</v>
      </c>
    </row>
    <row r="3" spans="1:10" ht="15.75" customHeight="1" x14ac:dyDescent="0.3">
      <c r="B3" s="56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20">
        <v>19.2</v>
      </c>
    </row>
    <row r="4" spans="1:10" ht="15.75" customHeight="1" thickBot="1" x14ac:dyDescent="0.35">
      <c r="B4" s="56" t="s">
        <v>101</v>
      </c>
      <c r="C4" s="2" t="s">
        <v>13</v>
      </c>
      <c r="D4" s="19" t="s">
        <v>14</v>
      </c>
      <c r="E4" s="2" t="s">
        <v>15</v>
      </c>
      <c r="F4" s="19" t="s">
        <v>17</v>
      </c>
      <c r="G4" s="2" t="s">
        <v>18</v>
      </c>
      <c r="H4" s="19" t="s">
        <v>16</v>
      </c>
      <c r="I4" s="2" t="s">
        <v>20</v>
      </c>
      <c r="J4" s="20" t="s">
        <v>23</v>
      </c>
    </row>
    <row r="5" spans="1:10" ht="15.75" customHeight="1" thickTop="1" thickBot="1" x14ac:dyDescent="0.35">
      <c r="A5" s="57" t="s">
        <v>6</v>
      </c>
      <c r="B5" s="58"/>
      <c r="C5" s="59"/>
      <c r="D5" s="60"/>
      <c r="E5" s="59"/>
      <c r="F5" s="60"/>
      <c r="G5" s="59"/>
      <c r="H5" s="60"/>
      <c r="I5" s="59"/>
      <c r="J5" s="61"/>
    </row>
    <row r="6" spans="1:10" ht="15.75" customHeight="1" thickTop="1" thickBot="1" x14ac:dyDescent="0.35">
      <c r="A6" s="131">
        <v>70</v>
      </c>
      <c r="B6" s="62" t="s">
        <v>102</v>
      </c>
      <c r="C6" s="4">
        <v>2.86</v>
      </c>
      <c r="D6" s="16">
        <v>2.57</v>
      </c>
      <c r="E6" s="4">
        <v>3.54</v>
      </c>
      <c r="F6" s="16">
        <v>3.69</v>
      </c>
      <c r="G6" s="4">
        <v>2.57</v>
      </c>
      <c r="H6" s="16">
        <v>3.48</v>
      </c>
      <c r="I6" s="4">
        <v>3.29</v>
      </c>
      <c r="J6" s="17">
        <v>3.15</v>
      </c>
    </row>
    <row r="7" spans="1:10" ht="15.75" customHeight="1" thickTop="1" thickBot="1" x14ac:dyDescent="0.35">
      <c r="A7" s="131"/>
      <c r="B7" s="63" t="s">
        <v>103</v>
      </c>
      <c r="C7" s="2">
        <v>3.06</v>
      </c>
      <c r="D7" s="19">
        <v>2.74</v>
      </c>
      <c r="E7" s="2">
        <v>3.79</v>
      </c>
      <c r="F7" s="19">
        <v>3.94</v>
      </c>
      <c r="G7" s="2">
        <v>2.74</v>
      </c>
      <c r="H7" s="19">
        <v>3.71</v>
      </c>
      <c r="I7" s="2">
        <v>3.52</v>
      </c>
      <c r="J7" s="20">
        <v>3.37</v>
      </c>
    </row>
    <row r="8" spans="1:10" ht="15.75" customHeight="1" thickTop="1" thickBot="1" x14ac:dyDescent="0.35">
      <c r="A8" s="131"/>
      <c r="B8" s="64" t="s">
        <v>104</v>
      </c>
      <c r="C8" s="26">
        <f t="shared" ref="C8:J8" si="0">IF(OR(C6="",C7=""),"",C7/C6)</f>
        <v>1.06993006993007</v>
      </c>
      <c r="D8" s="27">
        <f t="shared" si="0"/>
        <v>1.0661478599221792</v>
      </c>
      <c r="E8" s="26">
        <f t="shared" si="0"/>
        <v>1.0706214689265536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1.0660919540229885</v>
      </c>
      <c r="I8" s="26">
        <f t="shared" si="0"/>
        <v>1.0699088145896656</v>
      </c>
      <c r="J8" s="28">
        <f t="shared" si="0"/>
        <v>1.0698412698412698</v>
      </c>
    </row>
    <row r="9" spans="1:10" ht="15.75" customHeight="1" thickTop="1" x14ac:dyDescent="0.3">
      <c r="A9" s="134">
        <v>80</v>
      </c>
      <c r="B9" s="5" t="s">
        <v>102</v>
      </c>
      <c r="C9" s="6">
        <v>4.57</v>
      </c>
      <c r="D9" s="29">
        <v>4.0999999999999996</v>
      </c>
      <c r="E9" s="6">
        <v>5.65</v>
      </c>
      <c r="F9" s="29">
        <v>5.89</v>
      </c>
      <c r="G9" s="6">
        <v>4.0999999999999996</v>
      </c>
      <c r="H9" s="29">
        <v>5.54</v>
      </c>
      <c r="I9" s="6">
        <v>5.25</v>
      </c>
      <c r="J9" s="30">
        <v>5.03</v>
      </c>
    </row>
    <row r="10" spans="1:10" ht="15.75" customHeight="1" x14ac:dyDescent="0.3">
      <c r="A10" s="134"/>
      <c r="B10" s="63" t="s">
        <v>103</v>
      </c>
      <c r="C10" s="2">
        <v>4.7699999999999996</v>
      </c>
      <c r="D10" s="19">
        <v>4.28</v>
      </c>
      <c r="E10" s="2">
        <v>5.91</v>
      </c>
      <c r="F10" s="19">
        <v>6.16</v>
      </c>
      <c r="G10" s="2">
        <v>4.28</v>
      </c>
      <c r="H10" s="19">
        <v>5.8</v>
      </c>
      <c r="I10" s="2">
        <v>5.49</v>
      </c>
      <c r="J10" s="20">
        <v>5.26</v>
      </c>
    </row>
    <row r="11" spans="1:10" ht="15.75" customHeight="1" thickBot="1" x14ac:dyDescent="0.35">
      <c r="A11" s="134"/>
      <c r="B11" s="65" t="s">
        <v>104</v>
      </c>
      <c r="C11" s="66">
        <f t="shared" ref="C11:J11" si="1">IF(OR(C9="",C10=""),"",C10/C9)</f>
        <v>1.0437636761487963</v>
      </c>
      <c r="D11" s="67">
        <f t="shared" si="1"/>
        <v>1.0439024390243905</v>
      </c>
      <c r="E11" s="66">
        <f t="shared" si="1"/>
        <v>1.0460176991150443</v>
      </c>
      <c r="F11" s="67">
        <f t="shared" si="1"/>
        <v>1.0458404074702887</v>
      </c>
      <c r="G11" s="66">
        <f t="shared" si="1"/>
        <v>1.0439024390243905</v>
      </c>
      <c r="H11" s="67">
        <f t="shared" si="1"/>
        <v>1.0469314079422383</v>
      </c>
      <c r="I11" s="66">
        <f t="shared" si="1"/>
        <v>1.0457142857142858</v>
      </c>
      <c r="J11" s="68">
        <f t="shared" si="1"/>
        <v>1.0457256461232602</v>
      </c>
    </row>
    <row r="12" spans="1:10" ht="15.75" customHeight="1" thickTop="1" thickBot="1" x14ac:dyDescent="0.35">
      <c r="A12" s="131">
        <v>100</v>
      </c>
      <c r="B12" s="62" t="s">
        <v>102</v>
      </c>
      <c r="C12" s="4">
        <v>8.84</v>
      </c>
      <c r="D12" s="16">
        <v>7.93</v>
      </c>
      <c r="E12" s="4">
        <v>10.94</v>
      </c>
      <c r="F12" s="16">
        <v>11.4</v>
      </c>
      <c r="G12" s="4">
        <v>7.93</v>
      </c>
      <c r="H12" s="16">
        <v>10.73</v>
      </c>
      <c r="I12" s="4">
        <v>10.17</v>
      </c>
      <c r="J12" s="17">
        <v>9.73</v>
      </c>
    </row>
    <row r="13" spans="1:10" ht="15.75" customHeight="1" thickTop="1" thickBot="1" x14ac:dyDescent="0.35">
      <c r="A13" s="131"/>
      <c r="B13" s="63" t="s">
        <v>103</v>
      </c>
      <c r="C13" s="2">
        <v>9.02</v>
      </c>
      <c r="D13" s="19">
        <v>8.1</v>
      </c>
      <c r="E13" s="2">
        <v>11.17</v>
      </c>
      <c r="F13" s="19">
        <v>11.64</v>
      </c>
      <c r="G13" s="2">
        <v>8.1</v>
      </c>
      <c r="H13" s="19">
        <v>10.96</v>
      </c>
      <c r="I13" s="2">
        <v>10.39</v>
      </c>
      <c r="J13" s="20">
        <v>9.94</v>
      </c>
    </row>
    <row r="14" spans="1:10" ht="15.75" customHeight="1" thickTop="1" thickBot="1" x14ac:dyDescent="0.35">
      <c r="A14" s="131"/>
      <c r="B14" s="64" t="s">
        <v>104</v>
      </c>
      <c r="C14" s="26">
        <f t="shared" ref="C14:J14" si="2">IF(OR(C12="",C13=""),"",C13/C12)</f>
        <v>1.0203619909502262</v>
      </c>
      <c r="D14" s="27">
        <f t="shared" si="2"/>
        <v>1.0214375788146279</v>
      </c>
      <c r="E14" s="26">
        <f t="shared" si="2"/>
        <v>1.0210237659963437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1.02143522833178</v>
      </c>
      <c r="I14" s="26">
        <f t="shared" si="2"/>
        <v>1.0216322517207475</v>
      </c>
      <c r="J14" s="28">
        <f t="shared" si="2"/>
        <v>1.0215827338129495</v>
      </c>
    </row>
    <row r="15" spans="1:10" ht="15.75" customHeight="1" thickTop="1" x14ac:dyDescent="0.3">
      <c r="A15" s="134">
        <v>120</v>
      </c>
      <c r="B15" s="5" t="s">
        <v>102</v>
      </c>
      <c r="C15" s="6">
        <v>14.89</v>
      </c>
      <c r="D15" s="29">
        <v>13.36</v>
      </c>
      <c r="E15" s="6">
        <v>18.440000000000001</v>
      </c>
      <c r="F15" s="29">
        <v>19.21</v>
      </c>
      <c r="G15" s="6">
        <v>13.36</v>
      </c>
      <c r="H15" s="29">
        <v>18.079999999999998</v>
      </c>
      <c r="I15" s="6">
        <v>17.14</v>
      </c>
      <c r="J15" s="30">
        <v>16.399999999999999</v>
      </c>
    </row>
    <row r="16" spans="1:10" ht="15.75" customHeight="1" x14ac:dyDescent="0.3">
      <c r="A16" s="134"/>
      <c r="B16" s="63" t="s">
        <v>103</v>
      </c>
      <c r="C16" s="2">
        <v>15.07</v>
      </c>
      <c r="D16" s="19">
        <v>13.52</v>
      </c>
      <c r="E16" s="2">
        <v>18.66</v>
      </c>
      <c r="F16" s="19">
        <v>19.43</v>
      </c>
      <c r="G16" s="2">
        <v>13.52</v>
      </c>
      <c r="H16" s="19">
        <v>18.3</v>
      </c>
      <c r="I16" s="2">
        <v>17.34</v>
      </c>
      <c r="J16" s="20">
        <v>16.59</v>
      </c>
    </row>
    <row r="17" spans="1:10" ht="15.75" customHeight="1" thickBot="1" x14ac:dyDescent="0.35">
      <c r="A17" s="134"/>
      <c r="B17" s="65" t="s">
        <v>104</v>
      </c>
      <c r="C17" s="66">
        <f t="shared" ref="C17:J17" si="3">IF(OR(C15="",C16=""),"",C16/C15)</f>
        <v>1.0120886501007387</v>
      </c>
      <c r="D17" s="67">
        <f t="shared" si="3"/>
        <v>1.0119760479041917</v>
      </c>
      <c r="E17" s="66">
        <f t="shared" si="3"/>
        <v>1.0119305856832972</v>
      </c>
      <c r="F17" s="67">
        <f t="shared" si="3"/>
        <v>1.0114523685580425</v>
      </c>
      <c r="G17" s="66">
        <f t="shared" si="3"/>
        <v>1.0119760479041917</v>
      </c>
      <c r="H17" s="67">
        <f t="shared" si="3"/>
        <v>1.0121681415929205</v>
      </c>
      <c r="I17" s="66">
        <f t="shared" si="3"/>
        <v>1.0116686114352391</v>
      </c>
      <c r="J17" s="68">
        <f t="shared" si="3"/>
        <v>1.0115853658536587</v>
      </c>
    </row>
    <row r="18" spans="1:10" ht="15.75" customHeight="1" thickTop="1" thickBot="1" x14ac:dyDescent="0.35">
      <c r="A18" s="131">
        <v>140</v>
      </c>
      <c r="B18" s="62" t="s">
        <v>102</v>
      </c>
      <c r="C18" s="4">
        <v>21.22</v>
      </c>
      <c r="D18" s="16">
        <v>19.04</v>
      </c>
      <c r="E18" s="4">
        <v>26.27</v>
      </c>
      <c r="F18" s="16">
        <v>27.37</v>
      </c>
      <c r="G18" s="4">
        <v>19.04</v>
      </c>
      <c r="H18" s="16">
        <v>25.77</v>
      </c>
      <c r="I18" s="4">
        <v>24.42</v>
      </c>
      <c r="J18" s="17">
        <v>23.37</v>
      </c>
    </row>
    <row r="19" spans="1:10" ht="15.75" customHeight="1" thickTop="1" thickBot="1" x14ac:dyDescent="0.35">
      <c r="A19" s="131"/>
      <c r="B19" s="63" t="s">
        <v>103</v>
      </c>
      <c r="C19" s="2">
        <v>21.38</v>
      </c>
      <c r="D19" s="19">
        <v>19.18</v>
      </c>
      <c r="E19" s="2">
        <v>26.47</v>
      </c>
      <c r="F19" s="19">
        <v>27.57</v>
      </c>
      <c r="G19" s="2">
        <v>19.18</v>
      </c>
      <c r="H19" s="19">
        <v>15.96</v>
      </c>
      <c r="I19" s="2">
        <v>24.6</v>
      </c>
      <c r="J19" s="20">
        <v>23.54</v>
      </c>
    </row>
    <row r="20" spans="1:10" ht="15.75" customHeight="1" thickTop="1" thickBot="1" x14ac:dyDescent="0.35">
      <c r="A20" s="131"/>
      <c r="B20" s="64" t="s">
        <v>104</v>
      </c>
      <c r="C20" s="26">
        <f t="shared" ref="C20:J20" si="4">IF(OR(C18="",C19=""),"",C19/C18)</f>
        <v>1.0075400565504242</v>
      </c>
      <c r="D20" s="27">
        <f t="shared" si="4"/>
        <v>1.0073529411764706</v>
      </c>
      <c r="E20" s="26">
        <f t="shared" si="4"/>
        <v>1.0076132470498667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0.61932479627473813</v>
      </c>
      <c r="I20" s="26">
        <f t="shared" si="4"/>
        <v>1.0073710073710074</v>
      </c>
      <c r="J20" s="28">
        <f t="shared" si="4"/>
        <v>1.0072742832691484</v>
      </c>
    </row>
    <row r="21" spans="1:10" ht="15.75" customHeight="1" thickTop="1" x14ac:dyDescent="0.3"/>
    <row r="22" spans="1:10" ht="15.75" customHeight="1" thickBot="1" x14ac:dyDescent="0.35">
      <c r="A22" s="8" t="s">
        <v>122</v>
      </c>
    </row>
    <row r="23" spans="1:10" ht="15.75" customHeight="1" thickTop="1" x14ac:dyDescent="0.3">
      <c r="B23" s="55" t="s">
        <v>100</v>
      </c>
      <c r="C23" s="4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7" t="s">
        <v>23</v>
      </c>
    </row>
    <row r="24" spans="1:10" ht="15.75" customHeight="1" x14ac:dyDescent="0.3">
      <c r="B24" s="56" t="s">
        <v>114</v>
      </c>
      <c r="C24" s="2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20">
        <v>19.2</v>
      </c>
    </row>
    <row r="25" spans="1:10" ht="15.75" customHeight="1" thickBot="1" x14ac:dyDescent="0.35">
      <c r="B25" s="56" t="s">
        <v>101</v>
      </c>
      <c r="C25" s="2" t="s">
        <v>13</v>
      </c>
      <c r="D25" s="19" t="s">
        <v>14</v>
      </c>
      <c r="E25" s="2" t="s">
        <v>15</v>
      </c>
      <c r="F25" s="19" t="s">
        <v>17</v>
      </c>
      <c r="G25" s="2" t="s">
        <v>18</v>
      </c>
      <c r="H25" s="19" t="s">
        <v>16</v>
      </c>
      <c r="I25" s="2" t="s">
        <v>20</v>
      </c>
      <c r="J25" s="20" t="s">
        <v>23</v>
      </c>
    </row>
    <row r="26" spans="1:10" ht="15.75" customHeight="1" thickTop="1" thickBot="1" x14ac:dyDescent="0.35">
      <c r="A26" s="57" t="s">
        <v>6</v>
      </c>
      <c r="B26" s="58"/>
      <c r="C26" s="59"/>
      <c r="D26" s="60"/>
      <c r="E26" s="59"/>
      <c r="F26" s="60"/>
      <c r="G26" s="59"/>
      <c r="H26" s="60"/>
      <c r="I26" s="59"/>
      <c r="J26" s="61"/>
    </row>
    <row r="27" spans="1:10" ht="15.75" customHeight="1" thickTop="1" thickBot="1" x14ac:dyDescent="0.35">
      <c r="A27" s="131">
        <v>70</v>
      </c>
      <c r="B27" s="62" t="s">
        <v>102</v>
      </c>
      <c r="C27" s="4">
        <v>2.54</v>
      </c>
      <c r="D27" s="16">
        <v>2.2799999999999998</v>
      </c>
      <c r="E27" s="4">
        <v>3.15</v>
      </c>
      <c r="F27" s="16">
        <v>3.28</v>
      </c>
      <c r="G27" s="4">
        <v>2.2799999999999998</v>
      </c>
      <c r="H27" s="16">
        <v>3.09</v>
      </c>
      <c r="I27" s="4">
        <v>2.93</v>
      </c>
      <c r="J27" s="17">
        <v>2.8</v>
      </c>
    </row>
    <row r="28" spans="1:10" ht="15.75" customHeight="1" thickTop="1" thickBot="1" x14ac:dyDescent="0.35">
      <c r="A28" s="131"/>
      <c r="B28" s="63" t="s">
        <v>103</v>
      </c>
      <c r="C28" s="2">
        <v>2.5499999999999998</v>
      </c>
      <c r="D28" s="19">
        <v>2.2799999999999998</v>
      </c>
      <c r="E28" s="2">
        <v>3.15</v>
      </c>
      <c r="F28" s="19">
        <v>3.28</v>
      </c>
      <c r="G28" s="2">
        <v>2.2799999999999998</v>
      </c>
      <c r="H28" s="19">
        <v>3.09</v>
      </c>
      <c r="I28" s="2">
        <v>2.93</v>
      </c>
      <c r="J28" s="20">
        <v>2.8</v>
      </c>
    </row>
    <row r="29" spans="1:10" ht="15.75" customHeight="1" thickTop="1" thickBot="1" x14ac:dyDescent="0.35">
      <c r="A29" s="131"/>
      <c r="B29" s="64" t="s">
        <v>104</v>
      </c>
      <c r="C29" s="26">
        <f t="shared" ref="C29:J29" si="5">IF(OR(C27="",C28=""),"",C28/C27)</f>
        <v>1.0039370078740157</v>
      </c>
      <c r="D29" s="27">
        <f t="shared" si="5"/>
        <v>1</v>
      </c>
      <c r="E29" s="26">
        <f t="shared" si="5"/>
        <v>1</v>
      </c>
      <c r="F29" s="27">
        <f t="shared" si="5"/>
        <v>1</v>
      </c>
      <c r="G29" s="26">
        <f t="shared" si="5"/>
        <v>1</v>
      </c>
      <c r="H29" s="27">
        <f t="shared" si="5"/>
        <v>1</v>
      </c>
      <c r="I29" s="26">
        <f t="shared" si="5"/>
        <v>1</v>
      </c>
      <c r="J29" s="28">
        <f t="shared" si="5"/>
        <v>1</v>
      </c>
    </row>
    <row r="30" spans="1:10" ht="15.75" customHeight="1" thickTop="1" x14ac:dyDescent="0.3">
      <c r="A30" s="134">
        <v>80</v>
      </c>
      <c r="B30" s="5" t="s">
        <v>102</v>
      </c>
      <c r="C30" s="6">
        <v>4.1100000000000003</v>
      </c>
      <c r="D30" s="29">
        <v>3.69</v>
      </c>
      <c r="E30" s="6">
        <v>5.09</v>
      </c>
      <c r="F30" s="29">
        <v>5.3</v>
      </c>
      <c r="G30" s="6">
        <v>3.69</v>
      </c>
      <c r="H30" s="29">
        <v>4.99</v>
      </c>
      <c r="I30" s="6">
        <v>4.7300000000000004</v>
      </c>
      <c r="J30" s="30">
        <v>4.53</v>
      </c>
    </row>
    <row r="31" spans="1:10" ht="15.75" customHeight="1" x14ac:dyDescent="0.3">
      <c r="A31" s="134"/>
      <c r="B31" s="63" t="s">
        <v>103</v>
      </c>
      <c r="C31" s="2">
        <v>4.05</v>
      </c>
      <c r="D31" s="19">
        <v>3.64</v>
      </c>
      <c r="E31" s="2">
        <v>5.0199999999999996</v>
      </c>
      <c r="F31" s="19">
        <v>5.23</v>
      </c>
      <c r="G31" s="2">
        <v>3.64</v>
      </c>
      <c r="H31" s="19">
        <v>4.92</v>
      </c>
      <c r="I31" s="2">
        <v>4.66</v>
      </c>
      <c r="J31" s="20">
        <v>5.26</v>
      </c>
    </row>
    <row r="32" spans="1:10" ht="15.75" customHeight="1" thickBot="1" x14ac:dyDescent="0.35">
      <c r="A32" s="134"/>
      <c r="B32" s="65" t="s">
        <v>104</v>
      </c>
      <c r="C32" s="66">
        <f t="shared" ref="C32:J32" si="6">IF(OR(C30="",C31=""),"",C31/C30)</f>
        <v>0.98540145985401451</v>
      </c>
      <c r="D32" s="67">
        <f t="shared" si="6"/>
        <v>0.98644986449864502</v>
      </c>
      <c r="E32" s="66">
        <f t="shared" si="6"/>
        <v>0.98624754420432215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0.98597194388777554</v>
      </c>
      <c r="I32" s="66">
        <f t="shared" si="6"/>
        <v>0.98520084566596189</v>
      </c>
      <c r="J32" s="68">
        <f t="shared" si="6"/>
        <v>1.1611479028697571</v>
      </c>
    </row>
    <row r="33" spans="1:10" ht="15.75" customHeight="1" thickTop="1" thickBot="1" x14ac:dyDescent="0.35">
      <c r="A33" s="131">
        <v>100</v>
      </c>
      <c r="B33" s="62" t="s">
        <v>102</v>
      </c>
      <c r="C33" s="4">
        <v>8.0399999999999991</v>
      </c>
      <c r="D33" s="16">
        <v>7.21</v>
      </c>
      <c r="E33" s="4">
        <v>9.9499999999999993</v>
      </c>
      <c r="F33" s="16">
        <v>10.37</v>
      </c>
      <c r="G33" s="4">
        <v>7.21</v>
      </c>
      <c r="H33" s="16">
        <v>9.76</v>
      </c>
      <c r="I33" s="4">
        <v>9.25</v>
      </c>
      <c r="J33" s="17">
        <v>8.85</v>
      </c>
    </row>
    <row r="34" spans="1:10" ht="15.75" customHeight="1" thickTop="1" thickBot="1" x14ac:dyDescent="0.35">
      <c r="A34" s="131"/>
      <c r="B34" s="63" t="s">
        <v>103</v>
      </c>
      <c r="C34" s="2">
        <v>7.82</v>
      </c>
      <c r="D34" s="19">
        <v>7.02</v>
      </c>
      <c r="E34" s="2">
        <v>9.68</v>
      </c>
      <c r="F34" s="19">
        <v>10.09</v>
      </c>
      <c r="G34" s="2">
        <v>7.02</v>
      </c>
      <c r="H34" s="19">
        <v>9.5</v>
      </c>
      <c r="I34" s="2">
        <v>9</v>
      </c>
      <c r="J34" s="20">
        <v>8.61</v>
      </c>
    </row>
    <row r="35" spans="1:10" ht="15.75" customHeight="1" thickTop="1" thickBot="1" x14ac:dyDescent="0.35">
      <c r="A35" s="131"/>
      <c r="B35" s="64" t="s">
        <v>104</v>
      </c>
      <c r="C35" s="26">
        <f t="shared" ref="C35:J35" si="7">IF(OR(C33="",C34=""),"",C34/C33)</f>
        <v>0.97263681592039819</v>
      </c>
      <c r="D35" s="27">
        <f t="shared" si="7"/>
        <v>0.97364771151178908</v>
      </c>
      <c r="E35" s="26">
        <f t="shared" si="7"/>
        <v>0.97286432160804026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0.97336065573770492</v>
      </c>
      <c r="I35" s="26">
        <f t="shared" si="7"/>
        <v>0.97297297297297303</v>
      </c>
      <c r="J35" s="28">
        <f t="shared" si="7"/>
        <v>0.97288135593220337</v>
      </c>
    </row>
    <row r="36" spans="1:10" ht="15.75" customHeight="1" thickTop="1" x14ac:dyDescent="0.3">
      <c r="A36" s="134">
        <v>120</v>
      </c>
      <c r="B36" s="5" t="s">
        <v>102</v>
      </c>
      <c r="C36" s="6">
        <v>11.68</v>
      </c>
      <c r="D36" s="29">
        <v>12.28</v>
      </c>
      <c r="E36" s="6">
        <v>16.940000000000001</v>
      </c>
      <c r="F36" s="29">
        <v>17.649999999999999</v>
      </c>
      <c r="G36" s="6">
        <v>12.28</v>
      </c>
      <c r="H36" s="29">
        <v>16.62</v>
      </c>
      <c r="I36" s="6">
        <v>15.75</v>
      </c>
      <c r="J36" s="30">
        <v>15.07</v>
      </c>
    </row>
    <row r="37" spans="1:10" ht="15.75" customHeight="1" x14ac:dyDescent="0.3">
      <c r="A37" s="134"/>
      <c r="B37" s="63" t="s">
        <v>103</v>
      </c>
      <c r="C37" s="2">
        <v>13.28</v>
      </c>
      <c r="D37" s="19">
        <v>11.92</v>
      </c>
      <c r="E37" s="2">
        <v>16.440000000000001</v>
      </c>
      <c r="F37" s="19">
        <v>17.13</v>
      </c>
      <c r="G37" s="2">
        <v>11.92</v>
      </c>
      <c r="H37" s="19">
        <v>16.13</v>
      </c>
      <c r="I37" s="2">
        <v>15.28</v>
      </c>
      <c r="J37" s="20">
        <v>14.63</v>
      </c>
    </row>
    <row r="38" spans="1:10" ht="15.75" customHeight="1" thickBot="1" x14ac:dyDescent="0.35">
      <c r="A38" s="134"/>
      <c r="B38" s="65" t="s">
        <v>104</v>
      </c>
      <c r="C38" s="66">
        <f t="shared" ref="C38:J38" si="8">IF(OR(C36="",C37=""),"",C37/C36)</f>
        <v>1.1369863013698629</v>
      </c>
      <c r="D38" s="67">
        <f t="shared" si="8"/>
        <v>0.97068403908794798</v>
      </c>
      <c r="E38" s="66">
        <f t="shared" si="8"/>
        <v>0.97048406139315235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0.97051744885679891</v>
      </c>
      <c r="I38" s="66">
        <f t="shared" si="8"/>
        <v>0.97015873015873011</v>
      </c>
      <c r="J38" s="68">
        <f t="shared" si="8"/>
        <v>0.97080291970802923</v>
      </c>
    </row>
    <row r="39" spans="1:10" ht="15.75" customHeight="1" thickTop="1" thickBot="1" x14ac:dyDescent="0.35">
      <c r="A39" s="131">
        <v>140</v>
      </c>
      <c r="B39" s="62" t="s">
        <v>102</v>
      </c>
      <c r="C39" s="4">
        <v>19.600000000000001</v>
      </c>
      <c r="D39" s="16">
        <v>17.579999999999998</v>
      </c>
      <c r="E39" s="4">
        <v>24.27</v>
      </c>
      <c r="F39" s="16">
        <v>25.28</v>
      </c>
      <c r="G39" s="4">
        <v>17.579999999999998</v>
      </c>
      <c r="H39" s="16">
        <v>23.8</v>
      </c>
      <c r="I39" s="4">
        <v>22.56</v>
      </c>
      <c r="J39" s="17">
        <v>21.58</v>
      </c>
    </row>
    <row r="40" spans="1:10" ht="15.75" customHeight="1" thickTop="1" thickBot="1" x14ac:dyDescent="0.35">
      <c r="A40" s="131"/>
      <c r="B40" s="63" t="s">
        <v>103</v>
      </c>
      <c r="C40" s="2">
        <v>19.010000000000002</v>
      </c>
      <c r="D40" s="19">
        <v>17.05</v>
      </c>
      <c r="E40" s="2">
        <v>23.53</v>
      </c>
      <c r="F40" s="19">
        <v>24.51</v>
      </c>
      <c r="G40" s="2">
        <v>17.05</v>
      </c>
      <c r="H40" s="19">
        <v>23.08</v>
      </c>
      <c r="I40" s="2">
        <v>21.87</v>
      </c>
      <c r="J40" s="20">
        <v>20.93</v>
      </c>
    </row>
    <row r="41" spans="1:10" ht="15.75" customHeight="1" thickTop="1" thickBot="1" x14ac:dyDescent="0.35">
      <c r="A41" s="131"/>
      <c r="B41" s="64" t="s">
        <v>104</v>
      </c>
      <c r="C41" s="26">
        <f t="shared" ref="C41:J41" si="9">IF(OR(C39="",C40=""),"",C40/C39)</f>
        <v>0.9698979591836735</v>
      </c>
      <c r="D41" s="27">
        <f t="shared" si="9"/>
        <v>0.96985210466439153</v>
      </c>
      <c r="E41" s="26">
        <f t="shared" si="9"/>
        <v>0.969509682735888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0.96974789915966375</v>
      </c>
      <c r="I41" s="26">
        <f t="shared" si="9"/>
        <v>0.96941489361702138</v>
      </c>
      <c r="J41" s="28">
        <f t="shared" si="9"/>
        <v>0.96987951807228923</v>
      </c>
    </row>
    <row r="42" spans="1:10" ht="15.75" customHeight="1" thickTop="1" x14ac:dyDescent="0.3"/>
    <row r="43" spans="1:10" ht="15.75" customHeight="1" thickBot="1" x14ac:dyDescent="0.35">
      <c r="A43" s="8" t="s">
        <v>136</v>
      </c>
    </row>
    <row r="44" spans="1:10" ht="15.75" customHeight="1" thickTop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7" t="s">
        <v>23</v>
      </c>
    </row>
    <row r="45" spans="1:10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20">
        <v>19.2</v>
      </c>
    </row>
    <row r="46" spans="1:10" ht="15.75" customHeight="1" thickBot="1" x14ac:dyDescent="0.35">
      <c r="B46" s="56" t="s">
        <v>101</v>
      </c>
      <c r="C46" s="2" t="s">
        <v>13</v>
      </c>
      <c r="D46" s="19" t="s">
        <v>14</v>
      </c>
      <c r="E46" s="2" t="s">
        <v>15</v>
      </c>
      <c r="F46" s="19" t="s">
        <v>17</v>
      </c>
      <c r="G46" s="2" t="s">
        <v>18</v>
      </c>
      <c r="H46" s="19" t="s">
        <v>16</v>
      </c>
      <c r="I46" s="2" t="s">
        <v>20</v>
      </c>
      <c r="J46" s="20" t="s">
        <v>23</v>
      </c>
    </row>
    <row r="47" spans="1:10" ht="15.75" customHeight="1" thickTop="1" thickBot="1" x14ac:dyDescent="0.35">
      <c r="A47" s="57" t="s">
        <v>6</v>
      </c>
      <c r="B47" s="58"/>
      <c r="C47" s="59"/>
      <c r="D47" s="60"/>
      <c r="E47" s="59"/>
      <c r="F47" s="60"/>
      <c r="G47" s="59"/>
      <c r="H47" s="60"/>
      <c r="I47" s="59"/>
      <c r="J47" s="61"/>
    </row>
    <row r="48" spans="1:10" ht="15.75" customHeight="1" thickTop="1" thickBot="1" x14ac:dyDescent="0.35">
      <c r="A48" s="131">
        <v>70</v>
      </c>
      <c r="B48" s="62" t="s">
        <v>102</v>
      </c>
      <c r="C48" s="4">
        <v>0.68</v>
      </c>
      <c r="D48" s="16">
        <v>0.61</v>
      </c>
      <c r="E48" s="4">
        <v>0.84</v>
      </c>
      <c r="F48" s="16">
        <v>0.88</v>
      </c>
      <c r="G48" s="4">
        <v>0.61</v>
      </c>
      <c r="H48" s="16">
        <v>0.83</v>
      </c>
      <c r="I48" s="4">
        <v>0.79</v>
      </c>
      <c r="J48" s="17">
        <v>0.75</v>
      </c>
    </row>
    <row r="49" spans="1:10" ht="15.75" customHeight="1" thickTop="1" thickBot="1" x14ac:dyDescent="0.35">
      <c r="A49" s="131"/>
      <c r="B49" s="63" t="s">
        <v>103</v>
      </c>
      <c r="C49" s="2">
        <v>1.37</v>
      </c>
      <c r="D49" s="19">
        <v>1.22</v>
      </c>
      <c r="E49" s="2">
        <v>1.69</v>
      </c>
      <c r="F49" s="19">
        <v>1.76</v>
      </c>
      <c r="G49" s="2">
        <v>1.22</v>
      </c>
      <c r="H49" s="19">
        <v>1.66</v>
      </c>
      <c r="I49" s="2">
        <v>1.57</v>
      </c>
      <c r="J49" s="20">
        <v>1.59</v>
      </c>
    </row>
    <row r="50" spans="1:10" ht="15.75" customHeight="1" thickTop="1" thickBot="1" x14ac:dyDescent="0.35">
      <c r="A50" s="131"/>
      <c r="B50" s="64" t="s">
        <v>104</v>
      </c>
      <c r="C50" s="26">
        <f t="shared" ref="C50:J50" si="10">IF(OR(C48="",C49=""),"",C49/C48)</f>
        <v>2.0147058823529411</v>
      </c>
      <c r="D50" s="27">
        <f t="shared" si="10"/>
        <v>2</v>
      </c>
      <c r="E50" s="26">
        <f t="shared" si="10"/>
        <v>2.0119047619047619</v>
      </c>
      <c r="F50" s="27">
        <f t="shared" si="10"/>
        <v>2</v>
      </c>
      <c r="G50" s="26">
        <f t="shared" si="10"/>
        <v>2</v>
      </c>
      <c r="H50" s="27">
        <f t="shared" si="10"/>
        <v>2</v>
      </c>
      <c r="I50" s="26">
        <f t="shared" si="10"/>
        <v>1.9873417721518987</v>
      </c>
      <c r="J50" s="28">
        <f t="shared" si="10"/>
        <v>2.12</v>
      </c>
    </row>
    <row r="51" spans="1:10" ht="15.75" customHeight="1" thickTop="1" x14ac:dyDescent="0.3">
      <c r="A51" s="134">
        <v>80</v>
      </c>
      <c r="B51" s="5" t="s">
        <v>102</v>
      </c>
      <c r="C51" s="6">
        <v>1.18</v>
      </c>
      <c r="D51" s="29">
        <v>1.06</v>
      </c>
      <c r="E51" s="6">
        <v>1.46</v>
      </c>
      <c r="F51" s="29">
        <v>1.52</v>
      </c>
      <c r="G51" s="6">
        <v>1.06</v>
      </c>
      <c r="H51" s="29">
        <v>1.43</v>
      </c>
      <c r="I51" s="6">
        <v>1.36</v>
      </c>
      <c r="J51" s="30">
        <v>1.3</v>
      </c>
    </row>
    <row r="52" spans="1:10" ht="15.75" customHeight="1" x14ac:dyDescent="0.3">
      <c r="A52" s="134"/>
      <c r="B52" s="63" t="s">
        <v>103</v>
      </c>
      <c r="C52" s="2">
        <v>2.1800000000000002</v>
      </c>
      <c r="D52" s="19">
        <v>1.96</v>
      </c>
      <c r="E52" s="3">
        <v>2.7</v>
      </c>
      <c r="F52" s="19">
        <v>2.81</v>
      </c>
      <c r="G52" s="2">
        <v>1.96</v>
      </c>
      <c r="H52" s="19">
        <v>2.65</v>
      </c>
      <c r="I52" s="2">
        <v>2.5099999999999998</v>
      </c>
      <c r="J52" s="20">
        <v>2.4</v>
      </c>
    </row>
    <row r="53" spans="1:10" ht="15.75" customHeight="1" thickBot="1" x14ac:dyDescent="0.35">
      <c r="A53" s="134"/>
      <c r="B53" s="65" t="s">
        <v>104</v>
      </c>
      <c r="C53" s="66">
        <f t="shared" ref="C53:J53" si="11">IF(OR(C51="",C52=""),"",C52/C51)</f>
        <v>1.8474576271186443</v>
      </c>
      <c r="D53" s="67">
        <f t="shared" si="11"/>
        <v>1.8490566037735847</v>
      </c>
      <c r="E53" s="66">
        <f t="shared" si="11"/>
        <v>1.8493150684931507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1.8531468531468531</v>
      </c>
      <c r="I53" s="66">
        <f t="shared" si="11"/>
        <v>1.8455882352941173</v>
      </c>
      <c r="J53" s="68">
        <f t="shared" si="11"/>
        <v>1.846153846153846</v>
      </c>
    </row>
    <row r="54" spans="1:10" ht="15.75" customHeight="1" thickTop="1" thickBot="1" x14ac:dyDescent="0.35">
      <c r="A54" s="131">
        <v>100</v>
      </c>
      <c r="B54" s="62" t="s">
        <v>102</v>
      </c>
      <c r="C54" s="4">
        <v>2.56</v>
      </c>
      <c r="D54" s="16">
        <v>2.29</v>
      </c>
      <c r="E54" s="4">
        <v>3.17</v>
      </c>
      <c r="F54" s="16">
        <v>3.3</v>
      </c>
      <c r="G54" s="4">
        <v>2.29</v>
      </c>
      <c r="H54" s="16">
        <v>3.1</v>
      </c>
      <c r="I54" s="4">
        <v>2.94</v>
      </c>
      <c r="J54" s="17">
        <v>2.82</v>
      </c>
    </row>
    <row r="55" spans="1:10" ht="15.75" customHeight="1" thickTop="1" thickBot="1" x14ac:dyDescent="0.35">
      <c r="A55" s="131"/>
      <c r="B55" s="63" t="s">
        <v>103</v>
      </c>
      <c r="C55" s="2">
        <v>4.28</v>
      </c>
      <c r="D55" s="19">
        <v>3.84</v>
      </c>
      <c r="E55" s="2">
        <v>5.3</v>
      </c>
      <c r="F55" s="19">
        <v>5.52</v>
      </c>
      <c r="G55" s="2">
        <v>3.84</v>
      </c>
      <c r="H55" s="19">
        <v>5.19</v>
      </c>
      <c r="I55" s="2">
        <v>4.92</v>
      </c>
      <c r="J55" s="20">
        <v>4.71</v>
      </c>
    </row>
    <row r="56" spans="1:10" ht="15.75" customHeight="1" thickTop="1" thickBot="1" x14ac:dyDescent="0.35">
      <c r="A56" s="131"/>
      <c r="B56" s="64" t="s">
        <v>104</v>
      </c>
      <c r="C56" s="26">
        <f t="shared" ref="C56:J56" si="12">IF(OR(C54="",C55=""),"",C55/C54)</f>
        <v>1.671875</v>
      </c>
      <c r="D56" s="27">
        <f t="shared" si="12"/>
        <v>1.6768558951965065</v>
      </c>
      <c r="E56" s="26">
        <f t="shared" si="12"/>
        <v>1.6719242902208202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1.6741935483870969</v>
      </c>
      <c r="I56" s="26">
        <f t="shared" si="12"/>
        <v>1.6734693877551021</v>
      </c>
      <c r="J56" s="28">
        <f t="shared" si="12"/>
        <v>1.6702127659574468</v>
      </c>
    </row>
    <row r="57" spans="1:10" ht="15.75" customHeight="1" thickTop="1" x14ac:dyDescent="0.3">
      <c r="A57" s="134">
        <v>120</v>
      </c>
      <c r="B57" s="5" t="s">
        <v>102</v>
      </c>
      <c r="C57" s="6">
        <v>4.6100000000000003</v>
      </c>
      <c r="D57" s="29">
        <v>4.1399999999999997</v>
      </c>
      <c r="E57" s="6">
        <v>5.71</v>
      </c>
      <c r="F57" s="29">
        <v>5.95</v>
      </c>
      <c r="G57" s="6">
        <v>4.1399999999999997</v>
      </c>
      <c r="H57" s="29">
        <v>5.6</v>
      </c>
      <c r="I57" s="6">
        <v>5.31</v>
      </c>
      <c r="J57" s="30">
        <v>5.08</v>
      </c>
    </row>
    <row r="58" spans="1:10" ht="15.75" customHeight="1" x14ac:dyDescent="0.3">
      <c r="A58" s="134"/>
      <c r="B58" s="63" t="s">
        <v>103</v>
      </c>
      <c r="C58" s="2">
        <v>7.33</v>
      </c>
      <c r="D58" s="19">
        <v>6.58</v>
      </c>
      <c r="E58" s="2">
        <v>9.08</v>
      </c>
      <c r="F58" s="19">
        <v>9.4600000000000009</v>
      </c>
      <c r="G58" s="2">
        <v>6.58</v>
      </c>
      <c r="H58" s="19">
        <v>8.91</v>
      </c>
      <c r="I58" s="2">
        <v>8.44</v>
      </c>
      <c r="J58" s="20">
        <v>8.08</v>
      </c>
    </row>
    <row r="59" spans="1:10" ht="15.75" customHeight="1" thickBot="1" x14ac:dyDescent="0.35">
      <c r="A59" s="134"/>
      <c r="B59" s="65" t="s">
        <v>104</v>
      </c>
      <c r="C59" s="66">
        <f t="shared" ref="C59:J59" si="13">IF(OR(C57="",C58=""),"",C58/C57)</f>
        <v>1.5900216919739696</v>
      </c>
      <c r="D59" s="67">
        <f t="shared" si="13"/>
        <v>1.5893719806763287</v>
      </c>
      <c r="E59" s="66">
        <f t="shared" si="13"/>
        <v>1.5901926444833625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1.5910714285714287</v>
      </c>
      <c r="I59" s="66">
        <f t="shared" si="13"/>
        <v>1.5894538606403013</v>
      </c>
      <c r="J59" s="68">
        <f t="shared" si="13"/>
        <v>1.5905511811023623</v>
      </c>
    </row>
    <row r="60" spans="1:10" ht="15.75" customHeight="1" thickTop="1" thickBot="1" x14ac:dyDescent="0.35">
      <c r="A60" s="131">
        <v>140</v>
      </c>
      <c r="B60" s="62" t="s">
        <v>102</v>
      </c>
      <c r="C60" s="4">
        <v>6.88</v>
      </c>
      <c r="D60" s="16">
        <v>6.17</v>
      </c>
      <c r="E60" s="4">
        <v>8.52</v>
      </c>
      <c r="F60" s="16">
        <v>8.8699999999999992</v>
      </c>
      <c r="G60" s="4">
        <v>6.17</v>
      </c>
      <c r="H60" s="16">
        <v>8.36</v>
      </c>
      <c r="I60" s="4">
        <v>7.92</v>
      </c>
      <c r="J60" s="17">
        <v>7.58</v>
      </c>
    </row>
    <row r="61" spans="1:10" ht="15.75" customHeight="1" thickTop="1" thickBot="1" x14ac:dyDescent="0.35">
      <c r="A61" s="131"/>
      <c r="B61" s="63" t="s">
        <v>103</v>
      </c>
      <c r="C61" s="2">
        <v>10.59</v>
      </c>
      <c r="D61" s="19">
        <v>9.5</v>
      </c>
      <c r="E61" s="2">
        <v>13.11</v>
      </c>
      <c r="F61" s="19">
        <v>13.66</v>
      </c>
      <c r="G61" s="2">
        <v>9.5</v>
      </c>
      <c r="H61" s="19">
        <v>12.86</v>
      </c>
      <c r="I61" s="2">
        <v>12.19</v>
      </c>
      <c r="J61" s="20">
        <v>11.66</v>
      </c>
    </row>
    <row r="62" spans="1:10" ht="15.75" customHeight="1" thickTop="1" thickBot="1" x14ac:dyDescent="0.35">
      <c r="A62" s="131"/>
      <c r="B62" s="64" t="s">
        <v>104</v>
      </c>
      <c r="C62" s="26">
        <f t="shared" ref="C62:J62" si="14">IF(OR(C60="",C61=""),"",C61/C60)</f>
        <v>1.5392441860465116</v>
      </c>
      <c r="D62" s="27">
        <f t="shared" si="14"/>
        <v>1.5397082658022692</v>
      </c>
      <c r="E62" s="26">
        <f t="shared" si="14"/>
        <v>1.5387323943661972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1.5382775119617225</v>
      </c>
      <c r="I62" s="26">
        <f t="shared" si="14"/>
        <v>1.5391414141414141</v>
      </c>
      <c r="J62" s="28">
        <f t="shared" si="14"/>
        <v>1.5382585751978892</v>
      </c>
    </row>
    <row r="63" spans="1:10" ht="15.75" customHeight="1" thickTop="1" x14ac:dyDescent="0.3"/>
    <row r="64" spans="1:10" ht="15.75" customHeight="1" thickBot="1" x14ac:dyDescent="0.35">
      <c r="A64" s="8" t="s">
        <v>137</v>
      </c>
    </row>
    <row r="65" spans="1:10" ht="15.75" customHeight="1" thickTop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7" t="s">
        <v>23</v>
      </c>
    </row>
    <row r="66" spans="1:10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20">
        <v>19.2</v>
      </c>
    </row>
    <row r="67" spans="1:10" ht="15.75" customHeight="1" thickBot="1" x14ac:dyDescent="0.35">
      <c r="B67" s="56" t="s">
        <v>101</v>
      </c>
      <c r="C67" s="2" t="s">
        <v>13</v>
      </c>
      <c r="D67" s="19" t="s">
        <v>14</v>
      </c>
      <c r="E67" s="2" t="s">
        <v>15</v>
      </c>
      <c r="F67" s="19" t="s">
        <v>17</v>
      </c>
      <c r="G67" s="2" t="s">
        <v>18</v>
      </c>
      <c r="H67" s="19" t="s">
        <v>16</v>
      </c>
      <c r="I67" s="2" t="s">
        <v>20</v>
      </c>
      <c r="J67" s="20" t="s">
        <v>23</v>
      </c>
    </row>
    <row r="68" spans="1:10" ht="15.75" customHeight="1" thickTop="1" thickBot="1" x14ac:dyDescent="0.35">
      <c r="A68" s="57" t="s">
        <v>6</v>
      </c>
      <c r="B68" s="58"/>
      <c r="C68" s="59"/>
      <c r="D68" s="60"/>
      <c r="E68" s="59"/>
      <c r="F68" s="60"/>
      <c r="G68" s="59"/>
      <c r="H68" s="60"/>
      <c r="I68" s="59"/>
      <c r="J68" s="61"/>
    </row>
    <row r="69" spans="1:10" ht="15.75" customHeight="1" thickTop="1" thickBot="1" x14ac:dyDescent="0.35">
      <c r="A69" s="131">
        <v>70</v>
      </c>
      <c r="B69" s="62" t="s">
        <v>102</v>
      </c>
      <c r="C69" s="4">
        <v>0.57999999999999996</v>
      </c>
      <c r="D69" s="16">
        <v>0.52</v>
      </c>
      <c r="E69" s="4">
        <v>0.72</v>
      </c>
      <c r="F69" s="16">
        <v>0.75</v>
      </c>
      <c r="G69" s="4">
        <v>0.52</v>
      </c>
      <c r="H69" s="16">
        <v>0.7</v>
      </c>
      <c r="I69" s="4">
        <v>0.67</v>
      </c>
      <c r="J69" s="17">
        <v>0.64</v>
      </c>
    </row>
    <row r="70" spans="1:10" ht="15.75" customHeight="1" thickTop="1" thickBot="1" x14ac:dyDescent="0.35">
      <c r="A70" s="131"/>
      <c r="B70" s="63" t="s">
        <v>103</v>
      </c>
      <c r="C70" s="2">
        <v>1.01</v>
      </c>
      <c r="D70" s="19">
        <v>0.91</v>
      </c>
      <c r="E70" s="2">
        <v>1.25</v>
      </c>
      <c r="F70" s="19">
        <v>1.3</v>
      </c>
      <c r="G70" s="2">
        <v>0.91</v>
      </c>
      <c r="H70" s="19">
        <v>1.23</v>
      </c>
      <c r="I70" s="2">
        <v>1.1599999999999999</v>
      </c>
      <c r="J70" s="20">
        <v>1.1100000000000001</v>
      </c>
    </row>
    <row r="71" spans="1:10" ht="15.75" customHeight="1" thickTop="1" thickBot="1" x14ac:dyDescent="0.35">
      <c r="A71" s="131"/>
      <c r="B71" s="64" t="s">
        <v>104</v>
      </c>
      <c r="C71" s="26">
        <f t="shared" ref="C71:J71" si="15">IF(OR(C69="",C70=""),"",C70/C69)</f>
        <v>1.7413793103448276</v>
      </c>
      <c r="D71" s="27">
        <f t="shared" si="15"/>
        <v>1.75</v>
      </c>
      <c r="E71" s="26">
        <f t="shared" si="15"/>
        <v>1.7361111111111112</v>
      </c>
      <c r="F71" s="27">
        <f t="shared" si="15"/>
        <v>1.7333333333333334</v>
      </c>
      <c r="G71" s="26">
        <f t="shared" si="15"/>
        <v>1.75</v>
      </c>
      <c r="H71" s="27">
        <f t="shared" si="15"/>
        <v>1.7571428571428573</v>
      </c>
      <c r="I71" s="26">
        <f t="shared" si="15"/>
        <v>1.7313432835820892</v>
      </c>
      <c r="J71" s="28">
        <f t="shared" si="15"/>
        <v>1.7343750000000002</v>
      </c>
    </row>
    <row r="72" spans="1:10" ht="15.75" customHeight="1" thickTop="1" x14ac:dyDescent="0.3">
      <c r="A72" s="134">
        <v>80</v>
      </c>
      <c r="B72" s="5" t="s">
        <v>102</v>
      </c>
      <c r="C72" s="6">
        <v>1.03</v>
      </c>
      <c r="D72" s="29">
        <v>0.92</v>
      </c>
      <c r="E72" s="6">
        <v>1.27</v>
      </c>
      <c r="F72" s="29">
        <v>1.33</v>
      </c>
      <c r="G72" s="6">
        <v>0.92</v>
      </c>
      <c r="H72" s="29">
        <v>1.25</v>
      </c>
      <c r="I72" s="6">
        <v>1.18</v>
      </c>
      <c r="J72" s="30">
        <v>1.1299999999999999</v>
      </c>
    </row>
    <row r="73" spans="1:10" ht="15.75" customHeight="1" x14ac:dyDescent="0.3">
      <c r="A73" s="134"/>
      <c r="B73" s="63" t="s">
        <v>103</v>
      </c>
      <c r="C73" s="2">
        <v>1.66</v>
      </c>
      <c r="D73" s="19">
        <v>1.49</v>
      </c>
      <c r="E73" s="2">
        <v>2.06</v>
      </c>
      <c r="F73" s="19">
        <v>2.14</v>
      </c>
      <c r="G73" s="2">
        <v>1.49</v>
      </c>
      <c r="H73" s="19">
        <v>2.02</v>
      </c>
      <c r="I73" s="2">
        <v>1.91</v>
      </c>
      <c r="J73" s="20">
        <v>1.83</v>
      </c>
    </row>
    <row r="74" spans="1:10" ht="15.75" customHeight="1" thickBot="1" x14ac:dyDescent="0.35">
      <c r="A74" s="134"/>
      <c r="B74" s="65" t="s">
        <v>104</v>
      </c>
      <c r="C74" s="66">
        <f t="shared" ref="C74:J74" si="16">IF(OR(C72="",C73=""),"",C73/C72)</f>
        <v>1.6116504854368932</v>
      </c>
      <c r="D74" s="67">
        <f t="shared" si="16"/>
        <v>1.6195652173913042</v>
      </c>
      <c r="E74" s="66">
        <f t="shared" si="16"/>
        <v>1.6220472440944882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1.6160000000000001</v>
      </c>
      <c r="I74" s="66">
        <f t="shared" si="16"/>
        <v>1.6186440677966103</v>
      </c>
      <c r="J74" s="68">
        <f t="shared" si="16"/>
        <v>1.6194690265486729</v>
      </c>
    </row>
    <row r="75" spans="1:10" ht="15.75" customHeight="1" thickTop="1" thickBot="1" x14ac:dyDescent="0.35">
      <c r="A75" s="131">
        <v>100</v>
      </c>
      <c r="B75" s="62" t="s">
        <v>102</v>
      </c>
      <c r="C75" s="4">
        <v>2.25</v>
      </c>
      <c r="D75" s="16">
        <v>2.02</v>
      </c>
      <c r="E75" s="4">
        <v>2.78</v>
      </c>
      <c r="F75" s="16">
        <v>2.9</v>
      </c>
      <c r="G75" s="4">
        <v>2.02</v>
      </c>
      <c r="H75" s="16">
        <v>2.73</v>
      </c>
      <c r="I75" s="4">
        <v>2.59</v>
      </c>
      <c r="J75" s="17">
        <v>2.4700000000000002</v>
      </c>
    </row>
    <row r="76" spans="1:10" ht="15.75" customHeight="1" thickTop="1" thickBot="1" x14ac:dyDescent="0.35">
      <c r="A76" s="131"/>
      <c r="B76" s="63" t="s">
        <v>103</v>
      </c>
      <c r="C76" s="2">
        <v>3.35</v>
      </c>
      <c r="D76" s="19">
        <v>3.01</v>
      </c>
      <c r="E76" s="2">
        <v>4.1500000000000004</v>
      </c>
      <c r="F76" s="19">
        <v>4.32</v>
      </c>
      <c r="G76" s="2">
        <v>3.01</v>
      </c>
      <c r="H76" s="19">
        <v>4.07</v>
      </c>
      <c r="I76" s="2">
        <v>3.86</v>
      </c>
      <c r="J76" s="20">
        <v>3.69</v>
      </c>
    </row>
    <row r="77" spans="1:10" ht="15.75" customHeight="1" thickTop="1" thickBot="1" x14ac:dyDescent="0.35">
      <c r="A77" s="131"/>
      <c r="B77" s="64" t="s">
        <v>104</v>
      </c>
      <c r="C77" s="26">
        <f t="shared" ref="C77:J77" si="17">IF(OR(C75="",C76=""),"",C76/C75)</f>
        <v>1.4888888888888889</v>
      </c>
      <c r="D77" s="27">
        <f t="shared" si="17"/>
        <v>1.4900990099009901</v>
      </c>
      <c r="E77" s="26">
        <f t="shared" si="17"/>
        <v>1.4928057553956837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1.4908424908424909</v>
      </c>
      <c r="I77" s="26">
        <f t="shared" si="17"/>
        <v>1.4903474903474905</v>
      </c>
      <c r="J77" s="28">
        <f t="shared" si="17"/>
        <v>1.4939271255060727</v>
      </c>
    </row>
    <row r="78" spans="1:10" ht="15.75" customHeight="1" thickTop="1" x14ac:dyDescent="0.3">
      <c r="A78" s="134">
        <v>120</v>
      </c>
      <c r="B78" s="5" t="s">
        <v>102</v>
      </c>
      <c r="C78" s="6">
        <v>4.09</v>
      </c>
      <c r="D78" s="29">
        <v>3.67</v>
      </c>
      <c r="E78" s="6">
        <v>5.07</v>
      </c>
      <c r="F78" s="29">
        <v>5.28</v>
      </c>
      <c r="G78" s="6">
        <v>3.67</v>
      </c>
      <c r="H78" s="29">
        <v>4.97</v>
      </c>
      <c r="I78" s="6">
        <v>4.71</v>
      </c>
      <c r="J78" s="30">
        <v>4.51</v>
      </c>
    </row>
    <row r="79" spans="1:10" ht="15.75" customHeight="1" x14ac:dyDescent="0.3">
      <c r="A79" s="134"/>
      <c r="B79" s="63" t="s">
        <v>103</v>
      </c>
      <c r="C79" s="2">
        <v>5.86</v>
      </c>
      <c r="D79" s="19">
        <v>5.26</v>
      </c>
      <c r="E79" s="2">
        <v>7.26</v>
      </c>
      <c r="F79" s="19">
        <v>7.56</v>
      </c>
      <c r="G79" s="2">
        <v>5.26</v>
      </c>
      <c r="H79" s="19">
        <v>7.12</v>
      </c>
      <c r="I79" s="2">
        <v>6.75</v>
      </c>
      <c r="J79" s="20">
        <v>6.46</v>
      </c>
    </row>
    <row r="80" spans="1:10" ht="15.75" customHeight="1" thickBot="1" x14ac:dyDescent="0.35">
      <c r="A80" s="134"/>
      <c r="B80" s="65" t="s">
        <v>104</v>
      </c>
      <c r="C80" s="66">
        <f t="shared" ref="C80:J80" si="18">IF(OR(C78="",C79=""),"",C79/C78)</f>
        <v>1.4327628361858191</v>
      </c>
      <c r="D80" s="67">
        <f t="shared" si="18"/>
        <v>1.4332425068119892</v>
      </c>
      <c r="E80" s="66">
        <f t="shared" si="18"/>
        <v>1.4319526627218935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1.4325955734406439</v>
      </c>
      <c r="I80" s="66">
        <f t="shared" si="18"/>
        <v>1.4331210191082802</v>
      </c>
      <c r="J80" s="68">
        <f t="shared" si="18"/>
        <v>1.4323725055432373</v>
      </c>
    </row>
    <row r="81" spans="1:10" ht="15.75" customHeight="1" thickTop="1" thickBot="1" x14ac:dyDescent="0.35">
      <c r="A81" s="131">
        <v>140</v>
      </c>
      <c r="B81" s="62" t="s">
        <v>102</v>
      </c>
      <c r="C81" s="4">
        <v>6.16</v>
      </c>
      <c r="D81" s="16">
        <v>5.52</v>
      </c>
      <c r="E81" s="4">
        <v>7.62</v>
      </c>
      <c r="F81" s="16">
        <v>7.94</v>
      </c>
      <c r="G81" s="4">
        <v>5.52</v>
      </c>
      <c r="H81" s="16">
        <v>7.48</v>
      </c>
      <c r="I81" s="4">
        <v>7.09</v>
      </c>
      <c r="J81" s="17">
        <v>6.78</v>
      </c>
    </row>
    <row r="82" spans="1:10" ht="15.75" customHeight="1" thickTop="1" thickBot="1" x14ac:dyDescent="0.35">
      <c r="A82" s="131"/>
      <c r="B82" s="63" t="s">
        <v>103</v>
      </c>
      <c r="C82" s="2">
        <v>8.6</v>
      </c>
      <c r="D82" s="19">
        <v>7.71</v>
      </c>
      <c r="E82" s="2">
        <v>10.64</v>
      </c>
      <c r="F82" s="19">
        <v>11.09</v>
      </c>
      <c r="G82" s="2">
        <v>7.71</v>
      </c>
      <c r="H82" s="19">
        <v>10.44</v>
      </c>
      <c r="I82" s="2">
        <v>9.89</v>
      </c>
      <c r="J82" s="20">
        <v>9.4700000000000006</v>
      </c>
    </row>
    <row r="83" spans="1:10" ht="15.75" customHeight="1" thickTop="1" thickBot="1" x14ac:dyDescent="0.35">
      <c r="A83" s="131"/>
      <c r="B83" s="64" t="s">
        <v>104</v>
      </c>
      <c r="C83" s="26">
        <f t="shared" ref="C83:J83" si="19">IF(OR(C81="",C82=""),"",C82/C81)</f>
        <v>1.3961038961038961</v>
      </c>
      <c r="D83" s="27">
        <f t="shared" si="19"/>
        <v>1.3967391304347827</v>
      </c>
      <c r="E83" s="26">
        <f t="shared" si="19"/>
        <v>1.3963254593175853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1.3957219251336896</v>
      </c>
      <c r="I83" s="26">
        <f t="shared" si="19"/>
        <v>1.3949224259520452</v>
      </c>
      <c r="J83" s="28">
        <f t="shared" si="19"/>
        <v>1.3967551622418879</v>
      </c>
    </row>
    <row r="84" spans="1:10" ht="15" customHeight="1" thickTop="1" x14ac:dyDescent="0.3"/>
  </sheetData>
  <mergeCells count="20">
    <mergeCell ref="A6:A8"/>
    <mergeCell ref="A9:A11"/>
    <mergeCell ref="A12:A14"/>
    <mergeCell ref="A15:A17"/>
    <mergeCell ref="A18:A20"/>
    <mergeCell ref="A27:A29"/>
    <mergeCell ref="A30:A32"/>
    <mergeCell ref="A33:A35"/>
    <mergeCell ref="A36:A38"/>
    <mergeCell ref="A39:A41"/>
    <mergeCell ref="A48:A50"/>
    <mergeCell ref="A51:A53"/>
    <mergeCell ref="A54:A56"/>
    <mergeCell ref="A57:A59"/>
    <mergeCell ref="A60:A62"/>
    <mergeCell ref="A69:A71"/>
    <mergeCell ref="A72:A74"/>
    <mergeCell ref="A75:A77"/>
    <mergeCell ref="A78:A80"/>
    <mergeCell ref="A81:A83"/>
  </mergeCells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3"/>
  <sheetViews>
    <sheetView zoomScaleNormal="100" workbookViewId="0">
      <selection activeCell="C39" activeCellId="1" sqref="D93:D181 C39"/>
    </sheetView>
    <sheetView workbookViewId="1"/>
  </sheetViews>
  <sheetFormatPr defaultColWidth="11.19921875" defaultRowHeight="15" customHeight="1" x14ac:dyDescent="0.3"/>
  <cols>
    <col min="1" max="11" width="8.59765625" customWidth="1"/>
  </cols>
  <sheetData>
    <row r="1" spans="1:11" ht="15.75" customHeight="1" x14ac:dyDescent="0.3">
      <c r="A1" s="8" t="s">
        <v>97</v>
      </c>
    </row>
    <row r="2" spans="1:11" ht="15.75" customHeight="1" x14ac:dyDescent="0.3">
      <c r="B2" s="1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6" t="s">
        <v>21</v>
      </c>
      <c r="K2" s="4" t="s">
        <v>23</v>
      </c>
    </row>
    <row r="3" spans="1:11" ht="15.75" customHeight="1" x14ac:dyDescent="0.3">
      <c r="B3" s="18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19">
        <v>19.2</v>
      </c>
      <c r="K3" s="2">
        <v>19.2</v>
      </c>
    </row>
    <row r="4" spans="1:11" ht="15.75" customHeight="1" x14ac:dyDescent="0.3">
      <c r="B4" s="41" t="s">
        <v>101</v>
      </c>
      <c r="C4" s="42" t="s">
        <v>13</v>
      </c>
      <c r="D4" s="43" t="s">
        <v>14</v>
      </c>
      <c r="E4" s="42" t="s">
        <v>16</v>
      </c>
      <c r="F4" s="43" t="s">
        <v>17</v>
      </c>
      <c r="G4" s="42" t="s">
        <v>18</v>
      </c>
      <c r="H4" s="43" t="s">
        <v>19</v>
      </c>
      <c r="I4" s="42" t="s">
        <v>20</v>
      </c>
      <c r="J4" s="43" t="s">
        <v>22</v>
      </c>
      <c r="K4" s="42" t="s">
        <v>23</v>
      </c>
    </row>
    <row r="5" spans="1:11" ht="15.7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3"/>
      <c r="K5" s="22"/>
    </row>
    <row r="6" spans="1:11" ht="15.75" customHeight="1" x14ac:dyDescent="0.3">
      <c r="A6" s="130">
        <v>70</v>
      </c>
      <c r="B6" s="2" t="s">
        <v>102</v>
      </c>
      <c r="C6" s="2">
        <v>2.86</v>
      </c>
      <c r="D6" s="19">
        <v>2.57</v>
      </c>
      <c r="E6" s="2">
        <v>3.41</v>
      </c>
      <c r="F6" s="19">
        <v>3.69</v>
      </c>
      <c r="G6" s="2">
        <v>2.57</v>
      </c>
      <c r="H6" s="19">
        <v>3.48</v>
      </c>
      <c r="I6" s="2">
        <v>3.29</v>
      </c>
      <c r="J6" s="19">
        <v>3.24</v>
      </c>
      <c r="K6" s="2">
        <v>3.15</v>
      </c>
    </row>
    <row r="7" spans="1:11" ht="15.75" customHeight="1" x14ac:dyDescent="0.3">
      <c r="A7" s="130"/>
      <c r="B7" s="2" t="s">
        <v>103</v>
      </c>
      <c r="C7" s="2">
        <v>3.06</v>
      </c>
      <c r="D7" s="19">
        <v>2.74</v>
      </c>
      <c r="E7" s="2">
        <v>3.63</v>
      </c>
      <c r="F7" s="19">
        <v>3.94</v>
      </c>
      <c r="G7" s="2">
        <v>2.74</v>
      </c>
      <c r="H7" s="19">
        <v>3.7</v>
      </c>
      <c r="I7" s="2">
        <v>3.52</v>
      </c>
      <c r="J7" s="19">
        <v>3.44</v>
      </c>
      <c r="K7" s="2">
        <v>3.37</v>
      </c>
    </row>
    <row r="8" spans="1:11" ht="15.75" customHeight="1" x14ac:dyDescent="0.3">
      <c r="A8" s="130"/>
      <c r="B8" s="25" t="s">
        <v>104</v>
      </c>
      <c r="C8" s="26">
        <f t="shared" ref="C8:K8" si="0">IF(OR(C6="",C7=""),"",C7/C6)</f>
        <v>1.06993006993007</v>
      </c>
      <c r="D8" s="27">
        <f t="shared" si="0"/>
        <v>1.0661478599221792</v>
      </c>
      <c r="E8" s="26">
        <f t="shared" si="0"/>
        <v>1.064516129032258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1.0632183908045978</v>
      </c>
      <c r="I8" s="26">
        <f t="shared" si="0"/>
        <v>1.0699088145896656</v>
      </c>
      <c r="J8" s="27">
        <f t="shared" si="0"/>
        <v>1.0617283950617282</v>
      </c>
      <c r="K8" s="26">
        <f t="shared" si="0"/>
        <v>1.0698412698412698</v>
      </c>
    </row>
    <row r="9" spans="1:11" ht="15.75" customHeight="1" x14ac:dyDescent="0.3">
      <c r="A9" s="130">
        <v>80</v>
      </c>
      <c r="B9" s="6" t="s">
        <v>102</v>
      </c>
      <c r="C9" s="6">
        <v>4.57</v>
      </c>
      <c r="D9" s="29">
        <v>4.0999999999999996</v>
      </c>
      <c r="E9" s="6">
        <v>5.44</v>
      </c>
      <c r="F9" s="29">
        <v>5.89</v>
      </c>
      <c r="G9" s="6">
        <v>4.0999999999999996</v>
      </c>
      <c r="H9" s="29">
        <v>5.55</v>
      </c>
      <c r="I9" s="6">
        <v>5.25</v>
      </c>
      <c r="J9" s="29">
        <v>5.17</v>
      </c>
      <c r="K9" s="6">
        <v>5.03</v>
      </c>
    </row>
    <row r="10" spans="1:11" ht="15.75" customHeight="1" x14ac:dyDescent="0.3">
      <c r="A10" s="130"/>
      <c r="B10" s="2" t="s">
        <v>103</v>
      </c>
      <c r="C10" s="2">
        <v>4.7699999999999996</v>
      </c>
      <c r="D10" s="19">
        <v>4.28</v>
      </c>
      <c r="E10" s="2">
        <v>5.67</v>
      </c>
      <c r="F10" s="19">
        <v>6.16</v>
      </c>
      <c r="G10" s="2">
        <v>4.28</v>
      </c>
      <c r="H10" s="19">
        <v>5.78</v>
      </c>
      <c r="I10" s="2">
        <v>5.49</v>
      </c>
      <c r="J10" s="19">
        <v>5.38</v>
      </c>
      <c r="K10" s="2">
        <v>5.26</v>
      </c>
    </row>
    <row r="11" spans="1:11" ht="15.75" customHeight="1" x14ac:dyDescent="0.3">
      <c r="A11" s="130"/>
      <c r="B11" s="25" t="s">
        <v>104</v>
      </c>
      <c r="C11" s="26">
        <f t="shared" ref="C11:K11" si="1">IF(OR(C9="",C10=""),"",C10/C9)</f>
        <v>1.0437636761487963</v>
      </c>
      <c r="D11" s="27">
        <f t="shared" si="1"/>
        <v>1.0439024390243905</v>
      </c>
      <c r="E11" s="26">
        <f t="shared" si="1"/>
        <v>1.0422794117647058</v>
      </c>
      <c r="F11" s="27">
        <f t="shared" si="1"/>
        <v>1.0458404074702887</v>
      </c>
      <c r="G11" s="26">
        <f t="shared" si="1"/>
        <v>1.0439024390243905</v>
      </c>
      <c r="H11" s="27">
        <f t="shared" si="1"/>
        <v>1.0414414414414415</v>
      </c>
      <c r="I11" s="26">
        <f t="shared" si="1"/>
        <v>1.0457142857142858</v>
      </c>
      <c r="J11" s="27">
        <f t="shared" si="1"/>
        <v>1.0406189555125724</v>
      </c>
      <c r="K11" s="26">
        <f t="shared" si="1"/>
        <v>1.0457256461232602</v>
      </c>
    </row>
    <row r="12" spans="1:11" ht="15.75" customHeight="1" x14ac:dyDescent="0.3">
      <c r="A12" s="130">
        <v>100</v>
      </c>
      <c r="B12" s="6" t="s">
        <v>102</v>
      </c>
      <c r="C12" s="6">
        <v>8.84</v>
      </c>
      <c r="D12" s="29">
        <v>7.93</v>
      </c>
      <c r="E12" s="6">
        <v>10.53</v>
      </c>
      <c r="F12" s="29">
        <v>11.4</v>
      </c>
      <c r="G12" s="6">
        <v>7.93</v>
      </c>
      <c r="H12" s="29">
        <v>10.73</v>
      </c>
      <c r="I12" s="6">
        <v>10.17</v>
      </c>
      <c r="J12" s="29">
        <v>10</v>
      </c>
      <c r="K12" s="6">
        <v>9.73</v>
      </c>
    </row>
    <row r="13" spans="1:11" ht="15.75" customHeight="1" x14ac:dyDescent="0.3">
      <c r="A13" s="130"/>
      <c r="B13" s="2" t="s">
        <v>103</v>
      </c>
      <c r="C13" s="2">
        <v>9.02</v>
      </c>
      <c r="D13" s="19">
        <v>8.1</v>
      </c>
      <c r="E13" s="2">
        <v>10.7</v>
      </c>
      <c r="F13" s="19">
        <v>11.64</v>
      </c>
      <c r="G13" s="2">
        <v>8.1</v>
      </c>
      <c r="H13" s="19">
        <v>10.91</v>
      </c>
      <c r="I13" s="2">
        <v>10.39</v>
      </c>
      <c r="J13" s="19">
        <v>10.16</v>
      </c>
      <c r="K13" s="2">
        <v>9.94</v>
      </c>
    </row>
    <row r="14" spans="1:11" ht="15.75" customHeight="1" x14ac:dyDescent="0.3">
      <c r="A14" s="130"/>
      <c r="B14" s="25" t="s">
        <v>104</v>
      </c>
      <c r="C14" s="26">
        <f t="shared" ref="C14:K14" si="2">IF(OR(C12="",C13=""),"",C13/C12)</f>
        <v>1.0203619909502262</v>
      </c>
      <c r="D14" s="27">
        <f t="shared" si="2"/>
        <v>1.0214375788146279</v>
      </c>
      <c r="E14" s="26">
        <f t="shared" si="2"/>
        <v>1.0161443494776827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1.0167753960857409</v>
      </c>
      <c r="I14" s="26">
        <f t="shared" si="2"/>
        <v>1.0216322517207475</v>
      </c>
      <c r="J14" s="27">
        <f t="shared" si="2"/>
        <v>1.016</v>
      </c>
      <c r="K14" s="26">
        <f t="shared" si="2"/>
        <v>1.0215827338129495</v>
      </c>
    </row>
    <row r="15" spans="1:11" ht="15.75" customHeight="1" x14ac:dyDescent="0.3">
      <c r="A15" s="130">
        <v>120</v>
      </c>
      <c r="B15" s="6" t="s">
        <v>102</v>
      </c>
      <c r="C15" s="6">
        <v>14.89</v>
      </c>
      <c r="D15" s="29">
        <v>13.36</v>
      </c>
      <c r="E15" s="6">
        <v>17.690000000000001</v>
      </c>
      <c r="F15" s="29">
        <v>19.21</v>
      </c>
      <c r="G15" s="6">
        <v>13.36</v>
      </c>
      <c r="H15" s="29">
        <v>18.03</v>
      </c>
      <c r="I15" s="6">
        <v>17.14</v>
      </c>
      <c r="J15" s="29">
        <v>16.8</v>
      </c>
      <c r="K15" s="6">
        <v>16.399999999999999</v>
      </c>
    </row>
    <row r="16" spans="1:11" ht="15.75" customHeight="1" x14ac:dyDescent="0.3">
      <c r="A16" s="130"/>
      <c r="B16" s="2" t="s">
        <v>103</v>
      </c>
      <c r="C16" s="2">
        <v>15.07</v>
      </c>
      <c r="D16" s="19">
        <v>13.52</v>
      </c>
      <c r="E16" s="2">
        <v>17.84</v>
      </c>
      <c r="F16" s="19">
        <v>19.43</v>
      </c>
      <c r="G16" s="2">
        <v>13.52</v>
      </c>
      <c r="H16" s="19">
        <v>18.18</v>
      </c>
      <c r="I16" s="2">
        <v>17.34</v>
      </c>
      <c r="J16" s="19">
        <v>16.940000000000001</v>
      </c>
      <c r="K16" s="2">
        <v>16.59</v>
      </c>
    </row>
    <row r="17" spans="1:11" ht="15.75" customHeight="1" x14ac:dyDescent="0.3">
      <c r="A17" s="130"/>
      <c r="B17" s="25" t="s">
        <v>104</v>
      </c>
      <c r="C17" s="26">
        <f t="shared" ref="C17:K17" si="3">IF(OR(C15="",C16=""),"",C16/C15)</f>
        <v>1.0120886501007387</v>
      </c>
      <c r="D17" s="27">
        <f t="shared" si="3"/>
        <v>1.0119760479041917</v>
      </c>
      <c r="E17" s="26">
        <f t="shared" si="3"/>
        <v>1.00847936687394</v>
      </c>
      <c r="F17" s="27">
        <f t="shared" si="3"/>
        <v>1.0114523685580425</v>
      </c>
      <c r="G17" s="26">
        <f t="shared" si="3"/>
        <v>1.0119760479041917</v>
      </c>
      <c r="H17" s="27">
        <f t="shared" si="3"/>
        <v>1.0083194675540765</v>
      </c>
      <c r="I17" s="26">
        <f t="shared" si="3"/>
        <v>1.0116686114352391</v>
      </c>
      <c r="J17" s="27">
        <f t="shared" si="3"/>
        <v>1.0083333333333333</v>
      </c>
      <c r="K17" s="26">
        <f t="shared" si="3"/>
        <v>1.0115853658536587</v>
      </c>
    </row>
    <row r="18" spans="1:11" ht="15.75" customHeight="1" x14ac:dyDescent="0.3">
      <c r="A18" s="130">
        <v>140</v>
      </c>
      <c r="B18" s="6" t="s">
        <v>102</v>
      </c>
      <c r="C18" s="6">
        <v>21.22</v>
      </c>
      <c r="D18" s="29">
        <v>19.04</v>
      </c>
      <c r="E18" s="6">
        <v>25.23</v>
      </c>
      <c r="F18" s="29">
        <v>27.37</v>
      </c>
      <c r="G18" s="6">
        <v>19.04</v>
      </c>
      <c r="H18" s="29">
        <v>25.72</v>
      </c>
      <c r="I18" s="6">
        <v>24.42</v>
      </c>
      <c r="J18" s="29">
        <v>23.96</v>
      </c>
      <c r="K18" s="6">
        <v>23.37</v>
      </c>
    </row>
    <row r="19" spans="1:11" ht="15.75" customHeight="1" x14ac:dyDescent="0.3">
      <c r="A19" s="130"/>
      <c r="B19" s="2" t="s">
        <v>103</v>
      </c>
      <c r="C19" s="2">
        <v>21.38</v>
      </c>
      <c r="D19" s="19">
        <v>19.18</v>
      </c>
      <c r="E19" s="2">
        <v>25.35</v>
      </c>
      <c r="F19" s="19">
        <v>27.57</v>
      </c>
      <c r="G19" s="2">
        <v>19.18</v>
      </c>
      <c r="H19" s="19">
        <v>25.83</v>
      </c>
      <c r="I19" s="2">
        <v>24.6</v>
      </c>
      <c r="J19" s="19">
        <v>24.07</v>
      </c>
      <c r="K19" s="2">
        <v>23.54</v>
      </c>
    </row>
    <row r="20" spans="1:11" ht="15.75" customHeight="1" x14ac:dyDescent="0.3">
      <c r="A20" s="130"/>
      <c r="B20" s="25" t="s">
        <v>104</v>
      </c>
      <c r="C20" s="26">
        <f t="shared" ref="C20:K20" si="4">IF(OR(C18="",C19=""),"",C19/C18)</f>
        <v>1.0075400565504242</v>
      </c>
      <c r="D20" s="27">
        <f t="shared" si="4"/>
        <v>1.0073529411764706</v>
      </c>
      <c r="E20" s="26">
        <f t="shared" si="4"/>
        <v>1.0047562425683709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1.0042768273716951</v>
      </c>
      <c r="I20" s="26">
        <f t="shared" si="4"/>
        <v>1.0073710073710074</v>
      </c>
      <c r="J20" s="27">
        <f t="shared" si="4"/>
        <v>1.0045909849749581</v>
      </c>
      <c r="K20" s="26">
        <f t="shared" si="4"/>
        <v>1.0072742832691484</v>
      </c>
    </row>
    <row r="21" spans="1:11" ht="15.75" customHeight="1" x14ac:dyDescent="0.3"/>
    <row r="22" spans="1:11" ht="15.75" customHeight="1" x14ac:dyDescent="0.3">
      <c r="A22" s="8" t="s">
        <v>122</v>
      </c>
    </row>
    <row r="23" spans="1:11" ht="15.75" customHeight="1" x14ac:dyDescent="0.3">
      <c r="B23" s="15" t="s">
        <v>100</v>
      </c>
      <c r="C23" s="17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6" t="s">
        <v>21</v>
      </c>
      <c r="K23" s="4" t="s">
        <v>23</v>
      </c>
    </row>
    <row r="24" spans="1:11" ht="15.75" customHeight="1" x14ac:dyDescent="0.3">
      <c r="B24" s="18" t="s">
        <v>114</v>
      </c>
      <c r="C24" s="20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19">
        <v>19.2</v>
      </c>
      <c r="K24" s="2">
        <v>19.2</v>
      </c>
    </row>
    <row r="25" spans="1:11" ht="15.75" customHeight="1" x14ac:dyDescent="0.3">
      <c r="B25" s="18" t="s">
        <v>101</v>
      </c>
      <c r="C25" s="20" t="s">
        <v>13</v>
      </c>
      <c r="D25" s="19" t="s">
        <v>14</v>
      </c>
      <c r="E25" s="2" t="s">
        <v>16</v>
      </c>
      <c r="F25" s="19" t="s">
        <v>17</v>
      </c>
      <c r="G25" s="2" t="s">
        <v>18</v>
      </c>
      <c r="H25" s="19" t="s">
        <v>19</v>
      </c>
      <c r="I25" s="2" t="s">
        <v>20</v>
      </c>
      <c r="J25" s="19" t="s">
        <v>22</v>
      </c>
      <c r="K25" s="2" t="s">
        <v>23</v>
      </c>
    </row>
    <row r="26" spans="1:11" ht="15.75" customHeight="1" x14ac:dyDescent="0.3">
      <c r="A26" s="7" t="s">
        <v>6</v>
      </c>
      <c r="B26" s="69"/>
      <c r="C26" s="70"/>
      <c r="D26" s="71"/>
      <c r="E26" s="72"/>
      <c r="F26" s="71"/>
      <c r="G26" s="72"/>
      <c r="H26" s="71"/>
      <c r="I26" s="72"/>
      <c r="J26" s="71"/>
      <c r="K26" s="72"/>
    </row>
    <row r="27" spans="1:11" ht="15.75" customHeight="1" x14ac:dyDescent="0.3">
      <c r="A27" s="135">
        <v>70</v>
      </c>
      <c r="B27" s="4" t="s">
        <v>102</v>
      </c>
      <c r="C27" s="17">
        <v>2.54</v>
      </c>
      <c r="D27" s="16">
        <v>2.2799999999999998</v>
      </c>
      <c r="E27" s="4">
        <v>3.02</v>
      </c>
      <c r="F27" s="16">
        <v>3.28</v>
      </c>
      <c r="G27" s="4">
        <v>2.2799999999999998</v>
      </c>
      <c r="H27" s="16">
        <v>3.08</v>
      </c>
      <c r="I27" s="4">
        <v>2.93</v>
      </c>
      <c r="J27" s="16">
        <v>2.87</v>
      </c>
      <c r="K27" s="4">
        <v>2.8</v>
      </c>
    </row>
    <row r="28" spans="1:11" ht="15.75" customHeight="1" x14ac:dyDescent="0.3">
      <c r="A28" s="135"/>
      <c r="B28" s="2" t="s">
        <v>103</v>
      </c>
      <c r="C28" s="20">
        <v>2.5499999999999998</v>
      </c>
      <c r="D28" s="19">
        <v>2.2799999999999998</v>
      </c>
      <c r="E28" s="2">
        <v>3.01</v>
      </c>
      <c r="F28" s="19">
        <v>3.28</v>
      </c>
      <c r="G28" s="2">
        <v>2.2799999999999998</v>
      </c>
      <c r="H28" s="19">
        <v>3.07</v>
      </c>
      <c r="I28" s="2">
        <v>2.93</v>
      </c>
      <c r="J28" s="19">
        <v>2.86</v>
      </c>
      <c r="K28" s="2">
        <v>2.8</v>
      </c>
    </row>
    <row r="29" spans="1:11" ht="15.75" customHeight="1" x14ac:dyDescent="0.3">
      <c r="A29" s="135"/>
      <c r="B29" s="25" t="s">
        <v>104</v>
      </c>
      <c r="C29" s="28">
        <f t="shared" ref="C29:K29" si="5">IF(OR(C27="",C28=""),"",C28/C27)</f>
        <v>1.0039370078740157</v>
      </c>
      <c r="D29" s="27">
        <f t="shared" si="5"/>
        <v>1</v>
      </c>
      <c r="E29" s="26">
        <f t="shared" si="5"/>
        <v>0.99668874172185418</v>
      </c>
      <c r="F29" s="27">
        <f t="shared" si="5"/>
        <v>1</v>
      </c>
      <c r="G29" s="26">
        <f t="shared" si="5"/>
        <v>1</v>
      </c>
      <c r="H29" s="27">
        <f t="shared" si="5"/>
        <v>0.99675324675324672</v>
      </c>
      <c r="I29" s="26">
        <f t="shared" si="5"/>
        <v>1</v>
      </c>
      <c r="J29" s="27">
        <f t="shared" si="5"/>
        <v>0.99651567944250863</v>
      </c>
      <c r="K29" s="26">
        <f t="shared" si="5"/>
        <v>1</v>
      </c>
    </row>
    <row r="30" spans="1:11" ht="15.75" customHeight="1" x14ac:dyDescent="0.3">
      <c r="A30" s="136">
        <v>80</v>
      </c>
      <c r="B30" s="6" t="s">
        <v>102</v>
      </c>
      <c r="C30" s="30">
        <v>4.1100000000000003</v>
      </c>
      <c r="D30" s="29">
        <v>3.69</v>
      </c>
      <c r="E30" s="6">
        <v>4.91</v>
      </c>
      <c r="F30" s="29">
        <v>5.3</v>
      </c>
      <c r="G30" s="6">
        <v>3.69</v>
      </c>
      <c r="H30" s="29">
        <v>5</v>
      </c>
      <c r="I30" s="6">
        <v>4.7300000000000004</v>
      </c>
      <c r="J30" s="29">
        <v>4.66</v>
      </c>
      <c r="K30" s="6">
        <v>4.53</v>
      </c>
    </row>
    <row r="31" spans="1:11" ht="15.75" customHeight="1" x14ac:dyDescent="0.3">
      <c r="A31" s="136"/>
      <c r="B31" s="2" t="s">
        <v>103</v>
      </c>
      <c r="C31" s="20">
        <v>4.05</v>
      </c>
      <c r="D31" s="19">
        <v>3.64</v>
      </c>
      <c r="E31" s="2">
        <v>4.8</v>
      </c>
      <c r="F31" s="19">
        <v>5.23</v>
      </c>
      <c r="G31" s="2">
        <v>3.64</v>
      </c>
      <c r="H31" s="19">
        <v>4.8899999999999997</v>
      </c>
      <c r="I31" s="2">
        <v>4.66</v>
      </c>
      <c r="J31" s="19">
        <v>4.5599999999999996</v>
      </c>
      <c r="K31" s="2">
        <v>5.26</v>
      </c>
    </row>
    <row r="32" spans="1:11" ht="15.75" customHeight="1" x14ac:dyDescent="0.3">
      <c r="A32" s="136"/>
      <c r="B32" s="73" t="s">
        <v>104</v>
      </c>
      <c r="C32" s="68">
        <f t="shared" ref="C32:K32" si="6">IF(OR(C30="",C31=""),"",C31/C30)</f>
        <v>0.98540145985401451</v>
      </c>
      <c r="D32" s="67">
        <f t="shared" si="6"/>
        <v>0.98644986449864502</v>
      </c>
      <c r="E32" s="66">
        <f t="shared" si="6"/>
        <v>0.9775967413441955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0.97799999999999998</v>
      </c>
      <c r="I32" s="66">
        <f t="shared" si="6"/>
        <v>0.98520084566596189</v>
      </c>
      <c r="J32" s="67">
        <f t="shared" si="6"/>
        <v>0.97854077253218874</v>
      </c>
      <c r="K32" s="66">
        <f t="shared" si="6"/>
        <v>1.1611479028697571</v>
      </c>
    </row>
    <row r="33" spans="1:11" ht="15.75" customHeight="1" x14ac:dyDescent="0.3">
      <c r="A33" s="135">
        <v>100</v>
      </c>
      <c r="B33" s="4" t="s">
        <v>102</v>
      </c>
      <c r="C33" s="17">
        <v>8.0399999999999991</v>
      </c>
      <c r="D33" s="16">
        <v>7.21</v>
      </c>
      <c r="E33" s="4">
        <v>9.58</v>
      </c>
      <c r="F33" s="16">
        <v>10.37</v>
      </c>
      <c r="G33" s="4">
        <v>7.21</v>
      </c>
      <c r="H33" s="16">
        <v>9.76</v>
      </c>
      <c r="I33" s="4">
        <v>9.25</v>
      </c>
      <c r="J33" s="16">
        <v>9.09</v>
      </c>
      <c r="K33" s="4">
        <v>8.85</v>
      </c>
    </row>
    <row r="34" spans="1:11" ht="15.75" customHeight="1" x14ac:dyDescent="0.3">
      <c r="A34" s="135"/>
      <c r="B34" s="2" t="s">
        <v>103</v>
      </c>
      <c r="C34" s="20">
        <v>7.82</v>
      </c>
      <c r="D34" s="19">
        <v>7.02</v>
      </c>
      <c r="E34" s="2">
        <v>9.26</v>
      </c>
      <c r="F34" s="19">
        <v>10.09</v>
      </c>
      <c r="G34" s="2">
        <v>7.02</v>
      </c>
      <c r="H34" s="19">
        <v>9.43</v>
      </c>
      <c r="I34" s="2">
        <v>9</v>
      </c>
      <c r="J34" s="19">
        <v>8.7899999999999991</v>
      </c>
      <c r="K34" s="2">
        <v>8.61</v>
      </c>
    </row>
    <row r="35" spans="1:11" ht="15.75" customHeight="1" x14ac:dyDescent="0.3">
      <c r="A35" s="135"/>
      <c r="B35" s="25" t="s">
        <v>104</v>
      </c>
      <c r="C35" s="28">
        <f t="shared" ref="C35:K35" si="7">IF(OR(C33="",C34=""),"",C34/C33)</f>
        <v>0.97263681592039819</v>
      </c>
      <c r="D35" s="27">
        <f t="shared" si="7"/>
        <v>0.97364771151178908</v>
      </c>
      <c r="E35" s="26">
        <f t="shared" si="7"/>
        <v>0.96659707724425881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0.96618852459016391</v>
      </c>
      <c r="I35" s="26">
        <f t="shared" si="7"/>
        <v>0.97297297297297303</v>
      </c>
      <c r="J35" s="27">
        <f t="shared" si="7"/>
        <v>0.96699669966996693</v>
      </c>
      <c r="K35" s="26">
        <f t="shared" si="7"/>
        <v>0.97288135593220337</v>
      </c>
    </row>
    <row r="36" spans="1:11" ht="15.75" customHeight="1" x14ac:dyDescent="0.3">
      <c r="A36" s="136">
        <v>120</v>
      </c>
      <c r="B36" s="6" t="s">
        <v>102</v>
      </c>
      <c r="C36" s="30">
        <v>11.68</v>
      </c>
      <c r="D36" s="29">
        <v>12.28</v>
      </c>
      <c r="E36" s="6">
        <v>16.3</v>
      </c>
      <c r="F36" s="29">
        <v>17.649999999999999</v>
      </c>
      <c r="G36" s="6">
        <v>12.28</v>
      </c>
      <c r="H36" s="29">
        <v>16.61</v>
      </c>
      <c r="I36" s="6">
        <v>15.75</v>
      </c>
      <c r="J36" s="29">
        <v>15.48</v>
      </c>
      <c r="K36" s="6">
        <v>15.07</v>
      </c>
    </row>
    <row r="37" spans="1:11" ht="15.75" customHeight="1" x14ac:dyDescent="0.3">
      <c r="A37" s="136"/>
      <c r="B37" s="2" t="s">
        <v>103</v>
      </c>
      <c r="C37" s="20">
        <v>13.28</v>
      </c>
      <c r="D37" s="19">
        <v>11.92</v>
      </c>
      <c r="E37" s="2">
        <v>15.71</v>
      </c>
      <c r="F37" s="19">
        <v>17.13</v>
      </c>
      <c r="G37" s="2">
        <v>11.92</v>
      </c>
      <c r="H37" s="19">
        <v>16.010000000000002</v>
      </c>
      <c r="I37" s="2">
        <v>15.28</v>
      </c>
      <c r="J37" s="19">
        <v>14.92</v>
      </c>
      <c r="K37" s="2">
        <v>14.63</v>
      </c>
    </row>
    <row r="38" spans="1:11" ht="15.75" customHeight="1" x14ac:dyDescent="0.3">
      <c r="A38" s="136"/>
      <c r="B38" s="73" t="s">
        <v>104</v>
      </c>
      <c r="C38" s="68">
        <f t="shared" ref="C38:K38" si="8">IF(OR(C36="",C37=""),"",C37/C36)</f>
        <v>1.1369863013698629</v>
      </c>
      <c r="D38" s="67">
        <f t="shared" si="8"/>
        <v>0.97068403908794798</v>
      </c>
      <c r="E38" s="66">
        <f t="shared" si="8"/>
        <v>0.96380368098159508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0.96387718242022891</v>
      </c>
      <c r="I38" s="66">
        <f t="shared" si="8"/>
        <v>0.97015873015873011</v>
      </c>
      <c r="J38" s="67">
        <f t="shared" si="8"/>
        <v>0.96382428940568476</v>
      </c>
      <c r="K38" s="66">
        <f t="shared" si="8"/>
        <v>0.97080291970802923</v>
      </c>
    </row>
    <row r="39" spans="1:11" ht="15.75" customHeight="1" x14ac:dyDescent="0.3">
      <c r="A39" s="135">
        <v>140</v>
      </c>
      <c r="B39" s="4" t="s">
        <v>102</v>
      </c>
      <c r="C39" s="17">
        <v>19.600000000000001</v>
      </c>
      <c r="D39" s="16">
        <v>17.579999999999998</v>
      </c>
      <c r="E39" s="4">
        <v>23.34</v>
      </c>
      <c r="F39" s="16">
        <v>25.28</v>
      </c>
      <c r="G39" s="4">
        <v>17.579999999999998</v>
      </c>
      <c r="H39" s="16">
        <v>23.79</v>
      </c>
      <c r="I39" s="4">
        <v>22.56</v>
      </c>
      <c r="J39" s="16">
        <v>22.16</v>
      </c>
      <c r="K39" s="4">
        <v>21.58</v>
      </c>
    </row>
    <row r="40" spans="1:11" ht="15.75" customHeight="1" x14ac:dyDescent="0.3">
      <c r="A40" s="135"/>
      <c r="B40" s="2" t="s">
        <v>103</v>
      </c>
      <c r="C40" s="20">
        <v>19.010000000000002</v>
      </c>
      <c r="D40" s="19">
        <v>17.05</v>
      </c>
      <c r="E40" s="2">
        <v>22.49</v>
      </c>
      <c r="F40" s="19">
        <v>24.51</v>
      </c>
      <c r="G40" s="2">
        <v>17.05</v>
      </c>
      <c r="H40" s="19">
        <v>22.92</v>
      </c>
      <c r="I40" s="2">
        <v>21.87</v>
      </c>
      <c r="J40" s="19">
        <v>21.35</v>
      </c>
      <c r="K40" s="2">
        <v>20.93</v>
      </c>
    </row>
    <row r="41" spans="1:11" ht="15.75" customHeight="1" x14ac:dyDescent="0.3">
      <c r="A41" s="135"/>
      <c r="B41" s="25" t="s">
        <v>104</v>
      </c>
      <c r="C41" s="28">
        <f t="shared" ref="C41:K41" si="9">IF(OR(C39="",C40=""),"",C40/C39)</f>
        <v>0.9698979591836735</v>
      </c>
      <c r="D41" s="27">
        <f t="shared" si="9"/>
        <v>0.96985210466439153</v>
      </c>
      <c r="E41" s="26">
        <f t="shared" si="9"/>
        <v>0.9635818337617823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0.96343001261034056</v>
      </c>
      <c r="I41" s="26">
        <f t="shared" si="9"/>
        <v>0.96941489361702138</v>
      </c>
      <c r="J41" s="27">
        <f t="shared" si="9"/>
        <v>0.96344765342960292</v>
      </c>
      <c r="K41" s="26">
        <f t="shared" si="9"/>
        <v>0.96987951807228923</v>
      </c>
    </row>
    <row r="42" spans="1:11" ht="15.75" customHeight="1" x14ac:dyDescent="0.3"/>
    <row r="43" spans="1:11" ht="15.75" customHeight="1" x14ac:dyDescent="0.3">
      <c r="A43" s="8" t="s">
        <v>136</v>
      </c>
    </row>
    <row r="44" spans="1:11" ht="15.75" customHeight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6" t="s">
        <v>21</v>
      </c>
      <c r="K44" s="4" t="s">
        <v>23</v>
      </c>
    </row>
    <row r="45" spans="1:11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19">
        <v>19.2</v>
      </c>
      <c r="K45" s="2">
        <v>19.2</v>
      </c>
    </row>
    <row r="46" spans="1:11" ht="15.75" customHeight="1" x14ac:dyDescent="0.3">
      <c r="B46" s="56" t="s">
        <v>101</v>
      </c>
      <c r="C46" s="2" t="s">
        <v>13</v>
      </c>
      <c r="D46" s="19" t="s">
        <v>14</v>
      </c>
      <c r="E46" s="2" t="s">
        <v>16</v>
      </c>
      <c r="F46" s="19" t="s">
        <v>17</v>
      </c>
      <c r="G46" s="2" t="s">
        <v>18</v>
      </c>
      <c r="H46" s="19" t="s">
        <v>19</v>
      </c>
      <c r="I46" s="2" t="s">
        <v>20</v>
      </c>
      <c r="J46" s="19" t="s">
        <v>22</v>
      </c>
      <c r="K46" s="2" t="s">
        <v>23</v>
      </c>
    </row>
    <row r="47" spans="1:11" ht="15.75" customHeight="1" x14ac:dyDescent="0.3">
      <c r="A47" s="57" t="s">
        <v>6</v>
      </c>
      <c r="B47" s="74"/>
      <c r="C47" s="59"/>
      <c r="D47" s="60"/>
      <c r="E47" s="59"/>
      <c r="F47" s="60"/>
      <c r="G47" s="59"/>
      <c r="H47" s="60"/>
      <c r="I47" s="59"/>
      <c r="J47" s="60"/>
      <c r="K47" s="59"/>
    </row>
    <row r="48" spans="1:11" ht="15.75" customHeight="1" x14ac:dyDescent="0.3">
      <c r="A48" s="131">
        <v>70</v>
      </c>
      <c r="B48" s="16" t="s">
        <v>102</v>
      </c>
      <c r="C48" s="4">
        <v>0.68</v>
      </c>
      <c r="D48" s="16">
        <v>0.61</v>
      </c>
      <c r="E48" s="4">
        <v>0.82</v>
      </c>
      <c r="F48" s="16">
        <v>0.88</v>
      </c>
      <c r="G48" s="4">
        <v>0.61</v>
      </c>
      <c r="H48" s="16">
        <v>0.83</v>
      </c>
      <c r="I48" s="4">
        <v>0.79</v>
      </c>
      <c r="J48" s="16">
        <v>0.78</v>
      </c>
      <c r="K48" s="4">
        <v>0.75</v>
      </c>
    </row>
    <row r="49" spans="1:11" ht="15.75" customHeight="1" x14ac:dyDescent="0.3">
      <c r="A49" s="131"/>
      <c r="B49" s="19" t="s">
        <v>103</v>
      </c>
      <c r="C49" s="2">
        <v>1.37</v>
      </c>
      <c r="D49" s="19">
        <v>1.22</v>
      </c>
      <c r="E49" s="2">
        <v>1.61</v>
      </c>
      <c r="F49" s="19">
        <v>1.76</v>
      </c>
      <c r="G49" s="2">
        <v>1.22</v>
      </c>
      <c r="H49" s="19">
        <v>1.64</v>
      </c>
      <c r="I49" s="2">
        <v>1.57</v>
      </c>
      <c r="J49" s="19">
        <v>1.52</v>
      </c>
      <c r="K49" s="2">
        <v>1.59</v>
      </c>
    </row>
    <row r="50" spans="1:11" ht="15.75" customHeight="1" x14ac:dyDescent="0.3">
      <c r="A50" s="131"/>
      <c r="B50" s="75" t="s">
        <v>104</v>
      </c>
      <c r="C50" s="26">
        <f t="shared" ref="C50:K50" si="10">IF(OR(C48="",C49=""),"",C49/C48)</f>
        <v>2.0147058823529411</v>
      </c>
      <c r="D50" s="27">
        <f t="shared" si="10"/>
        <v>2</v>
      </c>
      <c r="E50" s="26">
        <f t="shared" si="10"/>
        <v>1.9634146341463417</v>
      </c>
      <c r="F50" s="27">
        <f t="shared" si="10"/>
        <v>2</v>
      </c>
      <c r="G50" s="26">
        <f t="shared" si="10"/>
        <v>2</v>
      </c>
      <c r="H50" s="27">
        <f t="shared" si="10"/>
        <v>1.9759036144578312</v>
      </c>
      <c r="I50" s="26">
        <f t="shared" si="10"/>
        <v>1.9873417721518987</v>
      </c>
      <c r="J50" s="27">
        <f t="shared" si="10"/>
        <v>1.9487179487179487</v>
      </c>
      <c r="K50" s="26">
        <f t="shared" si="10"/>
        <v>2.12</v>
      </c>
    </row>
    <row r="51" spans="1:11" ht="15.75" customHeight="1" x14ac:dyDescent="0.3">
      <c r="A51" s="134">
        <v>80</v>
      </c>
      <c r="B51" s="29" t="s">
        <v>102</v>
      </c>
      <c r="C51" s="6">
        <v>1.18</v>
      </c>
      <c r="D51" s="29">
        <v>1.06</v>
      </c>
      <c r="E51" s="6">
        <v>1.4</v>
      </c>
      <c r="F51" s="29">
        <v>1.52</v>
      </c>
      <c r="G51" s="6">
        <v>1.06</v>
      </c>
      <c r="H51" s="29">
        <v>1.43</v>
      </c>
      <c r="I51" s="6">
        <v>1.36</v>
      </c>
      <c r="J51" s="29">
        <v>1.33</v>
      </c>
      <c r="K51" s="6">
        <v>1.3</v>
      </c>
    </row>
    <row r="52" spans="1:11" ht="15.75" customHeight="1" x14ac:dyDescent="0.3">
      <c r="A52" s="134"/>
      <c r="B52" s="19" t="s">
        <v>103</v>
      </c>
      <c r="C52" s="2">
        <v>2.1800000000000002</v>
      </c>
      <c r="D52" s="19">
        <v>1.96</v>
      </c>
      <c r="E52" s="2">
        <v>2.58</v>
      </c>
      <c r="F52" s="19">
        <v>2.81</v>
      </c>
      <c r="G52" s="2">
        <v>1.96</v>
      </c>
      <c r="H52" s="19">
        <v>2.62</v>
      </c>
      <c r="I52" s="2">
        <v>2.5099999999999998</v>
      </c>
      <c r="J52" s="19">
        <v>2.4500000000000002</v>
      </c>
      <c r="K52" s="2">
        <v>2.4</v>
      </c>
    </row>
    <row r="53" spans="1:11" ht="15.75" customHeight="1" x14ac:dyDescent="0.3">
      <c r="A53" s="134"/>
      <c r="B53" s="76" t="s">
        <v>104</v>
      </c>
      <c r="C53" s="66">
        <f t="shared" ref="C53:K53" si="11">IF(OR(C51="",C52=""),"",C52/C51)</f>
        <v>1.8474576271186443</v>
      </c>
      <c r="D53" s="67">
        <f t="shared" si="11"/>
        <v>1.8490566037735847</v>
      </c>
      <c r="E53" s="66">
        <f t="shared" si="11"/>
        <v>1.842857142857143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1.8321678321678323</v>
      </c>
      <c r="I53" s="66">
        <f t="shared" si="11"/>
        <v>1.8455882352941173</v>
      </c>
      <c r="J53" s="67">
        <f t="shared" si="11"/>
        <v>1.8421052631578947</v>
      </c>
      <c r="K53" s="66">
        <f t="shared" si="11"/>
        <v>1.846153846153846</v>
      </c>
    </row>
    <row r="54" spans="1:11" ht="15.75" customHeight="1" x14ac:dyDescent="0.3">
      <c r="A54" s="131">
        <v>100</v>
      </c>
      <c r="B54" s="16" t="s">
        <v>102</v>
      </c>
      <c r="C54" s="4">
        <v>2.56</v>
      </c>
      <c r="D54" s="16">
        <v>2.29</v>
      </c>
      <c r="E54" s="4">
        <v>3.04</v>
      </c>
      <c r="F54" s="16">
        <v>3.3</v>
      </c>
      <c r="G54" s="4">
        <v>2.29</v>
      </c>
      <c r="H54" s="16">
        <v>3.1</v>
      </c>
      <c r="I54" s="4">
        <v>2.94</v>
      </c>
      <c r="J54" s="16">
        <v>2.89</v>
      </c>
      <c r="K54" s="4">
        <v>2.82</v>
      </c>
    </row>
    <row r="55" spans="1:11" ht="15.75" customHeight="1" x14ac:dyDescent="0.3">
      <c r="A55" s="131"/>
      <c r="B55" s="19" t="s">
        <v>103</v>
      </c>
      <c r="C55" s="2">
        <v>4.28</v>
      </c>
      <c r="D55" s="19">
        <v>3.84</v>
      </c>
      <c r="E55" s="2">
        <v>5.05</v>
      </c>
      <c r="F55" s="19">
        <v>5.52</v>
      </c>
      <c r="G55" s="2">
        <v>3.84</v>
      </c>
      <c r="H55" s="19">
        <v>5.15</v>
      </c>
      <c r="I55" s="2">
        <v>4.92</v>
      </c>
      <c r="J55" s="19">
        <v>4.8</v>
      </c>
      <c r="K55" s="2">
        <v>4.71</v>
      </c>
    </row>
    <row r="56" spans="1:11" ht="15.75" customHeight="1" x14ac:dyDescent="0.3">
      <c r="A56" s="131"/>
      <c r="B56" s="75" t="s">
        <v>104</v>
      </c>
      <c r="C56" s="26">
        <f t="shared" ref="C56:K56" si="12">IF(OR(C54="",C55=""),"",C55/C54)</f>
        <v>1.671875</v>
      </c>
      <c r="D56" s="27">
        <f t="shared" si="12"/>
        <v>1.6768558951965065</v>
      </c>
      <c r="E56" s="26">
        <f t="shared" si="12"/>
        <v>1.6611842105263157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1.6612903225806452</v>
      </c>
      <c r="I56" s="26">
        <f t="shared" si="12"/>
        <v>1.6734693877551021</v>
      </c>
      <c r="J56" s="27">
        <f t="shared" si="12"/>
        <v>1.6608996539792387</v>
      </c>
      <c r="K56" s="26">
        <f t="shared" si="12"/>
        <v>1.6702127659574468</v>
      </c>
    </row>
    <row r="57" spans="1:11" ht="15.75" customHeight="1" x14ac:dyDescent="0.3">
      <c r="A57" s="134">
        <v>120</v>
      </c>
      <c r="B57" s="29" t="s">
        <v>102</v>
      </c>
      <c r="C57" s="6">
        <v>4.6100000000000003</v>
      </c>
      <c r="D57" s="29">
        <v>4.1399999999999997</v>
      </c>
      <c r="E57" s="6">
        <v>5.48</v>
      </c>
      <c r="F57" s="29">
        <v>5.95</v>
      </c>
      <c r="G57" s="6">
        <v>4.1399999999999997</v>
      </c>
      <c r="H57" s="29">
        <v>5.59</v>
      </c>
      <c r="I57" s="6">
        <v>5.31</v>
      </c>
      <c r="J57" s="29">
        <v>5.21</v>
      </c>
      <c r="K57" s="6">
        <v>5.08</v>
      </c>
    </row>
    <row r="58" spans="1:11" ht="15.75" customHeight="1" x14ac:dyDescent="0.3">
      <c r="A58" s="134"/>
      <c r="B58" s="19" t="s">
        <v>103</v>
      </c>
      <c r="C58" s="2">
        <v>7.33</v>
      </c>
      <c r="D58" s="19">
        <v>6.58</v>
      </c>
      <c r="E58" s="2">
        <v>8.68</v>
      </c>
      <c r="F58" s="19">
        <v>9.4600000000000009</v>
      </c>
      <c r="G58" s="2">
        <v>6.58</v>
      </c>
      <c r="H58" s="19">
        <v>8.85</v>
      </c>
      <c r="I58" s="2">
        <v>8.44</v>
      </c>
      <c r="J58" s="19">
        <v>8.25</v>
      </c>
      <c r="K58" s="2">
        <v>8.08</v>
      </c>
    </row>
    <row r="59" spans="1:11" ht="15.75" customHeight="1" x14ac:dyDescent="0.3">
      <c r="A59" s="134"/>
      <c r="B59" s="76" t="s">
        <v>104</v>
      </c>
      <c r="C59" s="66">
        <f t="shared" ref="C59:K59" si="13">IF(OR(C57="",C58=""),"",C58/C57)</f>
        <v>1.5900216919739696</v>
      </c>
      <c r="D59" s="67">
        <f t="shared" si="13"/>
        <v>1.5893719806763287</v>
      </c>
      <c r="E59" s="66">
        <f t="shared" si="13"/>
        <v>1.5839416058394158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1.5831842576028623</v>
      </c>
      <c r="I59" s="66">
        <f t="shared" si="13"/>
        <v>1.5894538606403013</v>
      </c>
      <c r="J59" s="67">
        <f t="shared" si="13"/>
        <v>1.5834932821497121</v>
      </c>
      <c r="K59" s="66">
        <f t="shared" si="13"/>
        <v>1.5905511811023623</v>
      </c>
    </row>
    <row r="60" spans="1:11" ht="15.75" customHeight="1" x14ac:dyDescent="0.3">
      <c r="A60" s="131">
        <v>140</v>
      </c>
      <c r="B60" s="16" t="s">
        <v>102</v>
      </c>
      <c r="C60" s="4">
        <v>6.88</v>
      </c>
      <c r="D60" s="16">
        <v>6.17</v>
      </c>
      <c r="E60" s="4">
        <v>8.1999999999999993</v>
      </c>
      <c r="F60" s="16">
        <v>8.8699999999999992</v>
      </c>
      <c r="G60" s="4">
        <v>6.17</v>
      </c>
      <c r="H60" s="16">
        <v>8.36</v>
      </c>
      <c r="I60" s="4">
        <v>7.92</v>
      </c>
      <c r="J60" s="16">
        <v>7.79</v>
      </c>
      <c r="K60" s="4">
        <v>7.58</v>
      </c>
    </row>
    <row r="61" spans="1:11" ht="15.75" customHeight="1" x14ac:dyDescent="0.3">
      <c r="A61" s="131"/>
      <c r="B61" s="19" t="s">
        <v>103</v>
      </c>
      <c r="C61" s="2">
        <v>10.59</v>
      </c>
      <c r="D61" s="19">
        <v>9.5</v>
      </c>
      <c r="E61" s="2">
        <v>12.51</v>
      </c>
      <c r="F61" s="19">
        <v>13.66</v>
      </c>
      <c r="G61" s="2">
        <v>9.5</v>
      </c>
      <c r="H61" s="19">
        <v>12.75</v>
      </c>
      <c r="I61" s="2">
        <v>12.19</v>
      </c>
      <c r="J61" s="19">
        <v>11.88</v>
      </c>
      <c r="K61" s="2">
        <v>11.66</v>
      </c>
    </row>
    <row r="62" spans="1:11" ht="15.75" customHeight="1" x14ac:dyDescent="0.3">
      <c r="A62" s="131"/>
      <c r="B62" s="75" t="s">
        <v>104</v>
      </c>
      <c r="C62" s="26">
        <f t="shared" ref="C62:K62" si="14">IF(OR(C60="",C61=""),"",C61/C60)</f>
        <v>1.5392441860465116</v>
      </c>
      <c r="D62" s="27">
        <f t="shared" si="14"/>
        <v>1.5397082658022692</v>
      </c>
      <c r="E62" s="26">
        <f t="shared" si="14"/>
        <v>1.525609756097561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1.5251196172248804</v>
      </c>
      <c r="I62" s="26">
        <f t="shared" si="14"/>
        <v>1.5391414141414141</v>
      </c>
      <c r="J62" s="27">
        <f t="shared" si="14"/>
        <v>1.5250320924261875</v>
      </c>
      <c r="K62" s="26">
        <f t="shared" si="14"/>
        <v>1.5382585751978892</v>
      </c>
    </row>
    <row r="63" spans="1:11" ht="15.75" customHeight="1" x14ac:dyDescent="0.3"/>
    <row r="64" spans="1:11" ht="15.75" customHeight="1" x14ac:dyDescent="0.3">
      <c r="A64" s="8" t="s">
        <v>137</v>
      </c>
    </row>
    <row r="65" spans="1:11" ht="15.75" customHeight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6" t="s">
        <v>21</v>
      </c>
      <c r="K65" s="4" t="s">
        <v>23</v>
      </c>
    </row>
    <row r="66" spans="1:11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19">
        <v>19.2</v>
      </c>
      <c r="K66" s="2">
        <v>19.2</v>
      </c>
    </row>
    <row r="67" spans="1:11" ht="15.75" customHeight="1" x14ac:dyDescent="0.3">
      <c r="B67" s="56" t="s">
        <v>101</v>
      </c>
      <c r="C67" s="2" t="s">
        <v>13</v>
      </c>
      <c r="D67" s="19" t="s">
        <v>14</v>
      </c>
      <c r="E67" s="2" t="s">
        <v>16</v>
      </c>
      <c r="F67" s="19" t="s">
        <v>17</v>
      </c>
      <c r="G67" s="2" t="s">
        <v>18</v>
      </c>
      <c r="H67" s="19" t="s">
        <v>19</v>
      </c>
      <c r="I67" s="2" t="s">
        <v>20</v>
      </c>
      <c r="J67" s="19" t="s">
        <v>22</v>
      </c>
      <c r="K67" s="2" t="s">
        <v>23</v>
      </c>
    </row>
    <row r="68" spans="1:11" ht="15.75" customHeight="1" x14ac:dyDescent="0.3">
      <c r="A68" s="7" t="s">
        <v>6</v>
      </c>
      <c r="B68" s="58"/>
      <c r="C68" s="59"/>
      <c r="D68" s="60"/>
      <c r="E68" s="59"/>
      <c r="F68" s="60"/>
      <c r="G68" s="59"/>
      <c r="H68" s="60"/>
      <c r="I68" s="59"/>
      <c r="J68" s="60"/>
      <c r="K68" s="59"/>
    </row>
    <row r="69" spans="1:11" ht="15.75" customHeight="1" x14ac:dyDescent="0.3">
      <c r="A69" s="131">
        <v>70</v>
      </c>
      <c r="B69" s="62" t="s">
        <v>102</v>
      </c>
      <c r="C69" s="4">
        <v>0.57999999999999996</v>
      </c>
      <c r="D69" s="16">
        <v>0.52</v>
      </c>
      <c r="E69" s="4">
        <v>0.69</v>
      </c>
      <c r="F69" s="16">
        <v>0.75</v>
      </c>
      <c r="G69" s="4">
        <v>0.52</v>
      </c>
      <c r="H69" s="16">
        <v>0.7</v>
      </c>
      <c r="I69" s="4">
        <v>0.67</v>
      </c>
      <c r="J69" s="16">
        <v>0.66</v>
      </c>
      <c r="K69" s="4">
        <v>0.64</v>
      </c>
    </row>
    <row r="70" spans="1:11" ht="15.75" customHeight="1" x14ac:dyDescent="0.3">
      <c r="A70" s="131"/>
      <c r="B70" s="63" t="s">
        <v>103</v>
      </c>
      <c r="C70" s="2">
        <v>1.01</v>
      </c>
      <c r="D70" s="19">
        <v>0.91</v>
      </c>
      <c r="E70" s="2">
        <v>1.19</v>
      </c>
      <c r="F70" s="19">
        <v>1.3</v>
      </c>
      <c r="G70" s="2">
        <v>0.91</v>
      </c>
      <c r="H70" s="19">
        <v>1.22</v>
      </c>
      <c r="I70" s="2">
        <v>1.1599999999999999</v>
      </c>
      <c r="J70" s="19">
        <v>1.1299999999999999</v>
      </c>
      <c r="K70" s="2">
        <v>1.1100000000000001</v>
      </c>
    </row>
    <row r="71" spans="1:11" ht="15.75" customHeight="1" x14ac:dyDescent="0.3">
      <c r="A71" s="131"/>
      <c r="B71" s="64" t="s">
        <v>104</v>
      </c>
      <c r="C71" s="26">
        <f t="shared" ref="C71:K71" si="15">IF(OR(C69="",C70=""),"",C70/C69)</f>
        <v>1.7413793103448276</v>
      </c>
      <c r="D71" s="27">
        <f t="shared" si="15"/>
        <v>1.75</v>
      </c>
      <c r="E71" s="26">
        <f t="shared" si="15"/>
        <v>1.7246376811594204</v>
      </c>
      <c r="F71" s="27">
        <f t="shared" si="15"/>
        <v>1.7333333333333334</v>
      </c>
      <c r="G71" s="26">
        <f t="shared" si="15"/>
        <v>1.75</v>
      </c>
      <c r="H71" s="27">
        <f t="shared" si="15"/>
        <v>1.7428571428571429</v>
      </c>
      <c r="I71" s="26">
        <f t="shared" si="15"/>
        <v>1.7313432835820892</v>
      </c>
      <c r="J71" s="27">
        <f t="shared" si="15"/>
        <v>1.7121212121212119</v>
      </c>
      <c r="K71" s="26">
        <f t="shared" si="15"/>
        <v>1.7343750000000002</v>
      </c>
    </row>
    <row r="72" spans="1:11" ht="15.75" customHeight="1" x14ac:dyDescent="0.3">
      <c r="A72" s="134">
        <v>80</v>
      </c>
      <c r="B72" s="5" t="s">
        <v>102</v>
      </c>
      <c r="C72" s="6">
        <v>1.03</v>
      </c>
      <c r="D72" s="29">
        <v>0.92</v>
      </c>
      <c r="E72" s="6">
        <v>1.22</v>
      </c>
      <c r="F72" s="29">
        <v>1.33</v>
      </c>
      <c r="G72" s="6">
        <v>0.92</v>
      </c>
      <c r="H72" s="29">
        <v>1.24</v>
      </c>
      <c r="I72" s="6">
        <v>1.18</v>
      </c>
      <c r="J72" s="29">
        <v>1.1599999999999999</v>
      </c>
      <c r="K72" s="6">
        <v>1.1299999999999999</v>
      </c>
    </row>
    <row r="73" spans="1:11" ht="15.75" customHeight="1" x14ac:dyDescent="0.3">
      <c r="A73" s="134"/>
      <c r="B73" s="63" t="s">
        <v>103</v>
      </c>
      <c r="C73" s="2">
        <v>1.66</v>
      </c>
      <c r="D73" s="19">
        <v>1.49</v>
      </c>
      <c r="E73" s="2">
        <v>1.96</v>
      </c>
      <c r="F73" s="19">
        <v>2.14</v>
      </c>
      <c r="G73" s="2">
        <v>1.49</v>
      </c>
      <c r="H73" s="19">
        <v>2</v>
      </c>
      <c r="I73" s="2">
        <v>1.91</v>
      </c>
      <c r="J73" s="19">
        <v>1.86</v>
      </c>
      <c r="K73" s="2">
        <v>1.83</v>
      </c>
    </row>
    <row r="74" spans="1:11" ht="15.75" customHeight="1" x14ac:dyDescent="0.3">
      <c r="A74" s="134"/>
      <c r="B74" s="65" t="s">
        <v>104</v>
      </c>
      <c r="C74" s="66">
        <f t="shared" ref="C74:K74" si="16">IF(OR(C72="",C73=""),"",C73/C72)</f>
        <v>1.6116504854368932</v>
      </c>
      <c r="D74" s="67">
        <f t="shared" si="16"/>
        <v>1.6195652173913042</v>
      </c>
      <c r="E74" s="66">
        <f t="shared" si="16"/>
        <v>1.6065573770491803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1.6129032258064517</v>
      </c>
      <c r="I74" s="66">
        <f t="shared" si="16"/>
        <v>1.6186440677966103</v>
      </c>
      <c r="J74" s="67">
        <f t="shared" si="16"/>
        <v>1.6034482758620692</v>
      </c>
      <c r="K74" s="66">
        <f t="shared" si="16"/>
        <v>1.6194690265486729</v>
      </c>
    </row>
    <row r="75" spans="1:11" ht="15.75" customHeight="1" x14ac:dyDescent="0.3">
      <c r="A75" s="131">
        <v>100</v>
      </c>
      <c r="B75" s="62" t="s">
        <v>102</v>
      </c>
      <c r="C75" s="4">
        <v>2.25</v>
      </c>
      <c r="D75" s="16">
        <v>2.02</v>
      </c>
      <c r="E75" s="4">
        <v>2.67</v>
      </c>
      <c r="F75" s="16">
        <v>2.9</v>
      </c>
      <c r="G75" s="4">
        <v>2.02</v>
      </c>
      <c r="H75" s="16">
        <v>2.72</v>
      </c>
      <c r="I75" s="4">
        <v>2.59</v>
      </c>
      <c r="J75" s="16">
        <v>2.54</v>
      </c>
      <c r="K75" s="4">
        <v>2.4700000000000002</v>
      </c>
    </row>
    <row r="76" spans="1:11" ht="15.75" customHeight="1" x14ac:dyDescent="0.3">
      <c r="A76" s="131"/>
      <c r="B76" s="63" t="s">
        <v>103</v>
      </c>
      <c r="C76" s="2">
        <v>3.35</v>
      </c>
      <c r="D76" s="19">
        <v>3.01</v>
      </c>
      <c r="E76" s="2">
        <v>3.95</v>
      </c>
      <c r="F76" s="19">
        <v>4.32</v>
      </c>
      <c r="G76" s="2">
        <v>3.01</v>
      </c>
      <c r="H76" s="19">
        <v>4.03</v>
      </c>
      <c r="I76" s="2">
        <v>3.86</v>
      </c>
      <c r="J76" s="19">
        <v>3.75</v>
      </c>
      <c r="K76" s="2">
        <v>3.69</v>
      </c>
    </row>
    <row r="77" spans="1:11" ht="15.75" customHeight="1" x14ac:dyDescent="0.3">
      <c r="A77" s="131"/>
      <c r="B77" s="64" t="s">
        <v>104</v>
      </c>
      <c r="C77" s="26">
        <f t="shared" ref="C77:K77" si="17">IF(OR(C75="",C76=""),"",C76/C75)</f>
        <v>1.4888888888888889</v>
      </c>
      <c r="D77" s="27">
        <f t="shared" si="17"/>
        <v>1.4900990099009901</v>
      </c>
      <c r="E77" s="26">
        <f t="shared" si="17"/>
        <v>1.4794007490636705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1.4816176470588236</v>
      </c>
      <c r="I77" s="26">
        <f t="shared" si="17"/>
        <v>1.4903474903474905</v>
      </c>
      <c r="J77" s="27">
        <f t="shared" si="17"/>
        <v>1.4763779527559056</v>
      </c>
      <c r="K77" s="26">
        <f t="shared" si="17"/>
        <v>1.4939271255060727</v>
      </c>
    </row>
    <row r="78" spans="1:11" ht="15.75" customHeight="1" x14ac:dyDescent="0.3">
      <c r="A78" s="134">
        <v>120</v>
      </c>
      <c r="B78" s="5" t="s">
        <v>102</v>
      </c>
      <c r="C78" s="6">
        <v>4.09</v>
      </c>
      <c r="D78" s="29">
        <v>3.67</v>
      </c>
      <c r="E78" s="6">
        <v>4.87</v>
      </c>
      <c r="F78" s="29">
        <v>5.28</v>
      </c>
      <c r="G78" s="6">
        <v>3.67</v>
      </c>
      <c r="H78" s="29">
        <v>4.96</v>
      </c>
      <c r="I78" s="6">
        <v>4.71</v>
      </c>
      <c r="J78" s="29">
        <v>4.62</v>
      </c>
      <c r="K78" s="6">
        <v>4.51</v>
      </c>
    </row>
    <row r="79" spans="1:11" ht="15.75" customHeight="1" x14ac:dyDescent="0.3">
      <c r="A79" s="134"/>
      <c r="B79" s="63" t="s">
        <v>103</v>
      </c>
      <c r="C79" s="2">
        <v>5.86</v>
      </c>
      <c r="D79" s="19">
        <v>5.26</v>
      </c>
      <c r="E79" s="2">
        <v>6.89</v>
      </c>
      <c r="F79" s="19">
        <v>7.56</v>
      </c>
      <c r="G79" s="2">
        <v>5.26</v>
      </c>
      <c r="H79" s="19">
        <v>7.02</v>
      </c>
      <c r="I79" s="2">
        <v>6.75</v>
      </c>
      <c r="J79" s="19">
        <v>6.54</v>
      </c>
      <c r="K79" s="2">
        <v>6.46</v>
      </c>
    </row>
    <row r="80" spans="1:11" ht="15.75" customHeight="1" x14ac:dyDescent="0.3">
      <c r="A80" s="134"/>
      <c r="B80" s="65" t="s">
        <v>104</v>
      </c>
      <c r="C80" s="66">
        <f t="shared" ref="C80:K80" si="18">IF(OR(C78="",C79=""),"",C79/C78)</f>
        <v>1.4327628361858191</v>
      </c>
      <c r="D80" s="67">
        <f t="shared" si="18"/>
        <v>1.4332425068119892</v>
      </c>
      <c r="E80" s="66">
        <f t="shared" si="18"/>
        <v>1.4147843942505132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1.4153225806451613</v>
      </c>
      <c r="I80" s="66">
        <f t="shared" si="18"/>
        <v>1.4331210191082802</v>
      </c>
      <c r="J80" s="67">
        <f t="shared" si="18"/>
        <v>1.4155844155844155</v>
      </c>
      <c r="K80" s="66">
        <f t="shared" si="18"/>
        <v>1.4323725055432373</v>
      </c>
    </row>
    <row r="81" spans="1:11" ht="15.75" customHeight="1" x14ac:dyDescent="0.3">
      <c r="A81" s="131">
        <v>140</v>
      </c>
      <c r="B81" s="62" t="s">
        <v>102</v>
      </c>
      <c r="C81" s="4">
        <v>6.16</v>
      </c>
      <c r="D81" s="16">
        <v>5.52</v>
      </c>
      <c r="E81" s="4">
        <v>7.29</v>
      </c>
      <c r="F81" s="16">
        <v>7.94</v>
      </c>
      <c r="G81" s="4">
        <v>5.52</v>
      </c>
      <c r="H81" s="16">
        <v>7.43</v>
      </c>
      <c r="I81" s="4">
        <v>7.09</v>
      </c>
      <c r="J81" s="16">
        <v>6.92</v>
      </c>
      <c r="K81" s="4">
        <v>6.78</v>
      </c>
    </row>
    <row r="82" spans="1:11" ht="15.75" customHeight="1" x14ac:dyDescent="0.3">
      <c r="A82" s="131"/>
      <c r="B82" s="63" t="s">
        <v>103</v>
      </c>
      <c r="C82" s="2">
        <v>8.6</v>
      </c>
      <c r="D82" s="19">
        <v>7.71</v>
      </c>
      <c r="E82" s="2">
        <v>10.119999999999999</v>
      </c>
      <c r="F82" s="19">
        <v>11.09</v>
      </c>
      <c r="G82" s="2">
        <v>7.71</v>
      </c>
      <c r="H82" s="19">
        <v>10.32</v>
      </c>
      <c r="I82" s="2">
        <v>9.89</v>
      </c>
      <c r="J82" s="19">
        <v>9.61</v>
      </c>
      <c r="K82" s="2">
        <v>9.4700000000000006</v>
      </c>
    </row>
    <row r="83" spans="1:11" ht="15.75" customHeight="1" x14ac:dyDescent="0.3">
      <c r="A83" s="131"/>
      <c r="B83" s="64" t="s">
        <v>104</v>
      </c>
      <c r="C83" s="26">
        <f t="shared" ref="C83:K83" si="19">IF(OR(C81="",C82=""),"",C82/C81)</f>
        <v>1.3961038961038961</v>
      </c>
      <c r="D83" s="27">
        <f t="shared" si="19"/>
        <v>1.3967391304347827</v>
      </c>
      <c r="E83" s="26">
        <f t="shared" si="19"/>
        <v>1.3882030178326474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1.3889636608344551</v>
      </c>
      <c r="I83" s="26">
        <f t="shared" si="19"/>
        <v>1.3949224259520452</v>
      </c>
      <c r="J83" s="27">
        <f t="shared" si="19"/>
        <v>1.3887283236994219</v>
      </c>
      <c r="K83" s="26">
        <f t="shared" si="19"/>
        <v>1.3967551622418879</v>
      </c>
    </row>
  </sheetData>
  <mergeCells count="20">
    <mergeCell ref="A6:A8"/>
    <mergeCell ref="A9:A11"/>
    <mergeCell ref="A12:A14"/>
    <mergeCell ref="A15:A17"/>
    <mergeCell ref="A18:A20"/>
    <mergeCell ref="A27:A29"/>
    <mergeCell ref="A30:A32"/>
    <mergeCell ref="A33:A35"/>
    <mergeCell ref="A36:A38"/>
    <mergeCell ref="A39:A41"/>
    <mergeCell ref="A48:A50"/>
    <mergeCell ref="A51:A53"/>
    <mergeCell ref="A54:A56"/>
    <mergeCell ref="A57:A59"/>
    <mergeCell ref="A60:A62"/>
    <mergeCell ref="A69:A71"/>
    <mergeCell ref="A72:A74"/>
    <mergeCell ref="A75:A77"/>
    <mergeCell ref="A78:A80"/>
    <mergeCell ref="A81:A83"/>
  </mergeCells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6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17" width="8.59765625" customWidth="1"/>
  </cols>
  <sheetData>
    <row r="1" spans="1:17" ht="15.75" customHeight="1" x14ac:dyDescent="0.3">
      <c r="A1" s="8" t="s">
        <v>117</v>
      </c>
    </row>
    <row r="2" spans="1:17" ht="15.75" customHeight="1" x14ac:dyDescent="0.3">
      <c r="B2" s="15" t="s">
        <v>100</v>
      </c>
      <c r="C2" s="142" t="s">
        <v>26</v>
      </c>
      <c r="D2" s="142"/>
      <c r="E2" s="144" t="s">
        <v>14</v>
      </c>
      <c r="F2" s="144"/>
      <c r="G2" s="142" t="s">
        <v>138</v>
      </c>
      <c r="H2" s="142"/>
      <c r="I2" s="142" t="s">
        <v>27</v>
      </c>
      <c r="J2" s="142"/>
      <c r="K2" s="142"/>
      <c r="L2" s="142"/>
      <c r="M2" s="142" t="s">
        <v>22</v>
      </c>
      <c r="N2" s="142"/>
      <c r="O2" s="142"/>
      <c r="P2" s="142"/>
      <c r="Q2" s="142"/>
    </row>
    <row r="3" spans="1:17" ht="15.75" customHeight="1" x14ac:dyDescent="0.3">
      <c r="B3" s="18" t="s">
        <v>114</v>
      </c>
      <c r="C3" s="140">
        <v>3.6</v>
      </c>
      <c r="D3" s="140"/>
      <c r="E3" s="141">
        <v>5</v>
      </c>
      <c r="F3" s="141"/>
      <c r="G3" s="140">
        <v>10</v>
      </c>
      <c r="H3" s="140"/>
      <c r="I3" s="140">
        <v>15</v>
      </c>
      <c r="J3" s="140"/>
      <c r="K3" s="140"/>
      <c r="L3" s="140"/>
      <c r="M3" s="141">
        <f>64*0.6</f>
        <v>38.4</v>
      </c>
      <c r="N3" s="141"/>
      <c r="O3" s="141"/>
      <c r="P3" s="141"/>
      <c r="Q3" s="141"/>
    </row>
    <row r="4" spans="1:17" ht="15.75" customHeight="1" x14ac:dyDescent="0.3">
      <c r="B4" s="18" t="s">
        <v>101</v>
      </c>
      <c r="C4" s="140" t="s">
        <v>26</v>
      </c>
      <c r="D4" s="140"/>
      <c r="E4" s="141" t="s">
        <v>14</v>
      </c>
      <c r="F4" s="141"/>
      <c r="G4" s="140" t="s">
        <v>138</v>
      </c>
      <c r="H4" s="140"/>
      <c r="I4" s="140" t="s">
        <v>27</v>
      </c>
      <c r="J4" s="140"/>
      <c r="K4" s="140"/>
      <c r="L4" s="140"/>
      <c r="M4" s="140" t="s">
        <v>22</v>
      </c>
      <c r="N4" s="140"/>
      <c r="O4" s="140"/>
      <c r="P4" s="140"/>
      <c r="Q4" s="140"/>
    </row>
    <row r="5" spans="1:17" ht="15.75" customHeight="1" x14ac:dyDescent="0.3">
      <c r="A5" s="13"/>
      <c r="B5" s="33" t="s">
        <v>115</v>
      </c>
      <c r="C5" s="77" t="s">
        <v>139</v>
      </c>
      <c r="D5" s="78" t="s">
        <v>140</v>
      </c>
      <c r="E5" s="77" t="s">
        <v>95</v>
      </c>
      <c r="F5" s="78" t="s">
        <v>96</v>
      </c>
      <c r="G5" s="77" t="s">
        <v>95</v>
      </c>
      <c r="H5" s="78" t="s">
        <v>96</v>
      </c>
      <c r="I5" s="77" t="s">
        <v>95</v>
      </c>
      <c r="J5" s="79" t="s">
        <v>139</v>
      </c>
      <c r="K5" s="79" t="s">
        <v>96</v>
      </c>
      <c r="L5" s="78" t="s">
        <v>140</v>
      </c>
      <c r="M5" s="77" t="s">
        <v>95</v>
      </c>
      <c r="N5" s="79" t="s">
        <v>139</v>
      </c>
      <c r="O5" s="79" t="s">
        <v>96</v>
      </c>
      <c r="P5" s="79" t="s">
        <v>140</v>
      </c>
      <c r="Q5" s="78" t="s">
        <v>141</v>
      </c>
    </row>
    <row r="6" spans="1:17" ht="15.75" customHeight="1" x14ac:dyDescent="0.3">
      <c r="A6" s="80" t="s">
        <v>6</v>
      </c>
      <c r="B6" s="81"/>
      <c r="C6" s="82"/>
      <c r="D6" s="83"/>
      <c r="E6" s="82"/>
      <c r="F6" s="83"/>
      <c r="G6" s="82"/>
      <c r="H6" s="83"/>
      <c r="I6" s="82"/>
      <c r="J6" s="84"/>
      <c r="K6" s="84"/>
      <c r="L6" s="83"/>
      <c r="M6" s="82"/>
      <c r="N6" s="84"/>
      <c r="O6" s="84"/>
      <c r="P6" s="84"/>
      <c r="Q6" s="83"/>
    </row>
    <row r="7" spans="1:17" ht="15.75" customHeight="1" x14ac:dyDescent="0.3">
      <c r="A7" s="145">
        <v>70</v>
      </c>
      <c r="B7" s="85" t="s">
        <v>102</v>
      </c>
      <c r="C7" s="86"/>
      <c r="D7" s="85"/>
      <c r="E7" s="87">
        <v>3.7</v>
      </c>
      <c r="F7" s="88">
        <v>3.3</v>
      </c>
      <c r="G7" s="87">
        <v>3.7</v>
      </c>
      <c r="H7" s="88">
        <v>3.3</v>
      </c>
      <c r="I7" s="87">
        <v>3.7</v>
      </c>
      <c r="J7" s="89"/>
      <c r="K7" s="90">
        <v>3.3</v>
      </c>
      <c r="L7" s="85"/>
      <c r="M7" s="87">
        <v>3.8</v>
      </c>
      <c r="N7" s="89"/>
      <c r="O7" s="90">
        <v>3.4</v>
      </c>
      <c r="P7" s="89"/>
      <c r="Q7" s="85"/>
    </row>
    <row r="8" spans="1:17" ht="15.75" customHeight="1" x14ac:dyDescent="0.3">
      <c r="A8" s="145"/>
      <c r="B8" s="91" t="s">
        <v>103</v>
      </c>
      <c r="C8" s="92"/>
      <c r="D8" s="91"/>
      <c r="E8" s="93">
        <v>4</v>
      </c>
      <c r="F8" s="94">
        <v>3.3</v>
      </c>
      <c r="G8" s="93">
        <v>3.9</v>
      </c>
      <c r="H8" s="94">
        <v>3.3</v>
      </c>
      <c r="I8" s="93">
        <v>4</v>
      </c>
      <c r="J8" s="95"/>
      <c r="K8" s="96">
        <v>3.3</v>
      </c>
      <c r="L8" s="91"/>
      <c r="M8" s="93">
        <v>4.0999999999999996</v>
      </c>
      <c r="N8" s="95"/>
      <c r="O8" s="96">
        <v>3.4</v>
      </c>
      <c r="P8" s="95"/>
      <c r="Q8" s="91"/>
    </row>
    <row r="9" spans="1:17" ht="15.75" customHeight="1" x14ac:dyDescent="0.3">
      <c r="A9" s="145"/>
      <c r="B9" s="97" t="s">
        <v>104</v>
      </c>
      <c r="C9" s="98" t="str">
        <f t="shared" ref="C9:Q9" si="0">IF(OR(C7="",C8=""),"",C8/C7)</f>
        <v/>
      </c>
      <c r="D9" s="99" t="str">
        <f t="shared" si="0"/>
        <v/>
      </c>
      <c r="E9" s="98">
        <f t="shared" si="0"/>
        <v>1.0810810810810809</v>
      </c>
      <c r="F9" s="99">
        <f t="shared" si="0"/>
        <v>1</v>
      </c>
      <c r="G9" s="98">
        <f t="shared" si="0"/>
        <v>1.0540540540540539</v>
      </c>
      <c r="H9" s="99">
        <f t="shared" si="0"/>
        <v>1</v>
      </c>
      <c r="I9" s="98">
        <f t="shared" si="0"/>
        <v>1.0810810810810809</v>
      </c>
      <c r="J9" s="100" t="str">
        <f t="shared" si="0"/>
        <v/>
      </c>
      <c r="K9" s="100">
        <f t="shared" si="0"/>
        <v>1</v>
      </c>
      <c r="L9" s="99" t="str">
        <f t="shared" si="0"/>
        <v/>
      </c>
      <c r="M9" s="98">
        <f t="shared" si="0"/>
        <v>1.0789473684210527</v>
      </c>
      <c r="N9" s="100" t="str">
        <f t="shared" si="0"/>
        <v/>
      </c>
      <c r="O9" s="100">
        <f t="shared" si="0"/>
        <v>1</v>
      </c>
      <c r="P9" s="100" t="str">
        <f t="shared" si="0"/>
        <v/>
      </c>
      <c r="Q9" s="99" t="str">
        <f t="shared" si="0"/>
        <v/>
      </c>
    </row>
    <row r="10" spans="1:17" ht="15.75" customHeight="1" x14ac:dyDescent="0.3">
      <c r="A10" s="146">
        <v>80</v>
      </c>
      <c r="B10" s="101" t="s">
        <v>102</v>
      </c>
      <c r="C10" s="102"/>
      <c r="D10" s="101"/>
      <c r="E10" s="103">
        <v>5.7</v>
      </c>
      <c r="F10" s="104">
        <v>5.0999999999999996</v>
      </c>
      <c r="G10" s="103">
        <v>5.7</v>
      </c>
      <c r="H10" s="104">
        <v>5.0999999999999996</v>
      </c>
      <c r="I10" s="103">
        <v>5.7</v>
      </c>
      <c r="J10" s="105"/>
      <c r="K10" s="106">
        <v>5.0999999999999996</v>
      </c>
      <c r="L10" s="101"/>
      <c r="M10" s="103">
        <v>5.9</v>
      </c>
      <c r="N10" s="105"/>
      <c r="O10" s="106">
        <v>5.3</v>
      </c>
      <c r="P10" s="105"/>
      <c r="Q10" s="101"/>
    </row>
    <row r="11" spans="1:17" ht="15.75" customHeight="1" x14ac:dyDescent="0.3">
      <c r="A11" s="146"/>
      <c r="B11" s="91" t="s">
        <v>103</v>
      </c>
      <c r="C11" s="92"/>
      <c r="D11" s="91"/>
      <c r="E11" s="93">
        <v>6</v>
      </c>
      <c r="F11" s="94">
        <v>5.0999999999999996</v>
      </c>
      <c r="G11" s="93">
        <v>6</v>
      </c>
      <c r="H11" s="94">
        <v>5.0999999999999996</v>
      </c>
      <c r="I11" s="93">
        <v>6</v>
      </c>
      <c r="J11" s="95"/>
      <c r="K11" s="96">
        <v>5.0999999999999996</v>
      </c>
      <c r="L11" s="91"/>
      <c r="M11" s="93">
        <v>6.2</v>
      </c>
      <c r="N11" s="95"/>
      <c r="O11" s="96">
        <v>5.3</v>
      </c>
      <c r="P11" s="95"/>
      <c r="Q11" s="91"/>
    </row>
    <row r="12" spans="1:17" ht="15.75" customHeight="1" x14ac:dyDescent="0.3">
      <c r="A12" s="146"/>
      <c r="B12" s="97" t="s">
        <v>104</v>
      </c>
      <c r="C12" s="98" t="str">
        <f t="shared" ref="C12:Q12" si="1">IF(OR(C10="",C11=""),"",C11/C10)</f>
        <v/>
      </c>
      <c r="D12" s="99" t="str">
        <f t="shared" si="1"/>
        <v/>
      </c>
      <c r="E12" s="98">
        <f t="shared" si="1"/>
        <v>1.0526315789473684</v>
      </c>
      <c r="F12" s="99">
        <f t="shared" si="1"/>
        <v>1</v>
      </c>
      <c r="G12" s="98">
        <f t="shared" si="1"/>
        <v>1.0526315789473684</v>
      </c>
      <c r="H12" s="99">
        <f t="shared" si="1"/>
        <v>1</v>
      </c>
      <c r="I12" s="98">
        <f t="shared" si="1"/>
        <v>1.0526315789473684</v>
      </c>
      <c r="J12" s="100" t="str">
        <f t="shared" si="1"/>
        <v/>
      </c>
      <c r="K12" s="100">
        <f t="shared" si="1"/>
        <v>1</v>
      </c>
      <c r="L12" s="99" t="str">
        <f t="shared" si="1"/>
        <v/>
      </c>
      <c r="M12" s="98">
        <f t="shared" si="1"/>
        <v>1.0508474576271185</v>
      </c>
      <c r="N12" s="100" t="str">
        <f t="shared" si="1"/>
        <v/>
      </c>
      <c r="O12" s="100">
        <f t="shared" si="1"/>
        <v>1</v>
      </c>
      <c r="P12" s="100" t="str">
        <f t="shared" si="1"/>
        <v/>
      </c>
      <c r="Q12" s="99" t="str">
        <f t="shared" si="1"/>
        <v/>
      </c>
    </row>
    <row r="13" spans="1:17" ht="15.75" customHeight="1" x14ac:dyDescent="0.3">
      <c r="A13" s="147">
        <v>90</v>
      </c>
      <c r="B13" s="101" t="s">
        <v>102</v>
      </c>
      <c r="C13" s="102"/>
      <c r="D13" s="101"/>
      <c r="E13" s="103">
        <v>8.1999999999999993</v>
      </c>
      <c r="F13" s="104">
        <v>7.4</v>
      </c>
      <c r="G13" s="103">
        <v>8.1</v>
      </c>
      <c r="H13" s="104">
        <v>7.4</v>
      </c>
      <c r="I13" s="103">
        <v>8.1999999999999993</v>
      </c>
      <c r="J13" s="105"/>
      <c r="K13" s="106">
        <v>7.4</v>
      </c>
      <c r="L13" s="101"/>
      <c r="M13" s="103">
        <v>8.4</v>
      </c>
      <c r="N13" s="105"/>
      <c r="O13" s="106">
        <v>7.7</v>
      </c>
      <c r="P13" s="105"/>
      <c r="Q13" s="101"/>
    </row>
    <row r="14" spans="1:17" ht="15.75" customHeight="1" x14ac:dyDescent="0.3">
      <c r="A14" s="147"/>
      <c r="B14" s="91" t="s">
        <v>103</v>
      </c>
      <c r="C14" s="92"/>
      <c r="D14" s="91"/>
      <c r="E14" s="93">
        <v>8.5</v>
      </c>
      <c r="F14" s="94">
        <v>7.3</v>
      </c>
      <c r="G14" s="93">
        <v>8.4</v>
      </c>
      <c r="H14" s="94">
        <v>7.2</v>
      </c>
      <c r="I14" s="93">
        <v>8.5</v>
      </c>
      <c r="J14" s="95"/>
      <c r="K14" s="96">
        <v>7.3</v>
      </c>
      <c r="L14" s="91"/>
      <c r="M14" s="93">
        <v>8.8000000000000007</v>
      </c>
      <c r="N14" s="95"/>
      <c r="O14" s="96">
        <v>7.6</v>
      </c>
      <c r="P14" s="95"/>
      <c r="Q14" s="91"/>
    </row>
    <row r="15" spans="1:17" ht="15.75" customHeight="1" x14ac:dyDescent="0.3">
      <c r="A15" s="147"/>
      <c r="B15" s="97" t="s">
        <v>104</v>
      </c>
      <c r="C15" s="98" t="str">
        <f t="shared" ref="C15:Q15" si="2">IF(OR(C13="",C14=""),"",C14/C13)</f>
        <v/>
      </c>
      <c r="D15" s="99" t="str">
        <f t="shared" si="2"/>
        <v/>
      </c>
      <c r="E15" s="98">
        <f t="shared" si="2"/>
        <v>1.0365853658536586</v>
      </c>
      <c r="F15" s="99">
        <f t="shared" si="2"/>
        <v>0.9864864864864864</v>
      </c>
      <c r="G15" s="98">
        <f t="shared" si="2"/>
        <v>1.0370370370370372</v>
      </c>
      <c r="H15" s="99">
        <f t="shared" si="2"/>
        <v>0.97297297297297292</v>
      </c>
      <c r="I15" s="98">
        <f t="shared" si="2"/>
        <v>1.0365853658536586</v>
      </c>
      <c r="J15" s="100" t="str">
        <f t="shared" si="2"/>
        <v/>
      </c>
      <c r="K15" s="100">
        <f t="shared" si="2"/>
        <v>0.9864864864864864</v>
      </c>
      <c r="L15" s="99" t="str">
        <f t="shared" si="2"/>
        <v/>
      </c>
      <c r="M15" s="98">
        <f t="shared" si="2"/>
        <v>1.0476190476190477</v>
      </c>
      <c r="N15" s="100" t="str">
        <f t="shared" si="2"/>
        <v/>
      </c>
      <c r="O15" s="100">
        <f t="shared" si="2"/>
        <v>0.9870129870129869</v>
      </c>
      <c r="P15" s="100" t="str">
        <f t="shared" si="2"/>
        <v/>
      </c>
      <c r="Q15" s="99" t="str">
        <f t="shared" si="2"/>
        <v/>
      </c>
    </row>
    <row r="16" spans="1:17" ht="15.75" customHeight="1" x14ac:dyDescent="0.3">
      <c r="A16" s="147">
        <v>100</v>
      </c>
      <c r="B16" s="101" t="s">
        <v>102</v>
      </c>
      <c r="C16" s="103">
        <v>1.3</v>
      </c>
      <c r="D16" s="104">
        <v>1.2</v>
      </c>
      <c r="E16" s="103">
        <v>11.1</v>
      </c>
      <c r="F16" s="104">
        <v>10.1</v>
      </c>
      <c r="G16" s="103">
        <v>11</v>
      </c>
      <c r="H16" s="104">
        <v>10.1</v>
      </c>
      <c r="I16" s="103">
        <v>11</v>
      </c>
      <c r="J16" s="106">
        <v>0.9</v>
      </c>
      <c r="K16" s="106">
        <v>10.1</v>
      </c>
      <c r="L16" s="104">
        <v>0.9</v>
      </c>
      <c r="M16" s="103">
        <v>11.4</v>
      </c>
      <c r="N16" s="106">
        <v>0.9</v>
      </c>
      <c r="O16" s="106">
        <v>10.4</v>
      </c>
      <c r="P16" s="106">
        <v>0.9</v>
      </c>
      <c r="Q16" s="101"/>
    </row>
    <row r="17" spans="1:17" ht="15.75" customHeight="1" x14ac:dyDescent="0.3">
      <c r="A17" s="147"/>
      <c r="B17" s="91" t="s">
        <v>103</v>
      </c>
      <c r="C17" s="93">
        <v>1.3</v>
      </c>
      <c r="D17" s="94">
        <v>1.2</v>
      </c>
      <c r="E17" s="93">
        <v>11.5</v>
      </c>
      <c r="F17" s="94">
        <v>9.9</v>
      </c>
      <c r="G17" s="93">
        <v>11.3</v>
      </c>
      <c r="H17" s="94">
        <v>9.8000000000000007</v>
      </c>
      <c r="I17" s="93">
        <v>11.4</v>
      </c>
      <c r="J17" s="96">
        <v>0.9</v>
      </c>
      <c r="K17" s="96">
        <v>9.9</v>
      </c>
      <c r="L17" s="94">
        <v>0.8</v>
      </c>
      <c r="M17" s="93">
        <v>11.8</v>
      </c>
      <c r="N17" s="96">
        <v>0.9</v>
      </c>
      <c r="O17" s="96">
        <v>10.3</v>
      </c>
      <c r="P17" s="96">
        <v>0.9</v>
      </c>
      <c r="Q17" s="91"/>
    </row>
    <row r="18" spans="1:17" ht="15.75" customHeight="1" x14ac:dyDescent="0.3">
      <c r="A18" s="147"/>
      <c r="B18" s="97" t="s">
        <v>104</v>
      </c>
      <c r="C18" s="98">
        <f t="shared" ref="C18:Q18" si="3">IF(OR(C16="",C17=""),"",C17/C16)</f>
        <v>1</v>
      </c>
      <c r="D18" s="99">
        <f t="shared" si="3"/>
        <v>1</v>
      </c>
      <c r="E18" s="98">
        <f t="shared" si="3"/>
        <v>1.0360360360360361</v>
      </c>
      <c r="F18" s="99">
        <f t="shared" si="3"/>
        <v>0.98019801980198029</v>
      </c>
      <c r="G18" s="98">
        <f t="shared" si="3"/>
        <v>1.0272727272727273</v>
      </c>
      <c r="H18" s="99">
        <f t="shared" si="3"/>
        <v>0.97029702970297038</v>
      </c>
      <c r="I18" s="98">
        <f t="shared" si="3"/>
        <v>1.0363636363636364</v>
      </c>
      <c r="J18" s="100">
        <f t="shared" si="3"/>
        <v>1</v>
      </c>
      <c r="K18" s="100">
        <f t="shared" si="3"/>
        <v>0.98019801980198029</v>
      </c>
      <c r="L18" s="99">
        <f t="shared" si="3"/>
        <v>0.88888888888888895</v>
      </c>
      <c r="M18" s="98">
        <f t="shared" si="3"/>
        <v>1.0350877192982457</v>
      </c>
      <c r="N18" s="100">
        <f t="shared" si="3"/>
        <v>1</v>
      </c>
      <c r="O18" s="100">
        <f t="shared" si="3"/>
        <v>0.99038461538461542</v>
      </c>
      <c r="P18" s="100">
        <f t="shared" si="3"/>
        <v>1</v>
      </c>
      <c r="Q18" s="99" t="str">
        <f t="shared" si="3"/>
        <v/>
      </c>
    </row>
    <row r="19" spans="1:17" ht="15.75" customHeight="1" x14ac:dyDescent="0.3">
      <c r="A19" s="147">
        <v>110</v>
      </c>
      <c r="B19" s="101" t="s">
        <v>102</v>
      </c>
      <c r="C19" s="102"/>
      <c r="D19" s="101"/>
      <c r="E19" s="103">
        <v>14.2</v>
      </c>
      <c r="F19" s="104">
        <v>13.1</v>
      </c>
      <c r="G19" s="103">
        <v>14.1</v>
      </c>
      <c r="H19" s="104">
        <v>13</v>
      </c>
      <c r="I19" s="103">
        <v>14.2</v>
      </c>
      <c r="J19" s="106">
        <v>1.5</v>
      </c>
      <c r="K19" s="106">
        <v>13</v>
      </c>
      <c r="L19" s="104">
        <v>1.4</v>
      </c>
      <c r="M19" s="103">
        <v>14.6</v>
      </c>
      <c r="N19" s="106">
        <v>1.6</v>
      </c>
      <c r="O19" s="106">
        <v>13.5</v>
      </c>
      <c r="P19" s="106">
        <v>1.5</v>
      </c>
      <c r="Q19" s="101"/>
    </row>
    <row r="20" spans="1:17" ht="15.75" customHeight="1" x14ac:dyDescent="0.3">
      <c r="A20" s="147"/>
      <c r="B20" s="91" t="s">
        <v>103</v>
      </c>
      <c r="C20" s="92"/>
      <c r="D20" s="91"/>
      <c r="E20" s="93">
        <v>14.7</v>
      </c>
      <c r="F20" s="94">
        <v>12.8</v>
      </c>
      <c r="G20" s="93">
        <v>14.5</v>
      </c>
      <c r="H20" s="94">
        <v>12.7</v>
      </c>
      <c r="I20" s="93">
        <v>14.6</v>
      </c>
      <c r="J20" s="96">
        <v>1.5</v>
      </c>
      <c r="K20" s="96">
        <v>12.8</v>
      </c>
      <c r="L20" s="94">
        <v>1.4</v>
      </c>
      <c r="M20" s="93">
        <v>15.1</v>
      </c>
      <c r="N20" s="96">
        <v>1.6</v>
      </c>
      <c r="O20" s="96">
        <v>13.2</v>
      </c>
      <c r="P20" s="96">
        <v>1.5</v>
      </c>
      <c r="Q20" s="91"/>
    </row>
    <row r="21" spans="1:17" ht="15.75" customHeight="1" x14ac:dyDescent="0.3">
      <c r="A21" s="147"/>
      <c r="B21" s="97" t="s">
        <v>104</v>
      </c>
      <c r="C21" s="98" t="str">
        <f t="shared" ref="C21:Q21" si="4">IF(OR(C19="",C20=""),"",C20/C19)</f>
        <v/>
      </c>
      <c r="D21" s="99" t="str">
        <f t="shared" si="4"/>
        <v/>
      </c>
      <c r="E21" s="98">
        <f t="shared" si="4"/>
        <v>1.0352112676056338</v>
      </c>
      <c r="F21" s="99">
        <f t="shared" si="4"/>
        <v>0.97709923664122145</v>
      </c>
      <c r="G21" s="98">
        <f t="shared" si="4"/>
        <v>1.0283687943262412</v>
      </c>
      <c r="H21" s="99">
        <f t="shared" si="4"/>
        <v>0.97692307692307689</v>
      </c>
      <c r="I21" s="98">
        <f t="shared" si="4"/>
        <v>1.028169014084507</v>
      </c>
      <c r="J21" s="100">
        <f t="shared" si="4"/>
        <v>1</v>
      </c>
      <c r="K21" s="100">
        <f t="shared" si="4"/>
        <v>0.98461538461538467</v>
      </c>
      <c r="L21" s="99">
        <f t="shared" si="4"/>
        <v>1</v>
      </c>
      <c r="M21" s="98">
        <f t="shared" si="4"/>
        <v>1.0342465753424657</v>
      </c>
      <c r="N21" s="100">
        <f t="shared" si="4"/>
        <v>1</v>
      </c>
      <c r="O21" s="100">
        <f t="shared" si="4"/>
        <v>0.97777777777777775</v>
      </c>
      <c r="P21" s="100">
        <f t="shared" si="4"/>
        <v>1</v>
      </c>
      <c r="Q21" s="99" t="str">
        <f t="shared" si="4"/>
        <v/>
      </c>
    </row>
    <row r="22" spans="1:17" ht="15.75" customHeight="1" x14ac:dyDescent="0.3">
      <c r="A22" s="143">
        <v>120</v>
      </c>
      <c r="B22" s="101" t="s">
        <v>102</v>
      </c>
      <c r="C22" s="107"/>
      <c r="D22" s="108"/>
      <c r="E22" s="107">
        <v>17.8</v>
      </c>
      <c r="F22" s="108">
        <v>16.3</v>
      </c>
      <c r="G22" s="107">
        <v>17.600000000000001</v>
      </c>
      <c r="H22" s="108">
        <v>16.2</v>
      </c>
      <c r="I22" s="107">
        <v>17.7</v>
      </c>
      <c r="J22" s="109">
        <v>2.2999999999999998</v>
      </c>
      <c r="K22" s="109">
        <v>16.3</v>
      </c>
      <c r="L22" s="108">
        <v>2.2000000000000002</v>
      </c>
      <c r="M22" s="107">
        <v>18.3</v>
      </c>
      <c r="N22" s="109">
        <v>2.4</v>
      </c>
      <c r="O22" s="109">
        <v>16.899999999999999</v>
      </c>
      <c r="P22" s="109">
        <v>2.2999999999999998</v>
      </c>
      <c r="Q22" s="108">
        <v>5.4</v>
      </c>
    </row>
    <row r="23" spans="1:17" ht="15.75" customHeight="1" x14ac:dyDescent="0.3">
      <c r="A23" s="143"/>
      <c r="B23" s="91" t="s">
        <v>103</v>
      </c>
      <c r="C23" s="77"/>
      <c r="D23" s="78"/>
      <c r="E23" s="77">
        <v>18.2</v>
      </c>
      <c r="F23" s="78">
        <v>16</v>
      </c>
      <c r="G23" s="77">
        <v>18</v>
      </c>
      <c r="H23" s="78">
        <v>15.6</v>
      </c>
      <c r="I23" s="77">
        <v>18.100000000000001</v>
      </c>
      <c r="J23" s="79">
        <v>2.2999999999999998</v>
      </c>
      <c r="K23" s="79">
        <v>16</v>
      </c>
      <c r="L23" s="78">
        <v>2.2000000000000002</v>
      </c>
      <c r="M23" s="77">
        <v>18.8</v>
      </c>
      <c r="N23" s="79">
        <v>2.4</v>
      </c>
      <c r="O23" s="79">
        <v>16.5</v>
      </c>
      <c r="P23" s="79">
        <v>2.2000000000000002</v>
      </c>
      <c r="Q23" s="78">
        <v>5.5</v>
      </c>
    </row>
    <row r="24" spans="1:17" ht="15.75" customHeight="1" x14ac:dyDescent="0.3">
      <c r="A24" s="143"/>
      <c r="B24" s="97" t="s">
        <v>104</v>
      </c>
      <c r="C24" s="98" t="str">
        <f t="shared" ref="C24:Q24" si="5">IF(OR(C22="",C23=""),"",C23/C22)</f>
        <v/>
      </c>
      <c r="D24" s="99" t="str">
        <f t="shared" si="5"/>
        <v/>
      </c>
      <c r="E24" s="98">
        <f t="shared" si="5"/>
        <v>1.0224719101123594</v>
      </c>
      <c r="F24" s="99">
        <f t="shared" si="5"/>
        <v>0.98159509202453987</v>
      </c>
      <c r="G24" s="98">
        <f t="shared" si="5"/>
        <v>1.0227272727272727</v>
      </c>
      <c r="H24" s="99">
        <f t="shared" si="5"/>
        <v>0.96296296296296302</v>
      </c>
      <c r="I24" s="98">
        <f t="shared" si="5"/>
        <v>1.0225988700564972</v>
      </c>
      <c r="J24" s="100">
        <f t="shared" si="5"/>
        <v>1</v>
      </c>
      <c r="K24" s="100">
        <f t="shared" si="5"/>
        <v>0.98159509202453987</v>
      </c>
      <c r="L24" s="99">
        <f t="shared" si="5"/>
        <v>1</v>
      </c>
      <c r="M24" s="98">
        <f t="shared" si="5"/>
        <v>1.0273224043715847</v>
      </c>
      <c r="N24" s="100">
        <f t="shared" si="5"/>
        <v>1</v>
      </c>
      <c r="O24" s="100">
        <f t="shared" si="5"/>
        <v>0.97633136094674566</v>
      </c>
      <c r="P24" s="100">
        <f t="shared" si="5"/>
        <v>0.95652173913043492</v>
      </c>
      <c r="Q24" s="99">
        <f t="shared" si="5"/>
        <v>1.0185185185185184</v>
      </c>
    </row>
    <row r="25" spans="1:17" ht="15.75" customHeight="1" x14ac:dyDescent="0.3">
      <c r="A25" s="143">
        <v>130</v>
      </c>
      <c r="B25" s="101" t="s">
        <v>102</v>
      </c>
      <c r="C25" s="107"/>
      <c r="D25" s="108"/>
      <c r="E25" s="107">
        <v>21.3</v>
      </c>
      <c r="F25" s="108">
        <v>19.600000000000001</v>
      </c>
      <c r="G25" s="107">
        <v>21</v>
      </c>
      <c r="H25" s="108">
        <v>19.5</v>
      </c>
      <c r="I25" s="107">
        <v>21.2</v>
      </c>
      <c r="J25" s="109">
        <v>3.3</v>
      </c>
      <c r="K25" s="109">
        <v>19.600000000000001</v>
      </c>
      <c r="L25" s="108">
        <v>3.2</v>
      </c>
      <c r="M25" s="107">
        <v>21.9</v>
      </c>
      <c r="N25" s="109">
        <v>3.5</v>
      </c>
      <c r="O25" s="109">
        <v>20.2</v>
      </c>
      <c r="P25" s="109">
        <v>3.3</v>
      </c>
      <c r="Q25" s="108"/>
    </row>
    <row r="26" spans="1:17" ht="15.75" customHeight="1" x14ac:dyDescent="0.3">
      <c r="A26" s="143"/>
      <c r="B26" s="91" t="s">
        <v>103</v>
      </c>
      <c r="C26" s="77"/>
      <c r="D26" s="78"/>
      <c r="E26" s="77">
        <v>21.9</v>
      </c>
      <c r="F26" s="78">
        <v>19.3</v>
      </c>
      <c r="G26" s="77">
        <v>21.5</v>
      </c>
      <c r="H26" s="78">
        <v>19.100000000000001</v>
      </c>
      <c r="I26" s="77">
        <v>21.7</v>
      </c>
      <c r="J26" s="79">
        <v>3.4</v>
      </c>
      <c r="K26" s="79">
        <v>19.2</v>
      </c>
      <c r="L26" s="78">
        <v>3.1</v>
      </c>
      <c r="M26" s="77">
        <v>22.4</v>
      </c>
      <c r="N26" s="79">
        <v>3.5</v>
      </c>
      <c r="O26" s="79">
        <v>19.899999999999999</v>
      </c>
      <c r="P26" s="79">
        <v>3.2</v>
      </c>
      <c r="Q26" s="78"/>
    </row>
    <row r="27" spans="1:17" ht="15.75" customHeight="1" x14ac:dyDescent="0.3">
      <c r="A27" s="143"/>
      <c r="B27" s="97" t="s">
        <v>104</v>
      </c>
      <c r="C27" s="98" t="str">
        <f t="shared" ref="C27:Q27" si="6">IF(OR(C25="",C26=""),"",C26/C25)</f>
        <v/>
      </c>
      <c r="D27" s="99" t="str">
        <f t="shared" si="6"/>
        <v/>
      </c>
      <c r="E27" s="98">
        <f t="shared" si="6"/>
        <v>1.028169014084507</v>
      </c>
      <c r="F27" s="99">
        <f t="shared" si="6"/>
        <v>0.98469387755102034</v>
      </c>
      <c r="G27" s="98">
        <f t="shared" si="6"/>
        <v>1.0238095238095237</v>
      </c>
      <c r="H27" s="99">
        <f t="shared" si="6"/>
        <v>0.97948717948717956</v>
      </c>
      <c r="I27" s="98">
        <f t="shared" si="6"/>
        <v>1.0235849056603774</v>
      </c>
      <c r="J27" s="100">
        <f t="shared" si="6"/>
        <v>1.0303030303030303</v>
      </c>
      <c r="K27" s="100">
        <f t="shared" si="6"/>
        <v>0.97959183673469374</v>
      </c>
      <c r="L27" s="99">
        <f t="shared" si="6"/>
        <v>0.96875</v>
      </c>
      <c r="M27" s="98">
        <f t="shared" si="6"/>
        <v>1.0228310502283104</v>
      </c>
      <c r="N27" s="100">
        <f t="shared" si="6"/>
        <v>1</v>
      </c>
      <c r="O27" s="100">
        <f t="shared" si="6"/>
        <v>0.98514851485148514</v>
      </c>
      <c r="P27" s="100">
        <f t="shared" si="6"/>
        <v>0.96969696969696983</v>
      </c>
      <c r="Q27" s="99" t="str">
        <f t="shared" si="6"/>
        <v/>
      </c>
    </row>
    <row r="28" spans="1:17" ht="15.75" customHeight="1" x14ac:dyDescent="0.3">
      <c r="A28" s="143">
        <v>140</v>
      </c>
      <c r="B28" s="101" t="s">
        <v>102</v>
      </c>
      <c r="C28" s="107">
        <v>6.4</v>
      </c>
      <c r="D28" s="108">
        <v>6.1</v>
      </c>
      <c r="E28" s="107">
        <v>25</v>
      </c>
      <c r="F28" s="108">
        <v>23.2</v>
      </c>
      <c r="G28" s="107">
        <v>24.7</v>
      </c>
      <c r="H28" s="108">
        <v>23</v>
      </c>
      <c r="I28" s="107">
        <v>24.9</v>
      </c>
      <c r="J28" s="109">
        <v>4.5999999999999996</v>
      </c>
      <c r="K28" s="109">
        <v>23.2</v>
      </c>
      <c r="L28" s="108">
        <v>4.4000000000000004</v>
      </c>
      <c r="M28" s="107">
        <v>25.8</v>
      </c>
      <c r="N28" s="109">
        <v>4.7</v>
      </c>
      <c r="O28" s="109">
        <v>23.9</v>
      </c>
      <c r="P28" s="109">
        <v>4.5</v>
      </c>
      <c r="Q28" s="108">
        <v>8.6999999999999993</v>
      </c>
    </row>
    <row r="29" spans="1:17" ht="15.75" customHeight="1" x14ac:dyDescent="0.3">
      <c r="A29" s="143"/>
      <c r="B29" s="91" t="s">
        <v>103</v>
      </c>
      <c r="C29" s="77">
        <v>6.5</v>
      </c>
      <c r="D29" s="78">
        <v>6</v>
      </c>
      <c r="E29" s="77">
        <v>25.6</v>
      </c>
      <c r="F29" s="78">
        <v>22.8</v>
      </c>
      <c r="G29" s="77">
        <v>25.3</v>
      </c>
      <c r="H29" s="78">
        <v>22.5</v>
      </c>
      <c r="I29" s="77">
        <v>25.4</v>
      </c>
      <c r="J29" s="79">
        <v>4.5999999999999996</v>
      </c>
      <c r="K29" s="79">
        <v>22.6</v>
      </c>
      <c r="L29" s="78">
        <v>4.3</v>
      </c>
      <c r="M29" s="77">
        <v>26.3</v>
      </c>
      <c r="N29" s="79">
        <v>4.8</v>
      </c>
      <c r="O29" s="79">
        <v>23.4</v>
      </c>
      <c r="P29" s="79">
        <v>4.4000000000000004</v>
      </c>
      <c r="Q29" s="78">
        <v>8.6999999999999993</v>
      </c>
    </row>
    <row r="30" spans="1:17" ht="15.75" customHeight="1" x14ac:dyDescent="0.3">
      <c r="A30" s="143"/>
      <c r="B30" s="97" t="s">
        <v>104</v>
      </c>
      <c r="C30" s="98">
        <f t="shared" ref="C30:Q30" si="7">IF(OR(C28="",C29=""),"",C29/C28)</f>
        <v>1.015625</v>
      </c>
      <c r="D30" s="99">
        <f t="shared" si="7"/>
        <v>0.98360655737704927</v>
      </c>
      <c r="E30" s="98">
        <f t="shared" si="7"/>
        <v>1.024</v>
      </c>
      <c r="F30" s="99">
        <f t="shared" si="7"/>
        <v>0.98275862068965525</v>
      </c>
      <c r="G30" s="98">
        <f t="shared" si="7"/>
        <v>1.0242914979757085</v>
      </c>
      <c r="H30" s="99">
        <f t="shared" si="7"/>
        <v>0.97826086956521741</v>
      </c>
      <c r="I30" s="98">
        <f t="shared" si="7"/>
        <v>1.0200803212851406</v>
      </c>
      <c r="J30" s="100">
        <f t="shared" si="7"/>
        <v>1</v>
      </c>
      <c r="K30" s="100">
        <f t="shared" si="7"/>
        <v>0.97413793103448287</v>
      </c>
      <c r="L30" s="99">
        <f t="shared" si="7"/>
        <v>0.97727272727272718</v>
      </c>
      <c r="M30" s="98">
        <f t="shared" si="7"/>
        <v>1.0193798449612403</v>
      </c>
      <c r="N30" s="100">
        <f t="shared" si="7"/>
        <v>1.0212765957446808</v>
      </c>
      <c r="O30" s="100">
        <f t="shared" si="7"/>
        <v>0.97907949790794979</v>
      </c>
      <c r="P30" s="100">
        <f t="shared" si="7"/>
        <v>0.97777777777777786</v>
      </c>
      <c r="Q30" s="99">
        <f t="shared" si="7"/>
        <v>1</v>
      </c>
    </row>
    <row r="31" spans="1:17" ht="15.75" customHeight="1" x14ac:dyDescent="0.3"/>
    <row r="32" spans="1:17" ht="15.75" customHeight="1" x14ac:dyDescent="0.3">
      <c r="A32" s="8" t="s">
        <v>116</v>
      </c>
    </row>
    <row r="33" spans="1:17" ht="15.75" customHeight="1" x14ac:dyDescent="0.3">
      <c r="B33" s="15" t="s">
        <v>100</v>
      </c>
      <c r="C33" s="142" t="s">
        <v>26</v>
      </c>
      <c r="D33" s="142"/>
      <c r="E33" s="144" t="s">
        <v>14</v>
      </c>
      <c r="F33" s="144"/>
      <c r="G33" s="142" t="s">
        <v>138</v>
      </c>
      <c r="H33" s="142"/>
      <c r="I33" s="142" t="s">
        <v>27</v>
      </c>
      <c r="J33" s="142"/>
      <c r="K33" s="142"/>
      <c r="L33" s="142"/>
      <c r="M33" s="142" t="s">
        <v>22</v>
      </c>
      <c r="N33" s="142"/>
      <c r="O33" s="142"/>
      <c r="P33" s="142"/>
      <c r="Q33" s="142"/>
    </row>
    <row r="34" spans="1:17" ht="15.75" customHeight="1" x14ac:dyDescent="0.3">
      <c r="B34" s="18" t="s">
        <v>114</v>
      </c>
      <c r="C34" s="140">
        <v>3.6</v>
      </c>
      <c r="D34" s="140"/>
      <c r="E34" s="141">
        <v>5</v>
      </c>
      <c r="F34" s="141"/>
      <c r="G34" s="140">
        <v>10</v>
      </c>
      <c r="H34" s="140"/>
      <c r="I34" s="140">
        <v>15</v>
      </c>
      <c r="J34" s="140"/>
      <c r="K34" s="140"/>
      <c r="L34" s="140"/>
      <c r="M34" s="141">
        <f>64*0.6</f>
        <v>38.4</v>
      </c>
      <c r="N34" s="141"/>
      <c r="O34" s="141"/>
      <c r="P34" s="141"/>
      <c r="Q34" s="141"/>
    </row>
    <row r="35" spans="1:17" ht="15.75" customHeight="1" x14ac:dyDescent="0.3">
      <c r="B35" s="18" t="s">
        <v>101</v>
      </c>
      <c r="C35" s="140" t="s">
        <v>26</v>
      </c>
      <c r="D35" s="140"/>
      <c r="E35" s="141" t="s">
        <v>14</v>
      </c>
      <c r="F35" s="141"/>
      <c r="G35" s="140" t="s">
        <v>138</v>
      </c>
      <c r="H35" s="140"/>
      <c r="I35" s="140" t="s">
        <v>27</v>
      </c>
      <c r="J35" s="140"/>
      <c r="K35" s="140"/>
      <c r="L35" s="140"/>
      <c r="M35" s="140" t="s">
        <v>22</v>
      </c>
      <c r="N35" s="140"/>
      <c r="O35" s="140"/>
      <c r="P35" s="140"/>
      <c r="Q35" s="140"/>
    </row>
    <row r="36" spans="1:17" ht="15.75" customHeight="1" x14ac:dyDescent="0.3">
      <c r="A36" s="13"/>
      <c r="B36" s="3" t="s">
        <v>115</v>
      </c>
      <c r="C36" s="77" t="s">
        <v>139</v>
      </c>
      <c r="D36" s="78" t="s">
        <v>140</v>
      </c>
      <c r="E36" s="77" t="s">
        <v>95</v>
      </c>
      <c r="F36" s="78" t="s">
        <v>96</v>
      </c>
      <c r="G36" s="77" t="s">
        <v>95</v>
      </c>
      <c r="H36" s="78" t="s">
        <v>96</v>
      </c>
      <c r="I36" s="77" t="s">
        <v>95</v>
      </c>
      <c r="J36" s="79" t="s">
        <v>139</v>
      </c>
      <c r="K36" s="79" t="s">
        <v>96</v>
      </c>
      <c r="L36" s="78" t="s">
        <v>140</v>
      </c>
      <c r="M36" s="77" t="s">
        <v>95</v>
      </c>
      <c r="N36" s="79" t="s">
        <v>139</v>
      </c>
      <c r="O36" s="79" t="s">
        <v>96</v>
      </c>
      <c r="P36" s="79" t="s">
        <v>140</v>
      </c>
      <c r="Q36" s="78" t="s">
        <v>141</v>
      </c>
    </row>
    <row r="37" spans="1:17" ht="15.75" customHeight="1" x14ac:dyDescent="0.3">
      <c r="A37" s="4" t="s">
        <v>6</v>
      </c>
      <c r="B37" s="110"/>
      <c r="C37" s="82"/>
      <c r="D37" s="83"/>
      <c r="E37" s="82"/>
      <c r="F37" s="83"/>
      <c r="G37" s="82"/>
      <c r="H37" s="83"/>
      <c r="I37" s="82"/>
      <c r="J37" s="84"/>
      <c r="K37" s="84"/>
      <c r="L37" s="83"/>
      <c r="M37" s="82"/>
      <c r="N37" s="84"/>
      <c r="O37" s="84"/>
      <c r="P37" s="84"/>
      <c r="Q37" s="83"/>
    </row>
    <row r="38" spans="1:17" ht="15.75" customHeight="1" x14ac:dyDescent="0.3">
      <c r="A38" s="138">
        <v>70</v>
      </c>
      <c r="B38" s="91" t="s">
        <v>102</v>
      </c>
      <c r="C38" s="92"/>
      <c r="D38" s="91"/>
      <c r="E38" s="93">
        <v>0.9</v>
      </c>
      <c r="F38" s="94">
        <v>0.7</v>
      </c>
      <c r="G38" s="93">
        <v>0.8</v>
      </c>
      <c r="H38" s="94">
        <v>3.3</v>
      </c>
      <c r="I38" s="93">
        <v>0.8</v>
      </c>
      <c r="J38" s="95"/>
      <c r="K38" s="96">
        <v>0.7</v>
      </c>
      <c r="L38" s="91"/>
      <c r="M38" s="93">
        <v>0.9</v>
      </c>
      <c r="N38" s="95"/>
      <c r="O38" s="96">
        <v>0.8</v>
      </c>
      <c r="P38" s="95"/>
      <c r="Q38" s="91"/>
    </row>
    <row r="39" spans="1:17" ht="15.75" customHeight="1" x14ac:dyDescent="0.3">
      <c r="A39" s="138"/>
      <c r="B39" s="91" t="s">
        <v>103</v>
      </c>
      <c r="C39" s="92"/>
      <c r="D39" s="91"/>
      <c r="E39" s="93">
        <v>1.7</v>
      </c>
      <c r="F39" s="94">
        <v>1.3</v>
      </c>
      <c r="G39" s="93">
        <v>1.7</v>
      </c>
      <c r="H39" s="94">
        <v>3.3</v>
      </c>
      <c r="I39" s="93">
        <v>1.7</v>
      </c>
      <c r="J39" s="95"/>
      <c r="K39" s="96">
        <v>1.3</v>
      </c>
      <c r="L39" s="91"/>
      <c r="M39" s="93">
        <v>1.7</v>
      </c>
      <c r="N39" s="95"/>
      <c r="O39" s="96">
        <v>1.3</v>
      </c>
      <c r="P39" s="95"/>
      <c r="Q39" s="91"/>
    </row>
    <row r="40" spans="1:17" ht="15.75" customHeight="1" x14ac:dyDescent="0.3">
      <c r="A40" s="138"/>
      <c r="B40" s="97" t="s">
        <v>104</v>
      </c>
      <c r="C40" s="98" t="str">
        <f t="shared" ref="C40:Q40" si="8">IF(OR(C38="",C39=""),"",C39/C38)</f>
        <v/>
      </c>
      <c r="D40" s="99" t="str">
        <f t="shared" si="8"/>
        <v/>
      </c>
      <c r="E40" s="98">
        <f t="shared" si="8"/>
        <v>1.8888888888888888</v>
      </c>
      <c r="F40" s="99">
        <f t="shared" si="8"/>
        <v>1.8571428571428574</v>
      </c>
      <c r="G40" s="98">
        <f t="shared" si="8"/>
        <v>2.125</v>
      </c>
      <c r="H40" s="99">
        <f t="shared" si="8"/>
        <v>1</v>
      </c>
      <c r="I40" s="98">
        <f t="shared" si="8"/>
        <v>2.125</v>
      </c>
      <c r="J40" s="100" t="str">
        <f t="shared" si="8"/>
        <v/>
      </c>
      <c r="K40" s="100">
        <f t="shared" si="8"/>
        <v>1.8571428571428574</v>
      </c>
      <c r="L40" s="99" t="str">
        <f t="shared" si="8"/>
        <v/>
      </c>
      <c r="M40" s="98">
        <f t="shared" si="8"/>
        <v>1.8888888888888888</v>
      </c>
      <c r="N40" s="100" t="str">
        <f t="shared" si="8"/>
        <v/>
      </c>
      <c r="O40" s="100">
        <f t="shared" si="8"/>
        <v>1.625</v>
      </c>
      <c r="P40" s="100" t="str">
        <f t="shared" si="8"/>
        <v/>
      </c>
      <c r="Q40" s="99" t="str">
        <f t="shared" si="8"/>
        <v/>
      </c>
    </row>
    <row r="41" spans="1:17" ht="15.75" customHeight="1" x14ac:dyDescent="0.3">
      <c r="A41" s="130">
        <v>80</v>
      </c>
      <c r="B41" s="101" t="s">
        <v>102</v>
      </c>
      <c r="C41" s="102"/>
      <c r="D41" s="101"/>
      <c r="E41" s="103">
        <v>1.4</v>
      </c>
      <c r="F41" s="104">
        <v>1.2</v>
      </c>
      <c r="G41" s="103">
        <v>1.4</v>
      </c>
      <c r="H41" s="104">
        <v>5.0999999999999996</v>
      </c>
      <c r="I41" s="103">
        <v>1.4</v>
      </c>
      <c r="J41" s="105"/>
      <c r="K41" s="106">
        <v>1.2</v>
      </c>
      <c r="L41" s="101"/>
      <c r="M41" s="103">
        <v>1.5</v>
      </c>
      <c r="N41" s="105"/>
      <c r="O41" s="106">
        <v>1.3</v>
      </c>
      <c r="P41" s="105"/>
      <c r="Q41" s="101"/>
    </row>
    <row r="42" spans="1:17" ht="15.75" customHeight="1" x14ac:dyDescent="0.3">
      <c r="A42" s="130"/>
      <c r="B42" s="91" t="s">
        <v>103</v>
      </c>
      <c r="C42" s="92"/>
      <c r="D42" s="91"/>
      <c r="E42" s="93">
        <v>2.7</v>
      </c>
      <c r="F42" s="94">
        <v>2</v>
      </c>
      <c r="G42" s="93">
        <v>2.6</v>
      </c>
      <c r="H42" s="94">
        <v>5.0999999999999996</v>
      </c>
      <c r="I42" s="93">
        <v>2.6</v>
      </c>
      <c r="J42" s="95"/>
      <c r="K42" s="96">
        <v>2</v>
      </c>
      <c r="L42" s="91"/>
      <c r="M42" s="93">
        <v>2.7</v>
      </c>
      <c r="N42" s="95"/>
      <c r="O42" s="96">
        <v>2.1</v>
      </c>
      <c r="P42" s="95"/>
      <c r="Q42" s="91"/>
    </row>
    <row r="43" spans="1:17" ht="15.75" customHeight="1" x14ac:dyDescent="0.3">
      <c r="A43" s="130"/>
      <c r="B43" s="97" t="s">
        <v>104</v>
      </c>
      <c r="C43" s="98" t="str">
        <f t="shared" ref="C43:Q43" si="9">IF(OR(C41="",C42=""),"",C42/C41)</f>
        <v/>
      </c>
      <c r="D43" s="99" t="str">
        <f t="shared" si="9"/>
        <v/>
      </c>
      <c r="E43" s="98">
        <f t="shared" si="9"/>
        <v>1.9285714285714288</v>
      </c>
      <c r="F43" s="99">
        <f t="shared" si="9"/>
        <v>1.6666666666666667</v>
      </c>
      <c r="G43" s="98">
        <f t="shared" si="9"/>
        <v>1.8571428571428574</v>
      </c>
      <c r="H43" s="99">
        <f t="shared" si="9"/>
        <v>1</v>
      </c>
      <c r="I43" s="98">
        <f t="shared" si="9"/>
        <v>1.8571428571428574</v>
      </c>
      <c r="J43" s="100" t="str">
        <f t="shared" si="9"/>
        <v/>
      </c>
      <c r="K43" s="100">
        <f t="shared" si="9"/>
        <v>1.6666666666666667</v>
      </c>
      <c r="L43" s="99" t="str">
        <f t="shared" si="9"/>
        <v/>
      </c>
      <c r="M43" s="98">
        <f t="shared" si="9"/>
        <v>1.8</v>
      </c>
      <c r="N43" s="100" t="str">
        <f t="shared" si="9"/>
        <v/>
      </c>
      <c r="O43" s="100">
        <f t="shared" si="9"/>
        <v>1.6153846153846154</v>
      </c>
      <c r="P43" s="100" t="str">
        <f t="shared" si="9"/>
        <v/>
      </c>
      <c r="Q43" s="99" t="str">
        <f t="shared" si="9"/>
        <v/>
      </c>
    </row>
    <row r="44" spans="1:17" ht="15.75" customHeight="1" x14ac:dyDescent="0.3">
      <c r="A44" s="139">
        <v>90</v>
      </c>
      <c r="B44" s="101" t="s">
        <v>102</v>
      </c>
      <c r="C44" s="102"/>
      <c r="D44" s="101"/>
      <c r="E44" s="103">
        <v>2.2000000000000002</v>
      </c>
      <c r="F44" s="104">
        <v>1.9</v>
      </c>
      <c r="G44" s="103">
        <v>2.2000000000000002</v>
      </c>
      <c r="H44" s="104">
        <v>7.4</v>
      </c>
      <c r="I44" s="103">
        <v>2.2000000000000002</v>
      </c>
      <c r="J44" s="105"/>
      <c r="K44" s="106">
        <v>1.9</v>
      </c>
      <c r="L44" s="101"/>
      <c r="M44" s="103">
        <v>2.2999999999999998</v>
      </c>
      <c r="N44" s="105"/>
      <c r="O44" s="106">
        <v>2</v>
      </c>
      <c r="P44" s="105"/>
      <c r="Q44" s="101"/>
    </row>
    <row r="45" spans="1:17" ht="15.75" customHeight="1" x14ac:dyDescent="0.3">
      <c r="A45" s="139"/>
      <c r="B45" s="91" t="s">
        <v>103</v>
      </c>
      <c r="C45" s="92"/>
      <c r="D45" s="91"/>
      <c r="E45" s="93">
        <v>3.9</v>
      </c>
      <c r="F45" s="94">
        <v>3</v>
      </c>
      <c r="G45" s="93">
        <v>3.8</v>
      </c>
      <c r="H45" s="94">
        <v>7.2</v>
      </c>
      <c r="I45" s="93">
        <v>3.8</v>
      </c>
      <c r="J45" s="95"/>
      <c r="K45" s="96">
        <v>3</v>
      </c>
      <c r="L45" s="91"/>
      <c r="M45" s="93">
        <v>4</v>
      </c>
      <c r="N45" s="95"/>
      <c r="O45" s="96">
        <v>3.1</v>
      </c>
      <c r="P45" s="95"/>
      <c r="Q45" s="91"/>
    </row>
    <row r="46" spans="1:17" ht="15.75" customHeight="1" x14ac:dyDescent="0.3">
      <c r="A46" s="139"/>
      <c r="B46" s="97" t="s">
        <v>104</v>
      </c>
      <c r="C46" s="98" t="str">
        <f t="shared" ref="C46:Q46" si="10">IF(OR(C44="",C45=""),"",C45/C44)</f>
        <v/>
      </c>
      <c r="D46" s="99" t="str">
        <f t="shared" si="10"/>
        <v/>
      </c>
      <c r="E46" s="98">
        <f t="shared" si="10"/>
        <v>1.7727272727272725</v>
      </c>
      <c r="F46" s="99">
        <f t="shared" si="10"/>
        <v>1.5789473684210527</v>
      </c>
      <c r="G46" s="98">
        <f t="shared" si="10"/>
        <v>1.7272727272727271</v>
      </c>
      <c r="H46" s="99">
        <f t="shared" si="10"/>
        <v>0.97297297297297292</v>
      </c>
      <c r="I46" s="98">
        <f t="shared" si="10"/>
        <v>1.7272727272727271</v>
      </c>
      <c r="J46" s="100" t="str">
        <f t="shared" si="10"/>
        <v/>
      </c>
      <c r="K46" s="100">
        <f t="shared" si="10"/>
        <v>1.5789473684210527</v>
      </c>
      <c r="L46" s="99" t="str">
        <f t="shared" si="10"/>
        <v/>
      </c>
      <c r="M46" s="98">
        <f t="shared" si="10"/>
        <v>1.7391304347826089</v>
      </c>
      <c r="N46" s="100" t="str">
        <f t="shared" si="10"/>
        <v/>
      </c>
      <c r="O46" s="100">
        <f t="shared" si="10"/>
        <v>1.55</v>
      </c>
      <c r="P46" s="100" t="str">
        <f t="shared" si="10"/>
        <v/>
      </c>
      <c r="Q46" s="99" t="str">
        <f t="shared" si="10"/>
        <v/>
      </c>
    </row>
    <row r="47" spans="1:17" ht="15.75" customHeight="1" x14ac:dyDescent="0.3">
      <c r="A47" s="139">
        <v>100</v>
      </c>
      <c r="B47" s="101" t="s">
        <v>102</v>
      </c>
      <c r="C47" s="103">
        <v>0.5</v>
      </c>
      <c r="D47" s="104">
        <v>0.4</v>
      </c>
      <c r="E47" s="103">
        <v>3.2</v>
      </c>
      <c r="F47" s="104">
        <v>2.8</v>
      </c>
      <c r="G47" s="103">
        <v>3.1</v>
      </c>
      <c r="H47" s="104">
        <v>10.1</v>
      </c>
      <c r="I47" s="103">
        <v>3.1</v>
      </c>
      <c r="J47" s="106">
        <v>0.3</v>
      </c>
      <c r="K47" s="106">
        <v>2.8</v>
      </c>
      <c r="L47" s="104">
        <v>0.3</v>
      </c>
      <c r="M47" s="103">
        <v>3.2</v>
      </c>
      <c r="N47" s="106">
        <v>0.3</v>
      </c>
      <c r="O47" s="106">
        <v>2.9</v>
      </c>
      <c r="P47" s="106">
        <v>0.3</v>
      </c>
      <c r="Q47" s="101"/>
    </row>
    <row r="48" spans="1:17" ht="15.75" customHeight="1" x14ac:dyDescent="0.3">
      <c r="A48" s="139"/>
      <c r="B48" s="91" t="s">
        <v>103</v>
      </c>
      <c r="C48" s="93">
        <v>0.7</v>
      </c>
      <c r="D48" s="94">
        <v>0.6</v>
      </c>
      <c r="E48" s="93">
        <v>5.4</v>
      </c>
      <c r="F48" s="94">
        <v>4.2</v>
      </c>
      <c r="G48" s="93">
        <v>5.2</v>
      </c>
      <c r="H48" s="94">
        <v>9.8000000000000007</v>
      </c>
      <c r="I48" s="93">
        <v>5.3</v>
      </c>
      <c r="J48" s="96">
        <v>0.5</v>
      </c>
      <c r="K48" s="96">
        <v>4.0999999999999996</v>
      </c>
      <c r="L48" s="94">
        <v>0.4</v>
      </c>
      <c r="M48" s="93">
        <v>5.4</v>
      </c>
      <c r="N48" s="96">
        <v>0.5</v>
      </c>
      <c r="O48" s="96">
        <v>4.3</v>
      </c>
      <c r="P48" s="96">
        <v>0.4</v>
      </c>
      <c r="Q48" s="91"/>
    </row>
    <row r="49" spans="1:17" ht="15.75" customHeight="1" x14ac:dyDescent="0.3">
      <c r="A49" s="139"/>
      <c r="B49" s="97" t="s">
        <v>104</v>
      </c>
      <c r="C49" s="98">
        <f t="shared" ref="C49:Q49" si="11">IF(OR(C47="",C48=""),"",C48/C47)</f>
        <v>1.4</v>
      </c>
      <c r="D49" s="99">
        <f t="shared" si="11"/>
        <v>1.4999999999999998</v>
      </c>
      <c r="E49" s="98">
        <f t="shared" si="11"/>
        <v>1.6875</v>
      </c>
      <c r="F49" s="99">
        <f t="shared" si="11"/>
        <v>1.5000000000000002</v>
      </c>
      <c r="G49" s="98">
        <f t="shared" si="11"/>
        <v>1.6774193548387097</v>
      </c>
      <c r="H49" s="99">
        <f t="shared" si="11"/>
        <v>0.97029702970297038</v>
      </c>
      <c r="I49" s="98">
        <f t="shared" si="11"/>
        <v>1.7096774193548385</v>
      </c>
      <c r="J49" s="100">
        <f t="shared" si="11"/>
        <v>1.6666666666666667</v>
      </c>
      <c r="K49" s="100">
        <f t="shared" si="11"/>
        <v>1.4642857142857142</v>
      </c>
      <c r="L49" s="99">
        <f t="shared" si="11"/>
        <v>1.3333333333333335</v>
      </c>
      <c r="M49" s="98">
        <f t="shared" si="11"/>
        <v>1.6875</v>
      </c>
      <c r="N49" s="100">
        <f t="shared" si="11"/>
        <v>1.6666666666666667</v>
      </c>
      <c r="O49" s="100">
        <f t="shared" si="11"/>
        <v>1.4827586206896552</v>
      </c>
      <c r="P49" s="100">
        <f t="shared" si="11"/>
        <v>1.3333333333333335</v>
      </c>
      <c r="Q49" s="99" t="str">
        <f t="shared" si="11"/>
        <v/>
      </c>
    </row>
    <row r="50" spans="1:17" ht="15.75" customHeight="1" x14ac:dyDescent="0.3">
      <c r="A50" s="139">
        <v>110</v>
      </c>
      <c r="B50" s="101" t="s">
        <v>102</v>
      </c>
      <c r="C50" s="102"/>
      <c r="D50" s="101"/>
      <c r="E50" s="103">
        <v>4.2</v>
      </c>
      <c r="F50" s="104">
        <v>3.7</v>
      </c>
      <c r="G50" s="103">
        <v>4.2</v>
      </c>
      <c r="H50" s="104">
        <v>13</v>
      </c>
      <c r="I50" s="103">
        <v>4.2</v>
      </c>
      <c r="J50" s="106">
        <v>0.6</v>
      </c>
      <c r="K50" s="106">
        <v>3.7</v>
      </c>
      <c r="L50" s="104">
        <v>0.5</v>
      </c>
      <c r="M50" s="103">
        <v>4.3</v>
      </c>
      <c r="N50" s="106">
        <v>0.6</v>
      </c>
      <c r="O50" s="106">
        <v>3.8</v>
      </c>
      <c r="P50" s="106">
        <v>0.5</v>
      </c>
      <c r="Q50" s="101"/>
    </row>
    <row r="51" spans="1:17" ht="15.75" customHeight="1" x14ac:dyDescent="0.3">
      <c r="A51" s="139"/>
      <c r="B51" s="91" t="s">
        <v>103</v>
      </c>
      <c r="C51" s="92"/>
      <c r="D51" s="91"/>
      <c r="E51" s="93">
        <v>7</v>
      </c>
      <c r="F51" s="94">
        <v>5.5</v>
      </c>
      <c r="G51" s="93">
        <v>6.9</v>
      </c>
      <c r="H51" s="94">
        <v>12.7</v>
      </c>
      <c r="I51" s="93">
        <v>6.9</v>
      </c>
      <c r="J51" s="96">
        <v>0.8</v>
      </c>
      <c r="K51" s="96">
        <v>5.4</v>
      </c>
      <c r="L51" s="94">
        <v>0.7</v>
      </c>
      <c r="M51" s="93">
        <v>7.1</v>
      </c>
      <c r="N51" s="96">
        <v>0.9</v>
      </c>
      <c r="O51" s="96">
        <v>5.6</v>
      </c>
      <c r="P51" s="96">
        <v>0.7</v>
      </c>
      <c r="Q51" s="91"/>
    </row>
    <row r="52" spans="1:17" ht="15.75" customHeight="1" x14ac:dyDescent="0.3">
      <c r="A52" s="139"/>
      <c r="B52" s="97" t="s">
        <v>104</v>
      </c>
      <c r="C52" s="98" t="str">
        <f t="shared" ref="C52:Q52" si="12">IF(OR(C50="",C51=""),"",C51/C50)</f>
        <v/>
      </c>
      <c r="D52" s="99" t="str">
        <f t="shared" si="12"/>
        <v/>
      </c>
      <c r="E52" s="98">
        <f t="shared" si="12"/>
        <v>1.6666666666666665</v>
      </c>
      <c r="F52" s="99">
        <f t="shared" si="12"/>
        <v>1.4864864864864864</v>
      </c>
      <c r="G52" s="98">
        <f t="shared" si="12"/>
        <v>1.6428571428571428</v>
      </c>
      <c r="H52" s="99">
        <f t="shared" si="12"/>
        <v>0.97692307692307689</v>
      </c>
      <c r="I52" s="98">
        <f t="shared" si="12"/>
        <v>1.6428571428571428</v>
      </c>
      <c r="J52" s="100">
        <f t="shared" si="12"/>
        <v>1.3333333333333335</v>
      </c>
      <c r="K52" s="100">
        <f t="shared" si="12"/>
        <v>1.4594594594594594</v>
      </c>
      <c r="L52" s="99">
        <f t="shared" si="12"/>
        <v>1.4</v>
      </c>
      <c r="M52" s="98">
        <f t="shared" si="12"/>
        <v>1.6511627906976745</v>
      </c>
      <c r="N52" s="100">
        <f t="shared" si="12"/>
        <v>1.5</v>
      </c>
      <c r="O52" s="100">
        <f t="shared" si="12"/>
        <v>1.4736842105263157</v>
      </c>
      <c r="P52" s="100">
        <f t="shared" si="12"/>
        <v>1.4</v>
      </c>
      <c r="Q52" s="99" t="str">
        <f t="shared" si="12"/>
        <v/>
      </c>
    </row>
    <row r="53" spans="1:17" ht="15.75" customHeight="1" x14ac:dyDescent="0.3">
      <c r="A53" s="137">
        <v>120</v>
      </c>
      <c r="B53" s="101" t="s">
        <v>102</v>
      </c>
      <c r="C53" s="107"/>
      <c r="D53" s="108"/>
      <c r="E53" s="107">
        <v>5.4</v>
      </c>
      <c r="F53" s="108">
        <v>4.8</v>
      </c>
      <c r="G53" s="107">
        <v>5.3</v>
      </c>
      <c r="H53" s="108">
        <v>16.2</v>
      </c>
      <c r="I53" s="107">
        <v>5.4</v>
      </c>
      <c r="J53" s="109">
        <v>0.9</v>
      </c>
      <c r="K53" s="109">
        <v>4.8</v>
      </c>
      <c r="L53" s="108">
        <v>0.8</v>
      </c>
      <c r="M53" s="107">
        <v>5.6</v>
      </c>
      <c r="N53" s="109">
        <v>0.9</v>
      </c>
      <c r="O53" s="109">
        <v>5</v>
      </c>
      <c r="P53" s="109">
        <v>0.8</v>
      </c>
      <c r="Q53" s="108">
        <v>1.8</v>
      </c>
    </row>
    <row r="54" spans="1:17" ht="15.75" customHeight="1" x14ac:dyDescent="0.3">
      <c r="A54" s="137"/>
      <c r="B54" s="91" t="s">
        <v>103</v>
      </c>
      <c r="C54" s="77"/>
      <c r="D54" s="78"/>
      <c r="E54" s="77">
        <v>8.9</v>
      </c>
      <c r="F54" s="78">
        <v>7</v>
      </c>
      <c r="G54" s="77">
        <v>8.6</v>
      </c>
      <c r="H54" s="78">
        <v>15.6</v>
      </c>
      <c r="I54" s="77">
        <v>8.6999999999999993</v>
      </c>
      <c r="J54" s="79">
        <v>1.3</v>
      </c>
      <c r="K54" s="79">
        <v>6.9</v>
      </c>
      <c r="L54" s="78">
        <v>1.1000000000000001</v>
      </c>
      <c r="M54" s="77">
        <v>9</v>
      </c>
      <c r="N54" s="79">
        <v>1.3</v>
      </c>
      <c r="O54" s="79">
        <v>7.1</v>
      </c>
      <c r="P54" s="79">
        <v>1.1000000000000001</v>
      </c>
      <c r="Q54" s="78">
        <v>2.8</v>
      </c>
    </row>
    <row r="55" spans="1:17" ht="15.75" customHeight="1" x14ac:dyDescent="0.3">
      <c r="A55" s="137"/>
      <c r="B55" s="97" t="s">
        <v>104</v>
      </c>
      <c r="C55" s="98" t="str">
        <f t="shared" ref="C55:Q55" si="13">IF(OR(C53="",C54=""),"",C54/C53)</f>
        <v/>
      </c>
      <c r="D55" s="99" t="str">
        <f t="shared" si="13"/>
        <v/>
      </c>
      <c r="E55" s="98">
        <f t="shared" si="13"/>
        <v>1.6481481481481481</v>
      </c>
      <c r="F55" s="99">
        <f t="shared" si="13"/>
        <v>1.4583333333333335</v>
      </c>
      <c r="G55" s="98">
        <f t="shared" si="13"/>
        <v>1.6226415094339623</v>
      </c>
      <c r="H55" s="99">
        <f t="shared" si="13"/>
        <v>0.96296296296296302</v>
      </c>
      <c r="I55" s="98">
        <f t="shared" si="13"/>
        <v>1.6111111111111109</v>
      </c>
      <c r="J55" s="100">
        <f t="shared" si="13"/>
        <v>1.4444444444444444</v>
      </c>
      <c r="K55" s="100">
        <f t="shared" si="13"/>
        <v>1.4375000000000002</v>
      </c>
      <c r="L55" s="99">
        <f t="shared" si="13"/>
        <v>1.375</v>
      </c>
      <c r="M55" s="98">
        <f t="shared" si="13"/>
        <v>1.6071428571428572</v>
      </c>
      <c r="N55" s="100">
        <f t="shared" si="13"/>
        <v>1.4444444444444444</v>
      </c>
      <c r="O55" s="100">
        <f t="shared" si="13"/>
        <v>1.42</v>
      </c>
      <c r="P55" s="100">
        <f t="shared" si="13"/>
        <v>1.375</v>
      </c>
      <c r="Q55" s="99">
        <f t="shared" si="13"/>
        <v>1.5555555555555554</v>
      </c>
    </row>
    <row r="56" spans="1:17" ht="15.75" customHeight="1" x14ac:dyDescent="0.3">
      <c r="A56" s="137">
        <v>130</v>
      </c>
      <c r="B56" s="101" t="s">
        <v>102</v>
      </c>
      <c r="C56" s="107"/>
      <c r="D56" s="108"/>
      <c r="E56" s="107">
        <v>6.7</v>
      </c>
      <c r="F56" s="108">
        <v>5.9</v>
      </c>
      <c r="G56" s="107">
        <v>6.6</v>
      </c>
      <c r="H56" s="108">
        <v>19.5</v>
      </c>
      <c r="I56" s="107">
        <v>6.6</v>
      </c>
      <c r="J56" s="109">
        <v>1.3</v>
      </c>
      <c r="K56" s="109">
        <v>5.9</v>
      </c>
      <c r="L56" s="108">
        <v>1.2</v>
      </c>
      <c r="M56" s="107">
        <v>6.8</v>
      </c>
      <c r="N56" s="109">
        <v>1.3</v>
      </c>
      <c r="O56" s="109">
        <v>6.1</v>
      </c>
      <c r="P56" s="109">
        <v>1.2</v>
      </c>
      <c r="Q56" s="108"/>
    </row>
    <row r="57" spans="1:17" ht="15.75" customHeight="1" x14ac:dyDescent="0.3">
      <c r="A57" s="137"/>
      <c r="B57" s="91" t="s">
        <v>103</v>
      </c>
      <c r="C57" s="77"/>
      <c r="D57" s="78"/>
      <c r="E57" s="77">
        <v>10.8</v>
      </c>
      <c r="F57" s="78">
        <v>8.5</v>
      </c>
      <c r="G57" s="77">
        <v>10.5</v>
      </c>
      <c r="H57" s="78">
        <v>19.100000000000001</v>
      </c>
      <c r="I57" s="77">
        <v>10.5</v>
      </c>
      <c r="J57" s="79">
        <v>1.9</v>
      </c>
      <c r="K57" s="79">
        <v>8.4</v>
      </c>
      <c r="L57" s="78">
        <v>1.5</v>
      </c>
      <c r="M57" s="77">
        <v>10.9</v>
      </c>
      <c r="N57" s="79">
        <v>1.9</v>
      </c>
      <c r="O57" s="79">
        <v>8.6999999999999993</v>
      </c>
      <c r="P57" s="79">
        <v>1.6</v>
      </c>
      <c r="Q57" s="78"/>
    </row>
    <row r="58" spans="1:17" ht="15.75" customHeight="1" x14ac:dyDescent="0.3">
      <c r="A58" s="137"/>
      <c r="B58" s="97" t="s">
        <v>104</v>
      </c>
      <c r="C58" s="98" t="str">
        <f t="shared" ref="C58:Q58" si="14">IF(OR(C56="",C57=""),"",C57/C56)</f>
        <v/>
      </c>
      <c r="D58" s="99" t="str">
        <f t="shared" si="14"/>
        <v/>
      </c>
      <c r="E58" s="98">
        <f t="shared" si="14"/>
        <v>1.6119402985074627</v>
      </c>
      <c r="F58" s="99">
        <f t="shared" si="14"/>
        <v>1.4406779661016949</v>
      </c>
      <c r="G58" s="98">
        <f t="shared" si="14"/>
        <v>1.5909090909090911</v>
      </c>
      <c r="H58" s="99">
        <f t="shared" si="14"/>
        <v>0.97948717948717956</v>
      </c>
      <c r="I58" s="98">
        <f t="shared" si="14"/>
        <v>1.5909090909090911</v>
      </c>
      <c r="J58" s="100">
        <f t="shared" si="14"/>
        <v>1.4615384615384615</v>
      </c>
      <c r="K58" s="100">
        <f t="shared" si="14"/>
        <v>1.423728813559322</v>
      </c>
      <c r="L58" s="99">
        <f t="shared" si="14"/>
        <v>1.25</v>
      </c>
      <c r="M58" s="98">
        <f t="shared" si="14"/>
        <v>1.6029411764705883</v>
      </c>
      <c r="N58" s="100">
        <f t="shared" si="14"/>
        <v>1.4615384615384615</v>
      </c>
      <c r="O58" s="100">
        <f t="shared" si="14"/>
        <v>1.4262295081967213</v>
      </c>
      <c r="P58" s="100">
        <f t="shared" si="14"/>
        <v>1.3333333333333335</v>
      </c>
      <c r="Q58" s="99" t="str">
        <f t="shared" si="14"/>
        <v/>
      </c>
    </row>
    <row r="59" spans="1:17" ht="15.75" customHeight="1" x14ac:dyDescent="0.3">
      <c r="A59" s="137">
        <v>140</v>
      </c>
      <c r="B59" s="101" t="s">
        <v>102</v>
      </c>
      <c r="C59" s="107">
        <v>2.5</v>
      </c>
      <c r="D59" s="108">
        <v>2.2999999999999998</v>
      </c>
      <c r="E59" s="107">
        <v>8.1</v>
      </c>
      <c r="F59" s="108">
        <v>7.2</v>
      </c>
      <c r="G59" s="107">
        <v>7.9</v>
      </c>
      <c r="H59" s="108">
        <v>23</v>
      </c>
      <c r="I59" s="107">
        <v>8</v>
      </c>
      <c r="J59" s="109">
        <v>1.8</v>
      </c>
      <c r="K59" s="109">
        <v>7.1</v>
      </c>
      <c r="L59" s="108">
        <v>1.6</v>
      </c>
      <c r="M59" s="107">
        <v>8.3000000000000007</v>
      </c>
      <c r="N59" s="109">
        <v>1.9</v>
      </c>
      <c r="O59" s="109">
        <v>7.4</v>
      </c>
      <c r="P59" s="109">
        <v>1.7</v>
      </c>
      <c r="Q59" s="108">
        <v>3.1</v>
      </c>
    </row>
    <row r="60" spans="1:17" ht="15.75" customHeight="1" x14ac:dyDescent="0.3">
      <c r="A60" s="137"/>
      <c r="B60" s="91" t="s">
        <v>103</v>
      </c>
      <c r="C60" s="77">
        <v>3.7</v>
      </c>
      <c r="D60" s="78">
        <v>3</v>
      </c>
      <c r="E60" s="77">
        <v>12.9</v>
      </c>
      <c r="F60" s="78">
        <v>10.199999999999999</v>
      </c>
      <c r="G60" s="77">
        <v>12.5</v>
      </c>
      <c r="H60" s="78">
        <v>22.5</v>
      </c>
      <c r="I60" s="77">
        <v>12.5</v>
      </c>
      <c r="J60" s="79">
        <v>2.6</v>
      </c>
      <c r="K60" s="79">
        <v>10</v>
      </c>
      <c r="L60" s="78">
        <v>2.1</v>
      </c>
      <c r="M60" s="77">
        <v>13</v>
      </c>
      <c r="N60" s="79">
        <v>2.7</v>
      </c>
      <c r="O60" s="79">
        <v>10.4</v>
      </c>
      <c r="P60" s="79">
        <v>2.2000000000000002</v>
      </c>
      <c r="Q60" s="78">
        <v>4.5999999999999996</v>
      </c>
    </row>
    <row r="61" spans="1:17" ht="15.75" customHeight="1" x14ac:dyDescent="0.3">
      <c r="A61" s="137"/>
      <c r="B61" s="97" t="s">
        <v>104</v>
      </c>
      <c r="C61" s="98">
        <f t="shared" ref="C61:Q61" si="15">IF(OR(C59="",C60=""),"",C60/C59)</f>
        <v>1.48</v>
      </c>
      <c r="D61" s="99">
        <f t="shared" si="15"/>
        <v>1.3043478260869565</v>
      </c>
      <c r="E61" s="98">
        <f t="shared" si="15"/>
        <v>1.5925925925925928</v>
      </c>
      <c r="F61" s="99">
        <f t="shared" si="15"/>
        <v>1.4166666666666665</v>
      </c>
      <c r="G61" s="98">
        <f t="shared" si="15"/>
        <v>1.5822784810126582</v>
      </c>
      <c r="H61" s="99">
        <f t="shared" si="15"/>
        <v>0.97826086956521741</v>
      </c>
      <c r="I61" s="98">
        <f t="shared" si="15"/>
        <v>1.5625</v>
      </c>
      <c r="J61" s="100">
        <f t="shared" si="15"/>
        <v>1.4444444444444444</v>
      </c>
      <c r="K61" s="100">
        <f t="shared" si="15"/>
        <v>1.4084507042253522</v>
      </c>
      <c r="L61" s="99">
        <f t="shared" si="15"/>
        <v>1.3125</v>
      </c>
      <c r="M61" s="98">
        <f t="shared" si="15"/>
        <v>1.5662650602409638</v>
      </c>
      <c r="N61" s="100">
        <f t="shared" si="15"/>
        <v>1.4210526315789476</v>
      </c>
      <c r="O61" s="100">
        <f t="shared" si="15"/>
        <v>1.4054054054054055</v>
      </c>
      <c r="P61" s="100">
        <f t="shared" si="15"/>
        <v>1.2941176470588236</v>
      </c>
      <c r="Q61" s="99">
        <f t="shared" si="15"/>
        <v>1.4838709677419353</v>
      </c>
    </row>
  </sheetData>
  <mergeCells count="46">
    <mergeCell ref="C2:D2"/>
    <mergeCell ref="E2:F2"/>
    <mergeCell ref="G2:H2"/>
    <mergeCell ref="I2:L2"/>
    <mergeCell ref="M2:Q2"/>
    <mergeCell ref="C3:D3"/>
    <mergeCell ref="E3:F3"/>
    <mergeCell ref="G3:H3"/>
    <mergeCell ref="I3:L3"/>
    <mergeCell ref="M3:Q3"/>
    <mergeCell ref="C4:D4"/>
    <mergeCell ref="E4:F4"/>
    <mergeCell ref="G4:H4"/>
    <mergeCell ref="I4:L4"/>
    <mergeCell ref="M4:Q4"/>
    <mergeCell ref="A7:A9"/>
    <mergeCell ref="A10:A12"/>
    <mergeCell ref="A13:A15"/>
    <mergeCell ref="A16:A18"/>
    <mergeCell ref="A19:A21"/>
    <mergeCell ref="A22:A24"/>
    <mergeCell ref="A25:A27"/>
    <mergeCell ref="A28:A30"/>
    <mergeCell ref="C33:D33"/>
    <mergeCell ref="E33:F33"/>
    <mergeCell ref="G33:H33"/>
    <mergeCell ref="I33:L33"/>
    <mergeCell ref="M33:Q33"/>
    <mergeCell ref="C34:D34"/>
    <mergeCell ref="E34:F34"/>
    <mergeCell ref="G34:H34"/>
    <mergeCell ref="I34:L34"/>
    <mergeCell ref="M34:Q34"/>
    <mergeCell ref="C35:D35"/>
    <mergeCell ref="E35:F35"/>
    <mergeCell ref="G35:H35"/>
    <mergeCell ref="I35:L35"/>
    <mergeCell ref="M35:Q35"/>
    <mergeCell ref="A53:A55"/>
    <mergeCell ref="A56:A58"/>
    <mergeCell ref="A59:A61"/>
    <mergeCell ref="A38:A40"/>
    <mergeCell ref="A41:A43"/>
    <mergeCell ref="A44:A46"/>
    <mergeCell ref="A47:A49"/>
    <mergeCell ref="A50:A52"/>
  </mergeCells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N87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35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36</v>
      </c>
    </row>
    <row r="5" spans="1:14" ht="15" customHeight="1" x14ac:dyDescent="0.3">
      <c r="B5" s="33" t="s">
        <v>115</v>
      </c>
      <c r="C5" s="40" t="s">
        <v>95</v>
      </c>
      <c r="D5" s="40" t="s">
        <v>95</v>
      </c>
      <c r="E5" s="40" t="s">
        <v>95</v>
      </c>
      <c r="F5" s="40" t="s">
        <v>95</v>
      </c>
      <c r="G5" s="40" t="s">
        <v>95</v>
      </c>
      <c r="H5" s="40" t="s">
        <v>95</v>
      </c>
      <c r="I5" s="40" t="s">
        <v>95</v>
      </c>
      <c r="J5" s="40" t="s">
        <v>95</v>
      </c>
      <c r="K5" s="40" t="s">
        <v>95</v>
      </c>
      <c r="L5" s="40" t="s">
        <v>95</v>
      </c>
      <c r="M5" s="40" t="s">
        <v>95</v>
      </c>
      <c r="N5" s="40" t="s">
        <v>95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32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3.36</v>
      </c>
      <c r="J7" s="37">
        <v>2.34</v>
      </c>
      <c r="K7" s="37">
        <v>3.23</v>
      </c>
      <c r="L7" s="37">
        <v>3</v>
      </c>
      <c r="M7" s="37">
        <v>2.62</v>
      </c>
      <c r="N7" s="37">
        <v>2.67</v>
      </c>
    </row>
    <row r="8" spans="1:14" ht="15" customHeight="1" x14ac:dyDescent="0.3">
      <c r="A8" s="132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3.53</v>
      </c>
      <c r="J8" s="32">
        <v>2.46</v>
      </c>
      <c r="K8" s="32">
        <v>3.38</v>
      </c>
      <c r="L8" s="32">
        <v>3.15</v>
      </c>
      <c r="M8" s="32">
        <v>2.75</v>
      </c>
      <c r="N8" s="32">
        <v>2.79</v>
      </c>
    </row>
    <row r="9" spans="1:14" ht="15" customHeight="1" x14ac:dyDescent="0.3">
      <c r="A9" s="132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1.0505952380952381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1.0496183206106871</v>
      </c>
      <c r="N9" s="26">
        <f t="shared" si="0"/>
        <v>1.0449438202247192</v>
      </c>
    </row>
    <row r="10" spans="1:14" ht="15" customHeight="1" x14ac:dyDescent="0.3">
      <c r="A10" s="132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4.2</v>
      </c>
      <c r="N10" s="37">
        <v>4.2300000000000004</v>
      </c>
    </row>
    <row r="11" spans="1:14" ht="15" customHeight="1" x14ac:dyDescent="0.3">
      <c r="A11" s="132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4.38</v>
      </c>
      <c r="N11" s="32">
        <v>4.3499999999999996</v>
      </c>
    </row>
    <row r="12" spans="1:14" ht="15" customHeight="1" x14ac:dyDescent="0.3">
      <c r="A12" s="132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1.0428571428571427</v>
      </c>
      <c r="N12" s="26">
        <f t="shared" si="1"/>
        <v>1.028368794326241</v>
      </c>
    </row>
    <row r="13" spans="1:14" ht="15" customHeight="1" x14ac:dyDescent="0.3">
      <c r="A13" s="132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32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32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32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32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32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32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32"/>
      <c r="B20" s="20" t="s">
        <v>103</v>
      </c>
      <c r="C20" s="32">
        <v>20.6</v>
      </c>
      <c r="D20" s="32">
        <v>33.35</v>
      </c>
      <c r="E20" s="32">
        <v>30.65</v>
      </c>
      <c r="F20" s="32">
        <v>36.64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32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1.013274336283186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142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35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36</v>
      </c>
    </row>
    <row r="27" spans="1:14" ht="15" customHeight="1" x14ac:dyDescent="0.3">
      <c r="B27" s="33" t="s">
        <v>115</v>
      </c>
      <c r="C27" s="40" t="s">
        <v>95</v>
      </c>
      <c r="D27" s="40" t="s">
        <v>95</v>
      </c>
      <c r="E27" s="40" t="s">
        <v>95</v>
      </c>
      <c r="F27" s="40" t="s">
        <v>95</v>
      </c>
      <c r="G27" s="40" t="s">
        <v>95</v>
      </c>
      <c r="H27" s="40" t="s">
        <v>95</v>
      </c>
      <c r="I27" s="40" t="s">
        <v>95</v>
      </c>
      <c r="J27" s="40" t="s">
        <v>95</v>
      </c>
      <c r="K27" s="40" t="s">
        <v>95</v>
      </c>
      <c r="L27" s="40" t="s">
        <v>95</v>
      </c>
      <c r="M27" s="40" t="s">
        <v>95</v>
      </c>
      <c r="N27" s="40" t="s">
        <v>95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32">
        <v>70</v>
      </c>
      <c r="B29" s="30" t="s">
        <v>102</v>
      </c>
      <c r="C29" s="37">
        <v>0.61</v>
      </c>
      <c r="D29" s="37">
        <v>0.99</v>
      </c>
      <c r="E29" s="37">
        <v>0.91</v>
      </c>
      <c r="F29" s="37">
        <v>1.07</v>
      </c>
      <c r="G29" s="37">
        <v>0.55000000000000004</v>
      </c>
      <c r="H29" s="37">
        <v>0.74</v>
      </c>
      <c r="I29" s="37">
        <v>0.79</v>
      </c>
      <c r="J29" s="37">
        <v>0.55000000000000004</v>
      </c>
      <c r="K29" s="37">
        <v>0.75</v>
      </c>
      <c r="L29" s="37">
        <v>0.7</v>
      </c>
      <c r="M29" s="37">
        <v>0.61</v>
      </c>
      <c r="N29" s="37">
        <v>0.67</v>
      </c>
    </row>
    <row r="30" spans="1:14" ht="15.6" x14ac:dyDescent="0.3">
      <c r="A30" s="132"/>
      <c r="B30" s="20" t="s">
        <v>103</v>
      </c>
      <c r="C30" s="32">
        <v>1.1299999999999999</v>
      </c>
      <c r="D30" s="32">
        <v>1.83</v>
      </c>
      <c r="E30" s="32">
        <v>1.68</v>
      </c>
      <c r="F30" s="32">
        <v>1.97</v>
      </c>
      <c r="G30" s="32">
        <v>1.01</v>
      </c>
      <c r="H30" s="32">
        <v>1.37</v>
      </c>
      <c r="I30" s="32">
        <v>1.46</v>
      </c>
      <c r="J30" s="32">
        <v>1.01</v>
      </c>
      <c r="K30" s="32">
        <v>1.4</v>
      </c>
      <c r="L30" s="32">
        <v>1.3</v>
      </c>
      <c r="M30" s="32">
        <v>1.1399999999999999</v>
      </c>
      <c r="N30" s="32">
        <v>1.1499999999999999</v>
      </c>
    </row>
    <row r="31" spans="1:14" ht="15.6" x14ac:dyDescent="0.3">
      <c r="A31" s="132"/>
      <c r="B31" s="38" t="s">
        <v>104</v>
      </c>
      <c r="C31" s="26">
        <f t="shared" ref="C31:N31" si="5">IF(OR(C29="",C30=""),"",C30/C29)</f>
        <v>1.8524590163934425</v>
      </c>
      <c r="D31" s="26">
        <f t="shared" si="5"/>
        <v>1.8484848484848486</v>
      </c>
      <c r="E31" s="26">
        <f t="shared" si="5"/>
        <v>1.846153846153846</v>
      </c>
      <c r="F31" s="26">
        <f t="shared" si="5"/>
        <v>1.8411214953271027</v>
      </c>
      <c r="G31" s="26">
        <f t="shared" si="5"/>
        <v>1.8363636363636362</v>
      </c>
      <c r="H31" s="26">
        <f t="shared" si="5"/>
        <v>1.8513513513513515</v>
      </c>
      <c r="I31" s="26">
        <f t="shared" si="5"/>
        <v>1.8481012658227847</v>
      </c>
      <c r="J31" s="26">
        <f t="shared" si="5"/>
        <v>1.8363636363636362</v>
      </c>
      <c r="K31" s="26">
        <f t="shared" si="5"/>
        <v>1.8666666666666665</v>
      </c>
      <c r="L31" s="26">
        <f t="shared" si="5"/>
        <v>1.8571428571428574</v>
      </c>
      <c r="M31" s="26">
        <f t="shared" si="5"/>
        <v>1.8688524590163933</v>
      </c>
      <c r="N31" s="26">
        <f t="shared" si="5"/>
        <v>1.716417910447761</v>
      </c>
    </row>
    <row r="32" spans="1:14" ht="15.6" x14ac:dyDescent="0.3">
      <c r="A32" s="132">
        <v>80</v>
      </c>
      <c r="B32" s="30" t="s">
        <v>102</v>
      </c>
      <c r="C32" s="37">
        <v>1.07</v>
      </c>
      <c r="D32" s="37">
        <v>1.73</v>
      </c>
      <c r="E32" s="37">
        <v>1.59</v>
      </c>
      <c r="F32" s="37">
        <v>1.83</v>
      </c>
      <c r="G32" s="37">
        <v>0.96</v>
      </c>
      <c r="H32" s="37">
        <v>1.27</v>
      </c>
      <c r="I32" s="37">
        <v>1.38</v>
      </c>
      <c r="J32" s="37">
        <v>0.96</v>
      </c>
      <c r="K32" s="37">
        <v>1.29</v>
      </c>
      <c r="L32" s="37">
        <v>1.23</v>
      </c>
      <c r="M32" s="37">
        <v>1.08</v>
      </c>
      <c r="N32" s="37">
        <v>1.07</v>
      </c>
    </row>
    <row r="33" spans="1:14" ht="15.6" x14ac:dyDescent="0.3">
      <c r="A33" s="132"/>
      <c r="B33" s="20" t="s">
        <v>103</v>
      </c>
      <c r="C33" s="32">
        <v>1.86</v>
      </c>
      <c r="D33" s="32">
        <v>3.01</v>
      </c>
      <c r="E33" s="32">
        <v>2.77</v>
      </c>
      <c r="F33" s="32">
        <v>3.18</v>
      </c>
      <c r="G33" s="32">
        <v>1.67</v>
      </c>
      <c r="H33" s="32">
        <v>2.21</v>
      </c>
      <c r="I33" s="32">
        <v>2.4</v>
      </c>
      <c r="J33" s="32">
        <v>1.67</v>
      </c>
      <c r="K33" s="32">
        <v>2.25</v>
      </c>
      <c r="L33" s="32">
        <v>2.14</v>
      </c>
      <c r="M33" s="32">
        <v>1.87</v>
      </c>
      <c r="N33" s="32">
        <v>1.86</v>
      </c>
    </row>
    <row r="34" spans="1:14" ht="15.6" x14ac:dyDescent="0.3">
      <c r="A34" s="132"/>
      <c r="B34" s="38" t="s">
        <v>104</v>
      </c>
      <c r="C34" s="26">
        <f t="shared" ref="C34:N34" si="6">IF(OR(C32="",C33=""),"",C33/C32)</f>
        <v>1.7383177570093458</v>
      </c>
      <c r="D34" s="26">
        <f t="shared" si="6"/>
        <v>1.7398843930635837</v>
      </c>
      <c r="E34" s="26">
        <f t="shared" si="6"/>
        <v>1.742138364779874</v>
      </c>
      <c r="F34" s="26">
        <f t="shared" si="6"/>
        <v>1.7377049180327868</v>
      </c>
      <c r="G34" s="26">
        <f t="shared" si="6"/>
        <v>1.7395833333333333</v>
      </c>
      <c r="H34" s="26">
        <f t="shared" si="6"/>
        <v>1.7401574803149606</v>
      </c>
      <c r="I34" s="26">
        <f t="shared" si="6"/>
        <v>1.7391304347826089</v>
      </c>
      <c r="J34" s="26">
        <f t="shared" si="6"/>
        <v>1.7395833333333333</v>
      </c>
      <c r="K34" s="26">
        <f t="shared" si="6"/>
        <v>1.7441860465116279</v>
      </c>
      <c r="L34" s="26">
        <f t="shared" si="6"/>
        <v>1.7398373983739839</v>
      </c>
      <c r="M34" s="26">
        <f t="shared" si="6"/>
        <v>1.7314814814814814</v>
      </c>
      <c r="N34" s="26">
        <f t="shared" si="6"/>
        <v>1.7383177570093458</v>
      </c>
    </row>
    <row r="35" spans="1:14" ht="15.6" x14ac:dyDescent="0.3">
      <c r="A35" s="132">
        <v>100</v>
      </c>
      <c r="B35" s="30" t="s">
        <v>102</v>
      </c>
      <c r="C35" s="37">
        <v>2.4300000000000002</v>
      </c>
      <c r="D35" s="37">
        <v>3.94</v>
      </c>
      <c r="E35" s="37">
        <v>3.62</v>
      </c>
      <c r="F35" s="37">
        <v>4.1900000000000004</v>
      </c>
      <c r="G35" s="37">
        <v>2.1800000000000002</v>
      </c>
      <c r="H35" s="37">
        <v>2.91</v>
      </c>
      <c r="I35" s="37">
        <v>3.14</v>
      </c>
      <c r="J35" s="37">
        <v>2.1800000000000002</v>
      </c>
      <c r="K35" s="37">
        <v>2.96</v>
      </c>
      <c r="L35" s="37">
        <v>2.8</v>
      </c>
      <c r="M35" s="37">
        <v>2.44</v>
      </c>
      <c r="N35" s="37">
        <v>2.4500000000000002</v>
      </c>
    </row>
    <row r="36" spans="1:14" ht="15.6" x14ac:dyDescent="0.3">
      <c r="A36" s="132"/>
      <c r="B36" s="20" t="s">
        <v>103</v>
      </c>
      <c r="C36" s="32">
        <v>3.9</v>
      </c>
      <c r="D36" s="32">
        <v>6.32</v>
      </c>
      <c r="E36" s="32">
        <v>5.81</v>
      </c>
      <c r="F36" s="32">
        <v>6.75</v>
      </c>
      <c r="G36" s="32">
        <v>3.5</v>
      </c>
      <c r="H36" s="32">
        <v>4.68</v>
      </c>
      <c r="I36" s="32">
        <v>5.03</v>
      </c>
      <c r="J36" s="32">
        <v>3.5</v>
      </c>
      <c r="K36" s="32">
        <v>4.7699999999999996</v>
      </c>
      <c r="L36" s="32">
        <v>4.49</v>
      </c>
      <c r="M36" s="32">
        <v>3.92</v>
      </c>
      <c r="N36" s="32">
        <v>3.94</v>
      </c>
    </row>
    <row r="37" spans="1:14" ht="15.6" x14ac:dyDescent="0.3">
      <c r="A37" s="132"/>
      <c r="B37" s="38" t="s">
        <v>104</v>
      </c>
      <c r="C37" s="26">
        <f t="shared" ref="C37:N37" si="7">IF(OR(C35="",C36=""),"",C36/C35)</f>
        <v>1.6049382716049381</v>
      </c>
      <c r="D37" s="26">
        <f t="shared" si="7"/>
        <v>1.6040609137055839</v>
      </c>
      <c r="E37" s="26">
        <f t="shared" si="7"/>
        <v>1.6049723756906076</v>
      </c>
      <c r="F37" s="26">
        <f t="shared" si="7"/>
        <v>1.610978520286396</v>
      </c>
      <c r="G37" s="26">
        <f t="shared" si="7"/>
        <v>1.6055045871559632</v>
      </c>
      <c r="H37" s="26">
        <f t="shared" si="7"/>
        <v>1.6082474226804122</v>
      </c>
      <c r="I37" s="26">
        <f t="shared" si="7"/>
        <v>1.6019108280254777</v>
      </c>
      <c r="J37" s="26">
        <f t="shared" si="7"/>
        <v>1.6055045871559632</v>
      </c>
      <c r="K37" s="26">
        <f t="shared" si="7"/>
        <v>1.6114864864864864</v>
      </c>
      <c r="L37" s="26">
        <f t="shared" si="7"/>
        <v>1.6035714285714286</v>
      </c>
      <c r="M37" s="26">
        <f t="shared" si="7"/>
        <v>1.6065573770491803</v>
      </c>
      <c r="N37" s="26">
        <f t="shared" si="7"/>
        <v>1.6081632653061224</v>
      </c>
    </row>
    <row r="38" spans="1:14" ht="15.6" x14ac:dyDescent="0.3">
      <c r="A38" s="132">
        <v>120</v>
      </c>
      <c r="B38" s="30" t="s">
        <v>102</v>
      </c>
      <c r="C38" s="37">
        <v>4.28</v>
      </c>
      <c r="D38" s="37">
        <v>6.93</v>
      </c>
      <c r="E38" s="37">
        <v>6.37</v>
      </c>
      <c r="F38" s="37">
        <v>7.5</v>
      </c>
      <c r="G38" s="37">
        <v>3.84</v>
      </c>
      <c r="H38" s="37">
        <v>5.2</v>
      </c>
      <c r="I38" s="37">
        <v>5.52</v>
      </c>
      <c r="J38" s="37">
        <v>3.84</v>
      </c>
      <c r="K38" s="37">
        <v>5.3</v>
      </c>
      <c r="L38" s="37">
        <v>4.93</v>
      </c>
      <c r="M38" s="37">
        <v>4.3</v>
      </c>
      <c r="N38" s="37">
        <v>4.37</v>
      </c>
    </row>
    <row r="39" spans="1:14" ht="15.6" x14ac:dyDescent="0.3">
      <c r="A39" s="132"/>
      <c r="B39" s="20" t="s">
        <v>103</v>
      </c>
      <c r="C39" s="32">
        <v>6.61</v>
      </c>
      <c r="D39" s="32">
        <v>10.7</v>
      </c>
      <c r="E39" s="32">
        <v>9.84</v>
      </c>
      <c r="F39" s="32">
        <v>11.55</v>
      </c>
      <c r="G39" s="32">
        <v>5.93</v>
      </c>
      <c r="H39" s="32">
        <v>8.01</v>
      </c>
      <c r="I39" s="32">
        <v>8.5299999999999994</v>
      </c>
      <c r="J39" s="32">
        <v>5.93</v>
      </c>
      <c r="K39" s="32">
        <v>8.16</v>
      </c>
      <c r="L39" s="32">
        <v>7.61</v>
      </c>
      <c r="M39" s="32">
        <v>6.64</v>
      </c>
      <c r="N39" s="32">
        <v>6.74</v>
      </c>
    </row>
    <row r="40" spans="1:14" ht="15.6" x14ac:dyDescent="0.3">
      <c r="A40" s="132"/>
      <c r="B40" s="38" t="s">
        <v>104</v>
      </c>
      <c r="C40" s="26">
        <f t="shared" ref="C40:N40" si="8">IF(OR(C38="",C39=""),"",C39/C38)</f>
        <v>1.544392523364486</v>
      </c>
      <c r="D40" s="26">
        <f t="shared" si="8"/>
        <v>1.5440115440115441</v>
      </c>
      <c r="E40" s="26">
        <f t="shared" si="8"/>
        <v>1.5447409733124018</v>
      </c>
      <c r="F40" s="26">
        <f t="shared" si="8"/>
        <v>1.54</v>
      </c>
      <c r="G40" s="26">
        <f t="shared" si="8"/>
        <v>1.5442708333333333</v>
      </c>
      <c r="H40" s="26">
        <f t="shared" si="8"/>
        <v>1.5403846153846152</v>
      </c>
      <c r="I40" s="26">
        <f t="shared" si="8"/>
        <v>1.5452898550724639</v>
      </c>
      <c r="J40" s="26">
        <f t="shared" si="8"/>
        <v>1.5442708333333333</v>
      </c>
      <c r="K40" s="26">
        <f t="shared" si="8"/>
        <v>1.5396226415094341</v>
      </c>
      <c r="L40" s="26">
        <f t="shared" si="8"/>
        <v>1.543610547667343</v>
      </c>
      <c r="M40" s="26">
        <f t="shared" si="8"/>
        <v>1.5441860465116279</v>
      </c>
      <c r="N40" s="26">
        <f t="shared" si="8"/>
        <v>1.5423340961098397</v>
      </c>
    </row>
    <row r="41" spans="1:14" ht="15.6" x14ac:dyDescent="0.3">
      <c r="A41" s="132">
        <v>140</v>
      </c>
      <c r="B41" s="30" t="s">
        <v>102</v>
      </c>
      <c r="C41" s="37">
        <v>6.57</v>
      </c>
      <c r="D41" s="37">
        <v>10.64</v>
      </c>
      <c r="E41" s="37">
        <v>9.7799999999999994</v>
      </c>
      <c r="F41" s="37">
        <v>11.59</v>
      </c>
      <c r="G41" s="37">
        <v>5.89</v>
      </c>
      <c r="H41" s="37">
        <v>8.0299999999999994</v>
      </c>
      <c r="I41" s="37">
        <v>8.4700000000000006</v>
      </c>
      <c r="J41" s="37">
        <v>5.89</v>
      </c>
      <c r="K41" s="37">
        <v>8.19</v>
      </c>
      <c r="L41" s="37">
        <v>7.56</v>
      </c>
      <c r="M41" s="37">
        <v>6.6</v>
      </c>
      <c r="N41" s="37">
        <v>6.76</v>
      </c>
    </row>
    <row r="42" spans="1:14" ht="15.6" x14ac:dyDescent="0.3">
      <c r="A42" s="132"/>
      <c r="B42" s="20" t="s">
        <v>103</v>
      </c>
      <c r="C42" s="32">
        <v>9.94</v>
      </c>
      <c r="D42" s="32">
        <v>16.09</v>
      </c>
      <c r="E42" s="32">
        <v>14.79</v>
      </c>
      <c r="F42" s="32">
        <v>17.62</v>
      </c>
      <c r="G42" s="32">
        <v>8.91</v>
      </c>
      <c r="H42" s="32">
        <v>12.22</v>
      </c>
      <c r="I42" s="32">
        <v>12.81</v>
      </c>
      <c r="J42" s="32">
        <v>8.91</v>
      </c>
      <c r="K42" s="32">
        <v>12.45</v>
      </c>
      <c r="L42" s="32">
        <v>11.43</v>
      </c>
      <c r="M42" s="32">
        <v>9.98</v>
      </c>
      <c r="N42" s="32">
        <v>10.28</v>
      </c>
    </row>
    <row r="43" spans="1:14" ht="15.6" x14ac:dyDescent="0.3">
      <c r="A43" s="132"/>
      <c r="B43" s="38" t="s">
        <v>104</v>
      </c>
      <c r="C43" s="26">
        <f t="shared" ref="C43:N43" si="9">IF(OR(C41="",C42=""),"",C42/C41)</f>
        <v>1.5129375951293758</v>
      </c>
      <c r="D43" s="26">
        <f t="shared" si="9"/>
        <v>1.5122180451127818</v>
      </c>
      <c r="E43" s="26">
        <f t="shared" si="9"/>
        <v>1.5122699386503067</v>
      </c>
      <c r="F43" s="26">
        <f t="shared" si="9"/>
        <v>1.5202761000862814</v>
      </c>
      <c r="G43" s="26">
        <f t="shared" si="9"/>
        <v>1.5127334465195248</v>
      </c>
      <c r="H43" s="26">
        <f t="shared" si="9"/>
        <v>1.5217932752179331</v>
      </c>
      <c r="I43" s="26">
        <f t="shared" si="9"/>
        <v>1.5123966942148759</v>
      </c>
      <c r="J43" s="26">
        <f t="shared" si="9"/>
        <v>1.5127334465195248</v>
      </c>
      <c r="K43" s="26">
        <f t="shared" si="9"/>
        <v>1.5201465201465201</v>
      </c>
      <c r="L43" s="26">
        <f t="shared" si="9"/>
        <v>1.5119047619047619</v>
      </c>
      <c r="M43" s="26">
        <f t="shared" si="9"/>
        <v>1.5121212121212122</v>
      </c>
      <c r="N43" s="26">
        <f t="shared" si="9"/>
        <v>1.5207100591715976</v>
      </c>
    </row>
    <row r="45" spans="1:14" ht="15.6" x14ac:dyDescent="0.3">
      <c r="A45" s="8" t="s">
        <v>143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35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36</v>
      </c>
    </row>
    <row r="49" spans="1:14" ht="15.6" x14ac:dyDescent="0.3">
      <c r="B49" s="33" t="s">
        <v>115</v>
      </c>
      <c r="C49" s="40" t="s">
        <v>96</v>
      </c>
      <c r="D49" s="40" t="s">
        <v>96</v>
      </c>
      <c r="E49" s="40" t="s">
        <v>96</v>
      </c>
      <c r="F49" s="40" t="s">
        <v>96</v>
      </c>
      <c r="G49" s="40" t="s">
        <v>96</v>
      </c>
      <c r="H49" s="40" t="s">
        <v>96</v>
      </c>
      <c r="I49" s="40" t="s">
        <v>96</v>
      </c>
      <c r="J49" s="40" t="s">
        <v>96</v>
      </c>
      <c r="K49" s="40" t="s">
        <v>96</v>
      </c>
      <c r="L49" s="40" t="s">
        <v>96</v>
      </c>
      <c r="M49" s="40" t="s">
        <v>96</v>
      </c>
      <c r="N49" s="40" t="s">
        <v>96</v>
      </c>
    </row>
    <row r="50" spans="1:14" ht="15.6" x14ac:dyDescent="0.3">
      <c r="A50" s="1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49">
        <v>70</v>
      </c>
      <c r="B51" s="30" t="s">
        <v>102</v>
      </c>
      <c r="C51" s="37">
        <v>2.36</v>
      </c>
      <c r="D51" s="37">
        <v>3.83</v>
      </c>
      <c r="E51" s="37">
        <v>3.52</v>
      </c>
      <c r="F51" s="37">
        <v>4.12</v>
      </c>
      <c r="G51" s="37">
        <v>2.12</v>
      </c>
      <c r="H51" s="37">
        <v>2.86</v>
      </c>
      <c r="I51" s="37">
        <v>3.05</v>
      </c>
      <c r="J51" s="37">
        <v>2.12</v>
      </c>
      <c r="K51" s="37">
        <v>2.91</v>
      </c>
      <c r="L51" s="37">
        <v>2.72</v>
      </c>
      <c r="M51" s="37">
        <v>2.38</v>
      </c>
      <c r="N51" s="37">
        <v>2.4</v>
      </c>
    </row>
    <row r="52" spans="1:14" ht="15.6" x14ac:dyDescent="0.3">
      <c r="A52" s="149"/>
      <c r="B52" s="20" t="s">
        <v>103</v>
      </c>
      <c r="C52" s="32">
        <v>2.36</v>
      </c>
      <c r="D52" s="32">
        <v>3.81</v>
      </c>
      <c r="E52" s="32">
        <v>3.51</v>
      </c>
      <c r="F52" s="32">
        <v>4.07</v>
      </c>
      <c r="G52" s="32">
        <v>2.11</v>
      </c>
      <c r="H52" s="32">
        <v>2.82</v>
      </c>
      <c r="I52" s="32">
        <v>3.04</v>
      </c>
      <c r="J52" s="32">
        <v>2.11</v>
      </c>
      <c r="K52" s="32">
        <v>2.88</v>
      </c>
      <c r="L52" s="32">
        <v>2.71</v>
      </c>
      <c r="M52" s="32">
        <v>2.37</v>
      </c>
      <c r="N52" s="32">
        <v>2.37</v>
      </c>
    </row>
    <row r="53" spans="1:14" ht="15.6" x14ac:dyDescent="0.3">
      <c r="A53" s="149"/>
      <c r="B53" s="38" t="s">
        <v>104</v>
      </c>
      <c r="C53" s="26">
        <f t="shared" ref="C53:N53" si="10">IF(OR(C51="",C52=""),"",C52/C51)</f>
        <v>1</v>
      </c>
      <c r="D53" s="26">
        <f t="shared" si="10"/>
        <v>0.99477806788511747</v>
      </c>
      <c r="E53" s="26">
        <f t="shared" si="10"/>
        <v>0.99715909090909083</v>
      </c>
      <c r="F53" s="26">
        <f t="shared" si="10"/>
        <v>0.98786407766990292</v>
      </c>
      <c r="G53" s="26">
        <f t="shared" si="10"/>
        <v>0.99528301886792447</v>
      </c>
      <c r="H53" s="26">
        <f t="shared" si="10"/>
        <v>0.98601398601398604</v>
      </c>
      <c r="I53" s="26">
        <f t="shared" si="10"/>
        <v>0.99672131147540988</v>
      </c>
      <c r="J53" s="26">
        <f t="shared" si="10"/>
        <v>0.99528301886792447</v>
      </c>
      <c r="K53" s="26">
        <f t="shared" si="10"/>
        <v>0.98969072164948446</v>
      </c>
      <c r="L53" s="26">
        <f t="shared" si="10"/>
        <v>0.99632352941176461</v>
      </c>
      <c r="M53" s="26">
        <f t="shared" si="10"/>
        <v>0.99579831932773122</v>
      </c>
      <c r="N53" s="26">
        <f t="shared" si="10"/>
        <v>0.98750000000000004</v>
      </c>
    </row>
    <row r="54" spans="1:14" ht="15.6" x14ac:dyDescent="0.3">
      <c r="A54" s="132">
        <v>80</v>
      </c>
      <c r="B54" s="30" t="s">
        <v>102</v>
      </c>
      <c r="C54" s="37">
        <v>3.81</v>
      </c>
      <c r="D54" s="37">
        <v>6.17</v>
      </c>
      <c r="E54" s="37">
        <v>5.67</v>
      </c>
      <c r="F54" s="37">
        <v>6.58</v>
      </c>
      <c r="G54" s="37">
        <v>3.42</v>
      </c>
      <c r="H54" s="37">
        <v>4.5599999999999996</v>
      </c>
      <c r="I54" s="37">
        <v>4.92</v>
      </c>
      <c r="J54" s="37">
        <v>3.42</v>
      </c>
      <c r="K54" s="37">
        <v>4.6500000000000004</v>
      </c>
      <c r="L54" s="37">
        <v>4.3899999999999997</v>
      </c>
      <c r="M54" s="37">
        <v>3.83</v>
      </c>
      <c r="N54" s="37">
        <v>3.84</v>
      </c>
    </row>
    <row r="55" spans="1:14" ht="15.6" x14ac:dyDescent="0.3">
      <c r="A55" s="132"/>
      <c r="B55" s="20" t="s">
        <v>103</v>
      </c>
      <c r="C55" s="32">
        <v>3.78</v>
      </c>
      <c r="D55" s="32">
        <v>6.12</v>
      </c>
      <c r="E55" s="32">
        <v>5.63</v>
      </c>
      <c r="F55" s="32">
        <v>6.44</v>
      </c>
      <c r="G55" s="32">
        <v>3.39</v>
      </c>
      <c r="H55" s="32">
        <v>4.47</v>
      </c>
      <c r="I55" s="32">
        <v>4.88</v>
      </c>
      <c r="J55" s="32">
        <v>3.39</v>
      </c>
      <c r="K55" s="32">
        <v>4.55</v>
      </c>
      <c r="L55" s="32">
        <v>4.3899999999999997</v>
      </c>
      <c r="M55" s="32">
        <v>3.8</v>
      </c>
      <c r="N55" s="32">
        <v>3.76</v>
      </c>
    </row>
    <row r="56" spans="1:14" ht="15.6" x14ac:dyDescent="0.3">
      <c r="A56" s="132"/>
      <c r="B56" s="38" t="s">
        <v>104</v>
      </c>
      <c r="C56" s="26">
        <f t="shared" ref="C56:N56" si="11">IF(OR(C54="",C55=""),"",C55/C54)</f>
        <v>0.99212598425196841</v>
      </c>
      <c r="D56" s="26">
        <f t="shared" si="11"/>
        <v>0.99189627228525123</v>
      </c>
      <c r="E56" s="26">
        <f t="shared" si="11"/>
        <v>0.99294532627865961</v>
      </c>
      <c r="F56" s="26">
        <f t="shared" si="11"/>
        <v>0.97872340425531923</v>
      </c>
      <c r="G56" s="26">
        <f t="shared" si="11"/>
        <v>0.99122807017543868</v>
      </c>
      <c r="H56" s="26">
        <f t="shared" si="11"/>
        <v>0.98026315789473684</v>
      </c>
      <c r="I56" s="26">
        <f t="shared" si="11"/>
        <v>0.99186991869918695</v>
      </c>
      <c r="J56" s="26">
        <f t="shared" si="11"/>
        <v>0.99122807017543868</v>
      </c>
      <c r="K56" s="26">
        <f t="shared" si="11"/>
        <v>0.97849462365591389</v>
      </c>
      <c r="L56" s="26">
        <f t="shared" si="11"/>
        <v>1</v>
      </c>
      <c r="M56" s="26">
        <f t="shared" si="11"/>
        <v>0.9921671018276762</v>
      </c>
      <c r="N56" s="26">
        <f t="shared" si="11"/>
        <v>0.97916666666666663</v>
      </c>
    </row>
    <row r="57" spans="1:14" ht="15.6" x14ac:dyDescent="0.3">
      <c r="A57" s="132">
        <v>100</v>
      </c>
      <c r="B57" s="30" t="s">
        <v>102</v>
      </c>
      <c r="C57" s="37">
        <v>7.81</v>
      </c>
      <c r="D57" s="37">
        <v>12.65</v>
      </c>
      <c r="E57" s="37">
        <v>11.63</v>
      </c>
      <c r="F57" s="37">
        <v>13.53</v>
      </c>
      <c r="G57" s="37">
        <v>7.01</v>
      </c>
      <c r="H57" s="37">
        <v>9.3800000000000008</v>
      </c>
      <c r="I57" s="37">
        <v>10.08</v>
      </c>
      <c r="J57" s="37">
        <v>7.01</v>
      </c>
      <c r="K57" s="37">
        <v>9.56</v>
      </c>
      <c r="L57" s="37">
        <v>8.99</v>
      </c>
      <c r="M57" s="37">
        <v>7.85</v>
      </c>
      <c r="N57" s="37">
        <v>7.89</v>
      </c>
    </row>
    <row r="58" spans="1:14" ht="15.6" x14ac:dyDescent="0.3">
      <c r="A58" s="132"/>
      <c r="B58" s="20" t="s">
        <v>103</v>
      </c>
      <c r="C58" s="32">
        <v>7.69</v>
      </c>
      <c r="D58" s="32">
        <v>12.45</v>
      </c>
      <c r="E58" s="32">
        <v>11.44</v>
      </c>
      <c r="F58" s="32">
        <v>13.14</v>
      </c>
      <c r="G58" s="32">
        <v>6.9</v>
      </c>
      <c r="H58" s="32">
        <v>9.11</v>
      </c>
      <c r="I58" s="32">
        <v>9.92</v>
      </c>
      <c r="J58" s="32">
        <v>6.9</v>
      </c>
      <c r="K58" s="32">
        <v>9.2899999999999991</v>
      </c>
      <c r="L58" s="32">
        <v>8.85</v>
      </c>
      <c r="M58" s="32">
        <v>7.72</v>
      </c>
      <c r="N58" s="32">
        <v>7.67</v>
      </c>
    </row>
    <row r="59" spans="1:14" ht="15.6" x14ac:dyDescent="0.3">
      <c r="A59" s="132"/>
      <c r="B59" s="38" t="s">
        <v>104</v>
      </c>
      <c r="C59" s="26">
        <f t="shared" ref="C59:N59" si="12">IF(OR(C57="",C58=""),"",C58/C57)</f>
        <v>0.98463508322663262</v>
      </c>
      <c r="D59" s="26">
        <f t="shared" si="12"/>
        <v>0.98418972332015797</v>
      </c>
      <c r="E59" s="26">
        <f t="shared" si="12"/>
        <v>0.98366294067067916</v>
      </c>
      <c r="F59" s="26">
        <f t="shared" si="12"/>
        <v>0.97117516629711764</v>
      </c>
      <c r="G59" s="26">
        <f t="shared" si="12"/>
        <v>0.98430813124108429</v>
      </c>
      <c r="H59" s="26">
        <f t="shared" si="12"/>
        <v>0.97121535181236662</v>
      </c>
      <c r="I59" s="26">
        <f t="shared" si="12"/>
        <v>0.98412698412698407</v>
      </c>
      <c r="J59" s="26">
        <f t="shared" si="12"/>
        <v>0.98430813124108429</v>
      </c>
      <c r="K59" s="26">
        <f t="shared" si="12"/>
        <v>0.97175732217573207</v>
      </c>
      <c r="L59" s="26">
        <f t="shared" si="12"/>
        <v>0.98442714126807562</v>
      </c>
      <c r="M59" s="26">
        <f t="shared" si="12"/>
        <v>0.98343949044585988</v>
      </c>
      <c r="N59" s="26">
        <f t="shared" si="12"/>
        <v>0.97211660329531058</v>
      </c>
    </row>
    <row r="60" spans="1:14" ht="15.6" x14ac:dyDescent="0.3">
      <c r="A60" s="132">
        <v>120</v>
      </c>
      <c r="B60" s="30" t="s">
        <v>102</v>
      </c>
      <c r="C60" s="37">
        <v>12.93</v>
      </c>
      <c r="D60" s="37">
        <v>20.93</v>
      </c>
      <c r="E60" s="37">
        <v>19.23</v>
      </c>
      <c r="F60" s="37">
        <v>22.53</v>
      </c>
      <c r="G60" s="37">
        <v>11.6</v>
      </c>
      <c r="H60" s="37">
        <v>15.62</v>
      </c>
      <c r="I60" s="37">
        <v>16.670000000000002</v>
      </c>
      <c r="J60" s="37">
        <v>11.6</v>
      </c>
      <c r="K60" s="37">
        <v>15.92</v>
      </c>
      <c r="L60" s="37">
        <v>14.87</v>
      </c>
      <c r="M60" s="37">
        <v>12.98</v>
      </c>
      <c r="N60" s="37">
        <v>13.14</v>
      </c>
    </row>
    <row r="61" spans="1:14" ht="15.6" x14ac:dyDescent="0.3">
      <c r="A61" s="132"/>
      <c r="B61" s="20" t="s">
        <v>103</v>
      </c>
      <c r="C61" s="32">
        <v>12.68</v>
      </c>
      <c r="D61" s="32">
        <v>20.52</v>
      </c>
      <c r="E61" s="32">
        <v>18.86</v>
      </c>
      <c r="F61" s="32">
        <v>21.91</v>
      </c>
      <c r="G61" s="32">
        <v>11.37</v>
      </c>
      <c r="H61" s="32">
        <v>16.190000000000001</v>
      </c>
      <c r="I61" s="32">
        <v>16.350000000000001</v>
      </c>
      <c r="J61" s="32">
        <v>11.37</v>
      </c>
      <c r="K61" s="32">
        <v>15.48</v>
      </c>
      <c r="L61" s="32">
        <v>14.59</v>
      </c>
      <c r="M61" s="32">
        <v>12.73</v>
      </c>
      <c r="N61" s="32">
        <v>12.78</v>
      </c>
    </row>
    <row r="62" spans="1:14" ht="15.6" x14ac:dyDescent="0.3">
      <c r="A62" s="132"/>
      <c r="B62" s="38" t="s">
        <v>104</v>
      </c>
      <c r="C62" s="26">
        <f t="shared" ref="C62:N62" si="13">IF(OR(C60="",C61=""),"",C61/C60)</f>
        <v>0.98066511987625682</v>
      </c>
      <c r="D62" s="26">
        <f t="shared" si="13"/>
        <v>0.98041089345437171</v>
      </c>
      <c r="E62" s="26">
        <f t="shared" si="13"/>
        <v>0.98075923036921475</v>
      </c>
      <c r="F62" s="26">
        <f t="shared" si="13"/>
        <v>0.97248113626276067</v>
      </c>
      <c r="G62" s="26">
        <f t="shared" si="13"/>
        <v>0.98017241379310338</v>
      </c>
      <c r="H62" s="26">
        <f t="shared" si="13"/>
        <v>1.0364916773367479</v>
      </c>
      <c r="I62" s="26">
        <f t="shared" si="13"/>
        <v>0.98080383923215353</v>
      </c>
      <c r="J62" s="26">
        <f t="shared" si="13"/>
        <v>0.98017241379310338</v>
      </c>
      <c r="K62" s="26">
        <f t="shared" si="13"/>
        <v>0.97236180904522618</v>
      </c>
      <c r="L62" s="26">
        <f t="shared" si="13"/>
        <v>0.98117014122394086</v>
      </c>
      <c r="M62" s="26">
        <f t="shared" si="13"/>
        <v>0.98073959938366717</v>
      </c>
      <c r="N62" s="26">
        <f t="shared" si="13"/>
        <v>0.97260273972602729</v>
      </c>
    </row>
    <row r="63" spans="1:14" ht="15.6" x14ac:dyDescent="0.3">
      <c r="A63" s="132">
        <v>140</v>
      </c>
      <c r="B63" s="30" t="s">
        <v>102</v>
      </c>
      <c r="C63" s="37">
        <v>18.829999999999998</v>
      </c>
      <c r="D63" s="37">
        <v>30.49</v>
      </c>
      <c r="E63" s="37">
        <v>28.02</v>
      </c>
      <c r="F63" s="37">
        <v>33.71</v>
      </c>
      <c r="G63" s="37">
        <v>16.89</v>
      </c>
      <c r="H63" s="37">
        <v>23.38</v>
      </c>
      <c r="I63" s="37">
        <v>24.29</v>
      </c>
      <c r="J63" s="37">
        <v>16.89</v>
      </c>
      <c r="K63" s="37">
        <v>23.82</v>
      </c>
      <c r="L63" s="37">
        <v>21.67</v>
      </c>
      <c r="M63" s="37">
        <v>18.91</v>
      </c>
      <c r="N63" s="37">
        <v>19.670000000000002</v>
      </c>
    </row>
    <row r="64" spans="1:14" ht="15.6" x14ac:dyDescent="0.3">
      <c r="A64" s="132"/>
      <c r="B64" s="20" t="s">
        <v>103</v>
      </c>
      <c r="C64" s="32">
        <v>18.5</v>
      </c>
      <c r="D64" s="32">
        <v>29.95</v>
      </c>
      <c r="E64" s="32">
        <v>27.53</v>
      </c>
      <c r="F64" s="32">
        <v>32.85</v>
      </c>
      <c r="G64" s="32">
        <v>16.600000000000001</v>
      </c>
      <c r="H64" s="32">
        <v>22.77</v>
      </c>
      <c r="I64" s="32">
        <v>23.86</v>
      </c>
      <c r="J64" s="32">
        <v>16.600000000000001</v>
      </c>
      <c r="K64" s="32">
        <v>23.21</v>
      </c>
      <c r="L64" s="32">
        <v>21.29</v>
      </c>
      <c r="M64" s="32">
        <v>18.579999999999998</v>
      </c>
      <c r="N64" s="32">
        <v>19.16</v>
      </c>
    </row>
    <row r="65" spans="1:14" ht="15.6" x14ac:dyDescent="0.3">
      <c r="A65" s="132"/>
      <c r="B65" s="38" t="s">
        <v>104</v>
      </c>
      <c r="C65" s="26">
        <f t="shared" ref="C65:N65" si="14">IF(OR(C63="",C64=""),"",C64/C63)</f>
        <v>0.98247477429633567</v>
      </c>
      <c r="D65" s="26">
        <f t="shared" si="14"/>
        <v>0.98228927517218767</v>
      </c>
      <c r="E65" s="26">
        <f t="shared" si="14"/>
        <v>0.98251249107780159</v>
      </c>
      <c r="F65" s="26">
        <f t="shared" si="14"/>
        <v>0.97448828240878083</v>
      </c>
      <c r="G65" s="26">
        <f t="shared" si="14"/>
        <v>0.98283007696862057</v>
      </c>
      <c r="H65" s="26">
        <f t="shared" si="14"/>
        <v>0.97390932420872545</v>
      </c>
      <c r="I65" s="26">
        <f t="shared" si="14"/>
        <v>0.98229724166323595</v>
      </c>
      <c r="J65" s="26">
        <f t="shared" si="14"/>
        <v>0.98283007696862057</v>
      </c>
      <c r="K65" s="26">
        <f t="shared" si="14"/>
        <v>0.97439126784214947</v>
      </c>
      <c r="L65" s="26">
        <f t="shared" si="14"/>
        <v>0.98246423627134272</v>
      </c>
      <c r="M65" s="26">
        <f t="shared" si="14"/>
        <v>0.98254891591750382</v>
      </c>
      <c r="N65" s="26">
        <f t="shared" si="14"/>
        <v>0.97407219115404164</v>
      </c>
    </row>
    <row r="67" spans="1:14" ht="15.6" x14ac:dyDescent="0.3">
      <c r="A67" s="8" t="s">
        <v>144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35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36</v>
      </c>
    </row>
    <row r="71" spans="1:14" ht="15.6" x14ac:dyDescent="0.3">
      <c r="B71" s="33" t="s">
        <v>115</v>
      </c>
      <c r="C71" s="40" t="s">
        <v>96</v>
      </c>
      <c r="D71" s="40" t="s">
        <v>96</v>
      </c>
      <c r="E71" s="40" t="s">
        <v>96</v>
      </c>
      <c r="F71" s="40" t="s">
        <v>96</v>
      </c>
      <c r="G71" s="40" t="s">
        <v>96</v>
      </c>
      <c r="H71" s="40" t="s">
        <v>96</v>
      </c>
      <c r="I71" s="40" t="s">
        <v>96</v>
      </c>
      <c r="J71" s="40" t="s">
        <v>96</v>
      </c>
      <c r="K71" s="40" t="s">
        <v>96</v>
      </c>
      <c r="L71" s="40" t="s">
        <v>96</v>
      </c>
      <c r="M71" s="40" t="s">
        <v>96</v>
      </c>
      <c r="N71" s="40" t="s">
        <v>96</v>
      </c>
    </row>
    <row r="72" spans="1:14" ht="15.6" x14ac:dyDescent="0.3">
      <c r="A72" s="86" t="s">
        <v>6</v>
      </c>
      <c r="B72" s="81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</row>
    <row r="73" spans="1:14" ht="15.6" x14ac:dyDescent="0.3">
      <c r="A73" s="148">
        <v>70</v>
      </c>
      <c r="B73" s="91" t="s">
        <v>102</v>
      </c>
      <c r="C73" s="32">
        <v>0.54</v>
      </c>
      <c r="D73" s="32">
        <v>0.87</v>
      </c>
      <c r="E73" s="32">
        <v>0.8</v>
      </c>
      <c r="F73" s="32">
        <v>0.93</v>
      </c>
      <c r="G73" s="32">
        <v>0.48</v>
      </c>
      <c r="H73" s="32">
        <v>0.65</v>
      </c>
      <c r="I73" s="32">
        <v>0.69</v>
      </c>
      <c r="J73" s="32">
        <v>0.48</v>
      </c>
      <c r="K73" s="32">
        <v>0.66</v>
      </c>
      <c r="L73" s="32">
        <v>0.62</v>
      </c>
      <c r="M73" s="32">
        <v>0.54</v>
      </c>
      <c r="N73" s="32">
        <v>0.55000000000000004</v>
      </c>
    </row>
    <row r="74" spans="1:14" ht="15.6" x14ac:dyDescent="0.3">
      <c r="A74" s="148"/>
      <c r="B74" s="91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48"/>
      <c r="B75" s="97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47">
        <v>80</v>
      </c>
      <c r="B76" s="101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47"/>
      <c r="B77" s="91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47"/>
      <c r="B78" s="97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47">
        <v>100</v>
      </c>
      <c r="B79" s="101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47"/>
      <c r="B80" s="91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47"/>
      <c r="B81" s="97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47">
        <v>120</v>
      </c>
      <c r="B82" s="101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47"/>
      <c r="B83" s="91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47"/>
      <c r="B84" s="97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47">
        <v>140</v>
      </c>
      <c r="B85" s="101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47"/>
      <c r="B86" s="91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47"/>
      <c r="B87" s="97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:A9"/>
    <mergeCell ref="A10:A12"/>
    <mergeCell ref="A13:A15"/>
    <mergeCell ref="A16:A18"/>
    <mergeCell ref="A19:A21"/>
    <mergeCell ref="A29:A31"/>
    <mergeCell ref="A32:A34"/>
    <mergeCell ref="A35:A37"/>
    <mergeCell ref="A38:A40"/>
    <mergeCell ref="A41:A43"/>
    <mergeCell ref="A51:A53"/>
    <mergeCell ref="A54:A56"/>
    <mergeCell ref="A57:A59"/>
    <mergeCell ref="A60:A62"/>
    <mergeCell ref="A63:A65"/>
    <mergeCell ref="A73:A75"/>
    <mergeCell ref="A76:A78"/>
    <mergeCell ref="A79:A81"/>
    <mergeCell ref="A82:A84"/>
    <mergeCell ref="A85:A87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M147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3" ht="15" customHeight="1" x14ac:dyDescent="0.3">
      <c r="A1" s="8" t="s">
        <v>97</v>
      </c>
    </row>
    <row r="2" spans="1:13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20</v>
      </c>
      <c r="M2" s="31" t="s">
        <v>22</v>
      </c>
    </row>
    <row r="3" spans="1:13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5</v>
      </c>
      <c r="G3" s="32">
        <v>6</v>
      </c>
      <c r="H3" s="32">
        <v>10</v>
      </c>
      <c r="I3" s="32">
        <v>14.4</v>
      </c>
      <c r="J3" s="32">
        <v>12</v>
      </c>
      <c r="K3" s="32">
        <v>19.2</v>
      </c>
      <c r="L3" s="32">
        <v>14.4</v>
      </c>
      <c r="M3" s="32">
        <v>38.4</v>
      </c>
    </row>
    <row r="4" spans="1:13" ht="15" customHeight="1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20</v>
      </c>
      <c r="M4" s="32" t="s">
        <v>40</v>
      </c>
    </row>
    <row r="5" spans="1:13" ht="15" customHeight="1" x14ac:dyDescent="0.3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</row>
    <row r="7" spans="1:13" ht="15" customHeight="1" x14ac:dyDescent="0.3">
      <c r="A7" s="132">
        <v>70</v>
      </c>
      <c r="B7" s="30" t="s">
        <v>102</v>
      </c>
      <c r="C7" s="37">
        <v>2.57</v>
      </c>
      <c r="D7" s="37">
        <v>4.17</v>
      </c>
      <c r="E7" s="37">
        <v>4.3899999999999997</v>
      </c>
      <c r="F7" s="37">
        <v>2.31</v>
      </c>
      <c r="G7" s="37">
        <v>3.04</v>
      </c>
      <c r="H7" s="37">
        <v>2.31</v>
      </c>
      <c r="I7" s="37">
        <v>2.96</v>
      </c>
      <c r="J7" s="37">
        <v>3.1</v>
      </c>
      <c r="K7" s="37">
        <v>2.86</v>
      </c>
      <c r="L7" s="37">
        <v>2.59</v>
      </c>
      <c r="M7" s="37">
        <v>2.52</v>
      </c>
    </row>
    <row r="8" spans="1:13" ht="15" customHeight="1" x14ac:dyDescent="0.3">
      <c r="A8" s="132"/>
      <c r="B8" s="20" t="s">
        <v>103</v>
      </c>
      <c r="C8" s="32">
        <v>2.69</v>
      </c>
      <c r="D8" s="32">
        <v>4.3499999999999996</v>
      </c>
      <c r="E8" s="32">
        <v>4.5599999999999996</v>
      </c>
      <c r="F8" s="32">
        <v>2.41</v>
      </c>
      <c r="G8" s="32">
        <v>3.16</v>
      </c>
      <c r="H8" s="32">
        <v>2.41</v>
      </c>
      <c r="I8" s="32">
        <v>3.09</v>
      </c>
      <c r="J8" s="32">
        <v>3.22</v>
      </c>
      <c r="K8" s="32">
        <v>2.98</v>
      </c>
      <c r="L8" s="32">
        <v>2.7</v>
      </c>
      <c r="M8" s="32">
        <v>2.62</v>
      </c>
    </row>
    <row r="9" spans="1:13" ht="15" customHeight="1" x14ac:dyDescent="0.3">
      <c r="A9" s="132"/>
      <c r="B9" s="38" t="s">
        <v>104</v>
      </c>
      <c r="C9" s="26">
        <f t="shared" ref="C9:M9" si="0">IF(OR(C7="",C8=""),"",C8/C7)</f>
        <v>1.0466926070038911</v>
      </c>
      <c r="D9" s="26">
        <f t="shared" si="0"/>
        <v>1.0431654676258992</v>
      </c>
      <c r="E9" s="26">
        <f t="shared" si="0"/>
        <v>1.0387243735763099</v>
      </c>
      <c r="F9" s="26">
        <f t="shared" si="0"/>
        <v>1.0432900432900434</v>
      </c>
      <c r="G9" s="26">
        <f t="shared" si="0"/>
        <v>1.0394736842105263</v>
      </c>
      <c r="H9" s="26">
        <f t="shared" si="0"/>
        <v>1.0432900432900434</v>
      </c>
      <c r="I9" s="26">
        <f t="shared" si="0"/>
        <v>1.0439189189189189</v>
      </c>
      <c r="J9" s="26">
        <f t="shared" si="0"/>
        <v>1.0387096774193549</v>
      </c>
      <c r="K9" s="26">
        <f t="shared" si="0"/>
        <v>1.0419580419580421</v>
      </c>
      <c r="L9" s="26">
        <f t="shared" si="0"/>
        <v>1.0424710424710426</v>
      </c>
      <c r="M9" s="26">
        <f t="shared" si="0"/>
        <v>1.0396825396825398</v>
      </c>
    </row>
    <row r="10" spans="1:13" ht="15" customHeight="1" x14ac:dyDescent="0.3">
      <c r="A10" s="132">
        <v>80</v>
      </c>
      <c r="B10" s="30" t="s">
        <v>102</v>
      </c>
      <c r="C10" s="37">
        <v>4.12</v>
      </c>
      <c r="D10" s="37">
        <v>6.66</v>
      </c>
      <c r="E10" s="37">
        <v>7.03</v>
      </c>
      <c r="F10" s="37">
        <v>3.69</v>
      </c>
      <c r="G10" s="37">
        <v>4.87</v>
      </c>
      <c r="H10" s="37">
        <v>3.69</v>
      </c>
      <c r="I10" s="37">
        <v>4.74</v>
      </c>
      <c r="J10" s="37">
        <v>4.97</v>
      </c>
      <c r="K10" s="37">
        <v>4.58</v>
      </c>
      <c r="L10" s="37">
        <v>4.13</v>
      </c>
      <c r="M10" s="37">
        <v>4.04</v>
      </c>
    </row>
    <row r="11" spans="1:13" ht="15" customHeight="1" x14ac:dyDescent="0.3">
      <c r="A11" s="132"/>
      <c r="B11" s="20" t="s">
        <v>103</v>
      </c>
      <c r="C11" s="32">
        <v>4.24</v>
      </c>
      <c r="D11" s="32">
        <v>6.87</v>
      </c>
      <c r="E11" s="32">
        <v>7.21</v>
      </c>
      <c r="F11" s="32">
        <v>3.8</v>
      </c>
      <c r="G11" s="32">
        <v>5</v>
      </c>
      <c r="H11" s="32">
        <v>3.8</v>
      </c>
      <c r="I11" s="32">
        <v>4.88</v>
      </c>
      <c r="J11" s="32">
        <v>5.0999999999999996</v>
      </c>
      <c r="K11" s="32">
        <v>4.71</v>
      </c>
      <c r="L11" s="32">
        <v>4.26</v>
      </c>
      <c r="M11" s="32">
        <v>4.1500000000000004</v>
      </c>
    </row>
    <row r="12" spans="1:13" ht="15" customHeight="1" x14ac:dyDescent="0.3">
      <c r="A12" s="132"/>
      <c r="B12" s="38" t="s">
        <v>104</v>
      </c>
      <c r="C12" s="26">
        <f t="shared" ref="C12:M12" si="1">IF(OR(C10="",C11=""),"",C11/C10)</f>
        <v>1.029126213592233</v>
      </c>
      <c r="D12" s="26">
        <f t="shared" si="1"/>
        <v>1.0315315315315314</v>
      </c>
      <c r="E12" s="26">
        <f t="shared" si="1"/>
        <v>1.0256045519203414</v>
      </c>
      <c r="F12" s="26">
        <f t="shared" si="1"/>
        <v>1.0298102981029811</v>
      </c>
      <c r="G12" s="26">
        <f t="shared" si="1"/>
        <v>1.0266940451745379</v>
      </c>
      <c r="H12" s="26">
        <f t="shared" si="1"/>
        <v>1.0298102981029811</v>
      </c>
      <c r="I12" s="26">
        <f t="shared" si="1"/>
        <v>1.0295358649789028</v>
      </c>
      <c r="J12" s="26">
        <f t="shared" si="1"/>
        <v>1.0261569416498995</v>
      </c>
      <c r="K12" s="26">
        <f t="shared" si="1"/>
        <v>1.0283842794759825</v>
      </c>
      <c r="L12" s="26">
        <f t="shared" si="1"/>
        <v>1.0314769975786924</v>
      </c>
      <c r="M12" s="26">
        <f t="shared" si="1"/>
        <v>1.0272277227722773</v>
      </c>
    </row>
    <row r="13" spans="1:13" ht="15" customHeight="1" x14ac:dyDescent="0.3">
      <c r="A13" s="132">
        <v>90</v>
      </c>
      <c r="B13" s="30" t="s">
        <v>102</v>
      </c>
      <c r="C13" s="37">
        <v>6.06</v>
      </c>
      <c r="D13" s="37">
        <v>9.81</v>
      </c>
      <c r="E13" s="37">
        <v>10.4</v>
      </c>
      <c r="F13" s="37">
        <v>5.44</v>
      </c>
      <c r="G13" s="37">
        <v>7.19</v>
      </c>
      <c r="H13" s="37">
        <v>5.44</v>
      </c>
      <c r="I13" s="37">
        <v>6.97</v>
      </c>
      <c r="J13" s="37">
        <v>7.33</v>
      </c>
      <c r="K13" s="37">
        <v>6.75</v>
      </c>
      <c r="L13" s="37">
        <v>6.09</v>
      </c>
      <c r="M13" s="37">
        <v>5.97</v>
      </c>
    </row>
    <row r="14" spans="1:13" ht="15" customHeight="1" x14ac:dyDescent="0.3">
      <c r="A14" s="132"/>
      <c r="B14" s="20" t="s">
        <v>103</v>
      </c>
      <c r="C14" s="32">
        <v>6.2</v>
      </c>
      <c r="D14" s="32">
        <v>10</v>
      </c>
      <c r="E14" s="32">
        <v>10.6</v>
      </c>
      <c r="F14" s="32">
        <v>5.56</v>
      </c>
      <c r="G14" s="32">
        <v>7.32</v>
      </c>
      <c r="H14" s="32">
        <v>5.56</v>
      </c>
      <c r="I14" s="32">
        <v>7.13</v>
      </c>
      <c r="J14" s="32">
        <v>7.46</v>
      </c>
      <c r="K14" s="32">
        <v>6.89</v>
      </c>
      <c r="L14" s="32">
        <v>6.22</v>
      </c>
      <c r="M14" s="32">
        <v>6.07</v>
      </c>
    </row>
    <row r="15" spans="1:13" ht="15" customHeight="1" x14ac:dyDescent="0.3">
      <c r="A15" s="132"/>
      <c r="B15" s="38" t="s">
        <v>104</v>
      </c>
      <c r="C15" s="26">
        <f t="shared" ref="C15:M15" si="2">IF(OR(C13="",C14=""),"",C14/C13)</f>
        <v>1.0231023102310233</v>
      </c>
      <c r="D15" s="26">
        <f t="shared" si="2"/>
        <v>1.019367991845056</v>
      </c>
      <c r="E15" s="26">
        <f t="shared" si="2"/>
        <v>1.0192307692307692</v>
      </c>
      <c r="F15" s="26">
        <f t="shared" si="2"/>
        <v>1.0220588235294117</v>
      </c>
      <c r="G15" s="26">
        <f t="shared" si="2"/>
        <v>1.0180806675938803</v>
      </c>
      <c r="H15" s="26">
        <f t="shared" si="2"/>
        <v>1.0220588235294117</v>
      </c>
      <c r="I15" s="26">
        <f t="shared" si="2"/>
        <v>1.0229555236728838</v>
      </c>
      <c r="J15" s="26">
        <f t="shared" si="2"/>
        <v>1.0177353342428377</v>
      </c>
      <c r="K15" s="26">
        <f t="shared" si="2"/>
        <v>1.0207407407407407</v>
      </c>
      <c r="L15" s="26">
        <f t="shared" si="2"/>
        <v>1.0213464696223318</v>
      </c>
      <c r="M15" s="26">
        <f t="shared" si="2"/>
        <v>1.016750418760469</v>
      </c>
    </row>
    <row r="16" spans="1:13" ht="15" customHeight="1" x14ac:dyDescent="0.3">
      <c r="A16" s="132">
        <v>100</v>
      </c>
      <c r="B16" s="30" t="s">
        <v>102</v>
      </c>
      <c r="C16" s="37">
        <v>8.35</v>
      </c>
      <c r="D16" s="37">
        <v>13.5</v>
      </c>
      <c r="E16" s="37">
        <v>14.3</v>
      </c>
      <c r="F16" s="37">
        <v>7.49</v>
      </c>
      <c r="G16" s="37">
        <v>9.91</v>
      </c>
      <c r="H16" s="37">
        <v>7.49</v>
      </c>
      <c r="I16" s="37">
        <v>9.6</v>
      </c>
      <c r="J16" s="37">
        <v>10.1</v>
      </c>
      <c r="K16" s="37">
        <v>9.3000000000000007</v>
      </c>
      <c r="L16" s="37">
        <v>8.3800000000000008</v>
      </c>
      <c r="M16" s="37">
        <v>8.2200000000000006</v>
      </c>
    </row>
    <row r="17" spans="1:13" ht="15" customHeight="1" x14ac:dyDescent="0.3">
      <c r="A17" s="132"/>
      <c r="B17" s="20" t="s">
        <v>103</v>
      </c>
      <c r="C17" s="32">
        <v>8.49</v>
      </c>
      <c r="D17" s="32">
        <v>13.8</v>
      </c>
      <c r="E17" s="32">
        <v>14.5</v>
      </c>
      <c r="F17" s="32">
        <v>7.62</v>
      </c>
      <c r="G17" s="32">
        <v>10</v>
      </c>
      <c r="H17" s="32">
        <v>7.62</v>
      </c>
      <c r="I17" s="32">
        <v>9.77</v>
      </c>
      <c r="J17" s="32">
        <v>10.199999999999999</v>
      </c>
      <c r="K17" s="32">
        <v>9.44</v>
      </c>
      <c r="L17" s="32">
        <v>8.5299999999999994</v>
      </c>
      <c r="M17" s="32">
        <v>8.32</v>
      </c>
    </row>
    <row r="18" spans="1:13" ht="15" customHeight="1" x14ac:dyDescent="0.3">
      <c r="A18" s="132"/>
      <c r="B18" s="38" t="s">
        <v>104</v>
      </c>
      <c r="C18" s="26">
        <f t="shared" ref="C18:M18" si="3">IF(OR(C16="",C17=""),"",C17/C16)</f>
        <v>1.0167664670658683</v>
      </c>
      <c r="D18" s="26">
        <f t="shared" si="3"/>
        <v>1.0222222222222224</v>
      </c>
      <c r="E18" s="26">
        <f t="shared" si="3"/>
        <v>1.013986013986014</v>
      </c>
      <c r="F18" s="26">
        <f t="shared" si="3"/>
        <v>1.0173564753004005</v>
      </c>
      <c r="G18" s="26">
        <f t="shared" si="3"/>
        <v>1.0090817356205852</v>
      </c>
      <c r="H18" s="26">
        <f t="shared" si="3"/>
        <v>1.0173564753004005</v>
      </c>
      <c r="I18" s="26">
        <f t="shared" si="3"/>
        <v>1.0177083333333334</v>
      </c>
      <c r="J18" s="26">
        <f t="shared" si="3"/>
        <v>1.0099009900990099</v>
      </c>
      <c r="K18" s="26">
        <f t="shared" si="3"/>
        <v>1.0150537634408601</v>
      </c>
      <c r="L18" s="26">
        <f t="shared" si="3"/>
        <v>1.0178997613365153</v>
      </c>
      <c r="M18" s="26">
        <f t="shared" si="3"/>
        <v>1.0121654501216544</v>
      </c>
    </row>
    <row r="19" spans="1:13" ht="15" customHeight="1" x14ac:dyDescent="0.3">
      <c r="A19" s="132">
        <v>110</v>
      </c>
      <c r="B19" s="30" t="s">
        <v>102</v>
      </c>
      <c r="C19" s="37">
        <v>11.2</v>
      </c>
      <c r="D19" s="37">
        <v>18.100000000000001</v>
      </c>
      <c r="E19" s="37">
        <v>19.2</v>
      </c>
      <c r="F19" s="37">
        <v>10.1</v>
      </c>
      <c r="G19" s="37">
        <v>13.3</v>
      </c>
      <c r="H19" s="37">
        <v>10.1</v>
      </c>
      <c r="I19" s="37">
        <v>12.9</v>
      </c>
      <c r="J19" s="37">
        <v>13.5</v>
      </c>
      <c r="K19" s="37">
        <v>12.5</v>
      </c>
      <c r="L19" s="37">
        <v>11.3</v>
      </c>
      <c r="M19" s="37">
        <v>11</v>
      </c>
    </row>
    <row r="20" spans="1:13" ht="15" customHeight="1" x14ac:dyDescent="0.3">
      <c r="A20" s="132"/>
      <c r="B20" s="20" t="s">
        <v>103</v>
      </c>
      <c r="C20" s="32">
        <v>11.4</v>
      </c>
      <c r="D20" s="32">
        <v>18.399999999999999</v>
      </c>
      <c r="E20" s="32">
        <v>19.399999999999999</v>
      </c>
      <c r="F20" s="32">
        <v>10.199999999999999</v>
      </c>
      <c r="G20" s="32">
        <v>13.4</v>
      </c>
      <c r="H20" s="32">
        <v>10.199999999999999</v>
      </c>
      <c r="I20" s="32">
        <v>13.1</v>
      </c>
      <c r="J20" s="32">
        <v>13.7</v>
      </c>
      <c r="K20" s="32">
        <v>12.6</v>
      </c>
      <c r="L20" s="32">
        <v>11.4</v>
      </c>
      <c r="M20" s="32">
        <v>11.1</v>
      </c>
    </row>
    <row r="21" spans="1:13" ht="15" customHeight="1" x14ac:dyDescent="0.3">
      <c r="A21" s="132"/>
      <c r="B21" s="38" t="s">
        <v>104</v>
      </c>
      <c r="C21" s="26">
        <f t="shared" ref="C21:M21" si="4">IF(OR(C19="",C20=""),"",C20/C19)</f>
        <v>1.017857142857143</v>
      </c>
      <c r="D21" s="26">
        <f t="shared" si="4"/>
        <v>1.016574585635359</v>
      </c>
      <c r="E21" s="26">
        <f t="shared" si="4"/>
        <v>1.0104166666666667</v>
      </c>
      <c r="F21" s="26">
        <f t="shared" si="4"/>
        <v>1.0099009900990099</v>
      </c>
      <c r="G21" s="26">
        <f t="shared" si="4"/>
        <v>1.0075187969924813</v>
      </c>
      <c r="H21" s="26">
        <f t="shared" si="4"/>
        <v>1.0099009900990099</v>
      </c>
      <c r="I21" s="26">
        <f t="shared" si="4"/>
        <v>1.0155038759689923</v>
      </c>
      <c r="J21" s="26">
        <f t="shared" si="4"/>
        <v>1.0148148148148148</v>
      </c>
      <c r="K21" s="26">
        <f t="shared" si="4"/>
        <v>1.008</v>
      </c>
      <c r="L21" s="26">
        <f t="shared" si="4"/>
        <v>1.0088495575221239</v>
      </c>
      <c r="M21" s="26">
        <f t="shared" si="4"/>
        <v>1.009090909090909</v>
      </c>
    </row>
    <row r="22" spans="1:13" ht="15" customHeight="1" x14ac:dyDescent="0.3">
      <c r="A22" s="132">
        <v>120</v>
      </c>
      <c r="B22" s="30" t="s">
        <v>102</v>
      </c>
      <c r="C22" s="37">
        <v>14</v>
      </c>
      <c r="D22" s="37">
        <v>22.7</v>
      </c>
      <c r="E22" s="37">
        <v>23.9</v>
      </c>
      <c r="F22" s="37">
        <v>12.6</v>
      </c>
      <c r="G22" s="37">
        <v>16.600000000000001</v>
      </c>
      <c r="H22" s="37">
        <v>12.6</v>
      </c>
      <c r="I22" s="37">
        <v>16.100000000000001</v>
      </c>
      <c r="J22" s="37">
        <v>16.899999999999999</v>
      </c>
      <c r="K22" s="37">
        <v>15.6</v>
      </c>
      <c r="L22" s="37">
        <v>14.1</v>
      </c>
      <c r="M22" s="37">
        <v>13.8</v>
      </c>
    </row>
    <row r="23" spans="1:13" ht="15" customHeight="1" x14ac:dyDescent="0.3">
      <c r="A23" s="132"/>
      <c r="B23" s="20" t="s">
        <v>103</v>
      </c>
      <c r="C23" s="32">
        <v>14.2</v>
      </c>
      <c r="D23" s="32">
        <v>23</v>
      </c>
      <c r="E23" s="32">
        <v>24.1</v>
      </c>
      <c r="F23" s="32">
        <v>12.7</v>
      </c>
      <c r="G23" s="32">
        <v>16.7</v>
      </c>
      <c r="H23" s="32">
        <v>12.7</v>
      </c>
      <c r="I23" s="32">
        <v>16.3</v>
      </c>
      <c r="J23" s="32">
        <v>17.100000000000001</v>
      </c>
      <c r="K23" s="32">
        <v>15.8</v>
      </c>
      <c r="L23" s="32">
        <v>14.2</v>
      </c>
      <c r="M23" s="32">
        <v>13.9</v>
      </c>
    </row>
    <row r="24" spans="1:13" ht="15" customHeight="1" x14ac:dyDescent="0.3">
      <c r="A24" s="132"/>
      <c r="B24" s="38" t="s">
        <v>104</v>
      </c>
      <c r="C24" s="26">
        <f t="shared" ref="C24:M24" si="5">IF(OR(C22="",C23=""),"",C23/C22)</f>
        <v>1.0142857142857142</v>
      </c>
      <c r="D24" s="26">
        <f t="shared" si="5"/>
        <v>1.0132158590308371</v>
      </c>
      <c r="E24" s="26">
        <f t="shared" si="5"/>
        <v>1.0083682008368202</v>
      </c>
      <c r="F24" s="26">
        <f t="shared" si="5"/>
        <v>1.0079365079365079</v>
      </c>
      <c r="G24" s="26">
        <f t="shared" si="5"/>
        <v>1.006024096385542</v>
      </c>
      <c r="H24" s="26">
        <f t="shared" si="5"/>
        <v>1.0079365079365079</v>
      </c>
      <c r="I24" s="26">
        <f t="shared" si="5"/>
        <v>1.0124223602484472</v>
      </c>
      <c r="J24" s="26">
        <f t="shared" si="5"/>
        <v>1.0118343195266273</v>
      </c>
      <c r="K24" s="26">
        <f t="shared" si="5"/>
        <v>1.012820512820513</v>
      </c>
      <c r="L24" s="26">
        <f t="shared" si="5"/>
        <v>1.0070921985815602</v>
      </c>
      <c r="M24" s="26">
        <f t="shared" si="5"/>
        <v>1.0072463768115942</v>
      </c>
    </row>
    <row r="25" spans="1:13" ht="15" customHeight="1" x14ac:dyDescent="0.3">
      <c r="A25" s="132">
        <v>130</v>
      </c>
      <c r="B25" s="30" t="s">
        <v>102</v>
      </c>
      <c r="C25" s="37">
        <v>16.899999999999999</v>
      </c>
      <c r="D25" s="37">
        <v>27.4</v>
      </c>
      <c r="E25" s="37">
        <v>29</v>
      </c>
      <c r="F25" s="37">
        <v>15.2</v>
      </c>
      <c r="G25" s="37">
        <v>20.100000000000001</v>
      </c>
      <c r="H25" s="37">
        <v>15.2</v>
      </c>
      <c r="I25" s="37">
        <v>19.5</v>
      </c>
      <c r="J25" s="37">
        <v>20.5</v>
      </c>
      <c r="K25" s="37">
        <v>18.899999999999999</v>
      </c>
      <c r="L25" s="37">
        <v>17</v>
      </c>
      <c r="M25" s="37">
        <v>16.7</v>
      </c>
    </row>
    <row r="26" spans="1:13" ht="15" customHeight="1" x14ac:dyDescent="0.3">
      <c r="A26" s="132"/>
      <c r="B26" s="20" t="s">
        <v>103</v>
      </c>
      <c r="C26" s="32">
        <v>17.2</v>
      </c>
      <c r="D26" s="32">
        <v>27.8</v>
      </c>
      <c r="E26" s="32">
        <v>29.3</v>
      </c>
      <c r="F26" s="32">
        <v>15.4</v>
      </c>
      <c r="G26" s="32">
        <v>20.3</v>
      </c>
      <c r="H26" s="32">
        <v>15.4</v>
      </c>
      <c r="I26" s="32">
        <v>19.8</v>
      </c>
      <c r="J26" s="32">
        <v>20.7</v>
      </c>
      <c r="K26" s="32">
        <v>19.100000000000001</v>
      </c>
      <c r="L26" s="32">
        <v>17.3</v>
      </c>
      <c r="M26" s="32">
        <v>16.8</v>
      </c>
    </row>
    <row r="27" spans="1:13" ht="15" customHeight="1" x14ac:dyDescent="0.3">
      <c r="A27" s="132"/>
      <c r="B27" s="38" t="s">
        <v>104</v>
      </c>
      <c r="C27" s="26">
        <f t="shared" ref="C27:M27" si="6">IF(OR(C25="",C26=""),"",C26/C25)</f>
        <v>1.0177514792899409</v>
      </c>
      <c r="D27" s="26">
        <f t="shared" si="6"/>
        <v>1.0145985401459854</v>
      </c>
      <c r="E27" s="26">
        <f t="shared" si="6"/>
        <v>1.010344827586207</v>
      </c>
      <c r="F27" s="26">
        <f t="shared" si="6"/>
        <v>1.0131578947368423</v>
      </c>
      <c r="G27" s="26">
        <f t="shared" si="6"/>
        <v>1.0099502487562189</v>
      </c>
      <c r="H27" s="26">
        <f t="shared" si="6"/>
        <v>1.0131578947368423</v>
      </c>
      <c r="I27" s="26">
        <f t="shared" si="6"/>
        <v>1.0153846153846153</v>
      </c>
      <c r="J27" s="26">
        <f t="shared" si="6"/>
        <v>1.0097560975609756</v>
      </c>
      <c r="K27" s="26">
        <f t="shared" si="6"/>
        <v>1.0105820105820107</v>
      </c>
      <c r="L27" s="26">
        <f t="shared" si="6"/>
        <v>1.0176470588235293</v>
      </c>
      <c r="M27" s="26">
        <f t="shared" si="6"/>
        <v>1.005988023952096</v>
      </c>
    </row>
    <row r="28" spans="1:13" ht="15" customHeight="1" x14ac:dyDescent="0.3">
      <c r="A28" s="132">
        <v>140</v>
      </c>
      <c r="B28" s="30" t="s">
        <v>102</v>
      </c>
      <c r="C28" s="37">
        <v>20.3</v>
      </c>
      <c r="D28" s="37">
        <v>32.9</v>
      </c>
      <c r="E28" s="37">
        <v>34.799999999999997</v>
      </c>
      <c r="F28" s="37">
        <v>18.2</v>
      </c>
      <c r="G28" s="37">
        <v>24.1</v>
      </c>
      <c r="H28" s="37">
        <v>18.2</v>
      </c>
      <c r="I28" s="37">
        <v>23.4</v>
      </c>
      <c r="J28" s="37">
        <v>24.6</v>
      </c>
      <c r="K28" s="37">
        <v>22.6</v>
      </c>
      <c r="L28" s="37">
        <v>20.399999999999999</v>
      </c>
      <c r="M28" s="37">
        <v>20</v>
      </c>
    </row>
    <row r="29" spans="1:13" ht="15" customHeight="1" x14ac:dyDescent="0.3">
      <c r="A29" s="132"/>
      <c r="B29" s="20" t="s">
        <v>103</v>
      </c>
      <c r="C29" s="32">
        <v>20.5</v>
      </c>
      <c r="D29" s="32">
        <v>33.299999999999997</v>
      </c>
      <c r="E29" s="32">
        <v>35.1</v>
      </c>
      <c r="F29" s="32">
        <v>18.399999999999999</v>
      </c>
      <c r="G29" s="32">
        <v>24.3</v>
      </c>
      <c r="H29" s="32">
        <v>18.399999999999999</v>
      </c>
      <c r="I29" s="32">
        <v>23.6</v>
      </c>
      <c r="J29" s="32">
        <v>24.8</v>
      </c>
      <c r="K29" s="32">
        <v>22.9</v>
      </c>
      <c r="L29" s="32">
        <v>20.9</v>
      </c>
      <c r="M29" s="32">
        <v>20.2</v>
      </c>
    </row>
    <row r="30" spans="1:13" ht="15.6" x14ac:dyDescent="0.3">
      <c r="A30" s="132"/>
      <c r="B30" s="38" t="s">
        <v>104</v>
      </c>
      <c r="C30" s="26">
        <f t="shared" ref="C30:M30" si="7">IF(OR(C28="",C29=""),"",C29/C28)</f>
        <v>1.0098522167487685</v>
      </c>
      <c r="D30" s="26">
        <f t="shared" si="7"/>
        <v>1.0121580547112461</v>
      </c>
      <c r="E30" s="26">
        <f t="shared" si="7"/>
        <v>1.0086206896551726</v>
      </c>
      <c r="F30" s="26">
        <f t="shared" si="7"/>
        <v>1.0109890109890109</v>
      </c>
      <c r="G30" s="26">
        <f t="shared" si="7"/>
        <v>1.008298755186722</v>
      </c>
      <c r="H30" s="26">
        <f t="shared" si="7"/>
        <v>1.0109890109890109</v>
      </c>
      <c r="I30" s="26">
        <f t="shared" si="7"/>
        <v>1.0085470085470087</v>
      </c>
      <c r="J30" s="26">
        <f t="shared" si="7"/>
        <v>1.0081300813008129</v>
      </c>
      <c r="K30" s="26">
        <f t="shared" si="7"/>
        <v>1.0132743362831858</v>
      </c>
      <c r="L30" s="26">
        <f t="shared" si="7"/>
        <v>1.0245098039215685</v>
      </c>
      <c r="M30" s="26">
        <f t="shared" si="7"/>
        <v>1.01</v>
      </c>
    </row>
    <row r="31" spans="1:13" ht="15.6" x14ac:dyDescent="0.3">
      <c r="A31" s="132" t="s">
        <v>145</v>
      </c>
      <c r="B31" s="30" t="s">
        <v>102</v>
      </c>
      <c r="C31" s="37">
        <v>1.54</v>
      </c>
      <c r="D31" s="37">
        <v>2.5</v>
      </c>
      <c r="E31" s="37">
        <v>2.65</v>
      </c>
      <c r="F31" s="37">
        <v>1.38</v>
      </c>
      <c r="G31" s="37">
        <v>1.84</v>
      </c>
      <c r="H31" s="37">
        <v>1.38</v>
      </c>
      <c r="I31" s="37">
        <v>1.77</v>
      </c>
      <c r="J31" s="37">
        <v>1.87</v>
      </c>
      <c r="K31" s="37">
        <v>1.72</v>
      </c>
      <c r="L31" s="37">
        <v>1.55</v>
      </c>
      <c r="M31" s="37">
        <v>1.52</v>
      </c>
    </row>
    <row r="32" spans="1:13" ht="15.6" x14ac:dyDescent="0.3">
      <c r="A32" s="132"/>
      <c r="B32" s="20" t="s">
        <v>103</v>
      </c>
      <c r="C32" s="32">
        <v>1.54</v>
      </c>
      <c r="D32" s="32">
        <v>2.4900000000000002</v>
      </c>
      <c r="E32" s="32">
        <v>2.63</v>
      </c>
      <c r="F32" s="32">
        <v>1.38</v>
      </c>
      <c r="G32" s="32">
        <v>1.82</v>
      </c>
      <c r="H32" s="32">
        <v>1.38</v>
      </c>
      <c r="I32" s="32">
        <v>1.77</v>
      </c>
      <c r="J32" s="32">
        <v>1.86</v>
      </c>
      <c r="K32" s="32">
        <v>1.71</v>
      </c>
      <c r="L32" s="32">
        <v>1.54</v>
      </c>
      <c r="M32" s="32">
        <v>1.51</v>
      </c>
    </row>
    <row r="33" spans="1:13" ht="15.6" x14ac:dyDescent="0.3">
      <c r="A33" s="132"/>
      <c r="B33" s="38" t="s">
        <v>104</v>
      </c>
      <c r="C33" s="26">
        <f t="shared" ref="C33:M33" si="8">IF(OR(C31="",C32=""),"",C32/C31)</f>
        <v>1</v>
      </c>
      <c r="D33" s="26">
        <f t="shared" si="8"/>
        <v>0.99600000000000011</v>
      </c>
      <c r="E33" s="26">
        <f t="shared" si="8"/>
        <v>0.99245283018867925</v>
      </c>
      <c r="F33" s="26">
        <f t="shared" si="8"/>
        <v>1</v>
      </c>
      <c r="G33" s="26">
        <f t="shared" si="8"/>
        <v>0.98913043478260865</v>
      </c>
      <c r="H33" s="26">
        <f t="shared" si="8"/>
        <v>1</v>
      </c>
      <c r="I33" s="26">
        <f t="shared" si="8"/>
        <v>1</v>
      </c>
      <c r="J33" s="26">
        <f t="shared" si="8"/>
        <v>0.99465240641711228</v>
      </c>
      <c r="K33" s="26">
        <f t="shared" si="8"/>
        <v>0.9941860465116279</v>
      </c>
      <c r="L33" s="26">
        <f t="shared" si="8"/>
        <v>0.99354838709677418</v>
      </c>
      <c r="M33" s="26">
        <f t="shared" si="8"/>
        <v>0.99342105263157898</v>
      </c>
    </row>
    <row r="34" spans="1:13" ht="15.6" x14ac:dyDescent="0.3">
      <c r="A34" s="132" t="s">
        <v>146</v>
      </c>
      <c r="B34" s="30" t="s">
        <v>102</v>
      </c>
      <c r="C34" s="37">
        <v>6.49</v>
      </c>
      <c r="D34" s="37">
        <v>10.5</v>
      </c>
      <c r="E34" s="37">
        <v>11.2</v>
      </c>
      <c r="F34" s="37">
        <v>5.82</v>
      </c>
      <c r="G34" s="37">
        <v>7.74</v>
      </c>
      <c r="H34" s="37">
        <v>5.82</v>
      </c>
      <c r="I34" s="37">
        <v>7.47</v>
      </c>
      <c r="J34" s="37">
        <v>7.88</v>
      </c>
      <c r="K34" s="37">
        <v>7.25</v>
      </c>
      <c r="L34" s="37">
        <v>6.52</v>
      </c>
      <c r="M34" s="37">
        <v>6.42</v>
      </c>
    </row>
    <row r="35" spans="1:13" ht="15.6" x14ac:dyDescent="0.3">
      <c r="A35" s="132"/>
      <c r="B35" s="20" t="s">
        <v>103</v>
      </c>
      <c r="C35" s="32">
        <v>6.55</v>
      </c>
      <c r="D35" s="32">
        <v>10.6</v>
      </c>
      <c r="E35" s="32">
        <v>11.2</v>
      </c>
      <c r="F35" s="32">
        <v>5.87</v>
      </c>
      <c r="G35" s="32">
        <v>7.79</v>
      </c>
      <c r="H35" s="32">
        <v>5.87</v>
      </c>
      <c r="I35" s="32">
        <v>7.54</v>
      </c>
      <c r="J35" s="32">
        <v>7.94</v>
      </c>
      <c r="K35" s="32">
        <v>7.3</v>
      </c>
      <c r="L35" s="32">
        <v>6.58</v>
      </c>
      <c r="M35" s="32">
        <v>6.46</v>
      </c>
    </row>
    <row r="36" spans="1:13" ht="15.6" x14ac:dyDescent="0.3">
      <c r="A36" s="132"/>
      <c r="B36" s="38" t="s">
        <v>104</v>
      </c>
      <c r="C36" s="26">
        <f t="shared" ref="C36:M36" si="9">IF(OR(C34="",C35=""),"",C35/C34)</f>
        <v>1.0092449922958397</v>
      </c>
      <c r="D36" s="26">
        <f t="shared" si="9"/>
        <v>1.0095238095238095</v>
      </c>
      <c r="E36" s="26">
        <f t="shared" si="9"/>
        <v>1</v>
      </c>
      <c r="F36" s="26">
        <f t="shared" si="9"/>
        <v>1.0085910652920962</v>
      </c>
      <c r="G36" s="26">
        <f t="shared" si="9"/>
        <v>1.0064599483204135</v>
      </c>
      <c r="H36" s="26">
        <f t="shared" si="9"/>
        <v>1.0085910652920962</v>
      </c>
      <c r="I36" s="26">
        <f t="shared" si="9"/>
        <v>1.0093708165997324</v>
      </c>
      <c r="J36" s="26">
        <f t="shared" si="9"/>
        <v>1.0076142131979695</v>
      </c>
      <c r="K36" s="26">
        <f t="shared" si="9"/>
        <v>1.0068965517241379</v>
      </c>
      <c r="L36" s="26">
        <f t="shared" si="9"/>
        <v>1.0092024539877302</v>
      </c>
      <c r="M36" s="26">
        <f t="shared" si="9"/>
        <v>1.0062305295950156</v>
      </c>
    </row>
    <row r="38" spans="1:13" ht="15.6" x14ac:dyDescent="0.3">
      <c r="A38" s="8" t="s">
        <v>147</v>
      </c>
    </row>
    <row r="39" spans="1:13" ht="15.6" x14ac:dyDescent="0.3">
      <c r="B39" s="15" t="s">
        <v>100</v>
      </c>
      <c r="C39" s="31" t="s">
        <v>13</v>
      </c>
      <c r="D39" s="31" t="s">
        <v>26</v>
      </c>
      <c r="E39" s="31" t="s">
        <v>34</v>
      </c>
      <c r="F39" s="31" t="s">
        <v>14</v>
      </c>
      <c r="G39" s="31" t="s">
        <v>15</v>
      </c>
      <c r="H39" s="31" t="s">
        <v>18</v>
      </c>
      <c r="I39" s="31" t="s">
        <v>20</v>
      </c>
      <c r="J39" s="31" t="s">
        <v>16</v>
      </c>
      <c r="K39" s="31" t="s">
        <v>21</v>
      </c>
      <c r="L39" s="31" t="s">
        <v>20</v>
      </c>
      <c r="M39" s="31" t="s">
        <v>22</v>
      </c>
    </row>
    <row r="40" spans="1:13" ht="15.6" x14ac:dyDescent="0.3">
      <c r="B40" s="18" t="s">
        <v>114</v>
      </c>
      <c r="C40" s="32">
        <v>2</v>
      </c>
      <c r="D40" s="32">
        <v>3.6</v>
      </c>
      <c r="E40" s="32">
        <v>4.8</v>
      </c>
      <c r="F40" s="32">
        <v>5</v>
      </c>
      <c r="G40" s="32">
        <v>6</v>
      </c>
      <c r="H40" s="32">
        <v>10</v>
      </c>
      <c r="I40" s="32">
        <v>14.4</v>
      </c>
      <c r="J40" s="32">
        <v>12</v>
      </c>
      <c r="K40" s="32">
        <v>19.2</v>
      </c>
      <c r="L40" s="32">
        <v>14.4</v>
      </c>
      <c r="M40" s="32">
        <v>38.4</v>
      </c>
    </row>
    <row r="41" spans="1:13" ht="15.6" x14ac:dyDescent="0.3">
      <c r="B41" s="18" t="s">
        <v>101</v>
      </c>
      <c r="C41" s="32" t="s">
        <v>13</v>
      </c>
      <c r="D41" s="32" t="s">
        <v>26</v>
      </c>
      <c r="E41" s="32" t="s">
        <v>31</v>
      </c>
      <c r="F41" s="32" t="s">
        <v>14</v>
      </c>
      <c r="G41" s="32" t="s">
        <v>16</v>
      </c>
      <c r="H41" s="32" t="s">
        <v>18</v>
      </c>
      <c r="I41" s="32" t="s">
        <v>20</v>
      </c>
      <c r="J41" s="32" t="s">
        <v>19</v>
      </c>
      <c r="K41" s="32" t="s">
        <v>22</v>
      </c>
      <c r="L41" s="32" t="s">
        <v>20</v>
      </c>
      <c r="M41" s="32" t="s">
        <v>40</v>
      </c>
    </row>
    <row r="42" spans="1:13" ht="15.6" x14ac:dyDescent="0.3">
      <c r="B42" s="33" t="s">
        <v>115</v>
      </c>
      <c r="C42" s="40"/>
      <c r="D42" s="40"/>
      <c r="E42" s="40" t="s">
        <v>121</v>
      </c>
      <c r="F42" s="40"/>
      <c r="G42" s="40" t="s">
        <v>121</v>
      </c>
      <c r="H42" s="40"/>
      <c r="I42" s="40"/>
      <c r="J42" s="40" t="s">
        <v>121</v>
      </c>
      <c r="K42" s="40" t="s">
        <v>121</v>
      </c>
      <c r="L42" s="40"/>
      <c r="M42" s="40"/>
    </row>
    <row r="43" spans="1:13" ht="15.6" x14ac:dyDescent="0.3">
      <c r="A43" s="7" t="s">
        <v>6</v>
      </c>
      <c r="B43" s="35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 ht="15.6" x14ac:dyDescent="0.3">
      <c r="A44" s="132">
        <v>70</v>
      </c>
      <c r="B44" s="30" t="s">
        <v>102</v>
      </c>
      <c r="C44" s="37">
        <v>2.3199999999999998</v>
      </c>
      <c r="D44" s="37">
        <v>3.75</v>
      </c>
      <c r="E44" s="37">
        <v>3.95</v>
      </c>
      <c r="F44" s="37">
        <v>2.08</v>
      </c>
      <c r="G44" s="37">
        <v>2.74</v>
      </c>
      <c r="H44" s="37">
        <v>2.08</v>
      </c>
      <c r="I44" s="37">
        <v>2.67</v>
      </c>
      <c r="J44" s="37">
        <v>2.79</v>
      </c>
      <c r="K44" s="37">
        <v>2.58</v>
      </c>
      <c r="L44" s="37">
        <v>2.33</v>
      </c>
      <c r="M44" s="37">
        <v>2.27</v>
      </c>
    </row>
    <row r="45" spans="1:13" ht="15.6" x14ac:dyDescent="0.3">
      <c r="A45" s="132"/>
      <c r="B45" s="20" t="s">
        <v>103</v>
      </c>
      <c r="C45" s="32">
        <v>2.29</v>
      </c>
      <c r="D45" s="32">
        <v>3.71</v>
      </c>
      <c r="E45" s="32">
        <v>3.88</v>
      </c>
      <c r="F45" s="32">
        <v>20.6</v>
      </c>
      <c r="G45" s="32">
        <v>2.69</v>
      </c>
      <c r="H45" s="32">
        <v>20.6</v>
      </c>
      <c r="I45" s="32">
        <v>2.64</v>
      </c>
      <c r="J45" s="32">
        <v>2.74</v>
      </c>
      <c r="K45" s="32">
        <v>2.54</v>
      </c>
      <c r="L45" s="32">
        <v>2.2999999999999998</v>
      </c>
      <c r="M45" s="32">
        <v>2.23</v>
      </c>
    </row>
    <row r="46" spans="1:13" ht="15.6" x14ac:dyDescent="0.3">
      <c r="A46" s="132"/>
      <c r="B46" s="38" t="s">
        <v>104</v>
      </c>
      <c r="C46" s="26">
        <f t="shared" ref="C46:M46" si="10">IF(OR(C44="",C45=""),"",C45/C44)</f>
        <v>0.98706896551724144</v>
      </c>
      <c r="D46" s="26">
        <f t="shared" si="10"/>
        <v>0.98933333333333329</v>
      </c>
      <c r="E46" s="26">
        <f t="shared" si="10"/>
        <v>0.98227848101265813</v>
      </c>
      <c r="F46" s="26">
        <f t="shared" si="10"/>
        <v>9.9038461538461551</v>
      </c>
      <c r="G46" s="26">
        <f t="shared" si="10"/>
        <v>0.9817518248175181</v>
      </c>
      <c r="H46" s="26">
        <f t="shared" si="10"/>
        <v>9.9038461538461551</v>
      </c>
      <c r="I46" s="26">
        <f t="shared" si="10"/>
        <v>0.98876404494382031</v>
      </c>
      <c r="J46" s="26">
        <f t="shared" si="10"/>
        <v>0.98207885304659504</v>
      </c>
      <c r="K46" s="26">
        <f t="shared" si="10"/>
        <v>0.98449612403100772</v>
      </c>
      <c r="L46" s="26">
        <f t="shared" si="10"/>
        <v>0.98712446351931316</v>
      </c>
      <c r="M46" s="26">
        <f t="shared" si="10"/>
        <v>0.98237885462555063</v>
      </c>
    </row>
    <row r="47" spans="1:13" ht="15.6" x14ac:dyDescent="0.3">
      <c r="A47" s="132">
        <v>80</v>
      </c>
      <c r="B47" s="30" t="s">
        <v>102</v>
      </c>
      <c r="C47" s="37">
        <v>3.74</v>
      </c>
      <c r="D47" s="37">
        <v>6.05</v>
      </c>
      <c r="E47" s="37">
        <v>6.38</v>
      </c>
      <c r="F47" s="37">
        <v>3.35</v>
      </c>
      <c r="G47" s="37">
        <v>4.43</v>
      </c>
      <c r="H47" s="37">
        <v>3.35</v>
      </c>
      <c r="I47" s="37">
        <v>4.3</v>
      </c>
      <c r="J47" s="37">
        <v>4.51</v>
      </c>
      <c r="K47" s="37">
        <v>4.16</v>
      </c>
      <c r="L47" s="37">
        <v>3.76</v>
      </c>
      <c r="M47" s="37">
        <v>3.67</v>
      </c>
    </row>
    <row r="48" spans="1:13" ht="15.6" x14ac:dyDescent="0.3">
      <c r="A48" s="132"/>
      <c r="B48" s="20" t="s">
        <v>103</v>
      </c>
      <c r="C48" s="32">
        <v>3.67</v>
      </c>
      <c r="D48" s="32">
        <v>5.94</v>
      </c>
      <c r="E48" s="32">
        <v>6.23</v>
      </c>
      <c r="F48" s="32">
        <v>3.29</v>
      </c>
      <c r="G48" s="32">
        <v>4.32</v>
      </c>
      <c r="H48" s="32">
        <v>3.29</v>
      </c>
      <c r="I48" s="32">
        <v>4.22</v>
      </c>
      <c r="J48" s="32">
        <v>4.4000000000000004</v>
      </c>
      <c r="K48" s="32">
        <v>4.07</v>
      </c>
      <c r="L48" s="32">
        <v>3.68</v>
      </c>
      <c r="M48" s="32">
        <v>3.58</v>
      </c>
    </row>
    <row r="49" spans="1:13" ht="15.6" x14ac:dyDescent="0.3">
      <c r="A49" s="132"/>
      <c r="B49" s="38" t="s">
        <v>104</v>
      </c>
      <c r="C49" s="26">
        <f t="shared" ref="C49:M49" si="11">IF(OR(C47="",C48=""),"",C48/C47)</f>
        <v>0.98128342245989297</v>
      </c>
      <c r="D49" s="26">
        <f t="shared" si="11"/>
        <v>0.98181818181818192</v>
      </c>
      <c r="E49" s="26">
        <f t="shared" si="11"/>
        <v>0.97648902821316619</v>
      </c>
      <c r="F49" s="26">
        <f t="shared" si="11"/>
        <v>0.98208955223880601</v>
      </c>
      <c r="G49" s="26">
        <f t="shared" si="11"/>
        <v>0.97516930022573378</v>
      </c>
      <c r="H49" s="26">
        <f t="shared" si="11"/>
        <v>0.98208955223880601</v>
      </c>
      <c r="I49" s="26">
        <f t="shared" si="11"/>
        <v>0.98139534883720925</v>
      </c>
      <c r="J49" s="26">
        <f t="shared" si="11"/>
        <v>0.97560975609756106</v>
      </c>
      <c r="K49" s="26">
        <f t="shared" si="11"/>
        <v>0.97836538461538469</v>
      </c>
      <c r="L49" s="26">
        <f t="shared" si="11"/>
        <v>0.97872340425531923</v>
      </c>
      <c r="M49" s="26">
        <f t="shared" si="11"/>
        <v>0.9754768392370573</v>
      </c>
    </row>
    <row r="50" spans="1:13" ht="15.6" x14ac:dyDescent="0.3">
      <c r="A50" s="132">
        <v>90</v>
      </c>
      <c r="B50" s="30" t="s">
        <v>102</v>
      </c>
      <c r="C50" s="37">
        <v>5.54</v>
      </c>
      <c r="D50" s="37">
        <v>8.9700000000000006</v>
      </c>
      <c r="E50" s="37">
        <v>9.4700000000000006</v>
      </c>
      <c r="F50" s="37">
        <v>4.97</v>
      </c>
      <c r="G50" s="37">
        <v>6.57</v>
      </c>
      <c r="H50" s="37">
        <v>4.97</v>
      </c>
      <c r="I50" s="37">
        <v>6.38</v>
      </c>
      <c r="J50" s="37">
        <v>6.69</v>
      </c>
      <c r="K50" s="37">
        <v>6.17</v>
      </c>
      <c r="L50" s="37">
        <v>5.56</v>
      </c>
      <c r="M50" s="37">
        <v>5.45</v>
      </c>
    </row>
    <row r="51" spans="1:13" ht="15.6" x14ac:dyDescent="0.3">
      <c r="A51" s="132"/>
      <c r="B51" s="20" t="s">
        <v>103</v>
      </c>
      <c r="C51" s="32">
        <v>5.42</v>
      </c>
      <c r="D51" s="32">
        <v>8.77</v>
      </c>
      <c r="E51" s="32">
        <v>9.1999999999999993</v>
      </c>
      <c r="F51" s="32">
        <v>4.8600000000000003</v>
      </c>
      <c r="G51" s="32">
        <v>6.38</v>
      </c>
      <c r="H51" s="32">
        <v>4.8600000000000003</v>
      </c>
      <c r="I51" s="32">
        <v>6.24</v>
      </c>
      <c r="J51" s="32">
        <v>6.5</v>
      </c>
      <c r="K51" s="32">
        <v>6.01</v>
      </c>
      <c r="L51" s="32">
        <v>5.44</v>
      </c>
      <c r="M51" s="32">
        <v>5.29</v>
      </c>
    </row>
    <row r="52" spans="1:13" ht="15.6" x14ac:dyDescent="0.3">
      <c r="A52" s="132"/>
      <c r="B52" s="38" t="s">
        <v>104</v>
      </c>
      <c r="C52" s="26">
        <f t="shared" ref="C52:M52" si="12">IF(OR(C50="",C51=""),"",C51/C50)</f>
        <v>0.97833935018050544</v>
      </c>
      <c r="D52" s="26">
        <f t="shared" si="12"/>
        <v>0.9777034559643254</v>
      </c>
      <c r="E52" s="26">
        <f t="shared" si="12"/>
        <v>0.9714889123548045</v>
      </c>
      <c r="F52" s="26">
        <f t="shared" si="12"/>
        <v>0.97786720321931597</v>
      </c>
      <c r="G52" s="26">
        <f t="shared" si="12"/>
        <v>0.97108066971080664</v>
      </c>
      <c r="H52" s="26">
        <f t="shared" si="12"/>
        <v>0.97786720321931597</v>
      </c>
      <c r="I52" s="26">
        <f t="shared" si="12"/>
        <v>0.9780564263322884</v>
      </c>
      <c r="J52" s="26">
        <f t="shared" si="12"/>
        <v>0.97159940209267559</v>
      </c>
      <c r="K52" s="26">
        <f t="shared" si="12"/>
        <v>0.97406807131280382</v>
      </c>
      <c r="L52" s="26">
        <f t="shared" si="12"/>
        <v>0.97841726618705049</v>
      </c>
      <c r="M52" s="26">
        <f t="shared" si="12"/>
        <v>0.97064220183486238</v>
      </c>
    </row>
    <row r="53" spans="1:13" ht="15.6" x14ac:dyDescent="0.3">
      <c r="A53" s="132">
        <v>100</v>
      </c>
      <c r="B53" s="30" t="s">
        <v>102</v>
      </c>
      <c r="C53" s="37">
        <v>7.66</v>
      </c>
      <c r="D53" s="37">
        <v>12.4</v>
      </c>
      <c r="E53" s="37">
        <v>13.1</v>
      </c>
      <c r="F53" s="37">
        <v>6.87</v>
      </c>
      <c r="G53" s="37">
        <v>9.08</v>
      </c>
      <c r="H53" s="37">
        <v>6.87</v>
      </c>
      <c r="I53" s="37">
        <v>8.81</v>
      </c>
      <c r="J53" s="37">
        <v>9.25</v>
      </c>
      <c r="K53" s="37">
        <v>8.5299999999999994</v>
      </c>
      <c r="L53" s="37">
        <v>7.69</v>
      </c>
      <c r="M53" s="37">
        <v>7.53</v>
      </c>
    </row>
    <row r="54" spans="1:13" ht="15.6" x14ac:dyDescent="0.3">
      <c r="A54" s="132"/>
      <c r="B54" s="20" t="s">
        <v>103</v>
      </c>
      <c r="C54" s="32">
        <v>7.48</v>
      </c>
      <c r="D54" s="32">
        <v>12.1</v>
      </c>
      <c r="E54" s="32">
        <v>12.7</v>
      </c>
      <c r="F54" s="32">
        <v>6.71</v>
      </c>
      <c r="G54" s="32">
        <v>8.81</v>
      </c>
      <c r="H54" s="32">
        <v>6.71</v>
      </c>
      <c r="I54" s="32">
        <v>8.6</v>
      </c>
      <c r="J54" s="32">
        <v>8.98</v>
      </c>
      <c r="K54" s="32">
        <v>8.3000000000000007</v>
      </c>
      <c r="L54" s="32">
        <v>7.51</v>
      </c>
      <c r="M54" s="32">
        <v>7.31</v>
      </c>
    </row>
    <row r="55" spans="1:13" ht="15.6" x14ac:dyDescent="0.3">
      <c r="A55" s="132"/>
      <c r="B55" s="38" t="s">
        <v>104</v>
      </c>
      <c r="C55" s="26">
        <f t="shared" ref="C55:M55" si="13">IF(OR(C53="",C54=""),"",C54/C53)</f>
        <v>0.97650130548302871</v>
      </c>
      <c r="D55" s="26">
        <f t="shared" si="13"/>
        <v>0.97580645161290314</v>
      </c>
      <c r="E55" s="26">
        <f t="shared" si="13"/>
        <v>0.96946564885496178</v>
      </c>
      <c r="F55" s="26">
        <f t="shared" si="13"/>
        <v>0.97671033478893743</v>
      </c>
      <c r="G55" s="26">
        <f t="shared" si="13"/>
        <v>0.97026431718061679</v>
      </c>
      <c r="H55" s="26">
        <f t="shared" si="13"/>
        <v>0.97671033478893743</v>
      </c>
      <c r="I55" s="26">
        <f t="shared" si="13"/>
        <v>0.97616345062429044</v>
      </c>
      <c r="J55" s="26">
        <f t="shared" si="13"/>
        <v>0.97081081081081089</v>
      </c>
      <c r="K55" s="26">
        <f t="shared" si="13"/>
        <v>0.97303634232121938</v>
      </c>
      <c r="L55" s="26">
        <f t="shared" si="13"/>
        <v>0.97659297789336796</v>
      </c>
      <c r="M55" s="26">
        <f t="shared" si="13"/>
        <v>0.9707835325365205</v>
      </c>
    </row>
    <row r="56" spans="1:13" ht="15.6" x14ac:dyDescent="0.3">
      <c r="A56" s="132">
        <v>110</v>
      </c>
      <c r="B56" s="30" t="s">
        <v>102</v>
      </c>
      <c r="C56" s="37">
        <v>10.3</v>
      </c>
      <c r="D56" s="37">
        <v>16.7</v>
      </c>
      <c r="E56" s="37">
        <v>17.600000000000001</v>
      </c>
      <c r="F56" s="37">
        <v>9.26</v>
      </c>
      <c r="G56" s="37">
        <v>12.2</v>
      </c>
      <c r="H56" s="37">
        <v>9.26</v>
      </c>
      <c r="I56" s="37">
        <v>11.9</v>
      </c>
      <c r="J56" s="37">
        <v>12.5</v>
      </c>
      <c r="K56" s="37">
        <v>11.5</v>
      </c>
      <c r="L56" s="37">
        <v>10.4</v>
      </c>
      <c r="M56" s="37">
        <v>10.1</v>
      </c>
    </row>
    <row r="57" spans="1:13" ht="15.6" x14ac:dyDescent="0.3">
      <c r="A57" s="132"/>
      <c r="B57" s="20" t="s">
        <v>103</v>
      </c>
      <c r="C57" s="32">
        <v>10.1</v>
      </c>
      <c r="D57" s="32">
        <v>16.3</v>
      </c>
      <c r="E57" s="32">
        <v>17.100000000000001</v>
      </c>
      <c r="F57" s="32">
        <v>9.0299999999999994</v>
      </c>
      <c r="G57" s="32">
        <v>11.9</v>
      </c>
      <c r="H57" s="32">
        <v>9.0299999999999994</v>
      </c>
      <c r="I57" s="32">
        <v>11.6</v>
      </c>
      <c r="J57" s="32">
        <v>12.1</v>
      </c>
      <c r="K57" s="32">
        <v>11.2</v>
      </c>
      <c r="L57" s="32">
        <v>10.1</v>
      </c>
      <c r="M57" s="32">
        <v>9.83</v>
      </c>
    </row>
    <row r="58" spans="1:13" ht="15.6" x14ac:dyDescent="0.3">
      <c r="A58" s="132"/>
      <c r="B58" s="38" t="s">
        <v>104</v>
      </c>
      <c r="C58" s="26">
        <f t="shared" ref="C58:M58" si="14">IF(OR(C56="",C57=""),"",C57/C56)</f>
        <v>0.98058252427184456</v>
      </c>
      <c r="D58" s="26">
        <f t="shared" si="14"/>
        <v>0.9760479041916168</v>
      </c>
      <c r="E58" s="26">
        <f t="shared" si="14"/>
        <v>0.97159090909090906</v>
      </c>
      <c r="F58" s="26">
        <f t="shared" si="14"/>
        <v>0.97516198704103663</v>
      </c>
      <c r="G58" s="26">
        <f t="shared" si="14"/>
        <v>0.97540983606557385</v>
      </c>
      <c r="H58" s="26">
        <f t="shared" si="14"/>
        <v>0.97516198704103663</v>
      </c>
      <c r="I58" s="26">
        <f t="shared" si="14"/>
        <v>0.97478991596638653</v>
      </c>
      <c r="J58" s="26">
        <f t="shared" si="14"/>
        <v>0.96799999999999997</v>
      </c>
      <c r="K58" s="26">
        <f t="shared" si="14"/>
        <v>0.9739130434782608</v>
      </c>
      <c r="L58" s="26">
        <f t="shared" si="14"/>
        <v>0.97115384615384603</v>
      </c>
      <c r="M58" s="26">
        <f t="shared" si="14"/>
        <v>0.97326732673267335</v>
      </c>
    </row>
    <row r="59" spans="1:13" ht="15.6" x14ac:dyDescent="0.3">
      <c r="A59" s="132">
        <v>120</v>
      </c>
      <c r="B59" s="30" t="s">
        <v>102</v>
      </c>
      <c r="C59" s="37">
        <v>12.9</v>
      </c>
      <c r="D59" s="37">
        <v>20.9</v>
      </c>
      <c r="E59" s="37">
        <v>22.1</v>
      </c>
      <c r="F59" s="37">
        <v>11.6</v>
      </c>
      <c r="G59" s="37">
        <v>15.3</v>
      </c>
      <c r="H59" s="37">
        <v>11.6</v>
      </c>
      <c r="I59" s="37">
        <v>14.9</v>
      </c>
      <c r="J59" s="37">
        <v>15.6</v>
      </c>
      <c r="K59" s="37">
        <v>14.4</v>
      </c>
      <c r="L59" s="37">
        <v>13</v>
      </c>
      <c r="M59" s="37">
        <v>12.7</v>
      </c>
    </row>
    <row r="60" spans="1:13" ht="15.6" x14ac:dyDescent="0.3">
      <c r="A60" s="132"/>
      <c r="B60" s="20" t="s">
        <v>103</v>
      </c>
      <c r="C60" s="32">
        <v>12.6</v>
      </c>
      <c r="D60" s="32">
        <v>20.399999999999999</v>
      </c>
      <c r="E60" s="32">
        <v>21.4</v>
      </c>
      <c r="F60" s="32">
        <v>11.3</v>
      </c>
      <c r="G60" s="32">
        <v>14.9</v>
      </c>
      <c r="H60" s="32">
        <v>11.3</v>
      </c>
      <c r="I60" s="32">
        <v>14.5</v>
      </c>
      <c r="J60" s="32">
        <v>15.1</v>
      </c>
      <c r="K60" s="32">
        <v>14</v>
      </c>
      <c r="L60" s="32">
        <v>12.7</v>
      </c>
      <c r="M60" s="32">
        <v>12.3</v>
      </c>
    </row>
    <row r="61" spans="1:13" ht="15.6" x14ac:dyDescent="0.3">
      <c r="A61" s="132"/>
      <c r="B61" s="38" t="s">
        <v>104</v>
      </c>
      <c r="C61" s="26">
        <f t="shared" ref="C61:M61" si="15">IF(OR(C59="",C60=""),"",C60/C59)</f>
        <v>0.97674418604651159</v>
      </c>
      <c r="D61" s="26">
        <f t="shared" si="15"/>
        <v>0.97607655502392343</v>
      </c>
      <c r="E61" s="26">
        <f t="shared" si="15"/>
        <v>0.96832579185520351</v>
      </c>
      <c r="F61" s="26">
        <f t="shared" si="15"/>
        <v>0.97413793103448287</v>
      </c>
      <c r="G61" s="26">
        <f t="shared" si="15"/>
        <v>0.97385620915032678</v>
      </c>
      <c r="H61" s="26">
        <f t="shared" si="15"/>
        <v>0.97413793103448287</v>
      </c>
      <c r="I61" s="26">
        <f t="shared" si="15"/>
        <v>0.97315436241610731</v>
      </c>
      <c r="J61" s="26">
        <f t="shared" si="15"/>
        <v>0.96794871794871795</v>
      </c>
      <c r="K61" s="26">
        <f t="shared" si="15"/>
        <v>0.97222222222222221</v>
      </c>
      <c r="L61" s="26">
        <f t="shared" si="15"/>
        <v>0.97692307692307689</v>
      </c>
      <c r="M61" s="26">
        <f t="shared" si="15"/>
        <v>0.96850393700787407</v>
      </c>
    </row>
    <row r="62" spans="1:13" ht="15.6" x14ac:dyDescent="0.3">
      <c r="A62" s="132">
        <v>130</v>
      </c>
      <c r="B62" s="30" t="s">
        <v>102</v>
      </c>
      <c r="C62" s="37">
        <v>15.7</v>
      </c>
      <c r="D62" s="37">
        <v>25.4</v>
      </c>
      <c r="E62" s="37">
        <v>26.8</v>
      </c>
      <c r="F62" s="37">
        <v>14.1</v>
      </c>
      <c r="G62" s="37">
        <v>18.600000000000001</v>
      </c>
      <c r="H62" s="37">
        <v>14.1</v>
      </c>
      <c r="I62" s="37">
        <v>18.100000000000001</v>
      </c>
      <c r="J62" s="37">
        <v>19</v>
      </c>
      <c r="K62" s="37">
        <v>17.5</v>
      </c>
      <c r="L62" s="37">
        <v>15.8</v>
      </c>
      <c r="M62" s="37">
        <v>15.4</v>
      </c>
    </row>
    <row r="63" spans="1:13" ht="15.6" x14ac:dyDescent="0.3">
      <c r="A63" s="132"/>
      <c r="B63" s="20" t="s">
        <v>103</v>
      </c>
      <c r="C63" s="32">
        <v>15.4</v>
      </c>
      <c r="D63" s="32">
        <v>24.9</v>
      </c>
      <c r="E63" s="32">
        <v>26.1</v>
      </c>
      <c r="F63" s="32">
        <v>13.8</v>
      </c>
      <c r="G63" s="32">
        <v>18.100000000000001</v>
      </c>
      <c r="H63" s="32">
        <v>13.8</v>
      </c>
      <c r="I63" s="32">
        <v>17.7</v>
      </c>
      <c r="J63" s="32">
        <v>18.5</v>
      </c>
      <c r="K63" s="32">
        <v>17.100000000000001</v>
      </c>
      <c r="L63" s="32">
        <v>15.4</v>
      </c>
      <c r="M63" s="32">
        <v>15</v>
      </c>
    </row>
    <row r="64" spans="1:13" ht="15.6" x14ac:dyDescent="0.3">
      <c r="A64" s="132"/>
      <c r="B64" s="38" t="s">
        <v>104</v>
      </c>
      <c r="C64" s="26">
        <f t="shared" ref="C64:M64" si="16">IF(OR(C62="",C63=""),"",C63/C62)</f>
        <v>0.98089171974522305</v>
      </c>
      <c r="D64" s="26">
        <f t="shared" si="16"/>
        <v>0.98031496062992129</v>
      </c>
      <c r="E64" s="26">
        <f t="shared" si="16"/>
        <v>0.97388059701492535</v>
      </c>
      <c r="F64" s="26">
        <f t="shared" si="16"/>
        <v>0.97872340425531923</v>
      </c>
      <c r="G64" s="26">
        <f t="shared" si="16"/>
        <v>0.9731182795698925</v>
      </c>
      <c r="H64" s="26">
        <f t="shared" si="16"/>
        <v>0.97872340425531923</v>
      </c>
      <c r="I64" s="26">
        <f t="shared" si="16"/>
        <v>0.97790055248618768</v>
      </c>
      <c r="J64" s="26">
        <f t="shared" si="16"/>
        <v>0.97368421052631582</v>
      </c>
      <c r="K64" s="26">
        <f t="shared" si="16"/>
        <v>0.9771428571428572</v>
      </c>
      <c r="L64" s="26">
        <f t="shared" si="16"/>
        <v>0.97468354430379744</v>
      </c>
      <c r="M64" s="26">
        <f t="shared" si="16"/>
        <v>0.97402597402597402</v>
      </c>
    </row>
    <row r="65" spans="1:13" ht="15.6" x14ac:dyDescent="0.3">
      <c r="A65" s="132">
        <v>140</v>
      </c>
      <c r="B65" s="30" t="s">
        <v>102</v>
      </c>
      <c r="C65" s="37">
        <v>18.8</v>
      </c>
      <c r="D65" s="37">
        <v>30.5</v>
      </c>
      <c r="E65" s="37">
        <v>32.299999999999997</v>
      </c>
      <c r="F65" s="37">
        <v>16.899999999999999</v>
      </c>
      <c r="G65" s="37">
        <v>22.4</v>
      </c>
      <c r="H65" s="37">
        <v>16.899999999999999</v>
      </c>
      <c r="I65" s="37">
        <v>21.7</v>
      </c>
      <c r="J65" s="37">
        <v>22.8</v>
      </c>
      <c r="K65" s="37">
        <v>21</v>
      </c>
      <c r="L65" s="37">
        <v>18.899999999999999</v>
      </c>
      <c r="M65" s="37">
        <v>18.5</v>
      </c>
    </row>
    <row r="66" spans="1:13" ht="15.6" x14ac:dyDescent="0.3">
      <c r="A66" s="132"/>
      <c r="B66" s="20" t="s">
        <v>103</v>
      </c>
      <c r="C66" s="32">
        <v>18.399999999999999</v>
      </c>
      <c r="D66" s="32">
        <v>29.8</v>
      </c>
      <c r="E66" s="32">
        <v>31.4</v>
      </c>
      <c r="F66" s="32">
        <v>16.5</v>
      </c>
      <c r="G66" s="32">
        <v>21.8</v>
      </c>
      <c r="H66" s="32">
        <v>16.5</v>
      </c>
      <c r="I66" s="32">
        <v>21.2</v>
      </c>
      <c r="J66" s="32">
        <v>22.2</v>
      </c>
      <c r="K66" s="32">
        <v>20.5</v>
      </c>
      <c r="L66" s="32">
        <v>18.5</v>
      </c>
      <c r="M66" s="32">
        <v>18</v>
      </c>
    </row>
    <row r="67" spans="1:13" ht="15.6" x14ac:dyDescent="0.3">
      <c r="A67" s="132"/>
      <c r="B67" s="38" t="s">
        <v>104</v>
      </c>
      <c r="C67" s="26">
        <f t="shared" ref="C67:M67" si="17">IF(OR(C65="",C66=""),"",C66/C65)</f>
        <v>0.97872340425531901</v>
      </c>
      <c r="D67" s="26">
        <f t="shared" si="17"/>
        <v>0.97704918032786892</v>
      </c>
      <c r="E67" s="26">
        <f t="shared" si="17"/>
        <v>0.97213622291021673</v>
      </c>
      <c r="F67" s="26">
        <f t="shared" si="17"/>
        <v>0.97633136094674566</v>
      </c>
      <c r="G67" s="26">
        <f t="shared" si="17"/>
        <v>0.97321428571428581</v>
      </c>
      <c r="H67" s="26">
        <f t="shared" si="17"/>
        <v>0.97633136094674566</v>
      </c>
      <c r="I67" s="26">
        <f t="shared" si="17"/>
        <v>0.97695852534562211</v>
      </c>
      <c r="J67" s="26">
        <f t="shared" si="17"/>
        <v>0.97368421052631571</v>
      </c>
      <c r="K67" s="26">
        <f t="shared" si="17"/>
        <v>0.97619047619047616</v>
      </c>
      <c r="L67" s="26">
        <f t="shared" si="17"/>
        <v>0.97883597883597895</v>
      </c>
      <c r="M67" s="26">
        <f t="shared" si="17"/>
        <v>0.97297297297297303</v>
      </c>
    </row>
    <row r="68" spans="1:13" ht="15.6" x14ac:dyDescent="0.3">
      <c r="A68" s="132" t="s">
        <v>145</v>
      </c>
      <c r="B68" s="30" t="s">
        <v>102</v>
      </c>
      <c r="C68" s="37">
        <v>1.45</v>
      </c>
      <c r="D68" s="37">
        <v>2.35</v>
      </c>
      <c r="E68" s="37">
        <v>2.4900000000000002</v>
      </c>
      <c r="F68" s="37">
        <v>1.3</v>
      </c>
      <c r="G68" s="37">
        <v>1.73</v>
      </c>
      <c r="H68" s="37">
        <v>1.3</v>
      </c>
      <c r="I68" s="37">
        <v>1.67</v>
      </c>
      <c r="J68" s="37">
        <v>1.76</v>
      </c>
      <c r="K68" s="37">
        <v>1.62</v>
      </c>
      <c r="L68" s="37">
        <v>1.46</v>
      </c>
      <c r="M68" s="37">
        <v>1.43</v>
      </c>
    </row>
    <row r="69" spans="1:13" ht="15.6" x14ac:dyDescent="0.3">
      <c r="A69" s="132"/>
      <c r="B69" s="20" t="s">
        <v>103</v>
      </c>
      <c r="C69" s="32">
        <v>1.4</v>
      </c>
      <c r="D69" s="32">
        <v>2.27</v>
      </c>
      <c r="E69" s="32">
        <v>2.4</v>
      </c>
      <c r="F69" s="32">
        <v>1.26</v>
      </c>
      <c r="G69" s="32">
        <v>1.66</v>
      </c>
      <c r="H69" s="32">
        <v>1.26</v>
      </c>
      <c r="I69" s="32">
        <v>1.61</v>
      </c>
      <c r="J69" s="32">
        <v>1.69</v>
      </c>
      <c r="K69" s="32">
        <v>1.56</v>
      </c>
      <c r="L69" s="32">
        <v>1.41</v>
      </c>
      <c r="M69" s="32">
        <v>1.38</v>
      </c>
    </row>
    <row r="70" spans="1:13" ht="15.6" x14ac:dyDescent="0.3">
      <c r="A70" s="132"/>
      <c r="B70" s="38" t="s">
        <v>104</v>
      </c>
      <c r="C70" s="26">
        <f t="shared" ref="C70:M70" si="18">IF(OR(C68="",C69=""),"",C69/C68)</f>
        <v>0.96551724137931028</v>
      </c>
      <c r="D70" s="26">
        <f t="shared" si="18"/>
        <v>0.96595744680851059</v>
      </c>
      <c r="E70" s="26">
        <f t="shared" si="18"/>
        <v>0.96385542168674687</v>
      </c>
      <c r="F70" s="26">
        <f t="shared" si="18"/>
        <v>0.96923076923076923</v>
      </c>
      <c r="G70" s="26">
        <f t="shared" si="18"/>
        <v>0.95953757225433522</v>
      </c>
      <c r="H70" s="26">
        <f t="shared" si="18"/>
        <v>0.96923076923076923</v>
      </c>
      <c r="I70" s="26">
        <f t="shared" si="18"/>
        <v>0.9640718562874252</v>
      </c>
      <c r="J70" s="26">
        <f t="shared" si="18"/>
        <v>0.96022727272727271</v>
      </c>
      <c r="K70" s="26">
        <f t="shared" si="18"/>
        <v>0.96296296296296291</v>
      </c>
      <c r="L70" s="26">
        <f t="shared" si="18"/>
        <v>0.96575342465753422</v>
      </c>
      <c r="M70" s="26">
        <f t="shared" si="18"/>
        <v>0.965034965034965</v>
      </c>
    </row>
    <row r="71" spans="1:13" ht="15.6" x14ac:dyDescent="0.3">
      <c r="A71" s="132" t="s">
        <v>146</v>
      </c>
      <c r="B71" s="30" t="s">
        <v>102</v>
      </c>
      <c r="C71" s="37">
        <v>6.16</v>
      </c>
      <c r="D71" s="37">
        <v>9.9700000000000006</v>
      </c>
      <c r="E71" s="37">
        <v>10.6</v>
      </c>
      <c r="F71" s="37">
        <v>5.52</v>
      </c>
      <c r="G71" s="37">
        <v>7.35</v>
      </c>
      <c r="H71" s="37">
        <v>5.52</v>
      </c>
      <c r="I71" s="37">
        <v>7.09</v>
      </c>
      <c r="J71" s="37">
        <v>7.49</v>
      </c>
      <c r="K71" s="37">
        <v>6.88</v>
      </c>
      <c r="L71" s="37">
        <v>6.19</v>
      </c>
      <c r="M71" s="37">
        <v>6.09</v>
      </c>
    </row>
    <row r="72" spans="1:13" ht="15.6" x14ac:dyDescent="0.3">
      <c r="A72" s="132"/>
      <c r="B72" s="20" t="s">
        <v>103</v>
      </c>
      <c r="C72" s="32">
        <v>6.06</v>
      </c>
      <c r="D72" s="32">
        <v>9.8000000000000007</v>
      </c>
      <c r="E72" s="32">
        <v>10.4</v>
      </c>
      <c r="F72" s="32">
        <v>5.43</v>
      </c>
      <c r="G72" s="32">
        <v>7.2</v>
      </c>
      <c r="H72" s="32">
        <v>5.43</v>
      </c>
      <c r="I72" s="32">
        <v>6.97</v>
      </c>
      <c r="J72" s="32">
        <v>7.34</v>
      </c>
      <c r="K72" s="32">
        <v>6.75</v>
      </c>
      <c r="L72" s="32">
        <v>6.08</v>
      </c>
      <c r="M72" s="32">
        <v>5.97</v>
      </c>
    </row>
    <row r="73" spans="1:13" ht="15.6" x14ac:dyDescent="0.3">
      <c r="A73" s="132"/>
      <c r="B73" s="38" t="s">
        <v>104</v>
      </c>
      <c r="C73" s="26">
        <f t="shared" ref="C73:M73" si="19">IF(OR(C71="",C72=""),"",C72/C71)</f>
        <v>0.98376623376623373</v>
      </c>
      <c r="D73" s="26">
        <f t="shared" si="19"/>
        <v>0.98294884653961889</v>
      </c>
      <c r="E73" s="26">
        <f t="shared" si="19"/>
        <v>0.98113207547169823</v>
      </c>
      <c r="F73" s="26">
        <f t="shared" si="19"/>
        <v>0.98369565217391308</v>
      </c>
      <c r="G73" s="26">
        <f t="shared" si="19"/>
        <v>0.97959183673469397</v>
      </c>
      <c r="H73" s="26">
        <f t="shared" si="19"/>
        <v>0.98369565217391308</v>
      </c>
      <c r="I73" s="26">
        <f t="shared" si="19"/>
        <v>0.98307475317348381</v>
      </c>
      <c r="J73" s="26">
        <f t="shared" si="19"/>
        <v>0.97997329773030706</v>
      </c>
      <c r="K73" s="26">
        <f t="shared" si="19"/>
        <v>0.98110465116279066</v>
      </c>
      <c r="L73" s="26">
        <f t="shared" si="19"/>
        <v>0.9822294022617124</v>
      </c>
      <c r="M73" s="26">
        <f t="shared" si="19"/>
        <v>0.98029556650246308</v>
      </c>
    </row>
    <row r="75" spans="1:13" ht="15.6" x14ac:dyDescent="0.3">
      <c r="A75" s="9" t="s">
        <v>148</v>
      </c>
    </row>
    <row r="76" spans="1:13" ht="15.6" x14ac:dyDescent="0.3">
      <c r="B76" s="15" t="s">
        <v>100</v>
      </c>
      <c r="C76" s="31" t="s">
        <v>13</v>
      </c>
      <c r="D76" s="31" t="s">
        <v>26</v>
      </c>
      <c r="E76" s="31" t="s">
        <v>34</v>
      </c>
      <c r="F76" s="31" t="s">
        <v>14</v>
      </c>
      <c r="G76" s="31" t="s">
        <v>15</v>
      </c>
      <c r="H76" s="31" t="s">
        <v>18</v>
      </c>
      <c r="I76" s="31" t="s">
        <v>20</v>
      </c>
      <c r="J76" s="31" t="s">
        <v>16</v>
      </c>
      <c r="K76" s="31" t="s">
        <v>21</v>
      </c>
      <c r="L76" s="31" t="s">
        <v>20</v>
      </c>
      <c r="M76" s="31" t="s">
        <v>22</v>
      </c>
    </row>
    <row r="77" spans="1:13" ht="15.6" x14ac:dyDescent="0.3">
      <c r="B77" s="18" t="s">
        <v>114</v>
      </c>
      <c r="C77" s="32">
        <v>2</v>
      </c>
      <c r="D77" s="32">
        <v>3.6</v>
      </c>
      <c r="E77" s="32">
        <v>4.8</v>
      </c>
      <c r="F77" s="32">
        <v>5</v>
      </c>
      <c r="G77" s="32">
        <v>6</v>
      </c>
      <c r="H77" s="32">
        <v>10</v>
      </c>
      <c r="I77" s="32">
        <v>14.4</v>
      </c>
      <c r="J77" s="32">
        <v>12</v>
      </c>
      <c r="K77" s="32">
        <v>19.2</v>
      </c>
      <c r="L77" s="32">
        <v>14.4</v>
      </c>
      <c r="M77" s="32">
        <v>38.4</v>
      </c>
    </row>
    <row r="78" spans="1:13" ht="15.6" x14ac:dyDescent="0.3">
      <c r="B78" s="18" t="s">
        <v>101</v>
      </c>
      <c r="C78" s="32" t="s">
        <v>13</v>
      </c>
      <c r="D78" s="32" t="s">
        <v>26</v>
      </c>
      <c r="E78" s="32" t="s">
        <v>31</v>
      </c>
      <c r="F78" s="32" t="s">
        <v>14</v>
      </c>
      <c r="G78" s="32" t="s">
        <v>16</v>
      </c>
      <c r="H78" s="32" t="s">
        <v>18</v>
      </c>
      <c r="I78" s="32" t="s">
        <v>20</v>
      </c>
      <c r="J78" s="32" t="s">
        <v>19</v>
      </c>
      <c r="K78" s="32" t="s">
        <v>22</v>
      </c>
      <c r="L78" s="32" t="s">
        <v>20</v>
      </c>
      <c r="M78" s="32" t="s">
        <v>40</v>
      </c>
    </row>
    <row r="79" spans="1:13" ht="15.6" x14ac:dyDescent="0.3">
      <c r="B79" s="33" t="s">
        <v>115</v>
      </c>
      <c r="C79" s="40"/>
      <c r="D79" s="40"/>
      <c r="E79" s="40" t="s">
        <v>121</v>
      </c>
      <c r="F79" s="40"/>
      <c r="G79" s="40" t="s">
        <v>121</v>
      </c>
      <c r="H79" s="40"/>
      <c r="I79" s="40"/>
      <c r="J79" s="40" t="s">
        <v>121</v>
      </c>
      <c r="K79" s="40" t="s">
        <v>121</v>
      </c>
      <c r="L79" s="40"/>
      <c r="M79" s="40"/>
    </row>
    <row r="80" spans="1:13" ht="15.6" x14ac:dyDescent="0.3">
      <c r="A80" s="7" t="s">
        <v>6</v>
      </c>
      <c r="B80" s="35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</row>
    <row r="81" spans="1:13" ht="15.6" x14ac:dyDescent="0.3">
      <c r="A81" s="132">
        <v>70</v>
      </c>
      <c r="B81" s="30" t="s">
        <v>102</v>
      </c>
      <c r="C81" s="37">
        <v>0.5</v>
      </c>
      <c r="D81" s="37">
        <v>0.81</v>
      </c>
      <c r="E81" s="37">
        <v>0.86</v>
      </c>
      <c r="F81" s="37">
        <v>0.45</v>
      </c>
      <c r="G81" s="37">
        <v>0.6</v>
      </c>
      <c r="H81" s="37">
        <v>0.45</v>
      </c>
      <c r="I81" s="37">
        <v>0.57999999999999996</v>
      </c>
      <c r="J81" s="37">
        <v>0.61</v>
      </c>
      <c r="K81" s="37">
        <v>0.56000000000000005</v>
      </c>
      <c r="L81" s="37">
        <v>0.5</v>
      </c>
      <c r="M81" s="37">
        <v>0.49</v>
      </c>
    </row>
    <row r="82" spans="1:13" ht="15.6" x14ac:dyDescent="0.3">
      <c r="A82" s="132"/>
      <c r="B82" s="20" t="s">
        <v>103</v>
      </c>
      <c r="C82" s="32">
        <v>0.82</v>
      </c>
      <c r="D82" s="32">
        <v>1.33</v>
      </c>
      <c r="E82" s="32">
        <v>1.39</v>
      </c>
      <c r="F82" s="32">
        <v>0.74</v>
      </c>
      <c r="G82" s="32">
        <v>0.97</v>
      </c>
      <c r="H82" s="32">
        <v>0.74</v>
      </c>
      <c r="I82" s="32">
        <v>0.94</v>
      </c>
      <c r="J82" s="32">
        <v>0.98</v>
      </c>
      <c r="K82" s="32">
        <v>0.91</v>
      </c>
      <c r="L82" s="32">
        <v>0.82</v>
      </c>
      <c r="M82" s="32">
        <v>0.8</v>
      </c>
    </row>
    <row r="83" spans="1:13" ht="15.6" x14ac:dyDescent="0.3">
      <c r="A83" s="132"/>
      <c r="B83" s="38" t="s">
        <v>104</v>
      </c>
      <c r="C83" s="26">
        <f t="shared" ref="C83:M83" si="20">IF(OR(C81="",C82=""),"",C82/C81)</f>
        <v>1.64</v>
      </c>
      <c r="D83" s="26">
        <f t="shared" si="20"/>
        <v>1.6419753086419753</v>
      </c>
      <c r="E83" s="26">
        <f t="shared" si="20"/>
        <v>1.6162790697674418</v>
      </c>
      <c r="F83" s="26">
        <f t="shared" si="20"/>
        <v>1.6444444444444444</v>
      </c>
      <c r="G83" s="26">
        <f t="shared" si="20"/>
        <v>1.6166666666666667</v>
      </c>
      <c r="H83" s="26">
        <f t="shared" si="20"/>
        <v>1.6444444444444444</v>
      </c>
      <c r="I83" s="26">
        <f t="shared" si="20"/>
        <v>1.6206896551724139</v>
      </c>
      <c r="J83" s="26">
        <f t="shared" si="20"/>
        <v>1.6065573770491803</v>
      </c>
      <c r="K83" s="26">
        <f t="shared" si="20"/>
        <v>1.625</v>
      </c>
      <c r="L83" s="26">
        <f t="shared" si="20"/>
        <v>1.64</v>
      </c>
      <c r="M83" s="26">
        <f t="shared" si="20"/>
        <v>1.6326530612244898</v>
      </c>
    </row>
    <row r="84" spans="1:13" ht="15.6" x14ac:dyDescent="0.3">
      <c r="A84" s="132">
        <v>80</v>
      </c>
      <c r="B84" s="30" t="s">
        <v>102</v>
      </c>
      <c r="C84" s="37">
        <v>0.91</v>
      </c>
      <c r="D84" s="37">
        <v>1.48</v>
      </c>
      <c r="E84" s="37">
        <v>1.56</v>
      </c>
      <c r="F84" s="37">
        <v>0.82</v>
      </c>
      <c r="G84" s="37">
        <v>1.08</v>
      </c>
      <c r="H84" s="37">
        <v>0.82</v>
      </c>
      <c r="I84" s="37">
        <v>1.05</v>
      </c>
      <c r="J84" s="37">
        <v>1.1100000000000001</v>
      </c>
      <c r="K84" s="37">
        <v>1.02</v>
      </c>
      <c r="L84" s="37">
        <v>0.92</v>
      </c>
      <c r="M84" s="37">
        <v>0.9</v>
      </c>
    </row>
    <row r="85" spans="1:13" ht="15.6" x14ac:dyDescent="0.3">
      <c r="A85" s="132"/>
      <c r="B85" s="20" t="s">
        <v>103</v>
      </c>
      <c r="C85" s="32">
        <v>1.41</v>
      </c>
      <c r="D85" s="32">
        <v>2.2799999999999998</v>
      </c>
      <c r="E85" s="32">
        <v>2.38</v>
      </c>
      <c r="F85" s="32">
        <v>1.26</v>
      </c>
      <c r="G85" s="32">
        <v>1.65</v>
      </c>
      <c r="H85" s="32">
        <v>1.26</v>
      </c>
      <c r="I85" s="32">
        <v>1.62</v>
      </c>
      <c r="J85" s="32">
        <v>1.68</v>
      </c>
      <c r="K85" s="32">
        <v>1.56</v>
      </c>
      <c r="L85" s="32">
        <v>1.41</v>
      </c>
      <c r="M85" s="32">
        <v>1.37</v>
      </c>
    </row>
    <row r="86" spans="1:13" ht="15.6" x14ac:dyDescent="0.3">
      <c r="A86" s="132"/>
      <c r="B86" s="38" t="s">
        <v>104</v>
      </c>
      <c r="C86" s="26">
        <f t="shared" ref="C86:M86" si="21">IF(OR(C84="",C85=""),"",C85/C84)</f>
        <v>1.5494505494505493</v>
      </c>
      <c r="D86" s="26">
        <f t="shared" si="21"/>
        <v>1.5405405405405403</v>
      </c>
      <c r="E86" s="26">
        <f t="shared" si="21"/>
        <v>1.5256410256410255</v>
      </c>
      <c r="F86" s="26">
        <f t="shared" si="21"/>
        <v>1.5365853658536586</v>
      </c>
      <c r="G86" s="26">
        <f t="shared" si="21"/>
        <v>1.5277777777777777</v>
      </c>
      <c r="H86" s="26">
        <f t="shared" si="21"/>
        <v>1.5365853658536586</v>
      </c>
      <c r="I86" s="26">
        <f t="shared" si="21"/>
        <v>1.5428571428571429</v>
      </c>
      <c r="J86" s="26">
        <f t="shared" si="21"/>
        <v>1.5135135135135134</v>
      </c>
      <c r="K86" s="26">
        <f t="shared" si="21"/>
        <v>1.5294117647058825</v>
      </c>
      <c r="L86" s="26">
        <f t="shared" si="21"/>
        <v>1.5326086956521738</v>
      </c>
      <c r="M86" s="26">
        <f t="shared" si="21"/>
        <v>1.5222222222222224</v>
      </c>
    </row>
    <row r="87" spans="1:13" ht="15.6" x14ac:dyDescent="0.3">
      <c r="A87" s="132">
        <v>90</v>
      </c>
      <c r="B87" s="30" t="s">
        <v>102</v>
      </c>
      <c r="C87" s="37">
        <v>1.46</v>
      </c>
      <c r="D87" s="37">
        <v>2.36</v>
      </c>
      <c r="E87" s="37">
        <v>2.4900000000000002</v>
      </c>
      <c r="F87" s="37">
        <v>1.31</v>
      </c>
      <c r="G87" s="37">
        <v>1.73</v>
      </c>
      <c r="H87" s="37">
        <v>1.31</v>
      </c>
      <c r="I87" s="37">
        <v>1.68</v>
      </c>
      <c r="J87" s="37">
        <v>1.76</v>
      </c>
      <c r="K87" s="37">
        <v>1.62</v>
      </c>
      <c r="L87" s="37">
        <v>1.47</v>
      </c>
      <c r="M87" s="37">
        <v>1.43</v>
      </c>
    </row>
    <row r="88" spans="1:13" ht="15.6" x14ac:dyDescent="0.3">
      <c r="A88" s="132"/>
      <c r="B88" s="20" t="s">
        <v>103</v>
      </c>
      <c r="C88" s="32">
        <v>2.17</v>
      </c>
      <c r="D88" s="32">
        <v>3.51</v>
      </c>
      <c r="E88" s="32">
        <v>3.67</v>
      </c>
      <c r="F88" s="32">
        <v>1.95</v>
      </c>
      <c r="G88" s="32">
        <v>2.54</v>
      </c>
      <c r="H88" s="32">
        <v>1.95</v>
      </c>
      <c r="I88" s="32">
        <v>2.5</v>
      </c>
      <c r="J88" s="32">
        <v>2.59</v>
      </c>
      <c r="K88" s="32">
        <v>2.4</v>
      </c>
      <c r="L88" s="32">
        <v>2.1800000000000002</v>
      </c>
      <c r="M88" s="32">
        <v>2.11</v>
      </c>
    </row>
    <row r="89" spans="1:13" ht="15.6" x14ac:dyDescent="0.3">
      <c r="A89" s="132"/>
      <c r="B89" s="38" t="s">
        <v>104</v>
      </c>
      <c r="C89" s="26">
        <f t="shared" ref="C89:M89" si="22">IF(OR(C87="",C88=""),"",C88/C87)</f>
        <v>1.4863013698630136</v>
      </c>
      <c r="D89" s="26">
        <f t="shared" si="22"/>
        <v>1.4872881355932204</v>
      </c>
      <c r="E89" s="26">
        <f t="shared" si="22"/>
        <v>1.4738955823293172</v>
      </c>
      <c r="F89" s="26">
        <f t="shared" si="22"/>
        <v>1.4885496183206106</v>
      </c>
      <c r="G89" s="26">
        <f t="shared" si="22"/>
        <v>1.4682080924855492</v>
      </c>
      <c r="H89" s="26">
        <f t="shared" si="22"/>
        <v>1.4885496183206106</v>
      </c>
      <c r="I89" s="26">
        <f t="shared" si="22"/>
        <v>1.4880952380952381</v>
      </c>
      <c r="J89" s="26">
        <f t="shared" si="22"/>
        <v>1.4715909090909089</v>
      </c>
      <c r="K89" s="26">
        <f t="shared" si="22"/>
        <v>1.4814814814814814</v>
      </c>
      <c r="L89" s="26">
        <f t="shared" si="22"/>
        <v>1.4829931972789117</v>
      </c>
      <c r="M89" s="26">
        <f t="shared" si="22"/>
        <v>1.4755244755244754</v>
      </c>
    </row>
    <row r="90" spans="1:13" ht="15.6" x14ac:dyDescent="0.3">
      <c r="A90" s="132">
        <v>100</v>
      </c>
      <c r="B90" s="30" t="s">
        <v>102</v>
      </c>
      <c r="C90" s="37">
        <v>2.1</v>
      </c>
      <c r="D90" s="37">
        <v>3.4</v>
      </c>
      <c r="E90" s="37">
        <v>3.57</v>
      </c>
      <c r="F90" s="37">
        <v>1.89</v>
      </c>
      <c r="G90" s="37">
        <v>2.4900000000000002</v>
      </c>
      <c r="H90" s="37">
        <v>1.89</v>
      </c>
      <c r="I90" s="37">
        <v>2.42</v>
      </c>
      <c r="J90" s="37">
        <v>2.54</v>
      </c>
      <c r="K90" s="37">
        <v>2.34</v>
      </c>
      <c r="L90" s="37">
        <v>2.11</v>
      </c>
      <c r="M90" s="37">
        <v>2.0699999999999998</v>
      </c>
    </row>
    <row r="91" spans="1:13" ht="15.6" x14ac:dyDescent="0.3">
      <c r="A91" s="132"/>
      <c r="B91" s="20" t="s">
        <v>103</v>
      </c>
      <c r="C91" s="32">
        <v>3.04</v>
      </c>
      <c r="D91" s="32">
        <v>4.93</v>
      </c>
      <c r="E91" s="32">
        <v>5.15</v>
      </c>
      <c r="F91" s="32">
        <v>2.73</v>
      </c>
      <c r="G91" s="32">
        <v>3.57</v>
      </c>
      <c r="H91" s="32">
        <v>2.73</v>
      </c>
      <c r="I91" s="32">
        <v>3.5</v>
      </c>
      <c r="J91" s="32">
        <v>3.64</v>
      </c>
      <c r="K91" s="32">
        <v>3.37</v>
      </c>
      <c r="L91" s="32">
        <v>3.06</v>
      </c>
      <c r="M91" s="32">
        <v>2.96</v>
      </c>
    </row>
    <row r="92" spans="1:13" ht="15.6" x14ac:dyDescent="0.3">
      <c r="A92" s="132"/>
      <c r="B92" s="38" t="s">
        <v>104</v>
      </c>
      <c r="C92" s="26">
        <f t="shared" ref="C92:M92" si="23">IF(OR(C90="",C91=""),"",C91/C90)</f>
        <v>1.4476190476190476</v>
      </c>
      <c r="D92" s="26">
        <f t="shared" si="23"/>
        <v>1.45</v>
      </c>
      <c r="E92" s="26">
        <f t="shared" si="23"/>
        <v>1.4425770308123251</v>
      </c>
      <c r="F92" s="26">
        <f t="shared" si="23"/>
        <v>1.4444444444444444</v>
      </c>
      <c r="G92" s="26">
        <f t="shared" si="23"/>
        <v>1.433734939759036</v>
      </c>
      <c r="H92" s="26">
        <f t="shared" si="23"/>
        <v>1.4444444444444444</v>
      </c>
      <c r="I92" s="26">
        <f t="shared" si="23"/>
        <v>1.4462809917355373</v>
      </c>
      <c r="J92" s="26">
        <f t="shared" si="23"/>
        <v>1.4330708661417324</v>
      </c>
      <c r="K92" s="26">
        <f t="shared" si="23"/>
        <v>1.4401709401709404</v>
      </c>
      <c r="L92" s="26">
        <f t="shared" si="23"/>
        <v>1.4502369668246446</v>
      </c>
      <c r="M92" s="26">
        <f t="shared" si="23"/>
        <v>1.4299516908212562</v>
      </c>
    </row>
    <row r="93" spans="1:13" ht="15.6" x14ac:dyDescent="0.3">
      <c r="A93" s="132">
        <v>110</v>
      </c>
      <c r="B93" s="30" t="s">
        <v>102</v>
      </c>
      <c r="C93" s="37">
        <v>2.91</v>
      </c>
      <c r="D93" s="37">
        <v>4.72</v>
      </c>
      <c r="E93" s="37">
        <v>4.9800000000000004</v>
      </c>
      <c r="F93" s="37">
        <v>2.61</v>
      </c>
      <c r="G93" s="37">
        <v>3.45</v>
      </c>
      <c r="H93" s="37">
        <v>2.61</v>
      </c>
      <c r="I93" s="37">
        <v>3.35</v>
      </c>
      <c r="J93" s="37">
        <v>3.52</v>
      </c>
      <c r="K93" s="37">
        <v>3.24</v>
      </c>
      <c r="L93" s="37">
        <v>2.93</v>
      </c>
      <c r="M93" s="37">
        <v>2.86</v>
      </c>
    </row>
    <row r="94" spans="1:13" ht="15.6" x14ac:dyDescent="0.3">
      <c r="A94" s="132"/>
      <c r="B94" s="20" t="s">
        <v>103</v>
      </c>
      <c r="C94" s="32">
        <v>4.1399999999999997</v>
      </c>
      <c r="D94" s="32">
        <v>6.7</v>
      </c>
      <c r="E94" s="32">
        <v>7.01</v>
      </c>
      <c r="F94" s="32">
        <v>3.71</v>
      </c>
      <c r="G94" s="32">
        <v>7.86</v>
      </c>
      <c r="H94" s="32">
        <v>3.71</v>
      </c>
      <c r="I94" s="32">
        <v>4.76</v>
      </c>
      <c r="J94" s="32">
        <v>4.95</v>
      </c>
      <c r="K94" s="32">
        <v>4.55</v>
      </c>
      <c r="L94" s="32">
        <v>4.0999999999999996</v>
      </c>
      <c r="M94" s="32">
        <v>4.03</v>
      </c>
    </row>
    <row r="95" spans="1:13" ht="15.6" x14ac:dyDescent="0.3">
      <c r="A95" s="132"/>
      <c r="B95" s="38" t="s">
        <v>104</v>
      </c>
      <c r="C95" s="26">
        <f t="shared" ref="C95:M95" si="24">IF(OR(C93="",C94=""),"",C94/C93)</f>
        <v>1.4226804123711339</v>
      </c>
      <c r="D95" s="26">
        <f t="shared" si="24"/>
        <v>1.419491525423729</v>
      </c>
      <c r="E95" s="26">
        <f t="shared" si="24"/>
        <v>1.4076305220883532</v>
      </c>
      <c r="F95" s="26">
        <f t="shared" si="24"/>
        <v>1.421455938697318</v>
      </c>
      <c r="G95" s="26">
        <f t="shared" si="24"/>
        <v>2.2782608695652176</v>
      </c>
      <c r="H95" s="26">
        <f t="shared" si="24"/>
        <v>1.421455938697318</v>
      </c>
      <c r="I95" s="26">
        <f t="shared" si="24"/>
        <v>1.4208955223880595</v>
      </c>
      <c r="J95" s="26">
        <f t="shared" si="24"/>
        <v>1.40625</v>
      </c>
      <c r="K95" s="26">
        <f t="shared" si="24"/>
        <v>1.4043209876543208</v>
      </c>
      <c r="L95" s="26">
        <f t="shared" si="24"/>
        <v>1.3993174061433444</v>
      </c>
      <c r="M95" s="26">
        <f t="shared" si="24"/>
        <v>1.4090909090909092</v>
      </c>
    </row>
    <row r="96" spans="1:13" ht="15.6" x14ac:dyDescent="0.3">
      <c r="A96" s="132">
        <v>120</v>
      </c>
      <c r="B96" s="30" t="s">
        <v>102</v>
      </c>
      <c r="C96" s="37">
        <v>3.76</v>
      </c>
      <c r="D96" s="37">
        <v>6.09</v>
      </c>
      <c r="E96" s="37">
        <v>6.42</v>
      </c>
      <c r="F96" s="37">
        <v>3.37</v>
      </c>
      <c r="G96" s="37">
        <v>4.45</v>
      </c>
      <c r="H96" s="37">
        <v>3.37</v>
      </c>
      <c r="I96" s="37">
        <v>4.33</v>
      </c>
      <c r="J96" s="37">
        <v>4.54</v>
      </c>
      <c r="K96" s="37">
        <v>4.18</v>
      </c>
      <c r="L96" s="37">
        <v>3.78</v>
      </c>
      <c r="M96" s="37">
        <v>3.67</v>
      </c>
    </row>
    <row r="97" spans="1:13" ht="15.6" x14ac:dyDescent="0.3">
      <c r="A97" s="132"/>
      <c r="B97" s="20" t="s">
        <v>103</v>
      </c>
      <c r="C97" s="32">
        <v>5.27</v>
      </c>
      <c r="D97" s="32">
        <v>8.5299999999999994</v>
      </c>
      <c r="E97" s="32">
        <v>8.92</v>
      </c>
      <c r="F97" s="32">
        <v>4.7300000000000004</v>
      </c>
      <c r="G97" s="32">
        <v>6.18</v>
      </c>
      <c r="H97" s="32">
        <v>4.7300000000000004</v>
      </c>
      <c r="I97" s="32">
        <v>6.06</v>
      </c>
      <c r="J97" s="32">
        <v>6.3</v>
      </c>
      <c r="K97" s="32">
        <v>5.84</v>
      </c>
      <c r="L97" s="32">
        <v>5.29</v>
      </c>
      <c r="M97" s="32">
        <v>5.13</v>
      </c>
    </row>
    <row r="98" spans="1:13" ht="15.6" x14ac:dyDescent="0.3">
      <c r="A98" s="132"/>
      <c r="B98" s="38" t="s">
        <v>104</v>
      </c>
      <c r="C98" s="26">
        <f t="shared" ref="C98:M98" si="25">IF(OR(C96="",C97=""),"",C97/C96)</f>
        <v>1.4015957446808511</v>
      </c>
      <c r="D98" s="26">
        <f t="shared" si="25"/>
        <v>1.4006568144499179</v>
      </c>
      <c r="E98" s="26">
        <f t="shared" si="25"/>
        <v>1.3894080996884735</v>
      </c>
      <c r="F98" s="26">
        <f t="shared" si="25"/>
        <v>1.4035608308605343</v>
      </c>
      <c r="G98" s="26">
        <f t="shared" si="25"/>
        <v>1.3887640449438201</v>
      </c>
      <c r="H98" s="26">
        <f t="shared" si="25"/>
        <v>1.4035608308605343</v>
      </c>
      <c r="I98" s="26">
        <f t="shared" si="25"/>
        <v>1.3995381062355656</v>
      </c>
      <c r="J98" s="26">
        <f t="shared" si="25"/>
        <v>1.3876651982378854</v>
      </c>
      <c r="K98" s="26">
        <f t="shared" si="25"/>
        <v>1.3971291866028708</v>
      </c>
      <c r="L98" s="26">
        <f t="shared" si="25"/>
        <v>1.3994708994708995</v>
      </c>
      <c r="M98" s="26">
        <f t="shared" si="25"/>
        <v>1.3978201634877385</v>
      </c>
    </row>
    <row r="99" spans="1:13" ht="15.6" x14ac:dyDescent="0.3">
      <c r="A99" s="132">
        <v>130</v>
      </c>
      <c r="B99" s="30" t="s">
        <v>102</v>
      </c>
      <c r="C99" s="37">
        <v>4.7300000000000004</v>
      </c>
      <c r="D99" s="37">
        <v>7.65</v>
      </c>
      <c r="E99" s="37">
        <v>8.08</v>
      </c>
      <c r="F99" s="37">
        <v>4.24</v>
      </c>
      <c r="G99" s="37">
        <v>5.6</v>
      </c>
      <c r="H99" s="37">
        <v>4.24</v>
      </c>
      <c r="I99" s="37">
        <v>5.44</v>
      </c>
      <c r="J99" s="37">
        <v>5.71</v>
      </c>
      <c r="K99" s="37">
        <v>5.26</v>
      </c>
      <c r="L99" s="37">
        <v>4.75</v>
      </c>
      <c r="M99" s="37">
        <v>4.6500000000000004</v>
      </c>
    </row>
    <row r="100" spans="1:13" ht="15.6" x14ac:dyDescent="0.3">
      <c r="A100" s="132"/>
      <c r="B100" s="20" t="s">
        <v>103</v>
      </c>
      <c r="C100" s="32">
        <v>6.56</v>
      </c>
      <c r="D100" s="32">
        <v>10.6</v>
      </c>
      <c r="E100" s="32">
        <v>11.1</v>
      </c>
      <c r="F100" s="32">
        <v>5.88</v>
      </c>
      <c r="G100" s="32">
        <v>7.71</v>
      </c>
      <c r="H100" s="32">
        <v>5.88</v>
      </c>
      <c r="I100" s="32">
        <v>7.55</v>
      </c>
      <c r="J100" s="32">
        <v>7.86</v>
      </c>
      <c r="K100" s="32">
        <v>7.27</v>
      </c>
      <c r="L100" s="32">
        <v>6.59</v>
      </c>
      <c r="M100" s="32">
        <v>6.39</v>
      </c>
    </row>
    <row r="101" spans="1:13" ht="15.6" x14ac:dyDescent="0.3">
      <c r="A101" s="132"/>
      <c r="B101" s="38" t="s">
        <v>104</v>
      </c>
      <c r="C101" s="26">
        <f t="shared" ref="C101:M101" si="26">IF(OR(C99="",C100=""),"",C100/C99)</f>
        <v>1.3868921775898517</v>
      </c>
      <c r="D101" s="26">
        <f t="shared" si="26"/>
        <v>1.3856209150326797</v>
      </c>
      <c r="E101" s="26">
        <f t="shared" si="26"/>
        <v>1.3737623762376237</v>
      </c>
      <c r="F101" s="26">
        <f t="shared" si="26"/>
        <v>1.3867924528301885</v>
      </c>
      <c r="G101" s="26">
        <f t="shared" si="26"/>
        <v>1.3767857142857143</v>
      </c>
      <c r="H101" s="26">
        <f t="shared" si="26"/>
        <v>1.3867924528301885</v>
      </c>
      <c r="I101" s="26">
        <f t="shared" si="26"/>
        <v>1.3878676470588234</v>
      </c>
      <c r="J101" s="26">
        <f t="shared" si="26"/>
        <v>1.3765323992994747</v>
      </c>
      <c r="K101" s="26">
        <f t="shared" si="26"/>
        <v>1.3821292775665399</v>
      </c>
      <c r="L101" s="26">
        <f t="shared" si="26"/>
        <v>1.3873684210526316</v>
      </c>
      <c r="M101" s="26">
        <f t="shared" si="26"/>
        <v>1.3741935483870966</v>
      </c>
    </row>
    <row r="102" spans="1:13" ht="15.6" x14ac:dyDescent="0.3">
      <c r="A102" s="132">
        <v>140</v>
      </c>
      <c r="B102" s="30" t="s">
        <v>102</v>
      </c>
      <c r="C102" s="37">
        <v>5.81</v>
      </c>
      <c r="D102" s="37">
        <v>9.41</v>
      </c>
      <c r="E102" s="37">
        <v>9.9600000000000009</v>
      </c>
      <c r="F102" s="37">
        <v>5.21</v>
      </c>
      <c r="G102" s="37">
        <v>6.9</v>
      </c>
      <c r="H102" s="37">
        <v>5.21</v>
      </c>
      <c r="I102" s="37">
        <v>6.69</v>
      </c>
      <c r="J102" s="37">
        <v>7.04</v>
      </c>
      <c r="K102" s="37">
        <v>6.48</v>
      </c>
      <c r="L102" s="37">
        <v>5.84</v>
      </c>
      <c r="M102" s="37">
        <v>5.72</v>
      </c>
    </row>
    <row r="103" spans="1:13" ht="15.6" x14ac:dyDescent="0.3">
      <c r="A103" s="132"/>
      <c r="B103" s="20" t="s">
        <v>103</v>
      </c>
      <c r="C103" s="32">
        <v>8</v>
      </c>
      <c r="D103" s="32">
        <v>13</v>
      </c>
      <c r="E103" s="32">
        <v>13.6</v>
      </c>
      <c r="F103" s="32">
        <v>7.18</v>
      </c>
      <c r="G103" s="32">
        <v>9.4</v>
      </c>
      <c r="H103" s="32">
        <v>7.18</v>
      </c>
      <c r="I103" s="32">
        <v>9.2100000000000009</v>
      </c>
      <c r="J103" s="32">
        <v>9.58</v>
      </c>
      <c r="K103" s="32">
        <v>8.8699999999999992</v>
      </c>
      <c r="L103" s="32">
        <v>8.0399999999999991</v>
      </c>
      <c r="M103" s="32">
        <v>7.8</v>
      </c>
    </row>
    <row r="104" spans="1:13" ht="15.6" x14ac:dyDescent="0.3">
      <c r="A104" s="132"/>
      <c r="B104" s="38" t="s">
        <v>104</v>
      </c>
      <c r="C104" s="26">
        <f t="shared" ref="C104:M104" si="27">IF(OR(C102="",C103=""),"",C103/C102)</f>
        <v>1.376936316695353</v>
      </c>
      <c r="D104" s="26">
        <f t="shared" si="27"/>
        <v>1.381509032943677</v>
      </c>
      <c r="E104" s="26">
        <f t="shared" si="27"/>
        <v>1.3654618473895581</v>
      </c>
      <c r="F104" s="26">
        <f t="shared" si="27"/>
        <v>1.3781190019193859</v>
      </c>
      <c r="G104" s="26">
        <f t="shared" si="27"/>
        <v>1.3623188405797102</v>
      </c>
      <c r="H104" s="26">
        <f t="shared" si="27"/>
        <v>1.3781190019193859</v>
      </c>
      <c r="I104" s="26">
        <f t="shared" si="27"/>
        <v>1.3766816143497758</v>
      </c>
      <c r="J104" s="26">
        <f t="shared" si="27"/>
        <v>1.3607954545454546</v>
      </c>
      <c r="K104" s="26">
        <f t="shared" si="27"/>
        <v>1.3688271604938269</v>
      </c>
      <c r="L104" s="26">
        <f t="shared" si="27"/>
        <v>1.3767123287671232</v>
      </c>
      <c r="M104" s="26">
        <f t="shared" si="27"/>
        <v>1.3636363636363638</v>
      </c>
    </row>
    <row r="105" spans="1:13" ht="15.6" x14ac:dyDescent="0.3">
      <c r="A105" s="132" t="s">
        <v>145</v>
      </c>
      <c r="B105" s="30" t="s">
        <v>102</v>
      </c>
      <c r="C105" s="37">
        <v>0.48</v>
      </c>
      <c r="D105" s="37">
        <v>0.78</v>
      </c>
      <c r="E105" s="37">
        <v>0.82</v>
      </c>
      <c r="F105" s="37">
        <v>0.43</v>
      </c>
      <c r="G105" s="37">
        <v>0.56999999999999995</v>
      </c>
      <c r="H105" s="37">
        <v>0.43</v>
      </c>
      <c r="I105" s="37">
        <v>0.55000000000000004</v>
      </c>
      <c r="J105" s="37">
        <v>0.57999999999999996</v>
      </c>
      <c r="K105" s="37">
        <v>0.54</v>
      </c>
      <c r="L105" s="37">
        <v>0.48</v>
      </c>
      <c r="M105" s="37">
        <v>0.47</v>
      </c>
    </row>
    <row r="106" spans="1:13" ht="15.6" x14ac:dyDescent="0.3">
      <c r="A106" s="132"/>
      <c r="B106" s="20" t="s">
        <v>103</v>
      </c>
      <c r="C106" s="32">
        <v>0.63</v>
      </c>
      <c r="D106" s="32">
        <v>1.02</v>
      </c>
      <c r="E106" s="32">
        <v>1.08</v>
      </c>
      <c r="F106" s="32">
        <v>0.56999999999999995</v>
      </c>
      <c r="G106" s="32">
        <v>0.75</v>
      </c>
      <c r="H106" s="32">
        <v>0.56999999999999995</v>
      </c>
      <c r="I106" s="32">
        <v>0.73</v>
      </c>
      <c r="J106" s="32">
        <v>0.76</v>
      </c>
      <c r="K106" s="32">
        <v>0.7</v>
      </c>
      <c r="L106" s="32">
        <v>0.64</v>
      </c>
      <c r="M106" s="32">
        <v>0.62</v>
      </c>
    </row>
    <row r="107" spans="1:13" ht="15.6" x14ac:dyDescent="0.3">
      <c r="A107" s="132"/>
      <c r="B107" s="38" t="s">
        <v>104</v>
      </c>
      <c r="C107" s="26">
        <f t="shared" ref="C107:M107" si="28">IF(OR(C105="",C106=""),"",C106/C105)</f>
        <v>1.3125</v>
      </c>
      <c r="D107" s="26">
        <f t="shared" si="28"/>
        <v>1.3076923076923077</v>
      </c>
      <c r="E107" s="26">
        <f t="shared" si="28"/>
        <v>1.3170731707317074</v>
      </c>
      <c r="F107" s="26">
        <f t="shared" si="28"/>
        <v>1.3255813953488371</v>
      </c>
      <c r="G107" s="26">
        <f t="shared" si="28"/>
        <v>1.3157894736842106</v>
      </c>
      <c r="H107" s="26">
        <f t="shared" si="28"/>
        <v>1.3255813953488371</v>
      </c>
      <c r="I107" s="26">
        <f t="shared" si="28"/>
        <v>1.3272727272727272</v>
      </c>
      <c r="J107" s="26">
        <f t="shared" si="28"/>
        <v>1.3103448275862071</v>
      </c>
      <c r="K107" s="26">
        <f t="shared" si="28"/>
        <v>1.2962962962962961</v>
      </c>
      <c r="L107" s="26">
        <f t="shared" si="28"/>
        <v>1.3333333333333335</v>
      </c>
      <c r="M107" s="26">
        <f t="shared" si="28"/>
        <v>1.3191489361702129</v>
      </c>
    </row>
    <row r="108" spans="1:13" ht="15.6" x14ac:dyDescent="0.3">
      <c r="A108" s="132" t="s">
        <v>146</v>
      </c>
      <c r="B108" s="30" t="s">
        <v>102</v>
      </c>
      <c r="C108" s="37">
        <v>2.23</v>
      </c>
      <c r="D108" s="37">
        <v>3.61</v>
      </c>
      <c r="E108" s="37">
        <v>3.83</v>
      </c>
      <c r="F108" s="37">
        <v>2</v>
      </c>
      <c r="G108" s="37">
        <v>2.66</v>
      </c>
      <c r="H108" s="37">
        <v>2</v>
      </c>
      <c r="I108" s="37">
        <v>2.57</v>
      </c>
      <c r="J108" s="37">
        <v>2.71</v>
      </c>
      <c r="K108" s="37">
        <v>2.4900000000000002</v>
      </c>
      <c r="L108" s="37">
        <v>2.2400000000000002</v>
      </c>
      <c r="M108" s="37">
        <v>2.2000000000000002</v>
      </c>
    </row>
    <row r="109" spans="1:13" ht="15.6" x14ac:dyDescent="0.3">
      <c r="A109" s="132"/>
      <c r="B109" s="20" t="s">
        <v>103</v>
      </c>
      <c r="C109" s="32">
        <v>2.9</v>
      </c>
      <c r="D109" s="32">
        <v>4.7</v>
      </c>
      <c r="E109" s="32">
        <v>4.9400000000000004</v>
      </c>
      <c r="F109" s="32">
        <v>2.6</v>
      </c>
      <c r="G109" s="32">
        <v>3.43</v>
      </c>
      <c r="H109" s="32">
        <v>2.6</v>
      </c>
      <c r="I109" s="32">
        <v>3.34</v>
      </c>
      <c r="J109" s="32">
        <v>3.49</v>
      </c>
      <c r="K109" s="32">
        <v>3.22</v>
      </c>
      <c r="L109" s="32">
        <v>2.92</v>
      </c>
      <c r="M109" s="32">
        <v>2.84</v>
      </c>
    </row>
    <row r="110" spans="1:13" ht="15.6" x14ac:dyDescent="0.3">
      <c r="A110" s="132"/>
      <c r="B110" s="38" t="s">
        <v>104</v>
      </c>
      <c r="C110" s="26">
        <f t="shared" ref="C110:M110" si="29">IF(OR(C108="",C109=""),"",C109/C108)</f>
        <v>1.3004484304932735</v>
      </c>
      <c r="D110" s="26">
        <f t="shared" si="29"/>
        <v>1.3019390581717452</v>
      </c>
      <c r="E110" s="26">
        <f t="shared" si="29"/>
        <v>1.2898172323759791</v>
      </c>
      <c r="F110" s="26">
        <f t="shared" si="29"/>
        <v>1.3</v>
      </c>
      <c r="G110" s="26">
        <f t="shared" si="29"/>
        <v>1.2894736842105263</v>
      </c>
      <c r="H110" s="26">
        <f t="shared" si="29"/>
        <v>1.3</v>
      </c>
      <c r="I110" s="26">
        <f t="shared" si="29"/>
        <v>1.2996108949416343</v>
      </c>
      <c r="J110" s="26">
        <f t="shared" si="29"/>
        <v>1.2878228782287824</v>
      </c>
      <c r="K110" s="26">
        <f t="shared" si="29"/>
        <v>1.2931726907630521</v>
      </c>
      <c r="L110" s="26">
        <f t="shared" si="29"/>
        <v>1.3035714285714284</v>
      </c>
      <c r="M110" s="26">
        <f t="shared" si="29"/>
        <v>1.2909090909090908</v>
      </c>
    </row>
    <row r="112" spans="1:13" ht="15.6" x14ac:dyDescent="0.3">
      <c r="A112" s="9" t="s">
        <v>124</v>
      </c>
    </row>
    <row r="113" spans="1:13" ht="15.6" x14ac:dyDescent="0.3">
      <c r="B113" s="15" t="s">
        <v>100</v>
      </c>
      <c r="C113" s="31" t="s">
        <v>13</v>
      </c>
      <c r="D113" s="31" t="s">
        <v>26</v>
      </c>
      <c r="E113" s="31" t="s">
        <v>34</v>
      </c>
      <c r="F113" s="31" t="s">
        <v>14</v>
      </c>
      <c r="G113" s="31" t="s">
        <v>15</v>
      </c>
      <c r="H113" s="31" t="s">
        <v>18</v>
      </c>
      <c r="I113" s="31" t="s">
        <v>20</v>
      </c>
      <c r="J113" s="31" t="s">
        <v>16</v>
      </c>
      <c r="K113" s="31" t="s">
        <v>21</v>
      </c>
      <c r="L113" s="31" t="s">
        <v>20</v>
      </c>
      <c r="M113" s="31" t="s">
        <v>22</v>
      </c>
    </row>
    <row r="114" spans="1:13" ht="15.6" x14ac:dyDescent="0.3">
      <c r="B114" s="18" t="s">
        <v>114</v>
      </c>
      <c r="C114" s="32">
        <v>2</v>
      </c>
      <c r="D114" s="32">
        <v>3.6</v>
      </c>
      <c r="E114" s="32">
        <v>4.8</v>
      </c>
      <c r="F114" s="32">
        <v>5</v>
      </c>
      <c r="G114" s="32">
        <v>6</v>
      </c>
      <c r="H114" s="32">
        <v>10</v>
      </c>
      <c r="I114" s="32">
        <v>14.4</v>
      </c>
      <c r="J114" s="32">
        <v>12</v>
      </c>
      <c r="K114" s="32">
        <v>19.2</v>
      </c>
      <c r="L114" s="32">
        <v>14.4</v>
      </c>
      <c r="M114" s="32">
        <v>38.4</v>
      </c>
    </row>
    <row r="115" spans="1:13" ht="15.6" x14ac:dyDescent="0.3">
      <c r="B115" s="18" t="s">
        <v>101</v>
      </c>
      <c r="C115" s="32" t="s">
        <v>13</v>
      </c>
      <c r="D115" s="32" t="s">
        <v>26</v>
      </c>
      <c r="E115" s="32" t="s">
        <v>31</v>
      </c>
      <c r="F115" s="32" t="s">
        <v>14</v>
      </c>
      <c r="G115" s="32" t="s">
        <v>16</v>
      </c>
      <c r="H115" s="32" t="s">
        <v>18</v>
      </c>
      <c r="I115" s="32" t="s">
        <v>20</v>
      </c>
      <c r="J115" s="32" t="s">
        <v>19</v>
      </c>
      <c r="K115" s="32" t="s">
        <v>22</v>
      </c>
      <c r="L115" s="32" t="s">
        <v>20</v>
      </c>
      <c r="M115" s="32" t="s">
        <v>40</v>
      </c>
    </row>
    <row r="116" spans="1:13" ht="15.6" x14ac:dyDescent="0.3">
      <c r="B116" s="33" t="s">
        <v>115</v>
      </c>
      <c r="C116" s="40"/>
      <c r="D116" s="40"/>
      <c r="E116" s="40" t="s">
        <v>121</v>
      </c>
      <c r="F116" s="40"/>
      <c r="G116" s="40" t="s">
        <v>121</v>
      </c>
      <c r="H116" s="40"/>
      <c r="I116" s="40"/>
      <c r="J116" s="40" t="s">
        <v>121</v>
      </c>
      <c r="K116" s="40" t="s">
        <v>121</v>
      </c>
      <c r="L116" s="40"/>
      <c r="M116" s="40"/>
    </row>
    <row r="117" spans="1:13" ht="15.6" x14ac:dyDescent="0.3">
      <c r="A117" s="7" t="s">
        <v>6</v>
      </c>
      <c r="B117" s="35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</row>
    <row r="118" spans="1:13" ht="15.6" x14ac:dyDescent="0.3">
      <c r="A118" s="132">
        <v>70</v>
      </c>
      <c r="B118" s="30" t="s">
        <v>102</v>
      </c>
      <c r="C118" s="37">
        <v>0.57999999999999996</v>
      </c>
      <c r="D118" s="37">
        <v>0.94</v>
      </c>
      <c r="E118" s="37">
        <v>0.99</v>
      </c>
      <c r="F118" s="37">
        <v>0.52</v>
      </c>
      <c r="G118" s="37">
        <v>0.69</v>
      </c>
      <c r="H118" s="37">
        <v>0.52</v>
      </c>
      <c r="I118" s="37">
        <v>0.66</v>
      </c>
      <c r="J118" s="37">
        <v>0.7</v>
      </c>
      <c r="K118" s="37">
        <v>0.64</v>
      </c>
      <c r="L118" s="37">
        <v>0.57999999999999996</v>
      </c>
      <c r="M118" s="37">
        <v>0.56999999999999995</v>
      </c>
    </row>
    <row r="119" spans="1:13" ht="15.6" x14ac:dyDescent="0.3">
      <c r="A119" s="132"/>
      <c r="B119" s="20" t="s">
        <v>103</v>
      </c>
      <c r="C119" s="32">
        <v>1.05</v>
      </c>
      <c r="D119" s="32">
        <v>1.7</v>
      </c>
      <c r="E119" s="32">
        <v>1.79</v>
      </c>
      <c r="F119" s="32">
        <v>0.94</v>
      </c>
      <c r="G119" s="32">
        <v>1.24</v>
      </c>
      <c r="H119" s="32">
        <v>0.94</v>
      </c>
      <c r="I119" s="32">
        <v>1.21</v>
      </c>
      <c r="J119" s="32">
        <v>1.27</v>
      </c>
      <c r="K119" s="32">
        <v>1.17</v>
      </c>
      <c r="L119" s="32">
        <v>1.05</v>
      </c>
      <c r="M119" s="32">
        <v>1.03</v>
      </c>
    </row>
    <row r="120" spans="1:13" ht="15.6" x14ac:dyDescent="0.3">
      <c r="A120" s="132"/>
      <c r="B120" s="38" t="s">
        <v>104</v>
      </c>
      <c r="C120" s="26">
        <f t="shared" ref="C120:M120" si="30">IF(OR(C118="",C119=""),"",C119/C118)</f>
        <v>1.8103448275862071</v>
      </c>
      <c r="D120" s="26">
        <f t="shared" si="30"/>
        <v>1.8085106382978724</v>
      </c>
      <c r="E120" s="26">
        <f t="shared" si="30"/>
        <v>1.8080808080808082</v>
      </c>
      <c r="F120" s="26">
        <f t="shared" si="30"/>
        <v>1.8076923076923075</v>
      </c>
      <c r="G120" s="26">
        <f t="shared" si="30"/>
        <v>1.7971014492753625</v>
      </c>
      <c r="H120" s="26">
        <f t="shared" si="30"/>
        <v>1.8076923076923075</v>
      </c>
      <c r="I120" s="26">
        <f t="shared" si="30"/>
        <v>1.8333333333333333</v>
      </c>
      <c r="J120" s="26">
        <f t="shared" si="30"/>
        <v>1.8142857142857145</v>
      </c>
      <c r="K120" s="26">
        <f t="shared" si="30"/>
        <v>1.8281249999999998</v>
      </c>
      <c r="L120" s="26">
        <f t="shared" si="30"/>
        <v>1.8103448275862071</v>
      </c>
      <c r="M120" s="26">
        <f t="shared" si="30"/>
        <v>1.8070175438596494</v>
      </c>
    </row>
    <row r="121" spans="1:13" ht="15.6" x14ac:dyDescent="0.3">
      <c r="A121" s="132">
        <v>80</v>
      </c>
      <c r="B121" s="30" t="s">
        <v>102</v>
      </c>
      <c r="C121" s="37">
        <v>1.04</v>
      </c>
      <c r="D121" s="37">
        <v>1.69</v>
      </c>
      <c r="E121" s="37">
        <v>1.79</v>
      </c>
      <c r="F121" s="37">
        <v>0.94</v>
      </c>
      <c r="G121" s="37">
        <v>1.24</v>
      </c>
      <c r="H121" s="37">
        <v>0.94</v>
      </c>
      <c r="I121" s="37">
        <v>1.2</v>
      </c>
      <c r="J121" s="37">
        <v>1.26</v>
      </c>
      <c r="K121" s="37">
        <v>1.1599999999999999</v>
      </c>
      <c r="L121" s="37">
        <v>1.05</v>
      </c>
      <c r="M121" s="37">
        <v>1.03</v>
      </c>
    </row>
    <row r="122" spans="1:13" ht="15.6" x14ac:dyDescent="0.3">
      <c r="A122" s="132"/>
      <c r="B122" s="20" t="s">
        <v>103</v>
      </c>
      <c r="C122" s="32">
        <v>1.79</v>
      </c>
      <c r="D122" s="32">
        <v>2.9</v>
      </c>
      <c r="E122" s="32">
        <v>3.04</v>
      </c>
      <c r="F122" s="32">
        <v>1.6</v>
      </c>
      <c r="G122" s="32">
        <v>2.11</v>
      </c>
      <c r="H122" s="32">
        <v>1.6</v>
      </c>
      <c r="I122" s="32">
        <v>2.06</v>
      </c>
      <c r="J122" s="32">
        <v>2.15</v>
      </c>
      <c r="K122" s="32">
        <v>1.99</v>
      </c>
      <c r="L122" s="32">
        <v>1.8</v>
      </c>
      <c r="M122" s="32">
        <v>1.75</v>
      </c>
    </row>
    <row r="123" spans="1:13" ht="15.6" x14ac:dyDescent="0.3">
      <c r="A123" s="132"/>
      <c r="B123" s="38" t="s">
        <v>104</v>
      </c>
      <c r="C123" s="26">
        <f t="shared" ref="C123:M123" si="31">IF(OR(C121="",C122=""),"",C122/C121)</f>
        <v>1.721153846153846</v>
      </c>
      <c r="D123" s="26">
        <f t="shared" si="31"/>
        <v>1.7159763313609468</v>
      </c>
      <c r="E123" s="26">
        <f t="shared" si="31"/>
        <v>1.6983240223463687</v>
      </c>
      <c r="F123" s="26">
        <f t="shared" si="31"/>
        <v>1.7021276595744683</v>
      </c>
      <c r="G123" s="26">
        <f t="shared" si="31"/>
        <v>1.7016129032258063</v>
      </c>
      <c r="H123" s="26">
        <f t="shared" si="31"/>
        <v>1.7021276595744683</v>
      </c>
      <c r="I123" s="26">
        <f t="shared" si="31"/>
        <v>1.7166666666666668</v>
      </c>
      <c r="J123" s="26">
        <f t="shared" si="31"/>
        <v>1.7063492063492063</v>
      </c>
      <c r="K123" s="26">
        <f t="shared" si="31"/>
        <v>1.7155172413793105</v>
      </c>
      <c r="L123" s="26">
        <f t="shared" si="31"/>
        <v>1.7142857142857142</v>
      </c>
      <c r="M123" s="26">
        <f t="shared" si="31"/>
        <v>1.6990291262135921</v>
      </c>
    </row>
    <row r="124" spans="1:13" ht="15.6" x14ac:dyDescent="0.3">
      <c r="A124" s="132">
        <v>90</v>
      </c>
      <c r="B124" s="30" t="s">
        <v>102</v>
      </c>
      <c r="C124" s="37">
        <v>1.66</v>
      </c>
      <c r="D124" s="37">
        <v>2.68</v>
      </c>
      <c r="E124" s="37">
        <v>2.84</v>
      </c>
      <c r="F124" s="37">
        <v>1.49</v>
      </c>
      <c r="G124" s="37">
        <v>1.97</v>
      </c>
      <c r="H124" s="37">
        <v>1.49</v>
      </c>
      <c r="I124" s="37">
        <v>1.91</v>
      </c>
      <c r="J124" s="37">
        <v>2</v>
      </c>
      <c r="K124" s="37">
        <v>1.85</v>
      </c>
      <c r="L124" s="37">
        <v>1.66</v>
      </c>
      <c r="M124" s="37">
        <v>1.63</v>
      </c>
    </row>
    <row r="125" spans="1:13" ht="15.6" x14ac:dyDescent="0.3">
      <c r="A125" s="132"/>
      <c r="B125" s="20" t="s">
        <v>103</v>
      </c>
      <c r="C125" s="32">
        <v>2.73</v>
      </c>
      <c r="D125" s="32">
        <v>4.42</v>
      </c>
      <c r="E125" s="32">
        <v>4.6399999999999997</v>
      </c>
      <c r="F125" s="32">
        <v>2.4500000000000002</v>
      </c>
      <c r="G125" s="32">
        <v>3.22</v>
      </c>
      <c r="H125" s="32">
        <v>2.4500000000000002</v>
      </c>
      <c r="I125" s="32">
        <v>3.14</v>
      </c>
      <c r="J125" s="32">
        <v>3.28</v>
      </c>
      <c r="K125" s="32">
        <v>3.03</v>
      </c>
      <c r="L125" s="32">
        <v>2.74</v>
      </c>
      <c r="M125" s="32">
        <v>2.67</v>
      </c>
    </row>
    <row r="126" spans="1:13" ht="15.6" x14ac:dyDescent="0.3">
      <c r="A126" s="132"/>
      <c r="B126" s="38" t="s">
        <v>104</v>
      </c>
      <c r="C126" s="26">
        <f t="shared" ref="C126:M126" si="32">IF(OR(C124="",C125=""),"",C125/C124)</f>
        <v>1.6445783132530121</v>
      </c>
      <c r="D126" s="26">
        <f t="shared" si="32"/>
        <v>1.6492537313432833</v>
      </c>
      <c r="E126" s="26">
        <f t="shared" si="32"/>
        <v>1.6338028169014085</v>
      </c>
      <c r="F126" s="26">
        <f t="shared" si="32"/>
        <v>1.644295302013423</v>
      </c>
      <c r="G126" s="26">
        <f t="shared" si="32"/>
        <v>1.6345177664974619</v>
      </c>
      <c r="H126" s="26">
        <f t="shared" si="32"/>
        <v>1.644295302013423</v>
      </c>
      <c r="I126" s="26">
        <f t="shared" si="32"/>
        <v>1.6439790575916231</v>
      </c>
      <c r="J126" s="26">
        <f t="shared" si="32"/>
        <v>1.64</v>
      </c>
      <c r="K126" s="26">
        <f t="shared" si="32"/>
        <v>1.6378378378378378</v>
      </c>
      <c r="L126" s="26">
        <f t="shared" si="32"/>
        <v>1.6506024096385545</v>
      </c>
      <c r="M126" s="26">
        <f t="shared" si="32"/>
        <v>1.638036809815951</v>
      </c>
    </row>
    <row r="127" spans="1:13" ht="15.6" x14ac:dyDescent="0.3">
      <c r="A127" s="132">
        <v>100</v>
      </c>
      <c r="B127" s="30" t="s">
        <v>102</v>
      </c>
      <c r="C127" s="113">
        <v>2.38</v>
      </c>
      <c r="D127" s="114">
        <v>3.85</v>
      </c>
      <c r="E127" s="37">
        <v>4.07</v>
      </c>
      <c r="F127" s="37">
        <v>2.13</v>
      </c>
      <c r="G127" s="37">
        <v>2.82</v>
      </c>
      <c r="H127" s="37">
        <v>2.13</v>
      </c>
      <c r="I127" s="37">
        <v>2.73</v>
      </c>
      <c r="J127" s="37">
        <v>2.88</v>
      </c>
      <c r="K127" s="37">
        <v>2.65</v>
      </c>
      <c r="L127" s="37">
        <v>2.39</v>
      </c>
      <c r="M127" s="37">
        <v>2.34</v>
      </c>
    </row>
    <row r="128" spans="1:13" ht="15.6" x14ac:dyDescent="0.3">
      <c r="A128" s="132"/>
      <c r="B128" s="20" t="s">
        <v>103</v>
      </c>
      <c r="C128" s="113">
        <v>3.81</v>
      </c>
      <c r="D128" s="114">
        <v>6.17</v>
      </c>
      <c r="E128" s="32">
        <v>6.48</v>
      </c>
      <c r="F128" s="32">
        <v>3.42</v>
      </c>
      <c r="G128" s="32">
        <v>4.5</v>
      </c>
      <c r="H128" s="32">
        <v>3.42</v>
      </c>
      <c r="I128" s="32">
        <v>4.3899999999999997</v>
      </c>
      <c r="J128" s="32">
        <v>4.58</v>
      </c>
      <c r="K128" s="32">
        <v>4.2300000000000004</v>
      </c>
      <c r="L128" s="32">
        <v>3.83</v>
      </c>
      <c r="M128" s="32">
        <v>3.73</v>
      </c>
    </row>
    <row r="129" spans="1:13" ht="15.6" x14ac:dyDescent="0.3">
      <c r="A129" s="132"/>
      <c r="B129" s="38" t="s">
        <v>104</v>
      </c>
      <c r="C129" s="26">
        <f t="shared" ref="C129:M129" si="33">IF(OR(C127="",C128=""),"",C128/C127)</f>
        <v>1.6008403361344539</v>
      </c>
      <c r="D129" s="26">
        <f t="shared" si="33"/>
        <v>1.6025974025974026</v>
      </c>
      <c r="E129" s="26">
        <f t="shared" si="33"/>
        <v>1.5921375921375922</v>
      </c>
      <c r="F129" s="26">
        <f t="shared" si="33"/>
        <v>1.6056338028169015</v>
      </c>
      <c r="G129" s="26">
        <f t="shared" si="33"/>
        <v>1.595744680851064</v>
      </c>
      <c r="H129" s="26">
        <f t="shared" si="33"/>
        <v>1.6056338028169015</v>
      </c>
      <c r="I129" s="26">
        <f t="shared" si="33"/>
        <v>1.6080586080586079</v>
      </c>
      <c r="J129" s="26">
        <f t="shared" si="33"/>
        <v>1.5902777777777779</v>
      </c>
      <c r="K129" s="26">
        <f t="shared" si="33"/>
        <v>1.5962264150943399</v>
      </c>
      <c r="L129" s="26">
        <f t="shared" si="33"/>
        <v>1.602510460251046</v>
      </c>
      <c r="M129" s="26">
        <f t="shared" si="33"/>
        <v>1.5940170940170941</v>
      </c>
    </row>
    <row r="130" spans="1:13" ht="15.6" x14ac:dyDescent="0.3">
      <c r="A130" s="132">
        <v>110</v>
      </c>
      <c r="B130" s="30" t="s">
        <v>102</v>
      </c>
      <c r="C130" s="37">
        <v>3.28</v>
      </c>
      <c r="D130" s="37">
        <v>5.31</v>
      </c>
      <c r="E130" s="37">
        <v>5.62</v>
      </c>
      <c r="F130" s="37">
        <v>2.94</v>
      </c>
      <c r="G130" s="37">
        <v>3.9</v>
      </c>
      <c r="H130" s="37">
        <v>2.94</v>
      </c>
      <c r="I130" s="37">
        <v>3.77</v>
      </c>
      <c r="J130" s="37">
        <v>3.97</v>
      </c>
      <c r="K130" s="37">
        <v>3.66</v>
      </c>
      <c r="L130" s="37">
        <v>3.29</v>
      </c>
      <c r="M130" s="37">
        <v>3.23</v>
      </c>
    </row>
    <row r="131" spans="1:13" ht="15.6" x14ac:dyDescent="0.3">
      <c r="A131" s="132"/>
      <c r="B131" s="20" t="s">
        <v>103</v>
      </c>
      <c r="C131" s="32">
        <v>5.16</v>
      </c>
      <c r="D131" s="32">
        <v>8.36</v>
      </c>
      <c r="E131" s="32">
        <v>8.77</v>
      </c>
      <c r="F131" s="32">
        <v>4.63</v>
      </c>
      <c r="G131" s="32">
        <v>6.08</v>
      </c>
      <c r="H131" s="32">
        <v>4.63</v>
      </c>
      <c r="I131" s="32">
        <v>5.94</v>
      </c>
      <c r="J131" s="32">
        <v>6.2</v>
      </c>
      <c r="K131" s="32">
        <v>5.73</v>
      </c>
      <c r="L131" s="32">
        <v>5.18</v>
      </c>
      <c r="M131" s="32">
        <v>5.04</v>
      </c>
    </row>
    <row r="132" spans="1:13" ht="15.6" x14ac:dyDescent="0.3">
      <c r="A132" s="132"/>
      <c r="B132" s="38" t="s">
        <v>104</v>
      </c>
      <c r="C132" s="26">
        <f t="shared" ref="C132:M132" si="34">IF(OR(C130="",C131=""),"",C131/C130)</f>
        <v>1.5731707317073171</v>
      </c>
      <c r="D132" s="26">
        <f t="shared" si="34"/>
        <v>1.5743879472693032</v>
      </c>
      <c r="E132" s="26">
        <f t="shared" si="34"/>
        <v>1.5604982206405693</v>
      </c>
      <c r="F132" s="26">
        <f t="shared" si="34"/>
        <v>1.5748299319727892</v>
      </c>
      <c r="G132" s="26">
        <f t="shared" si="34"/>
        <v>1.558974358974359</v>
      </c>
      <c r="H132" s="26">
        <f t="shared" si="34"/>
        <v>1.5748299319727892</v>
      </c>
      <c r="I132" s="26">
        <f t="shared" si="34"/>
        <v>1.5755968169761274</v>
      </c>
      <c r="J132" s="26">
        <f t="shared" si="34"/>
        <v>1.5617128463476071</v>
      </c>
      <c r="K132" s="26">
        <f t="shared" si="34"/>
        <v>1.5655737704918034</v>
      </c>
      <c r="L132" s="26">
        <f t="shared" si="34"/>
        <v>1.5744680851063828</v>
      </c>
      <c r="M132" s="26">
        <f t="shared" si="34"/>
        <v>1.5603715170278638</v>
      </c>
    </row>
    <row r="133" spans="1:13" ht="15.6" x14ac:dyDescent="0.3">
      <c r="A133" s="132">
        <v>120</v>
      </c>
      <c r="B133" s="30" t="s">
        <v>102</v>
      </c>
      <c r="C133" s="37">
        <v>4.22</v>
      </c>
      <c r="D133" s="37">
        <v>6.84</v>
      </c>
      <c r="E133" s="37">
        <v>7.23</v>
      </c>
      <c r="F133" s="37">
        <v>3.79</v>
      </c>
      <c r="G133" s="37">
        <v>5.01</v>
      </c>
      <c r="H133" s="37">
        <v>3.79</v>
      </c>
      <c r="I133" s="37">
        <v>4.8600000000000003</v>
      </c>
      <c r="J133" s="37">
        <v>5.1100000000000003</v>
      </c>
      <c r="K133" s="37">
        <v>4.7</v>
      </c>
      <c r="L133" s="37">
        <v>4.24</v>
      </c>
      <c r="M133" s="37">
        <v>4.16</v>
      </c>
    </row>
    <row r="134" spans="1:13" ht="15.6" x14ac:dyDescent="0.3">
      <c r="A134" s="132"/>
      <c r="B134" s="20" t="s">
        <v>103</v>
      </c>
      <c r="C134" s="32">
        <v>6.53</v>
      </c>
      <c r="D134" s="32">
        <v>10.6</v>
      </c>
      <c r="E134" s="32">
        <v>11.1</v>
      </c>
      <c r="F134" s="32">
        <v>5.86</v>
      </c>
      <c r="G134" s="32">
        <v>7.7</v>
      </c>
      <c r="H134" s="32">
        <v>5.86</v>
      </c>
      <c r="I134" s="32">
        <v>7.52</v>
      </c>
      <c r="J134" s="32">
        <v>7.85</v>
      </c>
      <c r="K134" s="32">
        <v>7.25</v>
      </c>
      <c r="L134" s="32">
        <v>6.56</v>
      </c>
      <c r="M134" s="32">
        <v>6.39</v>
      </c>
    </row>
    <row r="135" spans="1:13" ht="15.6" x14ac:dyDescent="0.3">
      <c r="A135" s="132"/>
      <c r="B135" s="38" t="s">
        <v>104</v>
      </c>
      <c r="C135" s="26">
        <f t="shared" ref="C135:M135" si="35">IF(OR(C133="",C134=""),"",C134/C133)</f>
        <v>1.54739336492891</v>
      </c>
      <c r="D135" s="26">
        <f t="shared" si="35"/>
        <v>1.5497076023391814</v>
      </c>
      <c r="E135" s="26">
        <f t="shared" si="35"/>
        <v>1.5352697095435683</v>
      </c>
      <c r="F135" s="26">
        <f t="shared" si="35"/>
        <v>1.5461741424802111</v>
      </c>
      <c r="G135" s="26">
        <f t="shared" si="35"/>
        <v>1.536926147704591</v>
      </c>
      <c r="H135" s="26">
        <f t="shared" si="35"/>
        <v>1.5461741424802111</v>
      </c>
      <c r="I135" s="26">
        <f t="shared" si="35"/>
        <v>1.5473251028806583</v>
      </c>
      <c r="J135" s="26">
        <f t="shared" si="35"/>
        <v>1.5362035225048922</v>
      </c>
      <c r="K135" s="26">
        <f t="shared" si="35"/>
        <v>1.5425531914893615</v>
      </c>
      <c r="L135" s="26">
        <f t="shared" si="35"/>
        <v>1.5471698113207546</v>
      </c>
      <c r="M135" s="26">
        <f t="shared" si="35"/>
        <v>1.5360576923076921</v>
      </c>
    </row>
    <row r="136" spans="1:13" ht="15.6" x14ac:dyDescent="0.3">
      <c r="A136" s="132">
        <v>130</v>
      </c>
      <c r="B136" s="30" t="s">
        <v>102</v>
      </c>
      <c r="C136" s="37">
        <v>5.29</v>
      </c>
      <c r="D136" s="37">
        <v>8.57</v>
      </c>
      <c r="E136" s="37">
        <v>9.07</v>
      </c>
      <c r="F136" s="37">
        <v>4.75</v>
      </c>
      <c r="G136" s="37">
        <v>6.29</v>
      </c>
      <c r="H136" s="37">
        <v>4.75</v>
      </c>
      <c r="I136" s="37">
        <v>6.09</v>
      </c>
      <c r="J136" s="37">
        <v>6.41</v>
      </c>
      <c r="K136" s="37">
        <v>5.9</v>
      </c>
      <c r="L136" s="37">
        <v>5.31</v>
      </c>
      <c r="M136" s="37">
        <v>5.22</v>
      </c>
    </row>
    <row r="137" spans="1:13" ht="15.6" x14ac:dyDescent="0.3">
      <c r="A137" s="132"/>
      <c r="B137" s="20" t="s">
        <v>103</v>
      </c>
      <c r="C137" s="32">
        <v>8.1</v>
      </c>
      <c r="D137" s="32">
        <v>13.1</v>
      </c>
      <c r="E137" s="32">
        <v>13.8</v>
      </c>
      <c r="F137" s="32">
        <v>7.26</v>
      </c>
      <c r="G137" s="32">
        <v>9.5500000000000007</v>
      </c>
      <c r="H137" s="32">
        <v>7.26</v>
      </c>
      <c r="I137" s="32">
        <v>9.32</v>
      </c>
      <c r="J137" s="32">
        <v>9.74</v>
      </c>
      <c r="K137" s="32">
        <v>8.99</v>
      </c>
      <c r="L137" s="32">
        <v>8.1300000000000008</v>
      </c>
      <c r="M137" s="32">
        <v>7.92</v>
      </c>
    </row>
    <row r="138" spans="1:13" ht="15.6" x14ac:dyDescent="0.3">
      <c r="A138" s="132"/>
      <c r="B138" s="38" t="s">
        <v>104</v>
      </c>
      <c r="C138" s="26">
        <f t="shared" ref="C138:M138" si="36">IF(OR(C136="",C137=""),"",C137/C136)</f>
        <v>1.5311909262759924</v>
      </c>
      <c r="D138" s="26">
        <f t="shared" si="36"/>
        <v>1.528588098016336</v>
      </c>
      <c r="E138" s="26">
        <f t="shared" si="36"/>
        <v>1.5214994487320839</v>
      </c>
      <c r="F138" s="26">
        <f t="shared" si="36"/>
        <v>1.5284210526315789</v>
      </c>
      <c r="G138" s="26">
        <f t="shared" si="36"/>
        <v>1.5182829888712244</v>
      </c>
      <c r="H138" s="26">
        <f t="shared" si="36"/>
        <v>1.5284210526315789</v>
      </c>
      <c r="I138" s="26">
        <f t="shared" si="36"/>
        <v>1.5303776683087029</v>
      </c>
      <c r="J138" s="26">
        <f t="shared" si="36"/>
        <v>1.5195007800312013</v>
      </c>
      <c r="K138" s="26">
        <f t="shared" si="36"/>
        <v>1.5237288135593219</v>
      </c>
      <c r="L138" s="26">
        <f t="shared" si="36"/>
        <v>1.5310734463276838</v>
      </c>
      <c r="M138" s="26">
        <f t="shared" si="36"/>
        <v>1.517241379310345</v>
      </c>
    </row>
    <row r="139" spans="1:13" ht="15.6" x14ac:dyDescent="0.3">
      <c r="A139" s="132">
        <v>140</v>
      </c>
      <c r="B139" s="30" t="s">
        <v>102</v>
      </c>
      <c r="C139" s="37">
        <v>6.49</v>
      </c>
      <c r="D139" s="37">
        <v>10.5</v>
      </c>
      <c r="E139" s="37">
        <v>11.1</v>
      </c>
      <c r="F139" s="37">
        <v>5.82</v>
      </c>
      <c r="G139" s="37">
        <v>7.72</v>
      </c>
      <c r="H139" s="37">
        <v>5.82</v>
      </c>
      <c r="I139" s="37">
        <v>7.47</v>
      </c>
      <c r="J139" s="37">
        <v>7.86</v>
      </c>
      <c r="K139" s="37">
        <v>7.24</v>
      </c>
      <c r="L139" s="37">
        <v>6.52</v>
      </c>
      <c r="M139" s="37">
        <v>6.4</v>
      </c>
    </row>
    <row r="140" spans="1:13" ht="15.6" x14ac:dyDescent="0.3">
      <c r="A140" s="132"/>
      <c r="B140" s="20" t="s">
        <v>103</v>
      </c>
      <c r="C140" s="32">
        <v>9.84</v>
      </c>
      <c r="D140" s="32">
        <v>15.9</v>
      </c>
      <c r="E140" s="32">
        <v>16.7</v>
      </c>
      <c r="F140" s="32">
        <v>8.83</v>
      </c>
      <c r="G140" s="32">
        <v>11.6</v>
      </c>
      <c r="H140" s="32">
        <v>8.83</v>
      </c>
      <c r="I140" s="32">
        <v>11.3</v>
      </c>
      <c r="J140" s="32">
        <v>11.8</v>
      </c>
      <c r="K140" s="32">
        <v>10.9</v>
      </c>
      <c r="L140" s="32">
        <v>9.89</v>
      </c>
      <c r="M140" s="32">
        <v>9.6300000000000008</v>
      </c>
    </row>
    <row r="141" spans="1:13" ht="15.6" x14ac:dyDescent="0.3">
      <c r="A141" s="132"/>
      <c r="B141" s="38" t="s">
        <v>104</v>
      </c>
      <c r="C141" s="26">
        <f t="shared" ref="C141:M141" si="37">IF(OR(C139="",C140=""),"",C140/C139)</f>
        <v>1.5161787365177195</v>
      </c>
      <c r="D141" s="26">
        <f t="shared" si="37"/>
        <v>1.5142857142857142</v>
      </c>
      <c r="E141" s="26">
        <f t="shared" si="37"/>
        <v>1.5045045045045045</v>
      </c>
      <c r="F141" s="26">
        <f t="shared" si="37"/>
        <v>1.5171821305841924</v>
      </c>
      <c r="G141" s="26">
        <f t="shared" si="37"/>
        <v>1.5025906735751295</v>
      </c>
      <c r="H141" s="26">
        <f t="shared" si="37"/>
        <v>1.5171821305841924</v>
      </c>
      <c r="I141" s="26">
        <f t="shared" si="37"/>
        <v>1.5127175368139225</v>
      </c>
      <c r="J141" s="26">
        <f t="shared" si="37"/>
        <v>1.5012722646310432</v>
      </c>
      <c r="K141" s="26">
        <f t="shared" si="37"/>
        <v>1.5055248618784531</v>
      </c>
      <c r="L141" s="26">
        <f t="shared" si="37"/>
        <v>1.516871165644172</v>
      </c>
      <c r="M141" s="26">
        <f t="shared" si="37"/>
        <v>1.5046875</v>
      </c>
    </row>
    <row r="142" spans="1:13" ht="15.6" x14ac:dyDescent="0.3">
      <c r="A142" s="132" t="s">
        <v>145</v>
      </c>
      <c r="B142" s="30" t="s">
        <v>102</v>
      </c>
      <c r="C142" s="37">
        <v>0.54</v>
      </c>
      <c r="D142" s="37">
        <v>0.87</v>
      </c>
      <c r="E142" s="37">
        <v>0.92</v>
      </c>
      <c r="F142" s="37">
        <v>0.48</v>
      </c>
      <c r="G142" s="37">
        <v>0.64</v>
      </c>
      <c r="H142" s="37">
        <v>0.48</v>
      </c>
      <c r="I142" s="37">
        <v>0.62</v>
      </c>
      <c r="J142" s="37">
        <v>0.65</v>
      </c>
      <c r="K142" s="37">
        <v>0.6</v>
      </c>
      <c r="L142" s="37">
        <v>0.54</v>
      </c>
      <c r="M142" s="37">
        <v>0.53</v>
      </c>
    </row>
    <row r="143" spans="1:13" ht="15.6" x14ac:dyDescent="0.3">
      <c r="A143" s="132"/>
      <c r="B143" s="20" t="s">
        <v>103</v>
      </c>
      <c r="C143" s="32">
        <v>0.77</v>
      </c>
      <c r="D143" s="32">
        <v>1.25</v>
      </c>
      <c r="E143" s="32">
        <v>1.32</v>
      </c>
      <c r="F143" s="32">
        <v>0.69</v>
      </c>
      <c r="G143" s="32">
        <v>0.91</v>
      </c>
      <c r="H143" s="32">
        <v>0.69</v>
      </c>
      <c r="I143" s="32">
        <v>0.89</v>
      </c>
      <c r="J143" s="32">
        <v>0.93</v>
      </c>
      <c r="K143" s="32">
        <v>0.86</v>
      </c>
      <c r="L143" s="32">
        <v>0.78</v>
      </c>
      <c r="M143" s="32">
        <v>0.76</v>
      </c>
    </row>
    <row r="144" spans="1:13" ht="15.6" x14ac:dyDescent="0.3">
      <c r="A144" s="132"/>
      <c r="B144" s="38" t="s">
        <v>104</v>
      </c>
      <c r="C144" s="26">
        <f t="shared" ref="C144:M144" si="38">IF(OR(C142="",C143=""),"",C143/C142)</f>
        <v>1.4259259259259258</v>
      </c>
      <c r="D144" s="26">
        <f t="shared" si="38"/>
        <v>1.4367816091954022</v>
      </c>
      <c r="E144" s="26">
        <f t="shared" si="38"/>
        <v>1.4347826086956521</v>
      </c>
      <c r="F144" s="26">
        <f t="shared" si="38"/>
        <v>1.4375</v>
      </c>
      <c r="G144" s="26">
        <f t="shared" si="38"/>
        <v>1.421875</v>
      </c>
      <c r="H144" s="26">
        <f t="shared" si="38"/>
        <v>1.4375</v>
      </c>
      <c r="I144" s="26">
        <f t="shared" si="38"/>
        <v>1.435483870967742</v>
      </c>
      <c r="J144" s="26">
        <f t="shared" si="38"/>
        <v>1.4307692307692308</v>
      </c>
      <c r="K144" s="26">
        <f t="shared" si="38"/>
        <v>1.4333333333333333</v>
      </c>
      <c r="L144" s="26">
        <f t="shared" si="38"/>
        <v>1.4444444444444444</v>
      </c>
      <c r="M144" s="26">
        <f t="shared" si="38"/>
        <v>1.4339622641509433</v>
      </c>
    </row>
    <row r="145" spans="1:13" ht="15.6" x14ac:dyDescent="0.3">
      <c r="A145" s="132" t="s">
        <v>146</v>
      </c>
      <c r="B145" s="30" t="s">
        <v>102</v>
      </c>
      <c r="C145" s="37">
        <v>2.4500000000000002</v>
      </c>
      <c r="D145" s="37">
        <v>3.97</v>
      </c>
      <c r="E145" s="37">
        <v>4.21</v>
      </c>
      <c r="F145" s="37">
        <v>2.2000000000000002</v>
      </c>
      <c r="G145" s="37">
        <v>2.92</v>
      </c>
      <c r="H145" s="37">
        <v>2.2000000000000002</v>
      </c>
      <c r="I145" s="37">
        <v>2.82</v>
      </c>
      <c r="J145" s="37">
        <v>2.97</v>
      </c>
      <c r="K145" s="37">
        <v>2.73</v>
      </c>
      <c r="L145" s="37">
        <v>2.46</v>
      </c>
      <c r="M145" s="37">
        <v>2.42</v>
      </c>
    </row>
    <row r="146" spans="1:13" ht="15.6" x14ac:dyDescent="0.3">
      <c r="A146" s="132"/>
      <c r="B146" s="20" t="s">
        <v>103</v>
      </c>
      <c r="C146" s="32">
        <v>3.47</v>
      </c>
      <c r="D146" s="32">
        <v>5.62</v>
      </c>
      <c r="E146" s="32">
        <v>5.94</v>
      </c>
      <c r="F146" s="32">
        <v>3.12</v>
      </c>
      <c r="G146" s="32">
        <v>4.12</v>
      </c>
      <c r="H146" s="32">
        <v>3.12</v>
      </c>
      <c r="I146" s="32">
        <v>4</v>
      </c>
      <c r="J146" s="32">
        <v>4.2</v>
      </c>
      <c r="K146" s="32">
        <v>3.87</v>
      </c>
      <c r="L146" s="32">
        <v>3.49</v>
      </c>
      <c r="M146" s="32">
        <v>3.42</v>
      </c>
    </row>
    <row r="147" spans="1:13" ht="15.6" x14ac:dyDescent="0.3">
      <c r="A147" s="132"/>
      <c r="B147" s="38" t="s">
        <v>104</v>
      </c>
      <c r="C147" s="26">
        <f t="shared" ref="C147:M147" si="39">IF(OR(C145="",C146=""),"",C146/C145)</f>
        <v>1.4163265306122448</v>
      </c>
      <c r="D147" s="26">
        <f t="shared" si="39"/>
        <v>1.415617128463476</v>
      </c>
      <c r="E147" s="26">
        <f t="shared" si="39"/>
        <v>1.4109263657957245</v>
      </c>
      <c r="F147" s="26">
        <f t="shared" si="39"/>
        <v>1.4181818181818182</v>
      </c>
      <c r="G147" s="26">
        <f t="shared" si="39"/>
        <v>1.4109589041095891</v>
      </c>
      <c r="H147" s="26">
        <f t="shared" si="39"/>
        <v>1.4181818181818182</v>
      </c>
      <c r="I147" s="26">
        <f t="shared" si="39"/>
        <v>1.4184397163120568</v>
      </c>
      <c r="J147" s="26">
        <f t="shared" si="39"/>
        <v>1.4141414141414141</v>
      </c>
      <c r="K147" s="26">
        <f t="shared" si="39"/>
        <v>1.4175824175824177</v>
      </c>
      <c r="L147" s="26">
        <f t="shared" si="39"/>
        <v>1.4186991869918699</v>
      </c>
      <c r="M147" s="26">
        <f t="shared" si="39"/>
        <v>1.4132231404958677</v>
      </c>
    </row>
  </sheetData>
  <mergeCells count="40"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44:A46"/>
    <mergeCell ref="A47:A49"/>
    <mergeCell ref="A50:A52"/>
    <mergeCell ref="A53:A55"/>
    <mergeCell ref="A56:A58"/>
    <mergeCell ref="A59:A61"/>
    <mergeCell ref="A62:A64"/>
    <mergeCell ref="A65:A67"/>
    <mergeCell ref="A68:A70"/>
    <mergeCell ref="A71:A73"/>
    <mergeCell ref="A81:A83"/>
    <mergeCell ref="A84:A86"/>
    <mergeCell ref="A87:A89"/>
    <mergeCell ref="A90:A92"/>
    <mergeCell ref="A93:A95"/>
    <mergeCell ref="A96:A98"/>
    <mergeCell ref="A99:A101"/>
    <mergeCell ref="A102:A104"/>
    <mergeCell ref="A105:A107"/>
    <mergeCell ref="A108:A110"/>
    <mergeCell ref="A118:A120"/>
    <mergeCell ref="A121:A123"/>
    <mergeCell ref="A124:A126"/>
    <mergeCell ref="A127:A129"/>
    <mergeCell ref="A130:A132"/>
    <mergeCell ref="A133:A135"/>
    <mergeCell ref="A136:A138"/>
    <mergeCell ref="A139:A141"/>
    <mergeCell ref="A142:A144"/>
    <mergeCell ref="A145:A147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AE159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31" ht="15" customHeight="1" x14ac:dyDescent="0.3">
      <c r="A1" s="8" t="s">
        <v>97</v>
      </c>
      <c r="Q1" s="8" t="s">
        <v>97</v>
      </c>
    </row>
    <row r="2" spans="1:31" ht="15" customHeight="1" x14ac:dyDescent="0.3">
      <c r="B2" s="15" t="s">
        <v>100</v>
      </c>
      <c r="C2" s="31" t="s">
        <v>13</v>
      </c>
      <c r="D2" s="31" t="s">
        <v>26</v>
      </c>
      <c r="E2" s="31" t="s">
        <v>14</v>
      </c>
      <c r="F2" s="31" t="s">
        <v>18</v>
      </c>
      <c r="G2" s="31" t="s">
        <v>20</v>
      </c>
      <c r="H2" s="31" t="s">
        <v>21</v>
      </c>
      <c r="I2" s="31" t="s">
        <v>21</v>
      </c>
      <c r="J2" s="31" t="s">
        <v>21</v>
      </c>
      <c r="K2" s="31" t="s">
        <v>38</v>
      </c>
      <c r="L2" s="31" t="s">
        <v>22</v>
      </c>
      <c r="M2" s="31" t="s">
        <v>39</v>
      </c>
      <c r="N2" s="31" t="s">
        <v>42</v>
      </c>
      <c r="O2" s="31" t="s">
        <v>43</v>
      </c>
      <c r="P2" s="115"/>
      <c r="R2" s="15" t="s">
        <v>100</v>
      </c>
      <c r="S2" s="31" t="s">
        <v>13</v>
      </c>
      <c r="T2" s="31" t="s">
        <v>26</v>
      </c>
      <c r="U2" s="31" t="s">
        <v>14</v>
      </c>
      <c r="V2" s="31" t="s">
        <v>18</v>
      </c>
      <c r="W2" s="31" t="s">
        <v>20</v>
      </c>
      <c r="X2" s="31" t="s">
        <v>21</v>
      </c>
      <c r="Y2" s="31" t="s">
        <v>21</v>
      </c>
      <c r="Z2" s="31" t="s">
        <v>21</v>
      </c>
      <c r="AA2" s="31" t="s">
        <v>38</v>
      </c>
      <c r="AB2" s="31" t="s">
        <v>22</v>
      </c>
      <c r="AC2" s="31" t="s">
        <v>39</v>
      </c>
      <c r="AD2" s="31" t="s">
        <v>42</v>
      </c>
      <c r="AE2" s="31" t="s">
        <v>43</v>
      </c>
    </row>
    <row r="3" spans="1:31" ht="15" customHeight="1" x14ac:dyDescent="0.3">
      <c r="B3" s="18" t="s">
        <v>114</v>
      </c>
      <c r="C3" s="32">
        <v>2</v>
      </c>
      <c r="D3" s="32">
        <v>3.6</v>
      </c>
      <c r="E3" s="32">
        <v>5</v>
      </c>
      <c r="F3" s="32">
        <v>10</v>
      </c>
      <c r="G3" s="32">
        <v>14.4</v>
      </c>
      <c r="H3" s="32">
        <v>19.2</v>
      </c>
      <c r="I3" s="32">
        <v>19.2</v>
      </c>
      <c r="J3" s="32">
        <v>19.2</v>
      </c>
      <c r="K3" s="32">
        <f>48*0.6</f>
        <v>28.799999999999997</v>
      </c>
      <c r="L3" s="32">
        <f>64*0.6</f>
        <v>38.4</v>
      </c>
      <c r="M3" s="32">
        <f>96*0.6</f>
        <v>57.599999999999994</v>
      </c>
      <c r="N3" s="32">
        <f>24*1.2</f>
        <v>28.799999999999997</v>
      </c>
      <c r="O3" s="32">
        <f>48*1.2</f>
        <v>57.599999999999994</v>
      </c>
      <c r="P3" s="115"/>
      <c r="R3" s="18" t="s">
        <v>114</v>
      </c>
      <c r="S3" s="32">
        <v>2</v>
      </c>
      <c r="T3" s="32">
        <v>3.6</v>
      </c>
      <c r="U3" s="32">
        <v>5</v>
      </c>
      <c r="V3" s="32">
        <v>10</v>
      </c>
      <c r="W3" s="32">
        <v>14.4</v>
      </c>
      <c r="X3" s="32">
        <v>19.2</v>
      </c>
      <c r="Y3" s="32">
        <v>19.2</v>
      </c>
      <c r="Z3" s="32">
        <v>19.2</v>
      </c>
      <c r="AA3" s="32">
        <f>48*0.6</f>
        <v>28.799999999999997</v>
      </c>
      <c r="AB3" s="32">
        <f>64*0.6</f>
        <v>38.4</v>
      </c>
      <c r="AC3" s="32">
        <f>96*0.6</f>
        <v>57.599999999999994</v>
      </c>
      <c r="AD3" s="32">
        <f>24*1.2</f>
        <v>28.799999999999997</v>
      </c>
      <c r="AE3" s="32">
        <f>48*1.2</f>
        <v>57.599999999999994</v>
      </c>
    </row>
    <row r="4" spans="1:31" ht="15" customHeight="1" x14ac:dyDescent="0.3">
      <c r="B4" s="18" t="s">
        <v>101</v>
      </c>
      <c r="C4" s="32" t="s">
        <v>13</v>
      </c>
      <c r="D4" s="32" t="s">
        <v>26</v>
      </c>
      <c r="E4" s="32" t="s">
        <v>14</v>
      </c>
      <c r="F4" s="32" t="s">
        <v>18</v>
      </c>
      <c r="G4" s="32" t="s">
        <v>20</v>
      </c>
      <c r="H4" s="32" t="s">
        <v>21</v>
      </c>
      <c r="I4" s="32" t="s">
        <v>22</v>
      </c>
      <c r="J4" s="32" t="s">
        <v>22</v>
      </c>
      <c r="K4" s="32" t="s">
        <v>39</v>
      </c>
      <c r="L4" s="32" t="s">
        <v>40</v>
      </c>
      <c r="M4" s="32" t="s">
        <v>41</v>
      </c>
      <c r="N4" s="32" t="s">
        <v>42</v>
      </c>
      <c r="O4" s="32" t="s">
        <v>149</v>
      </c>
      <c r="P4" s="115"/>
      <c r="R4" s="18" t="s">
        <v>101</v>
      </c>
      <c r="S4" s="32" t="s">
        <v>13</v>
      </c>
      <c r="T4" s="32" t="s">
        <v>26</v>
      </c>
      <c r="U4" s="32" t="s">
        <v>14</v>
      </c>
      <c r="V4" s="32" t="s">
        <v>18</v>
      </c>
      <c r="W4" s="32" t="s">
        <v>20</v>
      </c>
      <c r="X4" s="32" t="s">
        <v>21</v>
      </c>
      <c r="Y4" s="32" t="s">
        <v>22</v>
      </c>
      <c r="Z4" s="32" t="s">
        <v>22</v>
      </c>
      <c r="AA4" s="32" t="s">
        <v>39</v>
      </c>
      <c r="AB4" s="32" t="s">
        <v>40</v>
      </c>
      <c r="AC4" s="32" t="s">
        <v>41</v>
      </c>
      <c r="AD4" s="32" t="s">
        <v>42</v>
      </c>
      <c r="AE4" s="32" t="s">
        <v>149</v>
      </c>
    </row>
    <row r="5" spans="1:31" ht="15" customHeight="1" x14ac:dyDescent="0.3">
      <c r="B5" s="33" t="s">
        <v>115</v>
      </c>
      <c r="C5" s="40"/>
      <c r="D5" s="40"/>
      <c r="E5" s="40"/>
      <c r="F5" s="40"/>
      <c r="G5" s="40"/>
      <c r="H5" s="40" t="s">
        <v>119</v>
      </c>
      <c r="I5" s="40" t="s">
        <v>150</v>
      </c>
      <c r="J5" s="40" t="s">
        <v>121</v>
      </c>
      <c r="K5" s="40" t="s">
        <v>121</v>
      </c>
      <c r="L5" s="40" t="s">
        <v>121</v>
      </c>
      <c r="M5" s="40" t="s">
        <v>121</v>
      </c>
      <c r="N5" s="40" t="s">
        <v>121</v>
      </c>
      <c r="O5" s="40"/>
      <c r="P5" s="115"/>
      <c r="R5" s="33" t="s">
        <v>115</v>
      </c>
      <c r="S5" s="40"/>
      <c r="T5" s="40"/>
      <c r="U5" s="40"/>
      <c r="V5" s="40"/>
      <c r="W5" s="40"/>
      <c r="X5" s="40" t="s">
        <v>119</v>
      </c>
      <c r="Y5" s="40" t="s">
        <v>150</v>
      </c>
      <c r="Z5" s="40" t="s">
        <v>121</v>
      </c>
      <c r="AA5" s="40" t="s">
        <v>121</v>
      </c>
      <c r="AB5" s="40" t="s">
        <v>121</v>
      </c>
      <c r="AC5" s="40" t="s">
        <v>121</v>
      </c>
      <c r="AD5" s="40" t="s">
        <v>121</v>
      </c>
      <c r="AE5" s="40"/>
    </row>
    <row r="6" spans="1:31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116"/>
      <c r="Q6" s="7" t="s">
        <v>6</v>
      </c>
      <c r="R6" s="35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</row>
    <row r="7" spans="1:31" ht="15" customHeight="1" x14ac:dyDescent="0.3">
      <c r="A7" s="132">
        <v>70</v>
      </c>
      <c r="B7" s="30" t="s">
        <v>102</v>
      </c>
      <c r="C7" s="37">
        <v>2.5299999999999998</v>
      </c>
      <c r="D7" s="37">
        <v>4.21</v>
      </c>
      <c r="E7" s="37">
        <v>2.44</v>
      </c>
      <c r="F7" s="37">
        <v>2.44</v>
      </c>
      <c r="G7" s="37">
        <v>3.48</v>
      </c>
      <c r="H7" s="37">
        <v>2.75</v>
      </c>
      <c r="I7" s="37">
        <v>2.96</v>
      </c>
      <c r="J7" s="37">
        <v>3.36</v>
      </c>
      <c r="K7" s="37">
        <v>3.05</v>
      </c>
      <c r="L7" s="37">
        <v>2.9</v>
      </c>
      <c r="M7" s="37">
        <v>2.72</v>
      </c>
      <c r="N7" s="37">
        <v>3</v>
      </c>
      <c r="O7" s="37">
        <v>2.73</v>
      </c>
      <c r="P7" s="115"/>
      <c r="Q7" s="132"/>
      <c r="R7" s="30" t="s">
        <v>102</v>
      </c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</row>
    <row r="8" spans="1:31" ht="15" customHeight="1" x14ac:dyDescent="0.3">
      <c r="A8" s="132"/>
      <c r="B8" s="20" t="s">
        <v>103</v>
      </c>
      <c r="C8" s="32">
        <v>2.72</v>
      </c>
      <c r="D8" s="32">
        <v>4.53</v>
      </c>
      <c r="E8" s="32">
        <v>2.63</v>
      </c>
      <c r="F8" s="32">
        <v>2.63</v>
      </c>
      <c r="G8" s="32">
        <v>3.75</v>
      </c>
      <c r="H8" s="32">
        <v>2.96</v>
      </c>
      <c r="I8" s="32">
        <v>3.18</v>
      </c>
      <c r="J8" s="32">
        <v>3.62</v>
      </c>
      <c r="K8" s="32">
        <v>3.28</v>
      </c>
      <c r="L8" s="32">
        <v>3.12</v>
      </c>
      <c r="M8" s="32">
        <v>2.93</v>
      </c>
      <c r="N8" s="32">
        <v>3.23</v>
      </c>
      <c r="O8" s="32">
        <v>2.93</v>
      </c>
      <c r="P8" s="115"/>
      <c r="Q8" s="132"/>
      <c r="R8" s="20" t="s">
        <v>151</v>
      </c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</row>
    <row r="9" spans="1:31" ht="15" customHeight="1" x14ac:dyDescent="0.3">
      <c r="A9" s="132"/>
      <c r="B9" s="38" t="s">
        <v>104</v>
      </c>
      <c r="C9" s="26">
        <f t="shared" ref="C9:O9" si="0">IF(OR(C7="",C8=""),"",C8/C7)</f>
        <v>1.0750988142292492</v>
      </c>
      <c r="D9" s="26">
        <f t="shared" si="0"/>
        <v>1.0760095011876485</v>
      </c>
      <c r="E9" s="26">
        <f t="shared" si="0"/>
        <v>1.0778688524590163</v>
      </c>
      <c r="F9" s="26">
        <f t="shared" si="0"/>
        <v>1.0778688524590163</v>
      </c>
      <c r="G9" s="26">
        <f t="shared" si="0"/>
        <v>1.0775862068965518</v>
      </c>
      <c r="H9" s="26">
        <f t="shared" si="0"/>
        <v>1.0763636363636364</v>
      </c>
      <c r="I9" s="26">
        <f t="shared" si="0"/>
        <v>1.0743243243243243</v>
      </c>
      <c r="J9" s="26">
        <f t="shared" si="0"/>
        <v>1.0773809523809526</v>
      </c>
      <c r="K9" s="26">
        <f t="shared" si="0"/>
        <v>1.0754098360655737</v>
      </c>
      <c r="L9" s="26">
        <f t="shared" si="0"/>
        <v>1.0758620689655174</v>
      </c>
      <c r="M9" s="26">
        <f t="shared" si="0"/>
        <v>1.0772058823529411</v>
      </c>
      <c r="N9" s="26">
        <f t="shared" si="0"/>
        <v>1.0766666666666667</v>
      </c>
      <c r="O9" s="26">
        <f t="shared" si="0"/>
        <v>1.0732600732600732</v>
      </c>
      <c r="P9" s="119"/>
      <c r="Q9" s="132"/>
      <c r="R9" s="38" t="s">
        <v>104</v>
      </c>
      <c r="S9" s="26" t="str">
        <f t="shared" ref="S9:AE9" si="1">IF(OR(S7="",S8=""),"",S8/S7)</f>
        <v/>
      </c>
      <c r="T9" s="26" t="str">
        <f t="shared" si="1"/>
        <v/>
      </c>
      <c r="U9" s="26" t="str">
        <f t="shared" si="1"/>
        <v/>
      </c>
      <c r="V9" s="26" t="str">
        <f t="shared" si="1"/>
        <v/>
      </c>
      <c r="W9" s="26" t="str">
        <f t="shared" si="1"/>
        <v/>
      </c>
      <c r="X9" s="26" t="str">
        <f t="shared" si="1"/>
        <v/>
      </c>
      <c r="Y9" s="26" t="str">
        <f t="shared" si="1"/>
        <v/>
      </c>
      <c r="Z9" s="26" t="str">
        <f t="shared" si="1"/>
        <v/>
      </c>
      <c r="AA9" s="26" t="str">
        <f t="shared" si="1"/>
        <v/>
      </c>
      <c r="AB9" s="26" t="str">
        <f t="shared" si="1"/>
        <v/>
      </c>
      <c r="AC9" s="26" t="str">
        <f t="shared" si="1"/>
        <v/>
      </c>
      <c r="AD9" s="26" t="str">
        <f t="shared" si="1"/>
        <v/>
      </c>
      <c r="AE9" s="26" t="str">
        <f t="shared" si="1"/>
        <v/>
      </c>
    </row>
    <row r="10" spans="1:31" ht="15" customHeight="1" x14ac:dyDescent="0.3">
      <c r="A10" s="132">
        <v>80</v>
      </c>
      <c r="B10" s="30" t="s">
        <v>102</v>
      </c>
      <c r="C10" s="37">
        <v>4.04</v>
      </c>
      <c r="D10" s="37">
        <v>6.73</v>
      </c>
      <c r="E10" s="37">
        <v>3.9</v>
      </c>
      <c r="F10" s="37">
        <v>3.9</v>
      </c>
      <c r="G10" s="37">
        <v>5.56</v>
      </c>
      <c r="H10" s="37">
        <v>4.4000000000000004</v>
      </c>
      <c r="I10" s="37">
        <v>4.72</v>
      </c>
      <c r="J10" s="37">
        <v>5.37</v>
      </c>
      <c r="K10" s="37">
        <v>4.87</v>
      </c>
      <c r="L10" s="37">
        <v>4.62</v>
      </c>
      <c r="M10" s="37">
        <v>4.3499999999999996</v>
      </c>
      <c r="N10" s="37">
        <v>4.79</v>
      </c>
      <c r="O10" s="37">
        <v>4.3499999999999996</v>
      </c>
      <c r="P10" s="115"/>
      <c r="Q10" s="132"/>
      <c r="R10" s="30" t="s">
        <v>102</v>
      </c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</row>
    <row r="11" spans="1:31" ht="15" customHeight="1" x14ac:dyDescent="0.3">
      <c r="A11" s="132"/>
      <c r="B11" s="20" t="s">
        <v>103</v>
      </c>
      <c r="C11" s="32">
        <v>4.24</v>
      </c>
      <c r="D11" s="32">
        <v>7.07</v>
      </c>
      <c r="E11" s="32">
        <v>4.0999999999999996</v>
      </c>
      <c r="F11" s="32">
        <v>4.0999999999999996</v>
      </c>
      <c r="G11" s="32">
        <v>5.85</v>
      </c>
      <c r="H11" s="32">
        <v>4.63</v>
      </c>
      <c r="I11" s="32">
        <v>4.97</v>
      </c>
      <c r="J11" s="32">
        <v>5.65</v>
      </c>
      <c r="K11" s="32">
        <v>5.12</v>
      </c>
      <c r="L11" s="32">
        <v>4.8600000000000003</v>
      </c>
      <c r="M11" s="32">
        <v>4.58</v>
      </c>
      <c r="N11" s="32">
        <v>5.03</v>
      </c>
      <c r="O11" s="32">
        <v>4.58</v>
      </c>
      <c r="P11" s="115"/>
      <c r="Q11" s="132"/>
      <c r="R11" s="20" t="s">
        <v>151</v>
      </c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</row>
    <row r="12" spans="1:31" ht="15" customHeight="1" x14ac:dyDescent="0.3">
      <c r="A12" s="132"/>
      <c r="B12" s="38" t="s">
        <v>104</v>
      </c>
      <c r="C12" s="26">
        <f t="shared" ref="C12:O12" si="2">IF(OR(C10="",C11=""),"",C11/C10)</f>
        <v>1.0495049504950495</v>
      </c>
      <c r="D12" s="26">
        <f t="shared" si="2"/>
        <v>1.0505200594353641</v>
      </c>
      <c r="E12" s="26">
        <f t="shared" si="2"/>
        <v>1.0512820512820513</v>
      </c>
      <c r="F12" s="26">
        <f t="shared" si="2"/>
        <v>1.0512820512820513</v>
      </c>
      <c r="G12" s="26">
        <f t="shared" si="2"/>
        <v>1.0521582733812951</v>
      </c>
      <c r="H12" s="26">
        <f t="shared" si="2"/>
        <v>1.0522727272727272</v>
      </c>
      <c r="I12" s="26">
        <f t="shared" si="2"/>
        <v>1.0529661016949152</v>
      </c>
      <c r="J12" s="26">
        <f t="shared" si="2"/>
        <v>1.0521415270018621</v>
      </c>
      <c r="K12" s="26">
        <f t="shared" si="2"/>
        <v>1.0513347022587269</v>
      </c>
      <c r="L12" s="26">
        <f t="shared" si="2"/>
        <v>1.051948051948052</v>
      </c>
      <c r="M12" s="26">
        <f t="shared" si="2"/>
        <v>1.052873563218391</v>
      </c>
      <c r="N12" s="26">
        <f t="shared" si="2"/>
        <v>1.0501043841336117</v>
      </c>
      <c r="O12" s="26">
        <f t="shared" si="2"/>
        <v>1.052873563218391</v>
      </c>
      <c r="P12" s="119"/>
      <c r="Q12" s="132"/>
      <c r="R12" s="38" t="s">
        <v>104</v>
      </c>
      <c r="S12" s="52" t="str">
        <f t="shared" ref="S12:AE12" si="3">IF(OR(S10="",S11=""),"",S11/S10)</f>
        <v/>
      </c>
      <c r="T12" s="54" t="str">
        <f t="shared" si="3"/>
        <v/>
      </c>
      <c r="U12" s="54" t="str">
        <f t="shared" si="3"/>
        <v/>
      </c>
      <c r="V12" s="54" t="str">
        <f t="shared" si="3"/>
        <v/>
      </c>
      <c r="W12" s="54" t="str">
        <f t="shared" si="3"/>
        <v/>
      </c>
      <c r="X12" s="54" t="str">
        <f t="shared" si="3"/>
        <v/>
      </c>
      <c r="Y12" s="54" t="str">
        <f t="shared" si="3"/>
        <v/>
      </c>
      <c r="Z12" s="54" t="str">
        <f t="shared" si="3"/>
        <v/>
      </c>
      <c r="AA12" s="54" t="str">
        <f t="shared" si="3"/>
        <v/>
      </c>
      <c r="AB12" s="54" t="str">
        <f t="shared" si="3"/>
        <v/>
      </c>
      <c r="AC12" s="54" t="str">
        <f t="shared" si="3"/>
        <v/>
      </c>
      <c r="AD12" s="54" t="str">
        <f t="shared" si="3"/>
        <v/>
      </c>
      <c r="AE12" s="54" t="str">
        <f t="shared" si="3"/>
        <v/>
      </c>
    </row>
    <row r="13" spans="1:31" ht="15" customHeight="1" x14ac:dyDescent="0.3">
      <c r="A13" s="132">
        <v>90</v>
      </c>
      <c r="B13" s="30" t="s">
        <v>102</v>
      </c>
      <c r="C13" s="37">
        <v>5.93</v>
      </c>
      <c r="D13" s="37">
        <v>9.8800000000000008</v>
      </c>
      <c r="E13" s="37">
        <v>5.73</v>
      </c>
      <c r="F13" s="37">
        <v>5.73</v>
      </c>
      <c r="G13" s="37">
        <v>8.17</v>
      </c>
      <c r="H13" s="37">
        <v>6.46</v>
      </c>
      <c r="I13" s="37">
        <v>6.94</v>
      </c>
      <c r="J13" s="37">
        <v>7.89</v>
      </c>
      <c r="K13" s="37">
        <v>7.16</v>
      </c>
      <c r="L13" s="37">
        <v>6.79</v>
      </c>
      <c r="M13" s="37">
        <v>6.39</v>
      </c>
      <c r="N13" s="37">
        <v>7.03</v>
      </c>
      <c r="O13" s="37">
        <v>6.4</v>
      </c>
      <c r="P13" s="115"/>
      <c r="Q13" s="132"/>
      <c r="R13" s="30" t="s">
        <v>102</v>
      </c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</row>
    <row r="14" spans="1:31" ht="15" customHeight="1" x14ac:dyDescent="0.3">
      <c r="A14" s="132"/>
      <c r="B14" s="20" t="s">
        <v>103</v>
      </c>
      <c r="C14" s="32">
        <v>6.08</v>
      </c>
      <c r="D14" s="32">
        <v>10.130000000000001</v>
      </c>
      <c r="E14" s="32">
        <v>5.87</v>
      </c>
      <c r="F14" s="32">
        <v>5.87</v>
      </c>
      <c r="G14" s="32">
        <v>8.3699999999999992</v>
      </c>
      <c r="H14" s="32">
        <v>6.62</v>
      </c>
      <c r="I14" s="32">
        <v>7.11</v>
      </c>
      <c r="J14" s="32">
        <v>8.08</v>
      </c>
      <c r="K14" s="32">
        <v>7.33</v>
      </c>
      <c r="L14" s="32">
        <v>6.96</v>
      </c>
      <c r="M14" s="32">
        <v>6.55</v>
      </c>
      <c r="N14" s="32">
        <v>7.2</v>
      </c>
      <c r="O14" s="32">
        <v>6.55</v>
      </c>
      <c r="P14" s="115"/>
      <c r="Q14" s="132"/>
      <c r="R14" s="20" t="s">
        <v>151</v>
      </c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</row>
    <row r="15" spans="1:31" ht="15" customHeight="1" x14ac:dyDescent="0.3">
      <c r="A15" s="132"/>
      <c r="B15" s="38" t="s">
        <v>104</v>
      </c>
      <c r="C15" s="26">
        <f t="shared" ref="C15:O15" si="4">IF(OR(C13="",C14=""),"",C14/C13)</f>
        <v>1.0252951096121417</v>
      </c>
      <c r="D15" s="26">
        <f t="shared" si="4"/>
        <v>1.0253036437246963</v>
      </c>
      <c r="E15" s="26">
        <f t="shared" si="4"/>
        <v>1.0244328097731239</v>
      </c>
      <c r="F15" s="26">
        <f t="shared" si="4"/>
        <v>1.0244328097731239</v>
      </c>
      <c r="G15" s="26">
        <f t="shared" si="4"/>
        <v>1.0244798041615666</v>
      </c>
      <c r="H15" s="26">
        <f t="shared" si="4"/>
        <v>1.0247678018575852</v>
      </c>
      <c r="I15" s="26">
        <f t="shared" si="4"/>
        <v>1.0244956772334295</v>
      </c>
      <c r="J15" s="26">
        <f t="shared" si="4"/>
        <v>1.0240811153358682</v>
      </c>
      <c r="K15" s="26">
        <f t="shared" si="4"/>
        <v>1.0237430167597765</v>
      </c>
      <c r="L15" s="26">
        <f t="shared" si="4"/>
        <v>1.0250368188512518</v>
      </c>
      <c r="M15" s="26">
        <f t="shared" si="4"/>
        <v>1.0250391236306728</v>
      </c>
      <c r="N15" s="26">
        <f t="shared" si="4"/>
        <v>1.0241820768136558</v>
      </c>
      <c r="O15" s="26">
        <f t="shared" si="4"/>
        <v>1.0234375</v>
      </c>
      <c r="P15" s="119"/>
      <c r="Q15" s="132"/>
      <c r="R15" s="38" t="s">
        <v>104</v>
      </c>
      <c r="S15" s="52" t="str">
        <f t="shared" ref="S15:AE15" si="5">IF(OR(S13="",S14=""),"",S14/S13)</f>
        <v/>
      </c>
      <c r="T15" s="54" t="str">
        <f t="shared" si="5"/>
        <v/>
      </c>
      <c r="U15" s="54" t="str">
        <f t="shared" si="5"/>
        <v/>
      </c>
      <c r="V15" s="54" t="str">
        <f t="shared" si="5"/>
        <v/>
      </c>
      <c r="W15" s="54" t="str">
        <f t="shared" si="5"/>
        <v/>
      </c>
      <c r="X15" s="54" t="str">
        <f t="shared" si="5"/>
        <v/>
      </c>
      <c r="Y15" s="54" t="str">
        <f t="shared" si="5"/>
        <v/>
      </c>
      <c r="Z15" s="54" t="str">
        <f t="shared" si="5"/>
        <v/>
      </c>
      <c r="AA15" s="54" t="str">
        <f t="shared" si="5"/>
        <v/>
      </c>
      <c r="AB15" s="54" t="str">
        <f t="shared" si="5"/>
        <v/>
      </c>
      <c r="AC15" s="54" t="str">
        <f t="shared" si="5"/>
        <v/>
      </c>
      <c r="AD15" s="54" t="str">
        <f t="shared" si="5"/>
        <v/>
      </c>
      <c r="AE15" s="54" t="str">
        <f t="shared" si="5"/>
        <v/>
      </c>
    </row>
    <row r="16" spans="1:31" ht="15" customHeight="1" x14ac:dyDescent="0.3">
      <c r="A16" s="132">
        <v>100</v>
      </c>
      <c r="B16" s="30" t="s">
        <v>102</v>
      </c>
      <c r="C16" s="37">
        <v>8.08</v>
      </c>
      <c r="D16" s="37">
        <v>13.47</v>
      </c>
      <c r="E16" s="37">
        <v>7.81</v>
      </c>
      <c r="F16" s="37">
        <v>7.81</v>
      </c>
      <c r="G16" s="37">
        <v>11.14</v>
      </c>
      <c r="H16" s="37">
        <v>8.81</v>
      </c>
      <c r="I16" s="37">
        <v>9.4499999999999993</v>
      </c>
      <c r="J16" s="37">
        <v>10.75</v>
      </c>
      <c r="K16" s="37">
        <v>9.76</v>
      </c>
      <c r="L16" s="37">
        <v>9.26</v>
      </c>
      <c r="M16" s="37">
        <v>8.7100000000000009</v>
      </c>
      <c r="N16" s="37">
        <v>9.58</v>
      </c>
      <c r="O16" s="37">
        <v>8.7200000000000006</v>
      </c>
      <c r="P16" s="115"/>
      <c r="Q16" s="132"/>
      <c r="R16" s="30" t="s">
        <v>102</v>
      </c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</row>
    <row r="17" spans="1:31" ht="15" customHeight="1" x14ac:dyDescent="0.3">
      <c r="A17" s="132"/>
      <c r="B17" s="20" t="s">
        <v>103</v>
      </c>
      <c r="C17" s="32">
        <v>8.23</v>
      </c>
      <c r="D17" s="32">
        <v>13.72</v>
      </c>
      <c r="E17" s="32">
        <v>7.95</v>
      </c>
      <c r="F17" s="32">
        <v>7.95</v>
      </c>
      <c r="G17" s="32">
        <v>11.34</v>
      </c>
      <c r="H17" s="32">
        <v>8.9700000000000006</v>
      </c>
      <c r="I17" s="32">
        <v>9.6300000000000008</v>
      </c>
      <c r="J17" s="32">
        <v>10.95</v>
      </c>
      <c r="K17" s="32">
        <v>9.94</v>
      </c>
      <c r="L17" s="32">
        <v>9.43</v>
      </c>
      <c r="M17" s="32">
        <v>8.8699999999999992</v>
      </c>
      <c r="N17" s="32">
        <v>9.76</v>
      </c>
      <c r="O17" s="32">
        <v>8.8800000000000008</v>
      </c>
      <c r="P17" s="115"/>
      <c r="Q17" s="132"/>
      <c r="R17" s="20" t="s">
        <v>151</v>
      </c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</row>
    <row r="18" spans="1:31" ht="15" customHeight="1" x14ac:dyDescent="0.3">
      <c r="A18" s="132"/>
      <c r="B18" s="38" t="s">
        <v>104</v>
      </c>
      <c r="C18" s="26">
        <f t="shared" ref="C18:O18" si="6">IF(OR(C16="",C17=""),"",C17/C16)</f>
        <v>1.0185643564356437</v>
      </c>
      <c r="D18" s="26">
        <f t="shared" si="6"/>
        <v>1.0185597624350409</v>
      </c>
      <c r="E18" s="26">
        <f t="shared" si="6"/>
        <v>1.0179257362355956</v>
      </c>
      <c r="F18" s="26">
        <f t="shared" si="6"/>
        <v>1.0179257362355956</v>
      </c>
      <c r="G18" s="26">
        <f t="shared" si="6"/>
        <v>1.0179533213644523</v>
      </c>
      <c r="H18" s="26">
        <f t="shared" si="6"/>
        <v>1.018161180476731</v>
      </c>
      <c r="I18" s="26">
        <f t="shared" si="6"/>
        <v>1.0190476190476192</v>
      </c>
      <c r="J18" s="26">
        <f t="shared" si="6"/>
        <v>1.0186046511627906</v>
      </c>
      <c r="K18" s="26">
        <f t="shared" si="6"/>
        <v>1.0184426229508197</v>
      </c>
      <c r="L18" s="26">
        <f t="shared" si="6"/>
        <v>1.0183585313174945</v>
      </c>
      <c r="M18" s="26">
        <f t="shared" si="6"/>
        <v>1.0183696900114809</v>
      </c>
      <c r="N18" s="26">
        <f t="shared" si="6"/>
        <v>1.0187891440501045</v>
      </c>
      <c r="O18" s="26">
        <f t="shared" si="6"/>
        <v>1.0183486238532111</v>
      </c>
      <c r="P18" s="119"/>
      <c r="Q18" s="132"/>
      <c r="R18" s="38" t="s">
        <v>104</v>
      </c>
      <c r="S18" s="52" t="str">
        <f t="shared" ref="S18:AE18" si="7">IF(OR(S16="",S17=""),"",S17/S16)</f>
        <v/>
      </c>
      <c r="T18" s="54" t="str">
        <f t="shared" si="7"/>
        <v/>
      </c>
      <c r="U18" s="54" t="str">
        <f t="shared" si="7"/>
        <v/>
      </c>
      <c r="V18" s="54" t="str">
        <f t="shared" si="7"/>
        <v/>
      </c>
      <c r="W18" s="54" t="str">
        <f t="shared" si="7"/>
        <v/>
      </c>
      <c r="X18" s="54" t="str">
        <f t="shared" si="7"/>
        <v/>
      </c>
      <c r="Y18" s="54" t="str">
        <f t="shared" si="7"/>
        <v/>
      </c>
      <c r="Z18" s="54" t="str">
        <f t="shared" si="7"/>
        <v/>
      </c>
      <c r="AA18" s="54" t="str">
        <f t="shared" si="7"/>
        <v/>
      </c>
      <c r="AB18" s="54" t="str">
        <f t="shared" si="7"/>
        <v/>
      </c>
      <c r="AC18" s="54" t="str">
        <f t="shared" si="7"/>
        <v/>
      </c>
      <c r="AD18" s="54" t="str">
        <f t="shared" si="7"/>
        <v/>
      </c>
      <c r="AE18" s="54" t="str">
        <f t="shared" si="7"/>
        <v/>
      </c>
    </row>
    <row r="19" spans="1:31" ht="15" customHeight="1" x14ac:dyDescent="0.3">
      <c r="A19" s="132">
        <v>110</v>
      </c>
      <c r="B19" s="30" t="s">
        <v>102</v>
      </c>
      <c r="C19" s="37">
        <v>10.45</v>
      </c>
      <c r="D19" s="37">
        <v>17.420000000000002</v>
      </c>
      <c r="E19" s="37">
        <v>10.1</v>
      </c>
      <c r="F19" s="37">
        <v>10.1</v>
      </c>
      <c r="G19" s="37">
        <v>14.41</v>
      </c>
      <c r="H19" s="37">
        <v>11.39</v>
      </c>
      <c r="I19" s="37">
        <v>12.23</v>
      </c>
      <c r="J19" s="37">
        <v>13.91</v>
      </c>
      <c r="K19" s="37">
        <v>12.62</v>
      </c>
      <c r="L19" s="37">
        <v>11.98</v>
      </c>
      <c r="M19" s="37">
        <v>11.27</v>
      </c>
      <c r="N19" s="37">
        <v>12.4</v>
      </c>
      <c r="O19" s="37">
        <v>11.28</v>
      </c>
      <c r="P19" s="115"/>
      <c r="Q19" s="132"/>
      <c r="R19" s="30" t="s">
        <v>102</v>
      </c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</row>
    <row r="20" spans="1:31" ht="15" customHeight="1" x14ac:dyDescent="0.3">
      <c r="A20" s="132"/>
      <c r="B20" s="20" t="s">
        <v>103</v>
      </c>
      <c r="C20" s="32">
        <v>10.61</v>
      </c>
      <c r="D20" s="32">
        <v>17.68</v>
      </c>
      <c r="E20" s="32">
        <v>10.25</v>
      </c>
      <c r="F20" s="32">
        <v>10.25</v>
      </c>
      <c r="G20" s="32">
        <v>14.62</v>
      </c>
      <c r="H20" s="32">
        <v>11.56</v>
      </c>
      <c r="I20" s="32">
        <v>12.41</v>
      </c>
      <c r="J20" s="32">
        <v>14.11</v>
      </c>
      <c r="K20" s="32">
        <v>12.81</v>
      </c>
      <c r="L20" s="32">
        <v>12.16</v>
      </c>
      <c r="M20" s="32">
        <v>11.44</v>
      </c>
      <c r="N20" s="32">
        <v>12.58</v>
      </c>
      <c r="O20" s="32">
        <v>11.45</v>
      </c>
      <c r="P20" s="115"/>
      <c r="Q20" s="132"/>
      <c r="R20" s="20" t="s">
        <v>151</v>
      </c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</row>
    <row r="21" spans="1:31" ht="15" customHeight="1" x14ac:dyDescent="0.3">
      <c r="A21" s="132"/>
      <c r="B21" s="38" t="s">
        <v>104</v>
      </c>
      <c r="C21" s="26">
        <f t="shared" ref="C21:O21" si="8">IF(OR(C19="",C20=""),"",C20/C19)</f>
        <v>1.0153110047846889</v>
      </c>
      <c r="D21" s="26">
        <f t="shared" si="8"/>
        <v>1.0149253731343282</v>
      </c>
      <c r="E21" s="26">
        <f t="shared" si="8"/>
        <v>1.0148514851485149</v>
      </c>
      <c r="F21" s="26">
        <f t="shared" si="8"/>
        <v>1.0148514851485149</v>
      </c>
      <c r="G21" s="26">
        <f t="shared" si="8"/>
        <v>1.0145732130464955</v>
      </c>
      <c r="H21" s="26">
        <f t="shared" si="8"/>
        <v>1.0149253731343284</v>
      </c>
      <c r="I21" s="26">
        <f t="shared" si="8"/>
        <v>1.0147179067865904</v>
      </c>
      <c r="J21" s="26">
        <f t="shared" si="8"/>
        <v>1.0143781452192666</v>
      </c>
      <c r="K21" s="26">
        <f t="shared" si="8"/>
        <v>1.0150554675118859</v>
      </c>
      <c r="L21" s="26">
        <f t="shared" si="8"/>
        <v>1.015025041736227</v>
      </c>
      <c r="M21" s="26">
        <f t="shared" si="8"/>
        <v>1.0150842945874001</v>
      </c>
      <c r="N21" s="26">
        <f t="shared" si="8"/>
        <v>1.014516129032258</v>
      </c>
      <c r="O21" s="26">
        <f t="shared" si="8"/>
        <v>1.0150709219858156</v>
      </c>
      <c r="P21" s="119"/>
      <c r="Q21" s="132"/>
      <c r="R21" s="38" t="s">
        <v>104</v>
      </c>
      <c r="S21" s="52" t="str">
        <f t="shared" ref="S21:AE21" si="9">IF(OR(S19="",S20=""),"",S20/S19)</f>
        <v/>
      </c>
      <c r="T21" s="54" t="str">
        <f t="shared" si="9"/>
        <v/>
      </c>
      <c r="U21" s="54" t="str">
        <f t="shared" si="9"/>
        <v/>
      </c>
      <c r="V21" s="54" t="str">
        <f t="shared" si="9"/>
        <v/>
      </c>
      <c r="W21" s="54" t="str">
        <f t="shared" si="9"/>
        <v/>
      </c>
      <c r="X21" s="54" t="str">
        <f t="shared" si="9"/>
        <v/>
      </c>
      <c r="Y21" s="54" t="str">
        <f t="shared" si="9"/>
        <v/>
      </c>
      <c r="Z21" s="54" t="str">
        <f t="shared" si="9"/>
        <v/>
      </c>
      <c r="AA21" s="54" t="str">
        <f t="shared" si="9"/>
        <v/>
      </c>
      <c r="AB21" s="54" t="str">
        <f t="shared" si="9"/>
        <v/>
      </c>
      <c r="AC21" s="54" t="str">
        <f t="shared" si="9"/>
        <v/>
      </c>
      <c r="AD21" s="54" t="str">
        <f t="shared" si="9"/>
        <v/>
      </c>
      <c r="AE21" s="54" t="str">
        <f t="shared" si="9"/>
        <v/>
      </c>
    </row>
    <row r="22" spans="1:31" ht="15" customHeight="1" x14ac:dyDescent="0.3">
      <c r="A22" s="132">
        <v>120</v>
      </c>
      <c r="B22" s="30" t="s">
        <v>102</v>
      </c>
      <c r="C22" s="37">
        <v>13.06</v>
      </c>
      <c r="D22" s="37">
        <v>21.76</v>
      </c>
      <c r="E22" s="37">
        <v>12.62</v>
      </c>
      <c r="F22" s="37">
        <v>12.62</v>
      </c>
      <c r="G22" s="37">
        <v>18</v>
      </c>
      <c r="H22" s="37">
        <v>14.23</v>
      </c>
      <c r="I22" s="37">
        <v>15.28</v>
      </c>
      <c r="J22" s="37">
        <v>17.37</v>
      </c>
      <c r="K22" s="37">
        <v>15.76</v>
      </c>
      <c r="L22" s="37">
        <v>14.96</v>
      </c>
      <c r="M22" s="37">
        <v>14.07</v>
      </c>
      <c r="N22" s="37">
        <v>15.49</v>
      </c>
      <c r="O22" s="37">
        <v>14.09</v>
      </c>
      <c r="P22" s="115"/>
      <c r="Q22" s="132"/>
      <c r="R22" s="30" t="s">
        <v>102</v>
      </c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</row>
    <row r="23" spans="1:31" ht="15" customHeight="1" x14ac:dyDescent="0.3">
      <c r="A23" s="132"/>
      <c r="B23" s="20" t="s">
        <v>103</v>
      </c>
      <c r="C23" s="32">
        <v>13.22</v>
      </c>
      <c r="D23" s="32">
        <v>22.04</v>
      </c>
      <c r="E23" s="32">
        <v>12.77</v>
      </c>
      <c r="F23" s="32">
        <v>12.77</v>
      </c>
      <c r="G23" s="32">
        <v>18.22</v>
      </c>
      <c r="H23" s="32">
        <v>14.41</v>
      </c>
      <c r="I23" s="32">
        <v>15.47</v>
      </c>
      <c r="J23" s="32">
        <v>17.59</v>
      </c>
      <c r="K23" s="32">
        <v>15.96</v>
      </c>
      <c r="L23" s="32">
        <v>15.15</v>
      </c>
      <c r="M23" s="32">
        <v>14.25</v>
      </c>
      <c r="N23" s="32">
        <v>15.68</v>
      </c>
      <c r="O23" s="32">
        <v>14.26</v>
      </c>
      <c r="P23" s="115"/>
      <c r="Q23" s="132"/>
      <c r="R23" s="20" t="s">
        <v>151</v>
      </c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</row>
    <row r="24" spans="1:31" ht="15" customHeight="1" x14ac:dyDescent="0.3">
      <c r="A24" s="132"/>
      <c r="B24" s="38" t="s">
        <v>104</v>
      </c>
      <c r="C24" s="26">
        <f t="shared" ref="C24:O24" si="10">IF(OR(C22="",C23=""),"",C23/C22)</f>
        <v>1.0122511485451762</v>
      </c>
      <c r="D24" s="26">
        <f t="shared" si="10"/>
        <v>1.0128676470588234</v>
      </c>
      <c r="E24" s="26">
        <f t="shared" si="10"/>
        <v>1.0118858954041206</v>
      </c>
      <c r="F24" s="26">
        <f t="shared" si="10"/>
        <v>1.0118858954041206</v>
      </c>
      <c r="G24" s="26">
        <f t="shared" si="10"/>
        <v>1.0122222222222221</v>
      </c>
      <c r="H24" s="26">
        <f t="shared" si="10"/>
        <v>1.0126493323963457</v>
      </c>
      <c r="I24" s="26">
        <f t="shared" si="10"/>
        <v>1.0124345549738221</v>
      </c>
      <c r="J24" s="26">
        <f t="shared" si="10"/>
        <v>1.0126655152561888</v>
      </c>
      <c r="K24" s="26">
        <f t="shared" si="10"/>
        <v>1.0126903553299493</v>
      </c>
      <c r="L24" s="26">
        <f t="shared" si="10"/>
        <v>1.0127005347593583</v>
      </c>
      <c r="M24" s="26">
        <f t="shared" si="10"/>
        <v>1.0127931769722813</v>
      </c>
      <c r="N24" s="26">
        <f t="shared" si="10"/>
        <v>1.0122659780503551</v>
      </c>
      <c r="O24" s="26">
        <f t="shared" si="10"/>
        <v>1.0120652945351314</v>
      </c>
      <c r="P24" s="119"/>
      <c r="Q24" s="132"/>
      <c r="R24" s="38" t="s">
        <v>104</v>
      </c>
      <c r="S24" s="52" t="str">
        <f t="shared" ref="S24:AE24" si="11">IF(OR(S22="",S23=""),"",S23/S22)</f>
        <v/>
      </c>
      <c r="T24" s="54" t="str">
        <f t="shared" si="11"/>
        <v/>
      </c>
      <c r="U24" s="54" t="str">
        <f t="shared" si="11"/>
        <v/>
      </c>
      <c r="V24" s="54" t="str">
        <f t="shared" si="11"/>
        <v/>
      </c>
      <c r="W24" s="54" t="str">
        <f t="shared" si="11"/>
        <v/>
      </c>
      <c r="X24" s="54" t="str">
        <f t="shared" si="11"/>
        <v/>
      </c>
      <c r="Y24" s="54" t="str">
        <f t="shared" si="11"/>
        <v/>
      </c>
      <c r="Z24" s="54" t="str">
        <f t="shared" si="11"/>
        <v/>
      </c>
      <c r="AA24" s="54" t="str">
        <f t="shared" si="11"/>
        <v/>
      </c>
      <c r="AB24" s="54" t="str">
        <f t="shared" si="11"/>
        <v/>
      </c>
      <c r="AC24" s="54" t="str">
        <f t="shared" si="11"/>
        <v/>
      </c>
      <c r="AD24" s="54" t="str">
        <f t="shared" si="11"/>
        <v/>
      </c>
      <c r="AE24" s="54" t="str">
        <f t="shared" si="11"/>
        <v/>
      </c>
    </row>
    <row r="25" spans="1:31" ht="15" customHeight="1" x14ac:dyDescent="0.3">
      <c r="A25" s="132">
        <v>130</v>
      </c>
      <c r="B25" s="30" t="s">
        <v>102</v>
      </c>
      <c r="C25" s="37">
        <v>15.73</v>
      </c>
      <c r="D25" s="37">
        <v>26.21</v>
      </c>
      <c r="E25" s="37">
        <v>15.2</v>
      </c>
      <c r="F25" s="37">
        <v>15.2</v>
      </c>
      <c r="G25" s="37">
        <v>21.68</v>
      </c>
      <c r="H25" s="37">
        <v>17.14</v>
      </c>
      <c r="I25" s="37">
        <v>18.399999999999999</v>
      </c>
      <c r="J25" s="37">
        <v>20.92</v>
      </c>
      <c r="K25" s="37">
        <v>18.989999999999998</v>
      </c>
      <c r="L25" s="37">
        <v>18.02</v>
      </c>
      <c r="M25" s="37">
        <v>16.95</v>
      </c>
      <c r="N25" s="37">
        <v>18.649999999999999</v>
      </c>
      <c r="O25" s="37">
        <v>16.97</v>
      </c>
      <c r="P25" s="115"/>
      <c r="Q25" s="132"/>
      <c r="R25" s="30" t="s">
        <v>102</v>
      </c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</row>
    <row r="26" spans="1:31" ht="15" customHeight="1" x14ac:dyDescent="0.3">
      <c r="A26" s="132"/>
      <c r="B26" s="20" t="s">
        <v>103</v>
      </c>
      <c r="C26" s="32">
        <v>15.92</v>
      </c>
      <c r="D26" s="32">
        <v>26.53</v>
      </c>
      <c r="E26" s="32">
        <v>15.38</v>
      </c>
      <c r="F26" s="32">
        <v>15.38</v>
      </c>
      <c r="G26" s="32">
        <v>21.93</v>
      </c>
      <c r="H26" s="32">
        <v>17.34</v>
      </c>
      <c r="I26" s="32">
        <v>18.62</v>
      </c>
      <c r="J26" s="32">
        <v>21.17</v>
      </c>
      <c r="K26" s="32">
        <v>19.21</v>
      </c>
      <c r="L26" s="32">
        <v>18.239999999999998</v>
      </c>
      <c r="M26" s="32">
        <v>17.149999999999999</v>
      </c>
      <c r="N26" s="32">
        <v>18.87</v>
      </c>
      <c r="O26" s="32">
        <v>17.170000000000002</v>
      </c>
      <c r="P26" s="115"/>
      <c r="Q26" s="132"/>
      <c r="R26" s="20" t="s">
        <v>151</v>
      </c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</row>
    <row r="27" spans="1:31" ht="15" customHeight="1" x14ac:dyDescent="0.3">
      <c r="A27" s="132"/>
      <c r="B27" s="38" t="s">
        <v>104</v>
      </c>
      <c r="C27" s="26">
        <f t="shared" ref="C27:O27" si="12">IF(OR(C25="",C26=""),"",C26/C25)</f>
        <v>1.0120788302606485</v>
      </c>
      <c r="D27" s="26">
        <f t="shared" si="12"/>
        <v>1.0122090805036246</v>
      </c>
      <c r="E27" s="26">
        <f t="shared" si="12"/>
        <v>1.0118421052631581</v>
      </c>
      <c r="F27" s="26">
        <f t="shared" si="12"/>
        <v>1.0118421052631581</v>
      </c>
      <c r="G27" s="26">
        <f t="shared" si="12"/>
        <v>1.0115313653136531</v>
      </c>
      <c r="H27" s="26">
        <f t="shared" si="12"/>
        <v>1.0116686114352391</v>
      </c>
      <c r="I27" s="26">
        <f t="shared" si="12"/>
        <v>1.0119565217391306</v>
      </c>
      <c r="J27" s="26">
        <f t="shared" si="12"/>
        <v>1.0119502868068833</v>
      </c>
      <c r="K27" s="26">
        <f t="shared" si="12"/>
        <v>1.0115850447604002</v>
      </c>
      <c r="L27" s="26">
        <f t="shared" si="12"/>
        <v>1.0122086570477247</v>
      </c>
      <c r="M27" s="26">
        <f t="shared" si="12"/>
        <v>1.0117994100294985</v>
      </c>
      <c r="N27" s="26">
        <f t="shared" si="12"/>
        <v>1.0117962466487938</v>
      </c>
      <c r="O27" s="26">
        <f t="shared" si="12"/>
        <v>1.011785503830289</v>
      </c>
      <c r="P27" s="119"/>
      <c r="Q27" s="132"/>
      <c r="R27" s="38" t="s">
        <v>104</v>
      </c>
      <c r="S27" s="52" t="str">
        <f t="shared" ref="S27:AE27" si="13">IF(OR(S25="",S26=""),"",S26/S25)</f>
        <v/>
      </c>
      <c r="T27" s="54" t="str">
        <f t="shared" si="13"/>
        <v/>
      </c>
      <c r="U27" s="54" t="str">
        <f t="shared" si="13"/>
        <v/>
      </c>
      <c r="V27" s="54" t="str">
        <f t="shared" si="13"/>
        <v/>
      </c>
      <c r="W27" s="54" t="str">
        <f t="shared" si="13"/>
        <v/>
      </c>
      <c r="X27" s="54" t="str">
        <f t="shared" si="13"/>
        <v/>
      </c>
      <c r="Y27" s="54" t="str">
        <f t="shared" si="13"/>
        <v/>
      </c>
      <c r="Z27" s="54" t="str">
        <f t="shared" si="13"/>
        <v/>
      </c>
      <c r="AA27" s="54" t="str">
        <f t="shared" si="13"/>
        <v/>
      </c>
      <c r="AB27" s="54" t="str">
        <f t="shared" si="13"/>
        <v/>
      </c>
      <c r="AC27" s="54" t="str">
        <f t="shared" si="13"/>
        <v/>
      </c>
      <c r="AD27" s="54" t="str">
        <f t="shared" si="13"/>
        <v/>
      </c>
      <c r="AE27" s="54" t="str">
        <f t="shared" si="13"/>
        <v/>
      </c>
    </row>
    <row r="28" spans="1:31" ht="15" customHeight="1" x14ac:dyDescent="0.3">
      <c r="A28" s="132">
        <v>140</v>
      </c>
      <c r="B28" s="30" t="s">
        <v>102</v>
      </c>
      <c r="C28" s="37">
        <v>18.55</v>
      </c>
      <c r="D28" s="37">
        <v>30.92</v>
      </c>
      <c r="E28" s="37">
        <v>17.93</v>
      </c>
      <c r="F28" s="37">
        <v>17.93</v>
      </c>
      <c r="G28" s="37">
        <v>25.57</v>
      </c>
      <c r="H28" s="37">
        <v>20.22</v>
      </c>
      <c r="I28" s="37">
        <v>21.7</v>
      </c>
      <c r="J28" s="37">
        <v>24.68</v>
      </c>
      <c r="K28" s="37">
        <v>22.4</v>
      </c>
      <c r="L28" s="37">
        <v>21.26</v>
      </c>
      <c r="M28" s="37">
        <v>20</v>
      </c>
      <c r="N28" s="37">
        <v>22</v>
      </c>
      <c r="O28" s="37">
        <v>20.010000000000002</v>
      </c>
      <c r="P28" s="115"/>
      <c r="Q28" s="132"/>
      <c r="R28" s="30" t="s">
        <v>102</v>
      </c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</row>
    <row r="29" spans="1:31" ht="15" customHeight="1" x14ac:dyDescent="0.3">
      <c r="A29" s="132"/>
      <c r="B29" s="20" t="s">
        <v>103</v>
      </c>
      <c r="C29" s="32">
        <v>18.75</v>
      </c>
      <c r="D29" s="32">
        <v>31.25</v>
      </c>
      <c r="E29" s="32">
        <v>18.12</v>
      </c>
      <c r="F29" s="32">
        <v>18.12</v>
      </c>
      <c r="G29" s="32">
        <v>25.84</v>
      </c>
      <c r="H29" s="32">
        <v>20.43</v>
      </c>
      <c r="I29" s="32">
        <v>21.94</v>
      </c>
      <c r="J29" s="32">
        <v>24.94</v>
      </c>
      <c r="K29" s="32">
        <v>22.64</v>
      </c>
      <c r="L29" s="32">
        <v>21.49</v>
      </c>
      <c r="M29" s="32">
        <v>20.21</v>
      </c>
      <c r="N29" s="32">
        <v>22.24</v>
      </c>
      <c r="O29" s="32">
        <v>20.23</v>
      </c>
      <c r="P29" s="115"/>
      <c r="Q29" s="132"/>
      <c r="R29" s="20" t="s">
        <v>151</v>
      </c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</row>
    <row r="30" spans="1:31" ht="15.6" x14ac:dyDescent="0.3">
      <c r="A30" s="132"/>
      <c r="B30" s="38" t="s">
        <v>104</v>
      </c>
      <c r="C30" s="26">
        <f t="shared" ref="C30:O30" si="14">IF(OR(C28="",C29=""),"",C29/C28)</f>
        <v>1.0107816711590296</v>
      </c>
      <c r="D30" s="26">
        <f t="shared" si="14"/>
        <v>1.010672703751617</v>
      </c>
      <c r="E30" s="26">
        <f t="shared" si="14"/>
        <v>1.0105967651979924</v>
      </c>
      <c r="F30" s="26">
        <f t="shared" si="14"/>
        <v>1.0105967651979924</v>
      </c>
      <c r="G30" s="26">
        <f t="shared" si="14"/>
        <v>1.0105592491200626</v>
      </c>
      <c r="H30" s="26">
        <f t="shared" si="14"/>
        <v>1.0103857566765579</v>
      </c>
      <c r="I30" s="26">
        <f t="shared" si="14"/>
        <v>1.0110599078341014</v>
      </c>
      <c r="J30" s="26">
        <f t="shared" si="14"/>
        <v>1.0105348460291734</v>
      </c>
      <c r="K30" s="26">
        <f t="shared" si="14"/>
        <v>1.0107142857142859</v>
      </c>
      <c r="L30" s="26">
        <f t="shared" si="14"/>
        <v>1.0108184383819379</v>
      </c>
      <c r="M30" s="26">
        <f t="shared" si="14"/>
        <v>1.0105</v>
      </c>
      <c r="N30" s="26">
        <f t="shared" si="14"/>
        <v>1.0109090909090908</v>
      </c>
      <c r="O30" s="26">
        <f t="shared" si="14"/>
        <v>1.0109945027486256</v>
      </c>
      <c r="P30" s="119"/>
      <c r="Q30" s="132"/>
      <c r="R30" s="38" t="s">
        <v>104</v>
      </c>
      <c r="S30" s="52" t="str">
        <f t="shared" ref="S30:AE30" si="15">IF(OR(S28="",S29=""),"",S29/S28)</f>
        <v/>
      </c>
      <c r="T30" s="54" t="str">
        <f t="shared" si="15"/>
        <v/>
      </c>
      <c r="U30" s="54" t="str">
        <f t="shared" si="15"/>
        <v/>
      </c>
      <c r="V30" s="54" t="str">
        <f t="shared" si="15"/>
        <v/>
      </c>
      <c r="W30" s="54" t="str">
        <f t="shared" si="15"/>
        <v/>
      </c>
      <c r="X30" s="54" t="str">
        <f t="shared" si="15"/>
        <v/>
      </c>
      <c r="Y30" s="54" t="str">
        <f t="shared" si="15"/>
        <v/>
      </c>
      <c r="Z30" s="54" t="str">
        <f t="shared" si="15"/>
        <v/>
      </c>
      <c r="AA30" s="54" t="str">
        <f t="shared" si="15"/>
        <v/>
      </c>
      <c r="AB30" s="54" t="str">
        <f t="shared" si="15"/>
        <v/>
      </c>
      <c r="AC30" s="54" t="str">
        <f t="shared" si="15"/>
        <v/>
      </c>
      <c r="AD30" s="54" t="str">
        <f t="shared" si="15"/>
        <v/>
      </c>
      <c r="AE30" s="54" t="str">
        <f t="shared" si="15"/>
        <v/>
      </c>
    </row>
    <row r="31" spans="1:31" ht="15.6" x14ac:dyDescent="0.3">
      <c r="A31" s="132">
        <v>150</v>
      </c>
      <c r="B31" s="30" t="s">
        <v>102</v>
      </c>
      <c r="C31" s="37">
        <v>21.49</v>
      </c>
      <c r="D31" s="37">
        <v>35.82</v>
      </c>
      <c r="E31" s="37">
        <v>20.77</v>
      </c>
      <c r="F31" s="37">
        <v>20.77</v>
      </c>
      <c r="G31" s="37">
        <v>29.62</v>
      </c>
      <c r="H31" s="37">
        <v>23.42</v>
      </c>
      <c r="I31" s="37">
        <v>25.15</v>
      </c>
      <c r="J31" s="37">
        <v>28.59</v>
      </c>
      <c r="K31" s="37">
        <v>25.95</v>
      </c>
      <c r="L31" s="37">
        <v>24.63</v>
      </c>
      <c r="M31" s="37">
        <v>23.17</v>
      </c>
      <c r="N31" s="37">
        <v>25.49</v>
      </c>
      <c r="O31" s="37">
        <v>23.19</v>
      </c>
      <c r="P31" s="115"/>
      <c r="Q31" s="132"/>
      <c r="R31" s="30" t="s">
        <v>102</v>
      </c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</row>
    <row r="32" spans="1:31" ht="15.6" x14ac:dyDescent="0.3">
      <c r="A32" s="132"/>
      <c r="B32" s="20" t="s">
        <v>103</v>
      </c>
      <c r="C32" s="32">
        <v>21.73</v>
      </c>
      <c r="D32" s="32">
        <v>36.22</v>
      </c>
      <c r="E32" s="32">
        <v>21</v>
      </c>
      <c r="F32" s="32">
        <v>21</v>
      </c>
      <c r="G32" s="32">
        <v>29.95</v>
      </c>
      <c r="H32" s="32">
        <v>23.68</v>
      </c>
      <c r="I32" s="32">
        <v>25.42</v>
      </c>
      <c r="J32" s="32">
        <v>28.91</v>
      </c>
      <c r="K32" s="32">
        <v>26.24</v>
      </c>
      <c r="L32" s="32">
        <v>24.9</v>
      </c>
      <c r="M32" s="32">
        <v>23.42</v>
      </c>
      <c r="N32" s="32">
        <v>25.77</v>
      </c>
      <c r="O32" s="32">
        <v>23.44</v>
      </c>
      <c r="P32" s="115"/>
      <c r="Q32" s="132"/>
      <c r="R32" s="20" t="s">
        <v>151</v>
      </c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</row>
    <row r="33" spans="1:31" ht="15.6" x14ac:dyDescent="0.3">
      <c r="A33" s="132"/>
      <c r="B33" s="38" t="s">
        <v>104</v>
      </c>
      <c r="C33" s="26">
        <f t="shared" ref="C33:O33" si="16">IF(OR(C31="",C32=""),"",C32/C31)</f>
        <v>1.0111679851093534</v>
      </c>
      <c r="D33" s="26">
        <f t="shared" si="16"/>
        <v>1.0111669458403125</v>
      </c>
      <c r="E33" s="26">
        <f t="shared" si="16"/>
        <v>1.0110736639383726</v>
      </c>
      <c r="F33" s="26">
        <f t="shared" si="16"/>
        <v>1.0110736639383726</v>
      </c>
      <c r="G33" s="26">
        <f t="shared" si="16"/>
        <v>1.0111411208642809</v>
      </c>
      <c r="H33" s="26">
        <f t="shared" si="16"/>
        <v>1.0111016225448335</v>
      </c>
      <c r="I33" s="26">
        <f t="shared" si="16"/>
        <v>1.0107355864811134</v>
      </c>
      <c r="J33" s="26">
        <f t="shared" si="16"/>
        <v>1.0111927247289263</v>
      </c>
      <c r="K33" s="26">
        <f t="shared" si="16"/>
        <v>1.0111753371868979</v>
      </c>
      <c r="L33" s="26">
        <f t="shared" si="16"/>
        <v>1.0109622411693058</v>
      </c>
      <c r="M33" s="26">
        <f t="shared" si="16"/>
        <v>1.0107898144151921</v>
      </c>
      <c r="N33" s="26">
        <f t="shared" si="16"/>
        <v>1.0109846998823069</v>
      </c>
      <c r="O33" s="26">
        <f t="shared" si="16"/>
        <v>1.0107805088400172</v>
      </c>
      <c r="P33" s="119"/>
      <c r="Q33" s="132"/>
      <c r="R33" s="38" t="s">
        <v>104</v>
      </c>
      <c r="S33" s="52" t="str">
        <f t="shared" ref="S33:AE33" si="17">IF(OR(S31="",S32=""),"",S32/S31)</f>
        <v/>
      </c>
      <c r="T33" s="54" t="str">
        <f t="shared" si="17"/>
        <v/>
      </c>
      <c r="U33" s="54" t="str">
        <f t="shared" si="17"/>
        <v/>
      </c>
      <c r="V33" s="54" t="str">
        <f t="shared" si="17"/>
        <v/>
      </c>
      <c r="W33" s="54" t="str">
        <f t="shared" si="17"/>
        <v/>
      </c>
      <c r="X33" s="54" t="str">
        <f t="shared" si="17"/>
        <v/>
      </c>
      <c r="Y33" s="54" t="str">
        <f t="shared" si="17"/>
        <v/>
      </c>
      <c r="Z33" s="54" t="str">
        <f t="shared" si="17"/>
        <v/>
      </c>
      <c r="AA33" s="54" t="str">
        <f t="shared" si="17"/>
        <v/>
      </c>
      <c r="AB33" s="54" t="str">
        <f t="shared" si="17"/>
        <v/>
      </c>
      <c r="AC33" s="54" t="str">
        <f t="shared" si="17"/>
        <v/>
      </c>
      <c r="AD33" s="54" t="str">
        <f t="shared" si="17"/>
        <v/>
      </c>
      <c r="AE33" s="54" t="str">
        <f t="shared" si="17"/>
        <v/>
      </c>
    </row>
    <row r="34" spans="1:31" ht="15.6" x14ac:dyDescent="0.3">
      <c r="A34" s="132" t="s">
        <v>145</v>
      </c>
      <c r="B34" s="30" t="s">
        <v>102</v>
      </c>
      <c r="C34" s="37">
        <v>0.79</v>
      </c>
      <c r="D34" s="37">
        <v>1.31</v>
      </c>
      <c r="E34" s="37">
        <v>0.76</v>
      </c>
      <c r="F34" s="37">
        <v>0.76</v>
      </c>
      <c r="G34" s="37">
        <v>1.08</v>
      </c>
      <c r="H34" s="37">
        <v>0.86</v>
      </c>
      <c r="I34" s="37">
        <v>0.92</v>
      </c>
      <c r="J34" s="37">
        <v>1.05</v>
      </c>
      <c r="K34" s="37">
        <v>0.95</v>
      </c>
      <c r="L34" s="37">
        <v>0.9</v>
      </c>
      <c r="M34" s="37">
        <v>0.85</v>
      </c>
      <c r="N34" s="37">
        <v>0.93</v>
      </c>
      <c r="O34" s="37">
        <v>0.85</v>
      </c>
      <c r="P34" s="115"/>
      <c r="Q34" s="132"/>
      <c r="R34" s="30" t="s">
        <v>102</v>
      </c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</row>
    <row r="35" spans="1:31" ht="15.6" x14ac:dyDescent="0.3">
      <c r="A35" s="132"/>
      <c r="B35" s="20" t="s">
        <v>103</v>
      </c>
      <c r="C35" s="32">
        <v>0.77</v>
      </c>
      <c r="D35" s="32">
        <v>1.29</v>
      </c>
      <c r="E35" s="32">
        <v>0.75</v>
      </c>
      <c r="F35" s="32">
        <v>0.75</v>
      </c>
      <c r="G35" s="32">
        <v>1.07</v>
      </c>
      <c r="H35" s="32">
        <v>0.84</v>
      </c>
      <c r="I35" s="32">
        <v>0.9</v>
      </c>
      <c r="J35" s="32">
        <v>1.03</v>
      </c>
      <c r="K35" s="32">
        <v>0.93</v>
      </c>
      <c r="L35" s="32">
        <v>0.89</v>
      </c>
      <c r="M35" s="32">
        <v>0.83</v>
      </c>
      <c r="N35" s="32">
        <v>0.92</v>
      </c>
      <c r="O35" s="32">
        <v>0.83</v>
      </c>
      <c r="P35" s="115"/>
      <c r="Q35" s="132"/>
      <c r="R35" s="20" t="s">
        <v>151</v>
      </c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</row>
    <row r="36" spans="1:31" ht="15.6" x14ac:dyDescent="0.3">
      <c r="A36" s="132"/>
      <c r="B36" s="38" t="s">
        <v>104</v>
      </c>
      <c r="C36" s="26">
        <f t="shared" ref="C36:O36" si="18">IF(OR(C34="",C35=""),"",C35/C34)</f>
        <v>0.97468354430379744</v>
      </c>
      <c r="D36" s="26">
        <f t="shared" si="18"/>
        <v>0.98473282442748089</v>
      </c>
      <c r="E36" s="26">
        <f t="shared" si="18"/>
        <v>0.98684210526315785</v>
      </c>
      <c r="F36" s="26">
        <f t="shared" si="18"/>
        <v>0.98684210526315785</v>
      </c>
      <c r="G36" s="26">
        <f t="shared" si="18"/>
        <v>0.9907407407407407</v>
      </c>
      <c r="H36" s="26">
        <f t="shared" si="18"/>
        <v>0.97674418604651159</v>
      </c>
      <c r="I36" s="26">
        <f t="shared" si="18"/>
        <v>0.97826086956521741</v>
      </c>
      <c r="J36" s="26">
        <f t="shared" si="18"/>
        <v>0.98095238095238091</v>
      </c>
      <c r="K36" s="26">
        <f t="shared" si="18"/>
        <v>0.97894736842105268</v>
      </c>
      <c r="L36" s="26">
        <f t="shared" si="18"/>
        <v>0.98888888888888893</v>
      </c>
      <c r="M36" s="26">
        <f t="shared" si="18"/>
        <v>0.97647058823529409</v>
      </c>
      <c r="N36" s="26">
        <f t="shared" si="18"/>
        <v>0.989247311827957</v>
      </c>
      <c r="O36" s="26">
        <f t="shared" si="18"/>
        <v>0.97647058823529409</v>
      </c>
      <c r="P36" s="119"/>
      <c r="Q36" s="132"/>
      <c r="R36" s="38" t="s">
        <v>104</v>
      </c>
      <c r="S36" s="52" t="str">
        <f t="shared" ref="S36:AE36" si="19">IF(OR(S34="",S35=""),"",S35/S34)</f>
        <v/>
      </c>
      <c r="T36" s="54" t="str">
        <f t="shared" si="19"/>
        <v/>
      </c>
      <c r="U36" s="54" t="str">
        <f t="shared" si="19"/>
        <v/>
      </c>
      <c r="V36" s="54" t="str">
        <f t="shared" si="19"/>
        <v/>
      </c>
      <c r="W36" s="54" t="str">
        <f t="shared" si="19"/>
        <v/>
      </c>
      <c r="X36" s="54" t="str">
        <f t="shared" si="19"/>
        <v/>
      </c>
      <c r="Y36" s="54" t="str">
        <f t="shared" si="19"/>
        <v/>
      </c>
      <c r="Z36" s="54" t="str">
        <f t="shared" si="19"/>
        <v/>
      </c>
      <c r="AA36" s="54" t="str">
        <f t="shared" si="19"/>
        <v/>
      </c>
      <c r="AB36" s="54" t="str">
        <f t="shared" si="19"/>
        <v/>
      </c>
      <c r="AC36" s="54" t="str">
        <f t="shared" si="19"/>
        <v/>
      </c>
      <c r="AD36" s="54" t="str">
        <f t="shared" si="19"/>
        <v/>
      </c>
      <c r="AE36" s="54" t="str">
        <f t="shared" si="19"/>
        <v/>
      </c>
    </row>
    <row r="37" spans="1:31" ht="15.6" x14ac:dyDescent="0.3">
      <c r="A37" s="132" t="s">
        <v>152</v>
      </c>
      <c r="B37" s="30" t="s">
        <v>102</v>
      </c>
      <c r="C37" s="37">
        <v>4.99</v>
      </c>
      <c r="D37" s="37">
        <v>8.31</v>
      </c>
      <c r="E37" s="37">
        <v>4.82</v>
      </c>
      <c r="F37" s="37">
        <v>4.82</v>
      </c>
      <c r="G37" s="37">
        <v>6.87</v>
      </c>
      <c r="H37" s="37">
        <v>5.43</v>
      </c>
      <c r="I37" s="37">
        <v>5.83</v>
      </c>
      <c r="J37" s="37">
        <v>6.63</v>
      </c>
      <c r="K37" s="37">
        <v>6.02</v>
      </c>
      <c r="L37" s="37">
        <v>5.71</v>
      </c>
      <c r="M37" s="37">
        <v>5.38</v>
      </c>
      <c r="N37" s="37">
        <v>5.91</v>
      </c>
      <c r="O37" s="37">
        <v>5.38</v>
      </c>
      <c r="P37" s="115"/>
      <c r="Q37" s="132"/>
      <c r="R37" s="30" t="s">
        <v>102</v>
      </c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</row>
    <row r="38" spans="1:31" ht="15.6" x14ac:dyDescent="0.3">
      <c r="A38" s="132"/>
      <c r="B38" s="20" t="s">
        <v>103</v>
      </c>
      <c r="C38" s="32">
        <v>5.01</v>
      </c>
      <c r="D38" s="32">
        <v>8.35</v>
      </c>
      <c r="E38" s="32">
        <v>4.84</v>
      </c>
      <c r="F38" s="32">
        <v>4.84</v>
      </c>
      <c r="G38" s="32">
        <v>6.9</v>
      </c>
      <c r="H38" s="32">
        <v>5.46</v>
      </c>
      <c r="I38" s="32">
        <v>5.86</v>
      </c>
      <c r="J38" s="32">
        <v>6.66</v>
      </c>
      <c r="K38" s="32">
        <v>6.05</v>
      </c>
      <c r="L38" s="32">
        <v>5.74</v>
      </c>
      <c r="M38" s="32">
        <v>5.4</v>
      </c>
      <c r="N38" s="32">
        <v>5.94</v>
      </c>
      <c r="O38" s="32">
        <v>5.4</v>
      </c>
      <c r="P38" s="115"/>
      <c r="Q38" s="132"/>
      <c r="R38" s="20" t="s">
        <v>151</v>
      </c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</row>
    <row r="39" spans="1:31" ht="15.6" x14ac:dyDescent="0.3">
      <c r="A39" s="132"/>
      <c r="B39" s="38" t="s">
        <v>104</v>
      </c>
      <c r="C39" s="26">
        <f t="shared" ref="C39:O39" si="20">IF(OR(C37="",C38=""),"",C38/C37)</f>
        <v>1.0040080160320641</v>
      </c>
      <c r="D39" s="26">
        <f t="shared" si="20"/>
        <v>1.0048134777376654</v>
      </c>
      <c r="E39" s="26">
        <f t="shared" si="20"/>
        <v>1.004149377593361</v>
      </c>
      <c r="F39" s="26">
        <f t="shared" si="20"/>
        <v>1.004149377593361</v>
      </c>
      <c r="G39" s="26">
        <f t="shared" si="20"/>
        <v>1.0043668122270744</v>
      </c>
      <c r="H39" s="26">
        <f t="shared" si="20"/>
        <v>1.0055248618784531</v>
      </c>
      <c r="I39" s="26">
        <f t="shared" si="20"/>
        <v>1.0051457975986278</v>
      </c>
      <c r="J39" s="26">
        <f t="shared" si="20"/>
        <v>1.004524886877828</v>
      </c>
      <c r="K39" s="26">
        <f t="shared" si="20"/>
        <v>1.0049833887043189</v>
      </c>
      <c r="L39" s="26">
        <f t="shared" si="20"/>
        <v>1.0052539404553416</v>
      </c>
      <c r="M39" s="26">
        <f t="shared" si="20"/>
        <v>1.0037174721189592</v>
      </c>
      <c r="N39" s="26">
        <f t="shared" si="20"/>
        <v>1.0050761421319798</v>
      </c>
      <c r="O39" s="26">
        <f t="shared" si="20"/>
        <v>1.0037174721189592</v>
      </c>
      <c r="P39" s="119"/>
      <c r="Q39" s="132"/>
      <c r="R39" s="38" t="s">
        <v>104</v>
      </c>
      <c r="S39" s="52" t="str">
        <f t="shared" ref="S39:AE39" si="21">IF(OR(S37="",S38=""),"",S38/S37)</f>
        <v/>
      </c>
      <c r="T39" s="54" t="str">
        <f t="shared" si="21"/>
        <v/>
      </c>
      <c r="U39" s="54" t="str">
        <f t="shared" si="21"/>
        <v/>
      </c>
      <c r="V39" s="54" t="str">
        <f t="shared" si="21"/>
        <v/>
      </c>
      <c r="W39" s="54" t="str">
        <f t="shared" si="21"/>
        <v/>
      </c>
      <c r="X39" s="54" t="str">
        <f t="shared" si="21"/>
        <v/>
      </c>
      <c r="Y39" s="54" t="str">
        <f t="shared" si="21"/>
        <v/>
      </c>
      <c r="Z39" s="54" t="str">
        <f t="shared" si="21"/>
        <v/>
      </c>
      <c r="AA39" s="54" t="str">
        <f t="shared" si="21"/>
        <v/>
      </c>
      <c r="AB39" s="54" t="str">
        <f t="shared" si="21"/>
        <v/>
      </c>
      <c r="AC39" s="54" t="str">
        <f t="shared" si="21"/>
        <v/>
      </c>
      <c r="AD39" s="54" t="str">
        <f t="shared" si="21"/>
        <v/>
      </c>
      <c r="AE39" s="54" t="str">
        <f t="shared" si="21"/>
        <v/>
      </c>
    </row>
    <row r="41" spans="1:31" ht="15.6" x14ac:dyDescent="0.3">
      <c r="A41" s="8" t="s">
        <v>147</v>
      </c>
      <c r="Q41" s="8" t="s">
        <v>147</v>
      </c>
    </row>
    <row r="42" spans="1:31" ht="15.6" x14ac:dyDescent="0.3">
      <c r="B42" s="15" t="s">
        <v>100</v>
      </c>
      <c r="C42" s="31" t="s">
        <v>13</v>
      </c>
      <c r="D42" s="31" t="s">
        <v>26</v>
      </c>
      <c r="E42" s="31" t="s">
        <v>14</v>
      </c>
      <c r="F42" s="31" t="s">
        <v>18</v>
      </c>
      <c r="G42" s="31" t="s">
        <v>20</v>
      </c>
      <c r="H42" s="31" t="s">
        <v>21</v>
      </c>
      <c r="I42" s="31" t="s">
        <v>21</v>
      </c>
      <c r="J42" s="31" t="s">
        <v>21</v>
      </c>
      <c r="K42" s="31" t="s">
        <v>38</v>
      </c>
      <c r="L42" s="31" t="s">
        <v>22</v>
      </c>
      <c r="M42" s="31" t="s">
        <v>39</v>
      </c>
      <c r="N42" s="31" t="s">
        <v>42</v>
      </c>
      <c r="O42" s="31" t="s">
        <v>43</v>
      </c>
      <c r="P42" s="115"/>
      <c r="R42" s="15" t="s">
        <v>100</v>
      </c>
      <c r="S42" s="31" t="s">
        <v>13</v>
      </c>
      <c r="T42" s="31" t="s">
        <v>26</v>
      </c>
      <c r="U42" s="31" t="s">
        <v>14</v>
      </c>
      <c r="V42" s="31" t="s">
        <v>18</v>
      </c>
      <c r="W42" s="31" t="s">
        <v>20</v>
      </c>
      <c r="X42" s="31" t="s">
        <v>21</v>
      </c>
      <c r="Y42" s="31" t="s">
        <v>21</v>
      </c>
      <c r="Z42" s="31" t="s">
        <v>21</v>
      </c>
      <c r="AA42" s="31" t="s">
        <v>38</v>
      </c>
      <c r="AB42" s="31" t="s">
        <v>22</v>
      </c>
      <c r="AC42" s="31" t="s">
        <v>39</v>
      </c>
      <c r="AD42" s="31" t="s">
        <v>42</v>
      </c>
      <c r="AE42" s="31" t="s">
        <v>43</v>
      </c>
    </row>
    <row r="43" spans="1:31" ht="15.6" x14ac:dyDescent="0.3">
      <c r="B43" s="18" t="s">
        <v>114</v>
      </c>
      <c r="C43" s="32">
        <v>2</v>
      </c>
      <c r="D43" s="32">
        <v>3.6</v>
      </c>
      <c r="E43" s="32">
        <v>5</v>
      </c>
      <c r="F43" s="32">
        <v>10</v>
      </c>
      <c r="G43" s="32">
        <v>14.4</v>
      </c>
      <c r="H43" s="32">
        <v>19.2</v>
      </c>
      <c r="I43" s="32">
        <v>19.2</v>
      </c>
      <c r="J43" s="32">
        <v>19.2</v>
      </c>
      <c r="K43" s="32">
        <f>48*0.6</f>
        <v>28.799999999999997</v>
      </c>
      <c r="L43" s="32">
        <f>64*0.6</f>
        <v>38.4</v>
      </c>
      <c r="M43" s="32">
        <f>96*0.6</f>
        <v>57.599999999999994</v>
      </c>
      <c r="N43" s="32">
        <f>24*1.2</f>
        <v>28.799999999999997</v>
      </c>
      <c r="O43" s="32">
        <f>48*1.2</f>
        <v>57.599999999999994</v>
      </c>
      <c r="P43" s="115"/>
      <c r="R43" s="18" t="s">
        <v>114</v>
      </c>
      <c r="S43" s="32">
        <v>2</v>
      </c>
      <c r="T43" s="32">
        <v>3.6</v>
      </c>
      <c r="U43" s="32">
        <v>5</v>
      </c>
      <c r="V43" s="32">
        <v>10</v>
      </c>
      <c r="W43" s="32">
        <v>14.4</v>
      </c>
      <c r="X43" s="32">
        <v>19.2</v>
      </c>
      <c r="Y43" s="32">
        <v>19.2</v>
      </c>
      <c r="Z43" s="32">
        <v>19.2</v>
      </c>
      <c r="AA43" s="32">
        <f>48*0.6</f>
        <v>28.799999999999997</v>
      </c>
      <c r="AB43" s="32">
        <f>64*0.6</f>
        <v>38.4</v>
      </c>
      <c r="AC43" s="32">
        <f>96*0.6</f>
        <v>57.599999999999994</v>
      </c>
      <c r="AD43" s="32">
        <f>24*1.2</f>
        <v>28.799999999999997</v>
      </c>
      <c r="AE43" s="32">
        <f>48*1.2</f>
        <v>57.599999999999994</v>
      </c>
    </row>
    <row r="44" spans="1:31" ht="15.6" x14ac:dyDescent="0.3">
      <c r="B44" s="18" t="s">
        <v>101</v>
      </c>
      <c r="C44" s="32" t="s">
        <v>13</v>
      </c>
      <c r="D44" s="32" t="s">
        <v>26</v>
      </c>
      <c r="E44" s="32" t="s">
        <v>14</v>
      </c>
      <c r="F44" s="32" t="s">
        <v>18</v>
      </c>
      <c r="G44" s="32" t="s">
        <v>20</v>
      </c>
      <c r="H44" s="32" t="s">
        <v>21</v>
      </c>
      <c r="I44" s="32" t="s">
        <v>22</v>
      </c>
      <c r="J44" s="32" t="s">
        <v>22</v>
      </c>
      <c r="K44" s="32" t="s">
        <v>39</v>
      </c>
      <c r="L44" s="32" t="s">
        <v>40</v>
      </c>
      <c r="M44" s="32" t="s">
        <v>41</v>
      </c>
      <c r="N44" s="32" t="s">
        <v>42</v>
      </c>
      <c r="O44" s="32" t="s">
        <v>149</v>
      </c>
      <c r="P44" s="115"/>
      <c r="R44" s="18" t="s">
        <v>101</v>
      </c>
      <c r="S44" s="32" t="s">
        <v>13</v>
      </c>
      <c r="T44" s="32" t="s">
        <v>26</v>
      </c>
      <c r="U44" s="32" t="s">
        <v>14</v>
      </c>
      <c r="V44" s="32" t="s">
        <v>18</v>
      </c>
      <c r="W44" s="32" t="s">
        <v>20</v>
      </c>
      <c r="X44" s="32" t="s">
        <v>21</v>
      </c>
      <c r="Y44" s="32" t="s">
        <v>22</v>
      </c>
      <c r="Z44" s="32" t="s">
        <v>22</v>
      </c>
      <c r="AA44" s="32" t="s">
        <v>39</v>
      </c>
      <c r="AB44" s="32" t="s">
        <v>40</v>
      </c>
      <c r="AC44" s="32" t="s">
        <v>41</v>
      </c>
      <c r="AD44" s="32" t="s">
        <v>42</v>
      </c>
      <c r="AE44" s="32" t="s">
        <v>149</v>
      </c>
    </row>
    <row r="45" spans="1:31" ht="15.6" x14ac:dyDescent="0.3">
      <c r="B45" s="33" t="s">
        <v>115</v>
      </c>
      <c r="C45" s="40"/>
      <c r="D45" s="40"/>
      <c r="E45" s="40"/>
      <c r="F45" s="40"/>
      <c r="G45" s="40"/>
      <c r="H45" s="40" t="s">
        <v>119</v>
      </c>
      <c r="I45" s="40" t="s">
        <v>150</v>
      </c>
      <c r="J45" s="40" t="s">
        <v>121</v>
      </c>
      <c r="K45" s="40" t="s">
        <v>121</v>
      </c>
      <c r="L45" s="40" t="s">
        <v>121</v>
      </c>
      <c r="M45" s="40" t="s">
        <v>121</v>
      </c>
      <c r="N45" s="40" t="s">
        <v>121</v>
      </c>
      <c r="O45" s="40"/>
      <c r="P45" s="115"/>
      <c r="R45" s="33" t="s">
        <v>115</v>
      </c>
      <c r="S45" s="40"/>
      <c r="T45" s="40"/>
      <c r="U45" s="40"/>
      <c r="V45" s="40"/>
      <c r="W45" s="40"/>
      <c r="X45" s="40" t="s">
        <v>119</v>
      </c>
      <c r="Y45" s="40" t="s">
        <v>150</v>
      </c>
      <c r="Z45" s="40" t="s">
        <v>121</v>
      </c>
      <c r="AA45" s="40" t="s">
        <v>121</v>
      </c>
      <c r="AB45" s="40" t="s">
        <v>121</v>
      </c>
      <c r="AC45" s="40" t="s">
        <v>121</v>
      </c>
      <c r="AD45" s="40" t="s">
        <v>121</v>
      </c>
      <c r="AE45" s="40"/>
    </row>
    <row r="46" spans="1:31" ht="15.6" x14ac:dyDescent="0.3">
      <c r="A46" s="7" t="s">
        <v>6</v>
      </c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116"/>
      <c r="Q46" s="7" t="s">
        <v>6</v>
      </c>
      <c r="R46" s="35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</row>
    <row r="47" spans="1:31" ht="15.6" x14ac:dyDescent="0.3">
      <c r="A47" s="132">
        <v>70</v>
      </c>
      <c r="B47" s="30" t="s">
        <v>102</v>
      </c>
      <c r="C47" s="37">
        <v>2.2799999999999998</v>
      </c>
      <c r="D47" s="37">
        <v>3.8</v>
      </c>
      <c r="E47" s="37">
        <v>2.2000000000000002</v>
      </c>
      <c r="F47" s="37">
        <v>2.2000000000000002</v>
      </c>
      <c r="G47" s="37">
        <v>3.14</v>
      </c>
      <c r="H47" s="37">
        <v>2.48</v>
      </c>
      <c r="I47" s="37">
        <v>2.67</v>
      </c>
      <c r="J47" s="37">
        <v>3.03</v>
      </c>
      <c r="K47" s="37">
        <v>2.75</v>
      </c>
      <c r="L47" s="37">
        <v>2.61</v>
      </c>
      <c r="M47" s="37">
        <v>2.46</v>
      </c>
      <c r="N47" s="37">
        <v>2.7</v>
      </c>
      <c r="O47" s="37">
        <v>2.46</v>
      </c>
      <c r="P47" s="115"/>
      <c r="Q47" s="132"/>
      <c r="R47" s="30" t="s">
        <v>102</v>
      </c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</row>
    <row r="48" spans="1:31" ht="15.6" x14ac:dyDescent="0.3">
      <c r="A48" s="132"/>
      <c r="B48" s="20" t="s">
        <v>103</v>
      </c>
      <c r="C48" s="32">
        <v>2.25</v>
      </c>
      <c r="D48" s="32">
        <v>3.76</v>
      </c>
      <c r="E48" s="32">
        <v>2.1800000000000002</v>
      </c>
      <c r="F48" s="32">
        <v>2.1800000000000002</v>
      </c>
      <c r="G48" s="32">
        <v>3.11</v>
      </c>
      <c r="H48" s="32">
        <v>2.46</v>
      </c>
      <c r="I48" s="32">
        <v>2.64</v>
      </c>
      <c r="J48" s="32">
        <v>3</v>
      </c>
      <c r="K48" s="32">
        <v>2.72</v>
      </c>
      <c r="L48" s="32">
        <v>2.58</v>
      </c>
      <c r="M48" s="32">
        <v>2.4300000000000002</v>
      </c>
      <c r="N48" s="32">
        <v>2.64</v>
      </c>
      <c r="O48" s="32">
        <v>2.4300000000000002</v>
      </c>
      <c r="P48" s="115"/>
      <c r="Q48" s="132"/>
      <c r="R48" s="20" t="s">
        <v>151</v>
      </c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</row>
    <row r="49" spans="1:31" ht="15.6" x14ac:dyDescent="0.3">
      <c r="A49" s="132"/>
      <c r="B49" s="38" t="s">
        <v>104</v>
      </c>
      <c r="C49" s="26">
        <f t="shared" ref="C49:O49" si="22">IF(OR(C47="",C48=""),"",C48/C47)</f>
        <v>0.98684210526315796</v>
      </c>
      <c r="D49" s="26">
        <f t="shared" si="22"/>
        <v>0.98947368421052628</v>
      </c>
      <c r="E49" s="26">
        <f t="shared" si="22"/>
        <v>0.99090909090909085</v>
      </c>
      <c r="F49" s="26">
        <f t="shared" si="22"/>
        <v>0.99090909090909085</v>
      </c>
      <c r="G49" s="26">
        <f t="shared" si="22"/>
        <v>0.99044585987261136</v>
      </c>
      <c r="H49" s="26">
        <f t="shared" si="22"/>
        <v>0.99193548387096775</v>
      </c>
      <c r="I49" s="26">
        <f t="shared" si="22"/>
        <v>0.98876404494382031</v>
      </c>
      <c r="J49" s="26">
        <f t="shared" si="22"/>
        <v>0.9900990099009902</v>
      </c>
      <c r="K49" s="26">
        <f t="shared" si="22"/>
        <v>0.98909090909090913</v>
      </c>
      <c r="L49" s="26">
        <f t="shared" si="22"/>
        <v>0.98850574712643691</v>
      </c>
      <c r="M49" s="26">
        <f t="shared" si="22"/>
        <v>0.98780487804878059</v>
      </c>
      <c r="N49" s="26">
        <f t="shared" si="22"/>
        <v>0.97777777777777775</v>
      </c>
      <c r="O49" s="26">
        <f t="shared" si="22"/>
        <v>0.98780487804878059</v>
      </c>
      <c r="P49" s="119"/>
      <c r="Q49" s="132"/>
      <c r="R49" s="38" t="s">
        <v>104</v>
      </c>
      <c r="S49" s="26" t="str">
        <f t="shared" ref="S49:AE49" si="23">IF(OR(S47="",S48=""),"",S48/S47)</f>
        <v/>
      </c>
      <c r="T49" s="26" t="str">
        <f t="shared" si="23"/>
        <v/>
      </c>
      <c r="U49" s="26" t="str">
        <f t="shared" si="23"/>
        <v/>
      </c>
      <c r="V49" s="26" t="str">
        <f t="shared" si="23"/>
        <v/>
      </c>
      <c r="W49" s="26" t="str">
        <f t="shared" si="23"/>
        <v/>
      </c>
      <c r="X49" s="26" t="str">
        <f t="shared" si="23"/>
        <v/>
      </c>
      <c r="Y49" s="26" t="str">
        <f t="shared" si="23"/>
        <v/>
      </c>
      <c r="Z49" s="26" t="str">
        <f t="shared" si="23"/>
        <v/>
      </c>
      <c r="AA49" s="26" t="str">
        <f t="shared" si="23"/>
        <v/>
      </c>
      <c r="AB49" s="26" t="str">
        <f t="shared" si="23"/>
        <v/>
      </c>
      <c r="AC49" s="26" t="str">
        <f t="shared" si="23"/>
        <v/>
      </c>
      <c r="AD49" s="26" t="str">
        <f t="shared" si="23"/>
        <v/>
      </c>
      <c r="AE49" s="26" t="str">
        <f t="shared" si="23"/>
        <v/>
      </c>
    </row>
    <row r="50" spans="1:31" ht="15.6" x14ac:dyDescent="0.3">
      <c r="A50" s="132">
        <v>80</v>
      </c>
      <c r="B50" s="30" t="s">
        <v>102</v>
      </c>
      <c r="C50" s="37">
        <v>3.67</v>
      </c>
      <c r="D50" s="37">
        <v>6.12</v>
      </c>
      <c r="E50" s="37">
        <v>3.55</v>
      </c>
      <c r="F50" s="37">
        <v>3.55</v>
      </c>
      <c r="G50" s="37">
        <v>5.0599999999999996</v>
      </c>
      <c r="H50" s="37">
        <v>4</v>
      </c>
      <c r="I50" s="37">
        <v>4.29</v>
      </c>
      <c r="J50" s="37">
        <v>4.88</v>
      </c>
      <c r="K50" s="37">
        <v>4.43</v>
      </c>
      <c r="L50" s="37">
        <v>4.21</v>
      </c>
      <c r="M50" s="37">
        <v>3.96</v>
      </c>
      <c r="N50" s="37">
        <v>4.3499999999999996</v>
      </c>
      <c r="O50" s="37">
        <v>3.96</v>
      </c>
      <c r="P50" s="115"/>
      <c r="Q50" s="132"/>
      <c r="R50" s="30" t="s">
        <v>102</v>
      </c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</row>
    <row r="51" spans="1:31" ht="15.6" x14ac:dyDescent="0.3">
      <c r="A51" s="132"/>
      <c r="B51" s="20" t="s">
        <v>103</v>
      </c>
      <c r="C51" s="32">
        <v>3.6</v>
      </c>
      <c r="D51" s="32">
        <v>5.99</v>
      </c>
      <c r="E51" s="32">
        <v>3.48</v>
      </c>
      <c r="F51" s="32">
        <v>3.48</v>
      </c>
      <c r="G51" s="32">
        <v>4.96</v>
      </c>
      <c r="H51" s="32">
        <v>3.92</v>
      </c>
      <c r="I51" s="32">
        <v>4.21</v>
      </c>
      <c r="J51" s="32">
        <v>4.78</v>
      </c>
      <c r="K51" s="32">
        <v>4.34</v>
      </c>
      <c r="L51" s="32">
        <v>4.12</v>
      </c>
      <c r="M51" s="32">
        <v>3.88</v>
      </c>
      <c r="N51" s="32">
        <v>4.2699999999999996</v>
      </c>
      <c r="O51" s="32">
        <v>3.88</v>
      </c>
      <c r="P51" s="115"/>
      <c r="Q51" s="132"/>
      <c r="R51" s="20" t="s">
        <v>151</v>
      </c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</row>
    <row r="52" spans="1:31" ht="15.6" x14ac:dyDescent="0.3">
      <c r="A52" s="132"/>
      <c r="B52" s="38" t="s">
        <v>104</v>
      </c>
      <c r="C52" s="26">
        <f t="shared" ref="C52:O52" si="24">IF(OR(C50="",C51=""),"",C51/C50)</f>
        <v>0.98092643051771122</v>
      </c>
      <c r="D52" s="26">
        <f t="shared" si="24"/>
        <v>0.97875816993464049</v>
      </c>
      <c r="E52" s="26">
        <f t="shared" si="24"/>
        <v>0.9802816901408451</v>
      </c>
      <c r="F52" s="26">
        <f t="shared" si="24"/>
        <v>0.9802816901408451</v>
      </c>
      <c r="G52" s="26">
        <f t="shared" si="24"/>
        <v>0.98023715415019774</v>
      </c>
      <c r="H52" s="26">
        <f t="shared" si="24"/>
        <v>0.98</v>
      </c>
      <c r="I52" s="26">
        <f t="shared" si="24"/>
        <v>0.98135198135198132</v>
      </c>
      <c r="J52" s="26">
        <f t="shared" si="24"/>
        <v>0.97950819672131151</v>
      </c>
      <c r="K52" s="26">
        <f t="shared" si="24"/>
        <v>0.97968397291196396</v>
      </c>
      <c r="L52" s="26">
        <f t="shared" si="24"/>
        <v>0.97862232779097391</v>
      </c>
      <c r="M52" s="26">
        <f t="shared" si="24"/>
        <v>0.97979797979797978</v>
      </c>
      <c r="N52" s="26">
        <f t="shared" si="24"/>
        <v>0.98160919540229885</v>
      </c>
      <c r="O52" s="26">
        <f t="shared" si="24"/>
        <v>0.97979797979797978</v>
      </c>
      <c r="P52" s="119"/>
      <c r="Q52" s="132"/>
      <c r="R52" s="38" t="s">
        <v>104</v>
      </c>
      <c r="S52" s="52" t="str">
        <f t="shared" ref="S52:AE52" si="25">IF(OR(S50="",S51=""),"",S51/S50)</f>
        <v/>
      </c>
      <c r="T52" s="54" t="str">
        <f t="shared" si="25"/>
        <v/>
      </c>
      <c r="U52" s="54" t="str">
        <f t="shared" si="25"/>
        <v/>
      </c>
      <c r="V52" s="54" t="str">
        <f t="shared" si="25"/>
        <v/>
      </c>
      <c r="W52" s="54" t="str">
        <f t="shared" si="25"/>
        <v/>
      </c>
      <c r="X52" s="54" t="str">
        <f t="shared" si="25"/>
        <v/>
      </c>
      <c r="Y52" s="54" t="str">
        <f t="shared" si="25"/>
        <v/>
      </c>
      <c r="Z52" s="54" t="str">
        <f t="shared" si="25"/>
        <v/>
      </c>
      <c r="AA52" s="54" t="str">
        <f t="shared" si="25"/>
        <v/>
      </c>
      <c r="AB52" s="54" t="str">
        <f t="shared" si="25"/>
        <v/>
      </c>
      <c r="AC52" s="54" t="str">
        <f t="shared" si="25"/>
        <v/>
      </c>
      <c r="AD52" s="54" t="str">
        <f t="shared" si="25"/>
        <v/>
      </c>
      <c r="AE52" s="54" t="str">
        <f t="shared" si="25"/>
        <v/>
      </c>
    </row>
    <row r="53" spans="1:31" ht="15.6" x14ac:dyDescent="0.3">
      <c r="A53" s="132">
        <v>90</v>
      </c>
      <c r="B53" s="30" t="s">
        <v>102</v>
      </c>
      <c r="C53" s="37">
        <v>5.43</v>
      </c>
      <c r="D53" s="37">
        <v>9.0500000000000007</v>
      </c>
      <c r="E53" s="37">
        <v>5.25</v>
      </c>
      <c r="F53" s="37">
        <v>52.25</v>
      </c>
      <c r="G53" s="37">
        <v>7.49</v>
      </c>
      <c r="H53" s="37">
        <v>5.92</v>
      </c>
      <c r="I53" s="37">
        <v>6.35</v>
      </c>
      <c r="J53" s="37">
        <v>7.23</v>
      </c>
      <c r="K53" s="37">
        <v>6.56</v>
      </c>
      <c r="L53" s="37">
        <v>6.22</v>
      </c>
      <c r="M53" s="37">
        <v>5.86</v>
      </c>
      <c r="N53" s="37">
        <v>6.44</v>
      </c>
      <c r="O53" s="37">
        <v>5.86</v>
      </c>
      <c r="P53" s="115"/>
      <c r="Q53" s="132"/>
      <c r="R53" s="30" t="s">
        <v>102</v>
      </c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</row>
    <row r="54" spans="1:31" ht="15.6" x14ac:dyDescent="0.3">
      <c r="A54" s="132"/>
      <c r="B54" s="20" t="s">
        <v>103</v>
      </c>
      <c r="C54" s="32">
        <v>5.29</v>
      </c>
      <c r="D54" s="32">
        <v>8.82</v>
      </c>
      <c r="E54" s="32">
        <v>5.1100000000000003</v>
      </c>
      <c r="F54" s="32">
        <v>5.1100000000000003</v>
      </c>
      <c r="G54" s="32">
        <v>7.29</v>
      </c>
      <c r="H54" s="32">
        <v>5.76</v>
      </c>
      <c r="I54" s="32">
        <v>6.19</v>
      </c>
      <c r="J54" s="32">
        <v>7.04</v>
      </c>
      <c r="K54" s="32">
        <v>6.39</v>
      </c>
      <c r="L54" s="32">
        <v>6.06</v>
      </c>
      <c r="M54" s="32">
        <v>5.7</v>
      </c>
      <c r="N54" s="32">
        <v>6.27</v>
      </c>
      <c r="O54" s="32">
        <v>5.71</v>
      </c>
      <c r="P54" s="115"/>
      <c r="Q54" s="132"/>
      <c r="R54" s="20" t="s">
        <v>151</v>
      </c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</row>
    <row r="55" spans="1:31" ht="15.6" x14ac:dyDescent="0.3">
      <c r="A55" s="132"/>
      <c r="B55" s="38" t="s">
        <v>104</v>
      </c>
      <c r="C55" s="26">
        <f t="shared" ref="C55:O55" si="26">IF(OR(C53="",C54=""),"",C54/C53)</f>
        <v>0.97421731123388589</v>
      </c>
      <c r="D55" s="26">
        <f t="shared" si="26"/>
        <v>0.97458563535911602</v>
      </c>
      <c r="E55" s="26">
        <f t="shared" si="26"/>
        <v>0.97333333333333338</v>
      </c>
      <c r="F55" s="26">
        <f t="shared" si="26"/>
        <v>9.7799043062200969E-2</v>
      </c>
      <c r="G55" s="26">
        <f t="shared" si="26"/>
        <v>0.97329773030707611</v>
      </c>
      <c r="H55" s="26">
        <f t="shared" si="26"/>
        <v>0.97297297297297292</v>
      </c>
      <c r="I55" s="26">
        <f t="shared" si="26"/>
        <v>0.97480314960629932</v>
      </c>
      <c r="J55" s="26">
        <f t="shared" si="26"/>
        <v>0.97372060857538034</v>
      </c>
      <c r="K55" s="26">
        <f t="shared" si="26"/>
        <v>0.97408536585365857</v>
      </c>
      <c r="L55" s="26">
        <f t="shared" si="26"/>
        <v>0.97427652733118963</v>
      </c>
      <c r="M55" s="26">
        <f t="shared" si="26"/>
        <v>0.97269624573378832</v>
      </c>
      <c r="N55" s="26">
        <f t="shared" si="26"/>
        <v>0.97360248447204956</v>
      </c>
      <c r="O55" s="26">
        <f t="shared" si="26"/>
        <v>0.97440273037542657</v>
      </c>
      <c r="P55" s="119"/>
      <c r="Q55" s="132"/>
      <c r="R55" s="38" t="s">
        <v>104</v>
      </c>
      <c r="S55" s="52" t="str">
        <f t="shared" ref="S55:AE55" si="27">IF(OR(S53="",S54=""),"",S54/S53)</f>
        <v/>
      </c>
      <c r="T55" s="54" t="str">
        <f t="shared" si="27"/>
        <v/>
      </c>
      <c r="U55" s="54" t="str">
        <f t="shared" si="27"/>
        <v/>
      </c>
      <c r="V55" s="54" t="str">
        <f t="shared" si="27"/>
        <v/>
      </c>
      <c r="W55" s="54" t="str">
        <f t="shared" si="27"/>
        <v/>
      </c>
      <c r="X55" s="54" t="str">
        <f t="shared" si="27"/>
        <v/>
      </c>
      <c r="Y55" s="54" t="str">
        <f t="shared" si="27"/>
        <v/>
      </c>
      <c r="Z55" s="54" t="str">
        <f t="shared" si="27"/>
        <v/>
      </c>
      <c r="AA55" s="54" t="str">
        <f t="shared" si="27"/>
        <v/>
      </c>
      <c r="AB55" s="54" t="str">
        <f t="shared" si="27"/>
        <v/>
      </c>
      <c r="AC55" s="54" t="str">
        <f t="shared" si="27"/>
        <v/>
      </c>
      <c r="AD55" s="54" t="str">
        <f t="shared" si="27"/>
        <v/>
      </c>
      <c r="AE55" s="54" t="str">
        <f t="shared" si="27"/>
        <v/>
      </c>
    </row>
    <row r="56" spans="1:31" ht="15.6" x14ac:dyDescent="0.3">
      <c r="A56" s="132">
        <v>100</v>
      </c>
      <c r="B56" s="30" t="s">
        <v>102</v>
      </c>
      <c r="C56" s="37">
        <v>7.45</v>
      </c>
      <c r="D56" s="37">
        <v>12.43</v>
      </c>
      <c r="E56" s="37">
        <v>7.2</v>
      </c>
      <c r="F56" s="37">
        <v>7.2</v>
      </c>
      <c r="G56" s="37">
        <v>10.26</v>
      </c>
      <c r="H56" s="37">
        <v>8.1199999999999992</v>
      </c>
      <c r="I56" s="37">
        <v>8.7100000000000009</v>
      </c>
      <c r="J56" s="37">
        <v>9.91</v>
      </c>
      <c r="K56" s="37">
        <v>8.99</v>
      </c>
      <c r="L56" s="37">
        <v>8.5299999999999994</v>
      </c>
      <c r="M56" s="37">
        <v>8.0299999999999994</v>
      </c>
      <c r="N56" s="37">
        <v>8.83</v>
      </c>
      <c r="O56" s="37">
        <v>8.0299999999999994</v>
      </c>
      <c r="P56" s="115"/>
      <c r="Q56" s="132"/>
      <c r="R56" s="30" t="s">
        <v>102</v>
      </c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</row>
    <row r="57" spans="1:31" ht="15.6" x14ac:dyDescent="0.3">
      <c r="A57" s="132"/>
      <c r="B57" s="20" t="s">
        <v>103</v>
      </c>
      <c r="C57" s="32">
        <v>7.23</v>
      </c>
      <c r="D57" s="32">
        <v>12.04</v>
      </c>
      <c r="E57" s="32">
        <v>6.98</v>
      </c>
      <c r="F57" s="32">
        <v>6.98</v>
      </c>
      <c r="G57" s="32">
        <v>9.9600000000000009</v>
      </c>
      <c r="H57" s="32">
        <v>7.87</v>
      </c>
      <c r="I57" s="32">
        <v>8.4499999999999993</v>
      </c>
      <c r="J57" s="32">
        <v>9.61</v>
      </c>
      <c r="K57" s="32">
        <v>8.7200000000000006</v>
      </c>
      <c r="L57" s="32">
        <v>8.2799999999999994</v>
      </c>
      <c r="M57" s="32">
        <v>7.79</v>
      </c>
      <c r="N57" s="32">
        <v>8.57</v>
      </c>
      <c r="O57" s="32">
        <v>7.79</v>
      </c>
      <c r="P57" s="115"/>
      <c r="Q57" s="132"/>
      <c r="R57" s="20" t="s">
        <v>151</v>
      </c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</row>
    <row r="58" spans="1:31" ht="15.6" x14ac:dyDescent="0.3">
      <c r="A58" s="132"/>
      <c r="B58" s="38" t="s">
        <v>104</v>
      </c>
      <c r="C58" s="26">
        <f t="shared" ref="C58:O58" si="28">IF(OR(C56="",C57=""),"",C57/C56)</f>
        <v>0.97046979865771821</v>
      </c>
      <c r="D58" s="26">
        <f t="shared" si="28"/>
        <v>0.96862429605792433</v>
      </c>
      <c r="E58" s="26">
        <f t="shared" si="28"/>
        <v>0.96944444444444444</v>
      </c>
      <c r="F58" s="26">
        <f t="shared" si="28"/>
        <v>0.96944444444444444</v>
      </c>
      <c r="G58" s="26">
        <f t="shared" si="28"/>
        <v>0.97076023391812871</v>
      </c>
      <c r="H58" s="26">
        <f t="shared" si="28"/>
        <v>0.96921182266009864</v>
      </c>
      <c r="I58" s="26">
        <f t="shared" si="28"/>
        <v>0.97014925373134309</v>
      </c>
      <c r="J58" s="26">
        <f t="shared" si="28"/>
        <v>0.96972754793138238</v>
      </c>
      <c r="K58" s="26">
        <f t="shared" si="28"/>
        <v>0.96996662958843161</v>
      </c>
      <c r="L58" s="26">
        <f t="shared" si="28"/>
        <v>0.97069167643610788</v>
      </c>
      <c r="M58" s="26">
        <f t="shared" si="28"/>
        <v>0.9701120797011209</v>
      </c>
      <c r="N58" s="26">
        <f t="shared" si="28"/>
        <v>0.970554926387316</v>
      </c>
      <c r="O58" s="26">
        <f t="shared" si="28"/>
        <v>0.9701120797011209</v>
      </c>
      <c r="P58" s="119"/>
      <c r="Q58" s="132"/>
      <c r="R58" s="38" t="s">
        <v>104</v>
      </c>
      <c r="S58" s="52" t="str">
        <f t="shared" ref="S58:AE58" si="29">IF(OR(S56="",S57=""),"",S57/S56)</f>
        <v/>
      </c>
      <c r="T58" s="54" t="str">
        <f t="shared" si="29"/>
        <v/>
      </c>
      <c r="U58" s="54" t="str">
        <f t="shared" si="29"/>
        <v/>
      </c>
      <c r="V58" s="54" t="str">
        <f t="shared" si="29"/>
        <v/>
      </c>
      <c r="W58" s="54" t="str">
        <f t="shared" si="29"/>
        <v/>
      </c>
      <c r="X58" s="54" t="str">
        <f t="shared" si="29"/>
        <v/>
      </c>
      <c r="Y58" s="54" t="str">
        <f t="shared" si="29"/>
        <v/>
      </c>
      <c r="Z58" s="54" t="str">
        <f t="shared" si="29"/>
        <v/>
      </c>
      <c r="AA58" s="54" t="str">
        <f t="shared" si="29"/>
        <v/>
      </c>
      <c r="AB58" s="54" t="str">
        <f t="shared" si="29"/>
        <v/>
      </c>
      <c r="AC58" s="54" t="str">
        <f t="shared" si="29"/>
        <v/>
      </c>
      <c r="AD58" s="54" t="str">
        <f t="shared" si="29"/>
        <v/>
      </c>
      <c r="AE58" s="54" t="str">
        <f t="shared" si="29"/>
        <v/>
      </c>
    </row>
    <row r="59" spans="1:31" ht="15.6" x14ac:dyDescent="0.3">
      <c r="A59" s="132">
        <v>110</v>
      </c>
      <c r="B59" s="30" t="s">
        <v>102</v>
      </c>
      <c r="C59" s="37">
        <v>9.66</v>
      </c>
      <c r="D59" s="37">
        <v>16.11</v>
      </c>
      <c r="E59" s="37">
        <v>9.34</v>
      </c>
      <c r="F59" s="37">
        <v>9.34</v>
      </c>
      <c r="G59" s="37">
        <v>13.32</v>
      </c>
      <c r="H59" s="37">
        <v>10.53</v>
      </c>
      <c r="I59" s="37">
        <v>11.31</v>
      </c>
      <c r="J59" s="37">
        <v>12.86</v>
      </c>
      <c r="K59" s="37">
        <v>11.67</v>
      </c>
      <c r="L59" s="37">
        <v>11.07</v>
      </c>
      <c r="M59" s="37">
        <v>10.42</v>
      </c>
      <c r="N59" s="37">
        <v>11.46</v>
      </c>
      <c r="O59" s="37">
        <v>10.43</v>
      </c>
      <c r="P59" s="115"/>
      <c r="Q59" s="132"/>
      <c r="R59" s="30" t="s">
        <v>102</v>
      </c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</row>
    <row r="60" spans="1:31" ht="15.6" x14ac:dyDescent="0.3">
      <c r="A60" s="132"/>
      <c r="B60" s="20" t="s">
        <v>103</v>
      </c>
      <c r="C60" s="32">
        <v>9.3699999999999992</v>
      </c>
      <c r="D60" s="32">
        <v>15.62</v>
      </c>
      <c r="E60" s="32">
        <v>9.06</v>
      </c>
      <c r="F60" s="32">
        <v>9.06</v>
      </c>
      <c r="G60" s="32">
        <v>12.92</v>
      </c>
      <c r="H60" s="32">
        <v>10.220000000000001</v>
      </c>
      <c r="I60" s="32">
        <v>10.97</v>
      </c>
      <c r="J60" s="32">
        <v>12.47</v>
      </c>
      <c r="K60" s="32">
        <v>11.32</v>
      </c>
      <c r="L60" s="32">
        <v>10.74</v>
      </c>
      <c r="M60" s="32">
        <v>10.1</v>
      </c>
      <c r="N60" s="32">
        <v>11.12</v>
      </c>
      <c r="O60" s="32">
        <v>10.11</v>
      </c>
      <c r="P60" s="115"/>
      <c r="Q60" s="132"/>
      <c r="R60" s="20" t="s">
        <v>151</v>
      </c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</row>
    <row r="61" spans="1:31" ht="15.6" x14ac:dyDescent="0.3">
      <c r="A61" s="132"/>
      <c r="B61" s="38" t="s">
        <v>104</v>
      </c>
      <c r="C61" s="26">
        <f t="shared" ref="C61:O61" si="30">IF(OR(C59="",C60=""),"",C60/C59)</f>
        <v>0.96997929606625244</v>
      </c>
      <c r="D61" s="26">
        <f t="shared" si="30"/>
        <v>0.96958410924891369</v>
      </c>
      <c r="E61" s="26">
        <f t="shared" si="30"/>
        <v>0.97002141327623137</v>
      </c>
      <c r="F61" s="26">
        <f t="shared" si="30"/>
        <v>0.97002141327623137</v>
      </c>
      <c r="G61" s="26">
        <f t="shared" si="30"/>
        <v>0.96996996996996998</v>
      </c>
      <c r="H61" s="26">
        <f t="shared" si="30"/>
        <v>0.97056030389363734</v>
      </c>
      <c r="I61" s="26">
        <f t="shared" si="30"/>
        <v>0.96993810786914236</v>
      </c>
      <c r="J61" s="26">
        <f t="shared" si="30"/>
        <v>0.96967340590979789</v>
      </c>
      <c r="K61" s="26">
        <f t="shared" si="30"/>
        <v>0.97000856898029142</v>
      </c>
      <c r="L61" s="26">
        <f t="shared" si="30"/>
        <v>0.97018970189701892</v>
      </c>
      <c r="M61" s="26">
        <f t="shared" si="30"/>
        <v>0.96928982725527824</v>
      </c>
      <c r="N61" s="26">
        <f t="shared" si="30"/>
        <v>0.97033158813263509</v>
      </c>
      <c r="O61" s="26">
        <f t="shared" si="30"/>
        <v>0.96931927133269413</v>
      </c>
      <c r="P61" s="119"/>
      <c r="Q61" s="132"/>
      <c r="R61" s="38" t="s">
        <v>104</v>
      </c>
      <c r="S61" s="52" t="str">
        <f t="shared" ref="S61:AE61" si="31">IF(OR(S59="",S60=""),"",S60/S59)</f>
        <v/>
      </c>
      <c r="T61" s="54" t="str">
        <f t="shared" si="31"/>
        <v/>
      </c>
      <c r="U61" s="54" t="str">
        <f t="shared" si="31"/>
        <v/>
      </c>
      <c r="V61" s="54" t="str">
        <f t="shared" si="31"/>
        <v/>
      </c>
      <c r="W61" s="54" t="str">
        <f t="shared" si="31"/>
        <v/>
      </c>
      <c r="X61" s="54" t="str">
        <f t="shared" si="31"/>
        <v/>
      </c>
      <c r="Y61" s="54" t="str">
        <f t="shared" si="31"/>
        <v/>
      </c>
      <c r="Z61" s="54" t="str">
        <f t="shared" si="31"/>
        <v/>
      </c>
      <c r="AA61" s="54" t="str">
        <f t="shared" si="31"/>
        <v/>
      </c>
      <c r="AB61" s="54" t="str">
        <f t="shared" si="31"/>
        <v/>
      </c>
      <c r="AC61" s="54" t="str">
        <f t="shared" si="31"/>
        <v/>
      </c>
      <c r="AD61" s="54" t="str">
        <f t="shared" si="31"/>
        <v/>
      </c>
      <c r="AE61" s="54" t="str">
        <f t="shared" si="31"/>
        <v/>
      </c>
    </row>
    <row r="62" spans="1:31" ht="15.6" x14ac:dyDescent="0.3">
      <c r="A62" s="132">
        <v>120</v>
      </c>
      <c r="B62" s="30" t="s">
        <v>102</v>
      </c>
      <c r="C62" s="37">
        <v>12.1</v>
      </c>
      <c r="D62" s="37">
        <v>20.16</v>
      </c>
      <c r="E62" s="37">
        <v>11.69</v>
      </c>
      <c r="F62" s="37">
        <v>11.69</v>
      </c>
      <c r="G62" s="37">
        <v>16.670000000000002</v>
      </c>
      <c r="H62" s="37">
        <v>13.18</v>
      </c>
      <c r="I62" s="37">
        <v>14.15</v>
      </c>
      <c r="J62" s="37">
        <v>16.09</v>
      </c>
      <c r="K62" s="37">
        <v>14.6</v>
      </c>
      <c r="L62" s="37">
        <v>13.86</v>
      </c>
      <c r="M62" s="37">
        <v>13.04</v>
      </c>
      <c r="N62" s="37">
        <v>14.34</v>
      </c>
      <c r="O62" s="37">
        <v>13.05</v>
      </c>
      <c r="P62" s="115"/>
      <c r="Q62" s="132"/>
      <c r="R62" s="30" t="s">
        <v>102</v>
      </c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</row>
    <row r="63" spans="1:31" ht="15.6" x14ac:dyDescent="0.3">
      <c r="A63" s="132"/>
      <c r="B63" s="20" t="s">
        <v>103</v>
      </c>
      <c r="C63" s="32">
        <v>11.74</v>
      </c>
      <c r="D63" s="32">
        <v>19.57</v>
      </c>
      <c r="E63" s="32">
        <v>11.34</v>
      </c>
      <c r="F63" s="32">
        <v>11.34</v>
      </c>
      <c r="G63" s="32">
        <v>16.18</v>
      </c>
      <c r="H63" s="32">
        <v>12.79</v>
      </c>
      <c r="I63" s="32">
        <v>13.73</v>
      </c>
      <c r="J63" s="32">
        <v>15.62</v>
      </c>
      <c r="K63" s="32">
        <v>14.17</v>
      </c>
      <c r="L63" s="32">
        <v>13.45</v>
      </c>
      <c r="M63" s="32">
        <v>12.65</v>
      </c>
      <c r="N63" s="32">
        <v>13.92</v>
      </c>
      <c r="O63" s="32">
        <v>12.66</v>
      </c>
      <c r="P63" s="115"/>
      <c r="Q63" s="132"/>
      <c r="R63" s="20" t="s">
        <v>151</v>
      </c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</row>
    <row r="64" spans="1:31" ht="15.6" x14ac:dyDescent="0.3">
      <c r="A64" s="132"/>
      <c r="B64" s="38" t="s">
        <v>104</v>
      </c>
      <c r="C64" s="26">
        <f t="shared" ref="C64:O64" si="32">IF(OR(C62="",C63=""),"",C63/C62)</f>
        <v>0.97024793388429753</v>
      </c>
      <c r="D64" s="26">
        <f t="shared" si="32"/>
        <v>0.97073412698412698</v>
      </c>
      <c r="E64" s="26">
        <f t="shared" si="32"/>
        <v>0.97005988023952094</v>
      </c>
      <c r="F64" s="26">
        <f t="shared" si="32"/>
        <v>0.97005988023952094</v>
      </c>
      <c r="G64" s="26">
        <f t="shared" si="32"/>
        <v>0.97060587882423499</v>
      </c>
      <c r="H64" s="26">
        <f t="shared" si="32"/>
        <v>0.97040971168437018</v>
      </c>
      <c r="I64" s="26">
        <f t="shared" si="32"/>
        <v>0.97031802120141342</v>
      </c>
      <c r="J64" s="26">
        <f t="shared" si="32"/>
        <v>0.97078931013051584</v>
      </c>
      <c r="K64" s="26">
        <f t="shared" si="32"/>
        <v>0.97054794520547949</v>
      </c>
      <c r="L64" s="26">
        <f t="shared" si="32"/>
        <v>0.9704184704184704</v>
      </c>
      <c r="M64" s="26">
        <f t="shared" si="32"/>
        <v>0.97009202453987742</v>
      </c>
      <c r="N64" s="26">
        <f t="shared" si="32"/>
        <v>0.97071129707112969</v>
      </c>
      <c r="O64" s="26">
        <f t="shared" si="32"/>
        <v>0.97011494252873554</v>
      </c>
      <c r="P64" s="119"/>
      <c r="Q64" s="132"/>
      <c r="R64" s="38" t="s">
        <v>104</v>
      </c>
      <c r="S64" s="52" t="str">
        <f t="shared" ref="S64:AE64" si="33">IF(OR(S62="",S63=""),"",S63/S62)</f>
        <v/>
      </c>
      <c r="T64" s="54" t="str">
        <f t="shared" si="33"/>
        <v/>
      </c>
      <c r="U64" s="54" t="str">
        <f t="shared" si="33"/>
        <v/>
      </c>
      <c r="V64" s="54" t="str">
        <f t="shared" si="33"/>
        <v/>
      </c>
      <c r="W64" s="54" t="str">
        <f t="shared" si="33"/>
        <v/>
      </c>
      <c r="X64" s="54" t="str">
        <f t="shared" si="33"/>
        <v/>
      </c>
      <c r="Y64" s="54" t="str">
        <f t="shared" si="33"/>
        <v/>
      </c>
      <c r="Z64" s="54" t="str">
        <f t="shared" si="33"/>
        <v/>
      </c>
      <c r="AA64" s="54" t="str">
        <f t="shared" si="33"/>
        <v/>
      </c>
      <c r="AB64" s="54" t="str">
        <f t="shared" si="33"/>
        <v/>
      </c>
      <c r="AC64" s="54" t="str">
        <f t="shared" si="33"/>
        <v/>
      </c>
      <c r="AD64" s="54" t="str">
        <f t="shared" si="33"/>
        <v/>
      </c>
      <c r="AE64" s="54" t="str">
        <f t="shared" si="33"/>
        <v/>
      </c>
    </row>
    <row r="65" spans="1:31" ht="15.6" x14ac:dyDescent="0.3">
      <c r="A65" s="132">
        <v>130</v>
      </c>
      <c r="B65" s="30" t="s">
        <v>102</v>
      </c>
      <c r="C65" s="37">
        <v>16.63</v>
      </c>
      <c r="D65" s="37">
        <v>24.38</v>
      </c>
      <c r="E65" s="37">
        <v>14.13</v>
      </c>
      <c r="F65" s="37">
        <v>14.13</v>
      </c>
      <c r="G65" s="37">
        <v>20.16</v>
      </c>
      <c r="H65" s="37">
        <v>15.94</v>
      </c>
      <c r="I65" s="37">
        <v>17.12</v>
      </c>
      <c r="J65" s="37">
        <v>19.46</v>
      </c>
      <c r="K65" s="37">
        <v>17.66</v>
      </c>
      <c r="L65" s="37">
        <v>16.760000000000002</v>
      </c>
      <c r="M65" s="37">
        <v>15.77</v>
      </c>
      <c r="N65" s="37">
        <v>17.350000000000001</v>
      </c>
      <c r="O65" s="37">
        <v>15.78</v>
      </c>
      <c r="P65" s="115"/>
      <c r="Q65" s="132"/>
      <c r="R65" s="30" t="s">
        <v>102</v>
      </c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</row>
    <row r="66" spans="1:31" ht="15.6" x14ac:dyDescent="0.3">
      <c r="A66" s="132"/>
      <c r="B66" s="20" t="s">
        <v>103</v>
      </c>
      <c r="C66" s="32">
        <v>14.19</v>
      </c>
      <c r="D66" s="32">
        <v>23.66</v>
      </c>
      <c r="E66" s="32">
        <v>13.71</v>
      </c>
      <c r="F66" s="32">
        <v>13.71</v>
      </c>
      <c r="G66" s="32">
        <v>19.559999999999999</v>
      </c>
      <c r="H66" s="32">
        <v>15.47</v>
      </c>
      <c r="I66" s="32">
        <v>16.600000000000001</v>
      </c>
      <c r="J66" s="32">
        <v>18.88</v>
      </c>
      <c r="K66" s="32">
        <v>17.13</v>
      </c>
      <c r="L66" s="32">
        <v>16.600000000000001</v>
      </c>
      <c r="M66" s="32">
        <v>15.3</v>
      </c>
      <c r="N66" s="32">
        <v>16.829999999999998</v>
      </c>
      <c r="O66" s="32">
        <v>15.31</v>
      </c>
      <c r="P66" s="115"/>
      <c r="Q66" s="132"/>
      <c r="R66" s="20" t="s">
        <v>151</v>
      </c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</row>
    <row r="67" spans="1:31" ht="15.6" x14ac:dyDescent="0.3">
      <c r="A67" s="132"/>
      <c r="B67" s="38" t="s">
        <v>104</v>
      </c>
      <c r="C67" s="26">
        <f t="shared" ref="C67:O67" si="34">IF(OR(C65="",C66=""),"",C66/C65)</f>
        <v>0.85327720986169575</v>
      </c>
      <c r="D67" s="26">
        <f t="shared" si="34"/>
        <v>0.97046759639048408</v>
      </c>
      <c r="E67" s="26">
        <f t="shared" si="34"/>
        <v>0.97027600849256901</v>
      </c>
      <c r="F67" s="26">
        <f t="shared" si="34"/>
        <v>0.97027600849256901</v>
      </c>
      <c r="G67" s="26">
        <f t="shared" si="34"/>
        <v>0.97023809523809512</v>
      </c>
      <c r="H67" s="26">
        <f t="shared" si="34"/>
        <v>0.97051442910915942</v>
      </c>
      <c r="I67" s="26">
        <f t="shared" si="34"/>
        <v>0.96962616822429915</v>
      </c>
      <c r="J67" s="26">
        <f t="shared" si="34"/>
        <v>0.97019527235354563</v>
      </c>
      <c r="K67" s="26">
        <f t="shared" si="34"/>
        <v>0.96998867497168739</v>
      </c>
      <c r="L67" s="26">
        <f t="shared" si="34"/>
        <v>0.99045346062052508</v>
      </c>
      <c r="M67" s="26">
        <f t="shared" si="34"/>
        <v>0.97019657577679141</v>
      </c>
      <c r="N67" s="26">
        <f t="shared" si="34"/>
        <v>0.97002881844380384</v>
      </c>
      <c r="O67" s="26">
        <f t="shared" si="34"/>
        <v>0.97021546261089997</v>
      </c>
      <c r="P67" s="119"/>
      <c r="Q67" s="132"/>
      <c r="R67" s="38" t="s">
        <v>104</v>
      </c>
      <c r="S67" s="52" t="str">
        <f t="shared" ref="S67:AE67" si="35">IF(OR(S65="",S66=""),"",S66/S65)</f>
        <v/>
      </c>
      <c r="T67" s="54" t="str">
        <f t="shared" si="35"/>
        <v/>
      </c>
      <c r="U67" s="54" t="str">
        <f t="shared" si="35"/>
        <v/>
      </c>
      <c r="V67" s="54" t="str">
        <f t="shared" si="35"/>
        <v/>
      </c>
      <c r="W67" s="54" t="str">
        <f t="shared" si="35"/>
        <v/>
      </c>
      <c r="X67" s="54" t="str">
        <f t="shared" si="35"/>
        <v/>
      </c>
      <c r="Y67" s="54" t="str">
        <f t="shared" si="35"/>
        <v/>
      </c>
      <c r="Z67" s="54" t="str">
        <f t="shared" si="35"/>
        <v/>
      </c>
      <c r="AA67" s="54" t="str">
        <f t="shared" si="35"/>
        <v/>
      </c>
      <c r="AB67" s="54" t="str">
        <f t="shared" si="35"/>
        <v/>
      </c>
      <c r="AC67" s="54" t="str">
        <f t="shared" si="35"/>
        <v/>
      </c>
      <c r="AD67" s="54" t="str">
        <f t="shared" si="35"/>
        <v/>
      </c>
      <c r="AE67" s="54" t="str">
        <f t="shared" si="35"/>
        <v/>
      </c>
    </row>
    <row r="68" spans="1:31" ht="15.6" x14ac:dyDescent="0.3">
      <c r="A68" s="132">
        <v>140</v>
      </c>
      <c r="B68" s="30" t="s">
        <v>102</v>
      </c>
      <c r="C68" s="37">
        <v>17.3</v>
      </c>
      <c r="D68" s="37">
        <v>28.83</v>
      </c>
      <c r="E68" s="37">
        <v>16.71</v>
      </c>
      <c r="F68" s="37">
        <v>16.71</v>
      </c>
      <c r="G68" s="37">
        <v>23.84</v>
      </c>
      <c r="H68" s="37">
        <v>18.850000000000001</v>
      </c>
      <c r="I68" s="37">
        <v>20.239999999999998</v>
      </c>
      <c r="J68" s="37">
        <v>23.01</v>
      </c>
      <c r="K68" s="37">
        <v>20.88</v>
      </c>
      <c r="L68" s="37">
        <v>19.82</v>
      </c>
      <c r="M68" s="37">
        <v>18.64</v>
      </c>
      <c r="N68" s="37">
        <v>20.51</v>
      </c>
      <c r="O68" s="37">
        <v>18.66</v>
      </c>
      <c r="P68" s="115"/>
      <c r="Q68" s="132"/>
      <c r="R68" s="30" t="s">
        <v>102</v>
      </c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</row>
    <row r="69" spans="1:31" ht="15.6" x14ac:dyDescent="0.3">
      <c r="A69" s="132"/>
      <c r="B69" s="20" t="s">
        <v>103</v>
      </c>
      <c r="C69" s="32">
        <v>16.79</v>
      </c>
      <c r="D69" s="32">
        <v>27.98</v>
      </c>
      <c r="E69" s="32">
        <v>16.22</v>
      </c>
      <c r="F69" s="32">
        <v>16.22</v>
      </c>
      <c r="G69" s="32">
        <v>23.14</v>
      </c>
      <c r="H69" s="32">
        <v>18.3</v>
      </c>
      <c r="I69" s="32">
        <v>19.64</v>
      </c>
      <c r="J69" s="32">
        <v>22.33</v>
      </c>
      <c r="K69" s="32">
        <v>20.27</v>
      </c>
      <c r="L69" s="32">
        <v>19.239999999999998</v>
      </c>
      <c r="M69" s="32">
        <v>19.100000000000001</v>
      </c>
      <c r="N69" s="32">
        <v>19.91</v>
      </c>
      <c r="O69" s="32">
        <v>18.11</v>
      </c>
      <c r="P69" s="115"/>
      <c r="Q69" s="132"/>
      <c r="R69" s="20" t="s">
        <v>151</v>
      </c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</row>
    <row r="70" spans="1:31" ht="15.6" x14ac:dyDescent="0.3">
      <c r="A70" s="132"/>
      <c r="B70" s="38" t="s">
        <v>104</v>
      </c>
      <c r="C70" s="26">
        <f t="shared" ref="C70:O70" si="36">IF(OR(C68="",C69=""),"",C69/C68)</f>
        <v>0.97052023121387276</v>
      </c>
      <c r="D70" s="26">
        <f t="shared" si="36"/>
        <v>0.97051682275407569</v>
      </c>
      <c r="E70" s="26">
        <f t="shared" si="36"/>
        <v>0.97067624177139422</v>
      </c>
      <c r="F70" s="26">
        <f t="shared" si="36"/>
        <v>0.97067624177139422</v>
      </c>
      <c r="G70" s="26">
        <f t="shared" si="36"/>
        <v>0.97063758389261745</v>
      </c>
      <c r="H70" s="26">
        <f t="shared" si="36"/>
        <v>0.97082228116710867</v>
      </c>
      <c r="I70" s="26">
        <f t="shared" si="36"/>
        <v>0.9703557312252965</v>
      </c>
      <c r="J70" s="26">
        <f t="shared" si="36"/>
        <v>0.97044763146458046</v>
      </c>
      <c r="K70" s="26">
        <f t="shared" si="36"/>
        <v>0.97078544061302685</v>
      </c>
      <c r="L70" s="26">
        <f t="shared" si="36"/>
        <v>0.97073662966700291</v>
      </c>
      <c r="M70" s="26">
        <f t="shared" si="36"/>
        <v>1.0246781115879828</v>
      </c>
      <c r="N70" s="26">
        <f t="shared" si="36"/>
        <v>0.97074597757191605</v>
      </c>
      <c r="O70" s="26">
        <f t="shared" si="36"/>
        <v>0.97052518756698813</v>
      </c>
      <c r="P70" s="119"/>
      <c r="Q70" s="132"/>
      <c r="R70" s="38" t="s">
        <v>104</v>
      </c>
      <c r="S70" s="52" t="str">
        <f t="shared" ref="S70:AE70" si="37">IF(OR(S68="",S69=""),"",S69/S68)</f>
        <v/>
      </c>
      <c r="T70" s="54" t="str">
        <f t="shared" si="37"/>
        <v/>
      </c>
      <c r="U70" s="54" t="str">
        <f t="shared" si="37"/>
        <v/>
      </c>
      <c r="V70" s="54" t="str">
        <f t="shared" si="37"/>
        <v/>
      </c>
      <c r="W70" s="54" t="str">
        <f t="shared" si="37"/>
        <v/>
      </c>
      <c r="X70" s="54" t="str">
        <f t="shared" si="37"/>
        <v/>
      </c>
      <c r="Y70" s="54" t="str">
        <f t="shared" si="37"/>
        <v/>
      </c>
      <c r="Z70" s="54" t="str">
        <f t="shared" si="37"/>
        <v/>
      </c>
      <c r="AA70" s="54" t="str">
        <f t="shared" si="37"/>
        <v/>
      </c>
      <c r="AB70" s="54" t="str">
        <f t="shared" si="37"/>
        <v/>
      </c>
      <c r="AC70" s="54" t="str">
        <f t="shared" si="37"/>
        <v/>
      </c>
      <c r="AD70" s="54" t="str">
        <f t="shared" si="37"/>
        <v/>
      </c>
      <c r="AE70" s="54" t="str">
        <f t="shared" si="37"/>
        <v/>
      </c>
    </row>
    <row r="71" spans="1:31" ht="15.6" x14ac:dyDescent="0.3">
      <c r="A71" s="132">
        <v>150</v>
      </c>
      <c r="B71" s="30" t="s">
        <v>102</v>
      </c>
      <c r="C71" s="37">
        <v>20.100000000000001</v>
      </c>
      <c r="D71" s="37">
        <v>33.49</v>
      </c>
      <c r="E71" s="37">
        <v>19.420000000000002</v>
      </c>
      <c r="F71" s="37">
        <v>19.420000000000002</v>
      </c>
      <c r="G71" s="37">
        <v>27.7</v>
      </c>
      <c r="H71" s="37">
        <v>21.9</v>
      </c>
      <c r="I71" s="37">
        <v>23.51</v>
      </c>
      <c r="J71" s="37">
        <v>26.73</v>
      </c>
      <c r="K71" s="37">
        <v>24.26</v>
      </c>
      <c r="L71" s="37">
        <v>23.03</v>
      </c>
      <c r="M71" s="37">
        <v>21.66</v>
      </c>
      <c r="N71" s="37">
        <v>23.83</v>
      </c>
      <c r="O71" s="37">
        <v>21.68</v>
      </c>
      <c r="P71" s="115"/>
      <c r="Q71" s="132"/>
      <c r="R71" s="30" t="s">
        <v>102</v>
      </c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</row>
    <row r="72" spans="1:31" ht="15.6" x14ac:dyDescent="0.3">
      <c r="A72" s="132"/>
      <c r="B72" s="20" t="s">
        <v>103</v>
      </c>
      <c r="C72" s="32">
        <v>19.510000000000002</v>
      </c>
      <c r="D72" s="32">
        <v>32.51</v>
      </c>
      <c r="E72" s="32">
        <v>18.850000000000001</v>
      </c>
      <c r="F72" s="32">
        <v>18.850000000000001</v>
      </c>
      <c r="G72" s="32">
        <v>26.88</v>
      </c>
      <c r="H72" s="32">
        <v>21.26</v>
      </c>
      <c r="I72" s="32">
        <v>22.82</v>
      </c>
      <c r="J72" s="32">
        <v>2595</v>
      </c>
      <c r="K72" s="32">
        <v>23.55</v>
      </c>
      <c r="L72" s="32">
        <v>22.35</v>
      </c>
      <c r="M72" s="32">
        <v>21.03</v>
      </c>
      <c r="N72" s="32">
        <v>23.13</v>
      </c>
      <c r="O72" s="32">
        <v>21.04</v>
      </c>
      <c r="P72" s="115"/>
      <c r="Q72" s="132"/>
      <c r="R72" s="20" t="s">
        <v>151</v>
      </c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</row>
    <row r="73" spans="1:31" ht="15.6" x14ac:dyDescent="0.3">
      <c r="A73" s="132"/>
      <c r="B73" s="38" t="s">
        <v>104</v>
      </c>
      <c r="C73" s="26">
        <f t="shared" ref="C73:O73" si="38">IF(OR(C71="",C72=""),"",C72/C71)</f>
        <v>0.97064676616915424</v>
      </c>
      <c r="D73" s="26">
        <f t="shared" si="38"/>
        <v>0.9707375335921169</v>
      </c>
      <c r="E73" s="26">
        <f t="shared" si="38"/>
        <v>0.97064881565396499</v>
      </c>
      <c r="F73" s="26">
        <f t="shared" si="38"/>
        <v>0.97064881565396499</v>
      </c>
      <c r="G73" s="26">
        <f t="shared" si="38"/>
        <v>0.97039711191335742</v>
      </c>
      <c r="H73" s="26">
        <f t="shared" si="38"/>
        <v>0.97077625570776271</v>
      </c>
      <c r="I73" s="26">
        <f t="shared" si="38"/>
        <v>0.97065078689919182</v>
      </c>
      <c r="J73" s="26">
        <f t="shared" si="38"/>
        <v>97.081930415263741</v>
      </c>
      <c r="K73" s="26">
        <f t="shared" si="38"/>
        <v>0.97073371805441055</v>
      </c>
      <c r="L73" s="26">
        <f t="shared" si="38"/>
        <v>0.97047329570125929</v>
      </c>
      <c r="M73" s="26">
        <f t="shared" si="38"/>
        <v>0.97091412742382277</v>
      </c>
      <c r="N73" s="26">
        <f t="shared" si="38"/>
        <v>0.97062526227444401</v>
      </c>
      <c r="O73" s="26">
        <f t="shared" si="38"/>
        <v>0.97047970479704793</v>
      </c>
      <c r="P73" s="119"/>
      <c r="Q73" s="132"/>
      <c r="R73" s="38" t="s">
        <v>104</v>
      </c>
      <c r="S73" s="52" t="str">
        <f t="shared" ref="S73:AE73" si="39">IF(OR(S71="",S72=""),"",S72/S71)</f>
        <v/>
      </c>
      <c r="T73" s="54" t="str">
        <f t="shared" si="39"/>
        <v/>
      </c>
      <c r="U73" s="54" t="str">
        <f t="shared" si="39"/>
        <v/>
      </c>
      <c r="V73" s="54" t="str">
        <f t="shared" si="39"/>
        <v/>
      </c>
      <c r="W73" s="54" t="str">
        <f t="shared" si="39"/>
        <v/>
      </c>
      <c r="X73" s="54" t="str">
        <f t="shared" si="39"/>
        <v/>
      </c>
      <c r="Y73" s="54" t="str">
        <f t="shared" si="39"/>
        <v/>
      </c>
      <c r="Z73" s="54" t="str">
        <f t="shared" si="39"/>
        <v/>
      </c>
      <c r="AA73" s="54" t="str">
        <f t="shared" si="39"/>
        <v/>
      </c>
      <c r="AB73" s="54" t="str">
        <f t="shared" si="39"/>
        <v/>
      </c>
      <c r="AC73" s="54" t="str">
        <f t="shared" si="39"/>
        <v/>
      </c>
      <c r="AD73" s="54" t="str">
        <f t="shared" si="39"/>
        <v/>
      </c>
      <c r="AE73" s="54" t="str">
        <f t="shared" si="39"/>
        <v/>
      </c>
    </row>
    <row r="74" spans="1:31" ht="15.6" x14ac:dyDescent="0.3">
      <c r="A74" s="132" t="s">
        <v>145</v>
      </c>
      <c r="B74" s="30" t="s">
        <v>102</v>
      </c>
      <c r="C74" s="37">
        <v>0.74</v>
      </c>
      <c r="D74" s="37">
        <v>1.23</v>
      </c>
      <c r="E74" s="37">
        <v>0.71</v>
      </c>
      <c r="F74" s="37">
        <v>0.71</v>
      </c>
      <c r="G74" s="37">
        <v>1.02</v>
      </c>
      <c r="H74" s="37">
        <v>1</v>
      </c>
      <c r="I74" s="37">
        <v>0.86</v>
      </c>
      <c r="J74" s="37">
        <v>98</v>
      </c>
      <c r="K74" s="37">
        <v>0.89</v>
      </c>
      <c r="L74" s="37">
        <v>0.85</v>
      </c>
      <c r="M74" s="37">
        <v>0.8</v>
      </c>
      <c r="N74" s="37">
        <v>0.88</v>
      </c>
      <c r="O74" s="37">
        <v>0.8</v>
      </c>
      <c r="P74" s="115"/>
      <c r="Q74" s="132"/>
      <c r="R74" s="30" t="s">
        <v>102</v>
      </c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</row>
    <row r="75" spans="1:31" ht="15.6" x14ac:dyDescent="0.3">
      <c r="A75" s="132"/>
      <c r="B75" s="20" t="s">
        <v>103</v>
      </c>
      <c r="C75" s="32">
        <v>0.71</v>
      </c>
      <c r="D75" s="32">
        <v>1.18</v>
      </c>
      <c r="E75" s="32">
        <v>0.68</v>
      </c>
      <c r="F75" s="32">
        <v>0.68</v>
      </c>
      <c r="G75" s="32">
        <v>0.98</v>
      </c>
      <c r="H75" s="32">
        <v>0.77</v>
      </c>
      <c r="I75" s="32">
        <v>0.83</v>
      </c>
      <c r="J75" s="32">
        <v>0.94</v>
      </c>
      <c r="K75" s="32">
        <v>0.85</v>
      </c>
      <c r="L75" s="32">
        <v>0.81</v>
      </c>
      <c r="M75" s="32">
        <v>0.76</v>
      </c>
      <c r="N75" s="32">
        <v>0.84</v>
      </c>
      <c r="O75" s="32">
        <v>0.76</v>
      </c>
      <c r="P75" s="115"/>
      <c r="Q75" s="132"/>
      <c r="R75" s="20" t="s">
        <v>151</v>
      </c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</row>
    <row r="76" spans="1:31" ht="15.6" x14ac:dyDescent="0.3">
      <c r="A76" s="132"/>
      <c r="B76" s="38" t="s">
        <v>104</v>
      </c>
      <c r="C76" s="26">
        <f t="shared" ref="C76:O76" si="40">IF(OR(C74="",C75=""),"",C75/C74)</f>
        <v>0.95945945945945943</v>
      </c>
      <c r="D76" s="26">
        <f t="shared" si="40"/>
        <v>0.95934959349593496</v>
      </c>
      <c r="E76" s="26">
        <f t="shared" si="40"/>
        <v>0.9577464788732396</v>
      </c>
      <c r="F76" s="26">
        <f t="shared" si="40"/>
        <v>0.9577464788732396</v>
      </c>
      <c r="G76" s="26">
        <f t="shared" si="40"/>
        <v>0.96078431372549011</v>
      </c>
      <c r="H76" s="26">
        <f t="shared" si="40"/>
        <v>0.77</v>
      </c>
      <c r="I76" s="26">
        <f t="shared" si="40"/>
        <v>0.96511627906976738</v>
      </c>
      <c r="J76" s="26">
        <f t="shared" si="40"/>
        <v>9.5918367346938763E-3</v>
      </c>
      <c r="K76" s="26">
        <f t="shared" si="40"/>
        <v>0.9550561797752809</v>
      </c>
      <c r="L76" s="26">
        <f t="shared" si="40"/>
        <v>0.95294117647058829</v>
      </c>
      <c r="M76" s="26">
        <f t="shared" si="40"/>
        <v>0.95</v>
      </c>
      <c r="N76" s="26">
        <f t="shared" si="40"/>
        <v>0.95454545454545447</v>
      </c>
      <c r="O76" s="26">
        <f t="shared" si="40"/>
        <v>0.95</v>
      </c>
      <c r="P76" s="119"/>
      <c r="Q76" s="132"/>
      <c r="R76" s="38" t="s">
        <v>104</v>
      </c>
      <c r="S76" s="52" t="str">
        <f t="shared" ref="S76:AE76" si="41">IF(OR(S74="",S75=""),"",S75/S74)</f>
        <v/>
      </c>
      <c r="T76" s="54" t="str">
        <f t="shared" si="41"/>
        <v/>
      </c>
      <c r="U76" s="54" t="str">
        <f t="shared" si="41"/>
        <v/>
      </c>
      <c r="V76" s="54" t="str">
        <f t="shared" si="41"/>
        <v/>
      </c>
      <c r="W76" s="54" t="str">
        <f t="shared" si="41"/>
        <v/>
      </c>
      <c r="X76" s="54" t="str">
        <f t="shared" si="41"/>
        <v/>
      </c>
      <c r="Y76" s="54" t="str">
        <f t="shared" si="41"/>
        <v/>
      </c>
      <c r="Z76" s="54" t="str">
        <f t="shared" si="41"/>
        <v/>
      </c>
      <c r="AA76" s="54" t="str">
        <f t="shared" si="41"/>
        <v/>
      </c>
      <c r="AB76" s="54" t="str">
        <f t="shared" si="41"/>
        <v/>
      </c>
      <c r="AC76" s="54" t="str">
        <f t="shared" si="41"/>
        <v/>
      </c>
      <c r="AD76" s="54" t="str">
        <f t="shared" si="41"/>
        <v/>
      </c>
      <c r="AE76" s="54" t="str">
        <f t="shared" si="41"/>
        <v/>
      </c>
    </row>
    <row r="77" spans="1:31" ht="15.6" x14ac:dyDescent="0.3">
      <c r="A77" s="132" t="s">
        <v>152</v>
      </c>
      <c r="B77" s="30" t="s">
        <v>102</v>
      </c>
      <c r="C77" s="37">
        <v>4.78</v>
      </c>
      <c r="D77" s="37">
        <v>7.97</v>
      </c>
      <c r="E77" s="37">
        <v>4.62</v>
      </c>
      <c r="F77" s="37">
        <v>4.62</v>
      </c>
      <c r="G77" s="37">
        <v>6.59</v>
      </c>
      <c r="H77" s="37">
        <v>5.21</v>
      </c>
      <c r="I77" s="37">
        <v>5.59</v>
      </c>
      <c r="J77" s="37">
        <v>6.36</v>
      </c>
      <c r="K77" s="37">
        <v>5.77</v>
      </c>
      <c r="L77" s="37">
        <v>5.48</v>
      </c>
      <c r="M77" s="37">
        <v>5.15</v>
      </c>
      <c r="N77" s="37">
        <v>567</v>
      </c>
      <c r="O77" s="37">
        <v>5.16</v>
      </c>
      <c r="P77" s="115"/>
      <c r="Q77" s="132"/>
      <c r="R77" s="30" t="s">
        <v>102</v>
      </c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</row>
    <row r="78" spans="1:31" ht="15.6" x14ac:dyDescent="0.3">
      <c r="A78" s="132"/>
      <c r="B78" s="20" t="s">
        <v>103</v>
      </c>
      <c r="C78" s="32">
        <v>4.66</v>
      </c>
      <c r="D78" s="32">
        <v>7.77</v>
      </c>
      <c r="E78" s="32">
        <v>4.5</v>
      </c>
      <c r="F78" s="32">
        <v>4.5</v>
      </c>
      <c r="G78" s="32">
        <v>6.42</v>
      </c>
      <c r="H78" s="32">
        <v>5.08</v>
      </c>
      <c r="I78" s="32">
        <v>5.45</v>
      </c>
      <c r="J78" s="32">
        <v>6.2</v>
      </c>
      <c r="K78" s="32">
        <v>5.63</v>
      </c>
      <c r="L78" s="32">
        <v>5.34</v>
      </c>
      <c r="M78" s="32">
        <v>5.0199999999999996</v>
      </c>
      <c r="N78" s="32">
        <v>5.53</v>
      </c>
      <c r="O78" s="32">
        <v>5.03</v>
      </c>
      <c r="P78" s="115"/>
      <c r="Q78" s="132"/>
      <c r="R78" s="20" t="s">
        <v>151</v>
      </c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</row>
    <row r="79" spans="1:31" ht="15.6" x14ac:dyDescent="0.3">
      <c r="A79" s="132"/>
      <c r="B79" s="38" t="s">
        <v>104</v>
      </c>
      <c r="C79" s="26">
        <f t="shared" ref="C79:O79" si="42">IF(OR(C77="",C78=""),"",C78/C77)</f>
        <v>0.97489539748953968</v>
      </c>
      <c r="D79" s="26">
        <f t="shared" si="42"/>
        <v>0.97490589711417819</v>
      </c>
      <c r="E79" s="26">
        <f t="shared" si="42"/>
        <v>0.97402597402597402</v>
      </c>
      <c r="F79" s="26">
        <f t="shared" si="42"/>
        <v>0.97402597402597402</v>
      </c>
      <c r="G79" s="26">
        <f t="shared" si="42"/>
        <v>0.9742033383915023</v>
      </c>
      <c r="H79" s="26">
        <f t="shared" si="42"/>
        <v>0.9750479846449136</v>
      </c>
      <c r="I79" s="26">
        <f t="shared" si="42"/>
        <v>0.97495527728085873</v>
      </c>
      <c r="J79" s="26">
        <f t="shared" si="42"/>
        <v>0.97484276729559749</v>
      </c>
      <c r="K79" s="26">
        <f t="shared" si="42"/>
        <v>0.97573656845753909</v>
      </c>
      <c r="L79" s="26">
        <f t="shared" si="42"/>
        <v>0.97445255474452541</v>
      </c>
      <c r="M79" s="26">
        <f t="shared" si="42"/>
        <v>0.97475728155339791</v>
      </c>
      <c r="N79" s="26">
        <f t="shared" si="42"/>
        <v>9.7530864197530875E-3</v>
      </c>
      <c r="O79" s="26">
        <f t="shared" si="42"/>
        <v>0.97480620155038766</v>
      </c>
      <c r="P79" s="119"/>
      <c r="Q79" s="132"/>
      <c r="R79" s="38" t="s">
        <v>104</v>
      </c>
      <c r="S79" s="52" t="str">
        <f t="shared" ref="S79:AE79" si="43">IF(OR(S77="",S78=""),"",S78/S77)</f>
        <v/>
      </c>
      <c r="T79" s="54" t="str">
        <f t="shared" si="43"/>
        <v/>
      </c>
      <c r="U79" s="54" t="str">
        <f t="shared" si="43"/>
        <v/>
      </c>
      <c r="V79" s="54" t="str">
        <f t="shared" si="43"/>
        <v/>
      </c>
      <c r="W79" s="54" t="str">
        <f t="shared" si="43"/>
        <v/>
      </c>
      <c r="X79" s="54" t="str">
        <f t="shared" si="43"/>
        <v/>
      </c>
      <c r="Y79" s="54" t="str">
        <f t="shared" si="43"/>
        <v/>
      </c>
      <c r="Z79" s="54" t="str">
        <f t="shared" si="43"/>
        <v/>
      </c>
      <c r="AA79" s="54" t="str">
        <f t="shared" si="43"/>
        <v/>
      </c>
      <c r="AB79" s="54" t="str">
        <f t="shared" si="43"/>
        <v/>
      </c>
      <c r="AC79" s="54" t="str">
        <f t="shared" si="43"/>
        <v/>
      </c>
      <c r="AD79" s="54" t="str">
        <f t="shared" si="43"/>
        <v/>
      </c>
      <c r="AE79" s="54" t="str">
        <f t="shared" si="43"/>
        <v/>
      </c>
    </row>
    <row r="81" spans="1:31" ht="15.6" x14ac:dyDescent="0.3">
      <c r="A81" s="8" t="s">
        <v>124</v>
      </c>
      <c r="Q81" s="8" t="s">
        <v>124</v>
      </c>
    </row>
    <row r="82" spans="1:31" ht="15.6" x14ac:dyDescent="0.3">
      <c r="B82" s="15" t="s">
        <v>100</v>
      </c>
      <c r="C82" s="31" t="s">
        <v>13</v>
      </c>
      <c r="D82" s="31" t="s">
        <v>26</v>
      </c>
      <c r="E82" s="31" t="s">
        <v>14</v>
      </c>
      <c r="F82" s="31" t="s">
        <v>18</v>
      </c>
      <c r="G82" s="31" t="s">
        <v>20</v>
      </c>
      <c r="H82" s="31" t="s">
        <v>21</v>
      </c>
      <c r="I82" s="31" t="s">
        <v>21</v>
      </c>
      <c r="J82" s="31" t="s">
        <v>21</v>
      </c>
      <c r="K82" s="31" t="s">
        <v>38</v>
      </c>
      <c r="L82" s="31" t="s">
        <v>22</v>
      </c>
      <c r="M82" s="31" t="s">
        <v>39</v>
      </c>
      <c r="N82" s="31" t="s">
        <v>42</v>
      </c>
      <c r="O82" s="31" t="s">
        <v>43</v>
      </c>
      <c r="P82" s="115"/>
      <c r="R82" s="15" t="s">
        <v>100</v>
      </c>
      <c r="S82" s="31" t="s">
        <v>13</v>
      </c>
      <c r="T82" s="31" t="s">
        <v>26</v>
      </c>
      <c r="U82" s="31" t="s">
        <v>14</v>
      </c>
      <c r="V82" s="31" t="s">
        <v>18</v>
      </c>
      <c r="W82" s="31" t="s">
        <v>20</v>
      </c>
      <c r="X82" s="31" t="s">
        <v>21</v>
      </c>
      <c r="Y82" s="31" t="s">
        <v>21</v>
      </c>
      <c r="Z82" s="31" t="s">
        <v>21</v>
      </c>
      <c r="AA82" s="31" t="s">
        <v>38</v>
      </c>
      <c r="AB82" s="31" t="s">
        <v>22</v>
      </c>
      <c r="AC82" s="31" t="s">
        <v>39</v>
      </c>
      <c r="AD82" s="31" t="s">
        <v>42</v>
      </c>
      <c r="AE82" s="31" t="s">
        <v>43</v>
      </c>
    </row>
    <row r="83" spans="1:31" ht="15.6" x14ac:dyDescent="0.3">
      <c r="B83" s="18" t="s">
        <v>114</v>
      </c>
      <c r="C83" s="32">
        <v>2</v>
      </c>
      <c r="D83" s="32">
        <v>3.6</v>
      </c>
      <c r="E83" s="32">
        <v>5</v>
      </c>
      <c r="F83" s="32">
        <v>10</v>
      </c>
      <c r="G83" s="32">
        <v>14.4</v>
      </c>
      <c r="H83" s="32">
        <v>19.2</v>
      </c>
      <c r="I83" s="32">
        <v>19.2</v>
      </c>
      <c r="J83" s="32">
        <v>19.2</v>
      </c>
      <c r="K83" s="32">
        <f>48*0.6</f>
        <v>28.799999999999997</v>
      </c>
      <c r="L83" s="32">
        <f>64*0.6</f>
        <v>38.4</v>
      </c>
      <c r="M83" s="32">
        <f>96*0.6</f>
        <v>57.599999999999994</v>
      </c>
      <c r="N83" s="32">
        <f>24*1.2</f>
        <v>28.799999999999997</v>
      </c>
      <c r="O83" s="32">
        <f>48*1.2</f>
        <v>57.599999999999994</v>
      </c>
      <c r="P83" s="115"/>
      <c r="R83" s="18" t="s">
        <v>114</v>
      </c>
      <c r="S83" s="32">
        <v>2</v>
      </c>
      <c r="T83" s="32">
        <v>3.6</v>
      </c>
      <c r="U83" s="32">
        <v>5</v>
      </c>
      <c r="V83" s="32">
        <v>10</v>
      </c>
      <c r="W83" s="32">
        <v>14.4</v>
      </c>
      <c r="X83" s="32">
        <v>19.2</v>
      </c>
      <c r="Y83" s="32">
        <v>19.2</v>
      </c>
      <c r="Z83" s="32">
        <v>19.2</v>
      </c>
      <c r="AA83" s="32">
        <f>48*0.6</f>
        <v>28.799999999999997</v>
      </c>
      <c r="AB83" s="32">
        <f>64*0.6</f>
        <v>38.4</v>
      </c>
      <c r="AC83" s="32">
        <f>96*0.6</f>
        <v>57.599999999999994</v>
      </c>
      <c r="AD83" s="32">
        <f>24*1.2</f>
        <v>28.799999999999997</v>
      </c>
      <c r="AE83" s="32">
        <f>48*1.2</f>
        <v>57.599999999999994</v>
      </c>
    </row>
    <row r="84" spans="1:31" ht="15.6" x14ac:dyDescent="0.3">
      <c r="B84" s="18" t="s">
        <v>101</v>
      </c>
      <c r="C84" s="32" t="s">
        <v>13</v>
      </c>
      <c r="D84" s="32" t="s">
        <v>26</v>
      </c>
      <c r="E84" s="32" t="s">
        <v>14</v>
      </c>
      <c r="F84" s="32" t="s">
        <v>18</v>
      </c>
      <c r="G84" s="32" t="s">
        <v>20</v>
      </c>
      <c r="H84" s="32" t="s">
        <v>21</v>
      </c>
      <c r="I84" s="32" t="s">
        <v>22</v>
      </c>
      <c r="J84" s="32" t="s">
        <v>22</v>
      </c>
      <c r="K84" s="32" t="s">
        <v>39</v>
      </c>
      <c r="L84" s="32" t="s">
        <v>40</v>
      </c>
      <c r="M84" s="32" t="s">
        <v>41</v>
      </c>
      <c r="N84" s="32" t="s">
        <v>42</v>
      </c>
      <c r="O84" s="32" t="s">
        <v>149</v>
      </c>
      <c r="P84" s="115"/>
      <c r="R84" s="18" t="s">
        <v>101</v>
      </c>
      <c r="S84" s="32" t="s">
        <v>13</v>
      </c>
      <c r="T84" s="32" t="s">
        <v>26</v>
      </c>
      <c r="U84" s="32" t="s">
        <v>14</v>
      </c>
      <c r="V84" s="32" t="s">
        <v>18</v>
      </c>
      <c r="W84" s="32" t="s">
        <v>20</v>
      </c>
      <c r="X84" s="32" t="s">
        <v>21</v>
      </c>
      <c r="Y84" s="32" t="s">
        <v>22</v>
      </c>
      <c r="Z84" s="32" t="s">
        <v>22</v>
      </c>
      <c r="AA84" s="32" t="s">
        <v>39</v>
      </c>
      <c r="AB84" s="32" t="s">
        <v>40</v>
      </c>
      <c r="AC84" s="32" t="s">
        <v>41</v>
      </c>
      <c r="AD84" s="32" t="s">
        <v>42</v>
      </c>
      <c r="AE84" s="32" t="s">
        <v>149</v>
      </c>
    </row>
    <row r="85" spans="1:31" ht="15.6" x14ac:dyDescent="0.3">
      <c r="B85" s="33" t="s">
        <v>115</v>
      </c>
      <c r="C85" s="40"/>
      <c r="D85" s="40"/>
      <c r="E85" s="40"/>
      <c r="F85" s="40"/>
      <c r="G85" s="40"/>
      <c r="H85" s="40" t="s">
        <v>119</v>
      </c>
      <c r="I85" s="40" t="s">
        <v>150</v>
      </c>
      <c r="J85" s="40" t="s">
        <v>121</v>
      </c>
      <c r="K85" s="40" t="s">
        <v>121</v>
      </c>
      <c r="L85" s="40" t="s">
        <v>121</v>
      </c>
      <c r="M85" s="40" t="s">
        <v>121</v>
      </c>
      <c r="N85" s="40" t="s">
        <v>121</v>
      </c>
      <c r="O85" s="40"/>
      <c r="P85" s="115"/>
      <c r="R85" s="33" t="s">
        <v>115</v>
      </c>
      <c r="S85" s="40"/>
      <c r="T85" s="40"/>
      <c r="U85" s="40"/>
      <c r="V85" s="40"/>
      <c r="W85" s="40"/>
      <c r="X85" s="40" t="s">
        <v>119</v>
      </c>
      <c r="Y85" s="40" t="s">
        <v>150</v>
      </c>
      <c r="Z85" s="40" t="s">
        <v>121</v>
      </c>
      <c r="AA85" s="40" t="s">
        <v>121</v>
      </c>
      <c r="AB85" s="40" t="s">
        <v>121</v>
      </c>
      <c r="AC85" s="40" t="s">
        <v>121</v>
      </c>
      <c r="AD85" s="40" t="s">
        <v>121</v>
      </c>
      <c r="AE85" s="40"/>
    </row>
    <row r="86" spans="1:31" ht="15.6" x14ac:dyDescent="0.3">
      <c r="A86" s="7" t="s">
        <v>6</v>
      </c>
      <c r="B86" s="35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116"/>
      <c r="Q86" s="7" t="s">
        <v>6</v>
      </c>
      <c r="R86" s="35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 spans="1:31" ht="15.6" x14ac:dyDescent="0.3">
      <c r="A87" s="132">
        <v>70</v>
      </c>
      <c r="B87" s="30" t="s">
        <v>102</v>
      </c>
      <c r="C87" s="37">
        <v>0.57999999999999996</v>
      </c>
      <c r="D87" s="37">
        <v>0.97</v>
      </c>
      <c r="E87" s="37">
        <v>0.56000000000000005</v>
      </c>
      <c r="F87" s="37">
        <v>0.56000000000000005</v>
      </c>
      <c r="G87" s="37">
        <v>0.8</v>
      </c>
      <c r="H87" s="37">
        <v>0.64</v>
      </c>
      <c r="I87" s="37">
        <v>0.68</v>
      </c>
      <c r="J87" s="37">
        <v>0.78</v>
      </c>
      <c r="K87" s="37">
        <v>0.7</v>
      </c>
      <c r="L87" s="37">
        <v>0.67</v>
      </c>
      <c r="M87" s="37">
        <v>0.63</v>
      </c>
      <c r="N87" s="37">
        <v>0.69</v>
      </c>
      <c r="O87" s="37">
        <v>0.63</v>
      </c>
      <c r="P87" s="115"/>
      <c r="Q87" s="132" t="s">
        <v>46</v>
      </c>
      <c r="R87" s="30" t="s">
        <v>102</v>
      </c>
      <c r="S87" s="117"/>
      <c r="T87" s="117"/>
      <c r="U87" s="117"/>
      <c r="V87" s="117"/>
      <c r="W87" s="117"/>
      <c r="X87" s="117"/>
      <c r="Y87" s="117"/>
      <c r="Z87" s="117">
        <f>AVERAGE(0.4884,0.4889,0.4818)</f>
        <v>0.48636666666666667</v>
      </c>
      <c r="AA87" s="117"/>
      <c r="AB87" s="117">
        <f>AVERAGE(0.8293,0.8262,0.8271)</f>
        <v>0.82753333333333323</v>
      </c>
      <c r="AC87" s="117">
        <f>AVERAGE(1.151,1.157,1.15)</f>
        <v>1.1526666666666665</v>
      </c>
      <c r="AD87" s="117"/>
      <c r="AE87" s="117"/>
    </row>
    <row r="88" spans="1:31" ht="15.6" x14ac:dyDescent="0.3">
      <c r="A88" s="132"/>
      <c r="B88" s="20" t="s">
        <v>103</v>
      </c>
      <c r="C88" s="32">
        <v>1.0900000000000001</v>
      </c>
      <c r="D88" s="32">
        <v>1.81</v>
      </c>
      <c r="E88" s="32">
        <v>1.05</v>
      </c>
      <c r="F88" s="32">
        <v>1.05</v>
      </c>
      <c r="G88" s="32">
        <v>1.5</v>
      </c>
      <c r="H88" s="32">
        <v>1.18</v>
      </c>
      <c r="I88" s="32">
        <v>1.27</v>
      </c>
      <c r="J88" s="32">
        <v>1.44</v>
      </c>
      <c r="K88" s="32">
        <v>1.31</v>
      </c>
      <c r="L88" s="32">
        <v>1.24</v>
      </c>
      <c r="M88" s="32">
        <v>1.17</v>
      </c>
      <c r="N88" s="32">
        <v>1.29</v>
      </c>
      <c r="O88" s="32">
        <v>1.17</v>
      </c>
      <c r="P88" s="115"/>
      <c r="Q88" s="132"/>
      <c r="R88" s="20" t="s">
        <v>151</v>
      </c>
      <c r="S88" s="118"/>
      <c r="T88" s="118"/>
      <c r="U88" s="118"/>
      <c r="V88" s="118"/>
      <c r="W88" s="118"/>
      <c r="X88" s="118"/>
      <c r="Y88" s="118"/>
      <c r="Z88" s="118">
        <f>AVERAGE(0.9648,1.014,1.011)</f>
        <v>0.99659999999999993</v>
      </c>
      <c r="AA88" s="118"/>
      <c r="AB88" s="118">
        <f>AVERAGE(1.727,1.717,1.636)</f>
        <v>1.6933333333333334</v>
      </c>
      <c r="AC88" s="118">
        <f>AVERAGE(2.42,2.433,2.432)</f>
        <v>2.4283333333333332</v>
      </c>
      <c r="AD88" s="118"/>
      <c r="AE88" s="118"/>
    </row>
    <row r="89" spans="1:31" ht="15.6" x14ac:dyDescent="0.3">
      <c r="A89" s="132"/>
      <c r="B89" s="38" t="s">
        <v>104</v>
      </c>
      <c r="C89" s="26">
        <f t="shared" ref="C89:O89" si="44">IF(OR(C87="",C88=""),"",C88/C87)</f>
        <v>1.8793103448275865</v>
      </c>
      <c r="D89" s="26">
        <f t="shared" si="44"/>
        <v>1.865979381443299</v>
      </c>
      <c r="E89" s="26">
        <f t="shared" si="44"/>
        <v>1.875</v>
      </c>
      <c r="F89" s="26">
        <f t="shared" si="44"/>
        <v>1.875</v>
      </c>
      <c r="G89" s="26">
        <f t="shared" si="44"/>
        <v>1.875</v>
      </c>
      <c r="H89" s="26">
        <f t="shared" si="44"/>
        <v>1.8437499999999998</v>
      </c>
      <c r="I89" s="26">
        <f t="shared" si="44"/>
        <v>1.8676470588235292</v>
      </c>
      <c r="J89" s="26">
        <f t="shared" si="44"/>
        <v>1.846153846153846</v>
      </c>
      <c r="K89" s="26">
        <f t="shared" si="44"/>
        <v>1.8714285714285717</v>
      </c>
      <c r="L89" s="26">
        <f t="shared" si="44"/>
        <v>1.8507462686567162</v>
      </c>
      <c r="M89" s="26">
        <f t="shared" si="44"/>
        <v>1.857142857142857</v>
      </c>
      <c r="N89" s="26">
        <f t="shared" si="44"/>
        <v>1.8695652173913044</v>
      </c>
      <c r="O89" s="26">
        <f t="shared" si="44"/>
        <v>1.857142857142857</v>
      </c>
      <c r="P89" s="119"/>
      <c r="Q89" s="132"/>
      <c r="R89" s="38" t="s">
        <v>104</v>
      </c>
      <c r="S89" s="52" t="str">
        <f t="shared" ref="S89:AE89" si="45">IF(OR(S87="",S88=""),"",S88/S87)</f>
        <v/>
      </c>
      <c r="T89" s="54" t="str">
        <f t="shared" si="45"/>
        <v/>
      </c>
      <c r="U89" s="54" t="str">
        <f t="shared" si="45"/>
        <v/>
      </c>
      <c r="V89" s="54" t="str">
        <f t="shared" si="45"/>
        <v/>
      </c>
      <c r="W89" s="54" t="str">
        <f t="shared" si="45"/>
        <v/>
      </c>
      <c r="X89" s="54" t="str">
        <f t="shared" si="45"/>
        <v/>
      </c>
      <c r="Y89" s="54" t="str">
        <f t="shared" si="45"/>
        <v/>
      </c>
      <c r="Z89" s="54">
        <f t="shared" si="45"/>
        <v>2.0490713453498732</v>
      </c>
      <c r="AA89" s="54" t="str">
        <f t="shared" si="45"/>
        <v/>
      </c>
      <c r="AB89" s="54">
        <f t="shared" si="45"/>
        <v>2.0462418432288731</v>
      </c>
      <c r="AC89" s="54">
        <f t="shared" si="45"/>
        <v>2.1067090803932911</v>
      </c>
      <c r="AD89" s="54" t="str">
        <f t="shared" si="45"/>
        <v/>
      </c>
      <c r="AE89" s="54" t="str">
        <f t="shared" si="45"/>
        <v/>
      </c>
    </row>
    <row r="90" spans="1:31" ht="15.6" x14ac:dyDescent="0.3">
      <c r="A90" s="132">
        <v>80</v>
      </c>
      <c r="B90" s="30" t="s">
        <v>102</v>
      </c>
      <c r="C90" s="37">
        <v>1.03</v>
      </c>
      <c r="D90" s="37">
        <v>1.72</v>
      </c>
      <c r="E90" s="37">
        <v>1</v>
      </c>
      <c r="F90" s="37">
        <v>1</v>
      </c>
      <c r="G90" s="37">
        <v>1.42</v>
      </c>
      <c r="H90" s="37">
        <v>1.1200000000000001</v>
      </c>
      <c r="I90" s="37">
        <v>1.21</v>
      </c>
      <c r="J90" s="37">
        <v>1.37</v>
      </c>
      <c r="K90" s="37">
        <v>1.24</v>
      </c>
      <c r="L90" s="37">
        <v>1.18</v>
      </c>
      <c r="M90" s="37">
        <v>1.1100000000000001</v>
      </c>
      <c r="N90" s="37">
        <v>1.22</v>
      </c>
      <c r="O90" s="37">
        <v>1.1100000000000001</v>
      </c>
      <c r="P90" s="115"/>
      <c r="Q90" s="132" t="s">
        <v>47</v>
      </c>
      <c r="R90" s="30" t="s">
        <v>102</v>
      </c>
      <c r="S90" s="117"/>
      <c r="T90" s="117"/>
      <c r="U90" s="117"/>
      <c r="V90" s="117"/>
      <c r="W90" s="117"/>
      <c r="X90" s="117"/>
      <c r="Y90" s="117"/>
      <c r="Z90" s="117">
        <f>AVERAGE(0.6837,0.68535,0.6807)</f>
        <v>0.68325000000000002</v>
      </c>
      <c r="AA90" s="117"/>
      <c r="AB90" s="117">
        <f>AVERAGE(1.167,1.165,1.165)</f>
        <v>1.1656666666666666</v>
      </c>
      <c r="AC90" s="117">
        <f>AVERAGE(1.616,1.622,1.624)</f>
        <v>1.6206666666666667</v>
      </c>
      <c r="AD90" s="117"/>
      <c r="AE90" s="117"/>
    </row>
    <row r="91" spans="1:31" ht="15.6" x14ac:dyDescent="0.3">
      <c r="A91" s="132"/>
      <c r="B91" s="20" t="s">
        <v>103</v>
      </c>
      <c r="C91" s="32">
        <v>1.78</v>
      </c>
      <c r="D91" s="32">
        <v>2.97</v>
      </c>
      <c r="E91" s="32">
        <v>1.72</v>
      </c>
      <c r="F91" s="32">
        <v>1.72</v>
      </c>
      <c r="G91" s="32">
        <v>2.46</v>
      </c>
      <c r="H91" s="32">
        <v>1.94</v>
      </c>
      <c r="I91" s="32">
        <v>2.08</v>
      </c>
      <c r="J91" s="32">
        <v>2.37</v>
      </c>
      <c r="K91" s="32">
        <v>2.15</v>
      </c>
      <c r="L91" s="32">
        <v>2.04</v>
      </c>
      <c r="M91" s="32">
        <v>1.92</v>
      </c>
      <c r="N91" s="32">
        <v>2.11</v>
      </c>
      <c r="O91" s="32">
        <v>1.92</v>
      </c>
      <c r="P91" s="115"/>
      <c r="Q91" s="132"/>
      <c r="R91" s="20" t="s">
        <v>151</v>
      </c>
      <c r="S91" s="118"/>
      <c r="T91" s="118"/>
      <c r="U91" s="118"/>
      <c r="V91" s="118"/>
      <c r="W91" s="118"/>
      <c r="X91" s="118"/>
      <c r="Y91" s="118"/>
      <c r="Z91" s="118">
        <f>AVERAGE(1.334,1.405,1.399)</f>
        <v>1.3793333333333333</v>
      </c>
      <c r="AA91" s="118"/>
      <c r="AB91" s="118">
        <f>AVERAGE(2.279,2.274,2.391)</f>
        <v>2.3146666666666667</v>
      </c>
      <c r="AC91" s="118">
        <f>AVERAGE(3.202,3.203,3.362)</f>
        <v>3.2556666666666665</v>
      </c>
      <c r="AD91" s="118"/>
      <c r="AE91" s="118"/>
    </row>
    <row r="92" spans="1:31" ht="15.6" x14ac:dyDescent="0.3">
      <c r="A92" s="132"/>
      <c r="B92" s="38" t="s">
        <v>104</v>
      </c>
      <c r="C92" s="26">
        <f t="shared" ref="C92:O92" si="46">IF(OR(C90="",C91=""),"",C91/C90)</f>
        <v>1.7281553398058251</v>
      </c>
      <c r="D92" s="26">
        <f t="shared" si="46"/>
        <v>1.7267441860465118</v>
      </c>
      <c r="E92" s="26">
        <f t="shared" si="46"/>
        <v>1.72</v>
      </c>
      <c r="F92" s="26">
        <f t="shared" si="46"/>
        <v>1.72</v>
      </c>
      <c r="G92" s="26">
        <f t="shared" si="46"/>
        <v>1.7323943661971832</v>
      </c>
      <c r="H92" s="26">
        <f t="shared" si="46"/>
        <v>1.732142857142857</v>
      </c>
      <c r="I92" s="26">
        <f t="shared" si="46"/>
        <v>1.71900826446281</v>
      </c>
      <c r="J92" s="26">
        <f t="shared" si="46"/>
        <v>1.7299270072992701</v>
      </c>
      <c r="K92" s="26">
        <f t="shared" si="46"/>
        <v>1.7338709677419355</v>
      </c>
      <c r="L92" s="26">
        <f t="shared" si="46"/>
        <v>1.728813559322034</v>
      </c>
      <c r="M92" s="26">
        <f t="shared" si="46"/>
        <v>1.7297297297297296</v>
      </c>
      <c r="N92" s="26">
        <f t="shared" si="46"/>
        <v>1.7295081967213115</v>
      </c>
      <c r="O92" s="26">
        <f t="shared" si="46"/>
        <v>1.7297297297297296</v>
      </c>
      <c r="P92" s="119"/>
      <c r="Q92" s="132"/>
      <c r="R92" s="38" t="s">
        <v>104</v>
      </c>
      <c r="S92" s="52" t="str">
        <f t="shared" ref="S92:AE92" si="47">IF(OR(S90="",S91=""),"",S91/S90)</f>
        <v/>
      </c>
      <c r="T92" s="54" t="str">
        <f t="shared" si="47"/>
        <v/>
      </c>
      <c r="U92" s="54" t="str">
        <f t="shared" si="47"/>
        <v/>
      </c>
      <c r="V92" s="54" t="str">
        <f t="shared" si="47"/>
        <v/>
      </c>
      <c r="W92" s="54" t="str">
        <f t="shared" si="47"/>
        <v/>
      </c>
      <c r="X92" s="54" t="str">
        <f t="shared" si="47"/>
        <v/>
      </c>
      <c r="Y92" s="54" t="str">
        <f t="shared" si="47"/>
        <v/>
      </c>
      <c r="Z92" s="54">
        <f t="shared" si="47"/>
        <v>2.018782778387608</v>
      </c>
      <c r="AA92" s="54" t="str">
        <f t="shared" si="47"/>
        <v/>
      </c>
      <c r="AB92" s="54">
        <f t="shared" si="47"/>
        <v>1.9857020303116959</v>
      </c>
      <c r="AC92" s="54">
        <f t="shared" si="47"/>
        <v>2.008844097079391</v>
      </c>
      <c r="AD92" s="54" t="str">
        <f t="shared" si="47"/>
        <v/>
      </c>
      <c r="AE92" s="54" t="str">
        <f t="shared" si="47"/>
        <v/>
      </c>
    </row>
    <row r="93" spans="1:31" ht="15.6" x14ac:dyDescent="0.3">
      <c r="A93" s="132">
        <v>90</v>
      </c>
      <c r="B93" s="30" t="s">
        <v>102</v>
      </c>
      <c r="C93" s="37">
        <v>1.62</v>
      </c>
      <c r="D93" s="37">
        <v>2.69</v>
      </c>
      <c r="E93" s="37">
        <v>1.56</v>
      </c>
      <c r="F93" s="37">
        <v>1.56</v>
      </c>
      <c r="G93" s="37">
        <v>2.23</v>
      </c>
      <c r="H93" s="37">
        <v>1.76</v>
      </c>
      <c r="I93" s="37">
        <v>1.89</v>
      </c>
      <c r="J93" s="37">
        <v>2.15</v>
      </c>
      <c r="K93" s="37">
        <v>1.95</v>
      </c>
      <c r="L93" s="37">
        <v>1.85</v>
      </c>
      <c r="M93" s="37">
        <v>1.7</v>
      </c>
      <c r="N93" s="37">
        <v>1.92</v>
      </c>
      <c r="O93" s="37">
        <v>1.74</v>
      </c>
      <c r="P93" s="115"/>
      <c r="Q93" s="132" t="s">
        <v>48</v>
      </c>
      <c r="R93" s="30" t="s">
        <v>102</v>
      </c>
      <c r="S93" s="117"/>
      <c r="T93" s="117"/>
      <c r="U93" s="117"/>
      <c r="V93" s="117"/>
      <c r="W93" s="117"/>
      <c r="X93" s="117"/>
      <c r="Y93" s="117"/>
      <c r="Z93" s="117">
        <f>AVERAGE(0.773,0.7747,0.7736)</f>
        <v>0.7737666666666666</v>
      </c>
      <c r="AA93" s="117"/>
      <c r="AB93" s="117">
        <f>AVERAGE(1.317,1.319,1.32)</f>
        <v>1.3186666666666669</v>
      </c>
      <c r="AC93" s="117">
        <f>AVERAGE(1.837,1.837,1.835)</f>
        <v>1.8363333333333334</v>
      </c>
      <c r="AD93" s="117"/>
      <c r="AE93" s="117"/>
    </row>
    <row r="94" spans="1:31" ht="15.6" x14ac:dyDescent="0.3">
      <c r="A94" s="132"/>
      <c r="B94" s="20" t="s">
        <v>103</v>
      </c>
      <c r="C94" s="32">
        <v>2.68</v>
      </c>
      <c r="D94" s="32">
        <v>4.46</v>
      </c>
      <c r="E94" s="32">
        <v>2.59</v>
      </c>
      <c r="F94" s="32">
        <v>2.59</v>
      </c>
      <c r="G94" s="32">
        <v>3.69</v>
      </c>
      <c r="H94" s="32">
        <v>2.92</v>
      </c>
      <c r="I94" s="32">
        <v>3.13</v>
      </c>
      <c r="J94" s="32">
        <v>3.56</v>
      </c>
      <c r="K94" s="32">
        <v>3.23</v>
      </c>
      <c r="L94" s="32">
        <v>3.07</v>
      </c>
      <c r="M94" s="32">
        <v>2.89</v>
      </c>
      <c r="N94" s="32">
        <v>3.18</v>
      </c>
      <c r="O94" s="32">
        <v>2.89</v>
      </c>
      <c r="P94" s="115"/>
      <c r="Q94" s="132"/>
      <c r="R94" s="20" t="s">
        <v>151</v>
      </c>
      <c r="S94" s="118"/>
      <c r="T94" s="118"/>
      <c r="U94" s="118"/>
      <c r="V94" s="118"/>
      <c r="W94" s="118"/>
      <c r="X94" s="118"/>
      <c r="Y94" s="118"/>
      <c r="Z94" s="118">
        <f>AVERAGE(1.604,1.605,1.519)</f>
        <v>1.5759999999999998</v>
      </c>
      <c r="AA94" s="118"/>
      <c r="AB94" s="118">
        <f>AVERAGE(2.391,2.591,2.591)</f>
        <v>2.5243333333333333</v>
      </c>
      <c r="AC94" s="118">
        <f>AVERAGE(3.647,3.637,3.847)</f>
        <v>3.7103333333333333</v>
      </c>
      <c r="AD94" s="118"/>
      <c r="AE94" s="118"/>
    </row>
    <row r="95" spans="1:31" ht="15.6" x14ac:dyDescent="0.3">
      <c r="A95" s="132"/>
      <c r="B95" s="38" t="s">
        <v>104</v>
      </c>
      <c r="C95" s="26">
        <f t="shared" ref="C95:O95" si="48">IF(OR(C93="",C94=""),"",C94/C93)</f>
        <v>1.654320987654321</v>
      </c>
      <c r="D95" s="26">
        <f t="shared" si="48"/>
        <v>1.6579925650557621</v>
      </c>
      <c r="E95" s="26">
        <f t="shared" si="48"/>
        <v>1.6602564102564101</v>
      </c>
      <c r="F95" s="26">
        <f t="shared" si="48"/>
        <v>1.6602564102564101</v>
      </c>
      <c r="G95" s="26">
        <f t="shared" si="48"/>
        <v>1.6547085201793721</v>
      </c>
      <c r="H95" s="26">
        <f t="shared" si="48"/>
        <v>1.6590909090909089</v>
      </c>
      <c r="I95" s="26">
        <f t="shared" si="48"/>
        <v>1.656084656084656</v>
      </c>
      <c r="J95" s="26">
        <f t="shared" si="48"/>
        <v>1.6558139534883722</v>
      </c>
      <c r="K95" s="26">
        <f t="shared" si="48"/>
        <v>1.6564102564102565</v>
      </c>
      <c r="L95" s="26">
        <f t="shared" si="48"/>
        <v>1.6594594594594594</v>
      </c>
      <c r="M95" s="26">
        <f t="shared" si="48"/>
        <v>1.7000000000000002</v>
      </c>
      <c r="N95" s="26">
        <f t="shared" si="48"/>
        <v>1.6562500000000002</v>
      </c>
      <c r="O95" s="26">
        <f t="shared" si="48"/>
        <v>1.6609195402298851</v>
      </c>
      <c r="P95" s="119"/>
      <c r="Q95" s="132"/>
      <c r="R95" s="38" t="s">
        <v>104</v>
      </c>
      <c r="S95" s="52" t="str">
        <f t="shared" ref="S95:AE95" si="49">IF(OR(S93="",S94=""),"",S94/S93)</f>
        <v/>
      </c>
      <c r="T95" s="54" t="str">
        <f t="shared" si="49"/>
        <v/>
      </c>
      <c r="U95" s="54" t="str">
        <f t="shared" si="49"/>
        <v/>
      </c>
      <c r="V95" s="54" t="str">
        <f t="shared" si="49"/>
        <v/>
      </c>
      <c r="W95" s="54" t="str">
        <f t="shared" si="49"/>
        <v/>
      </c>
      <c r="X95" s="54" t="str">
        <f t="shared" si="49"/>
        <v/>
      </c>
      <c r="Y95" s="54" t="str">
        <f t="shared" si="49"/>
        <v/>
      </c>
      <c r="Z95" s="54">
        <f t="shared" si="49"/>
        <v>2.0367897298927327</v>
      </c>
      <c r="AA95" s="54" t="str">
        <f t="shared" si="49"/>
        <v/>
      </c>
      <c r="AB95" s="54">
        <f t="shared" si="49"/>
        <v>1.9143073811931242</v>
      </c>
      <c r="AC95" s="54">
        <f t="shared" si="49"/>
        <v>2.0205118896351424</v>
      </c>
      <c r="AD95" s="54" t="str">
        <f t="shared" si="49"/>
        <v/>
      </c>
      <c r="AE95" s="54" t="str">
        <f t="shared" si="49"/>
        <v/>
      </c>
    </row>
    <row r="96" spans="1:31" ht="15.6" x14ac:dyDescent="0.3">
      <c r="A96" s="132">
        <v>100</v>
      </c>
      <c r="B96" s="30" t="s">
        <v>102</v>
      </c>
      <c r="C96" s="37">
        <v>2.3199999999999998</v>
      </c>
      <c r="D96" s="37">
        <v>3.86</v>
      </c>
      <c r="E96" s="37">
        <v>2.2400000000000002</v>
      </c>
      <c r="F96" s="37">
        <v>2.2400000000000002</v>
      </c>
      <c r="G96" s="37">
        <v>3.19</v>
      </c>
      <c r="H96" s="37">
        <v>2.52</v>
      </c>
      <c r="I96" s="37">
        <v>2.71</v>
      </c>
      <c r="J96" s="37">
        <v>3.08</v>
      </c>
      <c r="K96" s="37">
        <v>2.8</v>
      </c>
      <c r="L96" s="37">
        <v>2.65</v>
      </c>
      <c r="M96" s="37">
        <v>2.5</v>
      </c>
      <c r="N96" s="37">
        <v>2.75</v>
      </c>
      <c r="O96" s="37">
        <v>2.5</v>
      </c>
      <c r="P96" s="115"/>
      <c r="Q96" s="132"/>
      <c r="R96" s="30" t="s">
        <v>102</v>
      </c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</row>
    <row r="97" spans="1:31" ht="15.6" x14ac:dyDescent="0.3">
      <c r="A97" s="132"/>
      <c r="B97" s="20" t="s">
        <v>103</v>
      </c>
      <c r="C97" s="32">
        <v>3.72</v>
      </c>
      <c r="D97" s="32">
        <v>6.2</v>
      </c>
      <c r="E97" s="32">
        <v>3.59</v>
      </c>
      <c r="F97" s="32">
        <v>3.59</v>
      </c>
      <c r="G97" s="32">
        <v>5.13</v>
      </c>
      <c r="H97" s="32">
        <v>4.05</v>
      </c>
      <c r="I97" s="32">
        <v>4.3499999999999996</v>
      </c>
      <c r="J97" s="32">
        <v>4.95</v>
      </c>
      <c r="K97" s="32">
        <v>4.49</v>
      </c>
      <c r="L97" s="32">
        <v>4.26</v>
      </c>
      <c r="M97" s="32">
        <v>4.01</v>
      </c>
      <c r="N97" s="32">
        <v>4.41</v>
      </c>
      <c r="O97" s="32">
        <v>4.01</v>
      </c>
      <c r="P97" s="115"/>
      <c r="Q97" s="132"/>
      <c r="R97" s="20" t="s">
        <v>151</v>
      </c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</row>
    <row r="98" spans="1:31" ht="15.6" x14ac:dyDescent="0.3">
      <c r="A98" s="132"/>
      <c r="B98" s="38" t="s">
        <v>104</v>
      </c>
      <c r="C98" s="26">
        <f t="shared" ref="C98:O98" si="50">IF(OR(C96="",C97=""),"",C97/C96)</f>
        <v>1.6034482758620692</v>
      </c>
      <c r="D98" s="26">
        <f t="shared" si="50"/>
        <v>1.606217616580311</v>
      </c>
      <c r="E98" s="26">
        <f t="shared" si="50"/>
        <v>1.6026785714285712</v>
      </c>
      <c r="F98" s="26">
        <f t="shared" si="50"/>
        <v>1.6026785714285712</v>
      </c>
      <c r="G98" s="26">
        <f t="shared" si="50"/>
        <v>1.6081504702194358</v>
      </c>
      <c r="H98" s="26">
        <f t="shared" si="50"/>
        <v>1.607142857142857</v>
      </c>
      <c r="I98" s="26">
        <f t="shared" si="50"/>
        <v>1.6051660516605164</v>
      </c>
      <c r="J98" s="26">
        <f t="shared" si="50"/>
        <v>1.6071428571428572</v>
      </c>
      <c r="K98" s="26">
        <f t="shared" si="50"/>
        <v>1.6035714285714286</v>
      </c>
      <c r="L98" s="26">
        <f t="shared" si="50"/>
        <v>1.6075471698113206</v>
      </c>
      <c r="M98" s="26">
        <f t="shared" si="50"/>
        <v>1.6039999999999999</v>
      </c>
      <c r="N98" s="26">
        <f t="shared" si="50"/>
        <v>1.6036363636363637</v>
      </c>
      <c r="O98" s="26">
        <f t="shared" si="50"/>
        <v>1.6039999999999999</v>
      </c>
      <c r="P98" s="119"/>
      <c r="Q98" s="132"/>
      <c r="R98" s="38" t="s">
        <v>104</v>
      </c>
      <c r="S98" s="52" t="str">
        <f t="shared" ref="S98:AE98" si="51">IF(OR(S96="",S97=""),"",S97/S96)</f>
        <v/>
      </c>
      <c r="T98" s="54" t="str">
        <f t="shared" si="51"/>
        <v/>
      </c>
      <c r="U98" s="54" t="str">
        <f t="shared" si="51"/>
        <v/>
      </c>
      <c r="V98" s="54" t="str">
        <f t="shared" si="51"/>
        <v/>
      </c>
      <c r="W98" s="54" t="str">
        <f t="shared" si="51"/>
        <v/>
      </c>
      <c r="X98" s="54" t="str">
        <f t="shared" si="51"/>
        <v/>
      </c>
      <c r="Y98" s="54" t="str">
        <f t="shared" si="51"/>
        <v/>
      </c>
      <c r="Z98" s="54" t="str">
        <f t="shared" si="51"/>
        <v/>
      </c>
      <c r="AA98" s="54" t="str">
        <f t="shared" si="51"/>
        <v/>
      </c>
      <c r="AB98" s="54" t="str">
        <f t="shared" si="51"/>
        <v/>
      </c>
      <c r="AC98" s="54" t="str">
        <f t="shared" si="51"/>
        <v/>
      </c>
      <c r="AD98" s="54" t="str">
        <f t="shared" si="51"/>
        <v/>
      </c>
      <c r="AE98" s="54" t="str">
        <f t="shared" si="51"/>
        <v/>
      </c>
    </row>
    <row r="99" spans="1:31" ht="15.6" x14ac:dyDescent="0.3">
      <c r="A99" s="132">
        <v>110</v>
      </c>
      <c r="B99" s="30" t="s">
        <v>102</v>
      </c>
      <c r="C99" s="37">
        <v>3.11</v>
      </c>
      <c r="D99" s="37">
        <v>5.19</v>
      </c>
      <c r="E99" s="37">
        <v>3.01</v>
      </c>
      <c r="F99" s="37">
        <v>3.01</v>
      </c>
      <c r="G99" s="37">
        <v>4.29</v>
      </c>
      <c r="H99" s="37">
        <v>3.39</v>
      </c>
      <c r="I99" s="37">
        <v>3.64</v>
      </c>
      <c r="J99" s="37">
        <v>4.1399999999999997</v>
      </c>
      <c r="K99" s="37">
        <v>3.76</v>
      </c>
      <c r="L99" s="37">
        <v>3.57</v>
      </c>
      <c r="M99" s="37">
        <v>3.36</v>
      </c>
      <c r="N99" s="37">
        <v>3.69</v>
      </c>
      <c r="O99" s="37">
        <v>3.36</v>
      </c>
      <c r="P99" s="115"/>
      <c r="Q99" s="132"/>
      <c r="R99" s="30" t="s">
        <v>102</v>
      </c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</row>
    <row r="100" spans="1:31" ht="15.6" x14ac:dyDescent="0.3">
      <c r="A100" s="132"/>
      <c r="B100" s="20" t="s">
        <v>103</v>
      </c>
      <c r="C100" s="32">
        <v>4.84</v>
      </c>
      <c r="D100" s="32">
        <v>8.07</v>
      </c>
      <c r="E100" s="32">
        <v>4.68</v>
      </c>
      <c r="F100" s="32">
        <v>4.68</v>
      </c>
      <c r="G100" s="32">
        <v>6.67</v>
      </c>
      <c r="H100" s="32">
        <v>5.28</v>
      </c>
      <c r="I100" s="32">
        <v>5.66</v>
      </c>
      <c r="J100" s="32">
        <v>6.44</v>
      </c>
      <c r="K100" s="32">
        <v>5.85</v>
      </c>
      <c r="L100" s="32">
        <v>5.55</v>
      </c>
      <c r="M100" s="32">
        <v>5.22</v>
      </c>
      <c r="N100" s="32">
        <v>5.74</v>
      </c>
      <c r="O100" s="32">
        <v>5.22</v>
      </c>
      <c r="P100" s="115"/>
      <c r="Q100" s="132"/>
      <c r="R100" s="20" t="s">
        <v>151</v>
      </c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</row>
    <row r="101" spans="1:31" ht="15.6" x14ac:dyDescent="0.3">
      <c r="A101" s="132"/>
      <c r="B101" s="38" t="s">
        <v>104</v>
      </c>
      <c r="C101" s="26">
        <f t="shared" ref="C101:O101" si="52">IF(OR(C99="",C100=""),"",C100/C99)</f>
        <v>1.5562700964630225</v>
      </c>
      <c r="D101" s="26">
        <f t="shared" si="52"/>
        <v>1.5549132947976878</v>
      </c>
      <c r="E101" s="26">
        <f t="shared" si="52"/>
        <v>1.5548172757475083</v>
      </c>
      <c r="F101" s="26">
        <f t="shared" si="52"/>
        <v>1.5548172757475083</v>
      </c>
      <c r="G101" s="26">
        <f t="shared" si="52"/>
        <v>1.5547785547785546</v>
      </c>
      <c r="H101" s="26">
        <f t="shared" si="52"/>
        <v>1.5575221238938053</v>
      </c>
      <c r="I101" s="26">
        <f t="shared" si="52"/>
        <v>1.554945054945055</v>
      </c>
      <c r="J101" s="26">
        <f t="shared" si="52"/>
        <v>1.5555555555555558</v>
      </c>
      <c r="K101" s="26">
        <f t="shared" si="52"/>
        <v>1.5558510638297873</v>
      </c>
      <c r="L101" s="26">
        <f t="shared" si="52"/>
        <v>1.5546218487394958</v>
      </c>
      <c r="M101" s="26">
        <f t="shared" si="52"/>
        <v>1.5535714285714286</v>
      </c>
      <c r="N101" s="26">
        <f t="shared" si="52"/>
        <v>1.5555555555555556</v>
      </c>
      <c r="O101" s="26">
        <f t="shared" si="52"/>
        <v>1.5535714285714286</v>
      </c>
      <c r="P101" s="119"/>
      <c r="Q101" s="132"/>
      <c r="R101" s="38" t="s">
        <v>104</v>
      </c>
      <c r="S101" s="52" t="str">
        <f t="shared" ref="S101:AE101" si="53">IF(OR(S99="",S100=""),"",S100/S99)</f>
        <v/>
      </c>
      <c r="T101" s="54" t="str">
        <f t="shared" si="53"/>
        <v/>
      </c>
      <c r="U101" s="54" t="str">
        <f t="shared" si="53"/>
        <v/>
      </c>
      <c r="V101" s="54" t="str">
        <f t="shared" si="53"/>
        <v/>
      </c>
      <c r="W101" s="54" t="str">
        <f t="shared" si="53"/>
        <v/>
      </c>
      <c r="X101" s="54" t="str">
        <f t="shared" si="53"/>
        <v/>
      </c>
      <c r="Y101" s="54" t="str">
        <f t="shared" si="53"/>
        <v/>
      </c>
      <c r="Z101" s="54" t="str">
        <f t="shared" si="53"/>
        <v/>
      </c>
      <c r="AA101" s="54" t="str">
        <f t="shared" si="53"/>
        <v/>
      </c>
      <c r="AB101" s="54" t="str">
        <f t="shared" si="53"/>
        <v/>
      </c>
      <c r="AC101" s="54" t="str">
        <f t="shared" si="53"/>
        <v/>
      </c>
      <c r="AD101" s="54" t="str">
        <f t="shared" si="53"/>
        <v/>
      </c>
      <c r="AE101" s="54" t="str">
        <f t="shared" si="53"/>
        <v/>
      </c>
    </row>
    <row r="102" spans="1:31" ht="15.6" x14ac:dyDescent="0.3">
      <c r="A102" s="132">
        <v>120</v>
      </c>
      <c r="B102" s="30" t="s">
        <v>102</v>
      </c>
      <c r="C102" s="37">
        <v>4.0199999999999996</v>
      </c>
      <c r="D102" s="37">
        <v>6.69</v>
      </c>
      <c r="E102" s="37">
        <v>3.88</v>
      </c>
      <c r="F102" s="37">
        <v>3.88</v>
      </c>
      <c r="G102" s="37">
        <v>5.53</v>
      </c>
      <c r="H102" s="37">
        <v>4.38</v>
      </c>
      <c r="I102" s="37">
        <v>4.7</v>
      </c>
      <c r="J102" s="37">
        <v>5.34</v>
      </c>
      <c r="K102" s="37">
        <v>4.8499999999999996</v>
      </c>
      <c r="L102" s="37">
        <v>4.5999999999999996</v>
      </c>
      <c r="M102" s="37">
        <v>4.33</v>
      </c>
      <c r="N102" s="37">
        <v>4.76</v>
      </c>
      <c r="O102" s="37">
        <v>4.33</v>
      </c>
      <c r="P102" s="115"/>
      <c r="Q102" s="132"/>
      <c r="R102" s="30" t="s">
        <v>102</v>
      </c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</row>
    <row r="103" spans="1:31" ht="15.6" x14ac:dyDescent="0.3">
      <c r="A103" s="132"/>
      <c r="B103" s="20" t="s">
        <v>103</v>
      </c>
      <c r="C103" s="32">
        <v>6.2</v>
      </c>
      <c r="D103" s="32">
        <v>10.34</v>
      </c>
      <c r="E103" s="32">
        <v>5.99</v>
      </c>
      <c r="F103" s="32">
        <v>5.99</v>
      </c>
      <c r="G103" s="32">
        <v>8.5500000000000007</v>
      </c>
      <c r="H103" s="32">
        <v>6.76</v>
      </c>
      <c r="I103" s="32">
        <v>7.26</v>
      </c>
      <c r="J103" s="32">
        <v>8.25</v>
      </c>
      <c r="K103" s="32">
        <v>7.49</v>
      </c>
      <c r="L103" s="32">
        <v>7.11</v>
      </c>
      <c r="M103" s="32">
        <v>6.69</v>
      </c>
      <c r="N103" s="32">
        <v>7.36</v>
      </c>
      <c r="O103" s="32">
        <v>6.69</v>
      </c>
      <c r="P103" s="115"/>
      <c r="Q103" s="132"/>
      <c r="R103" s="20" t="s">
        <v>151</v>
      </c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</row>
    <row r="104" spans="1:31" ht="15.6" x14ac:dyDescent="0.3">
      <c r="A104" s="132"/>
      <c r="B104" s="38" t="s">
        <v>104</v>
      </c>
      <c r="C104" s="26">
        <f t="shared" ref="C104:O104" si="54">IF(OR(C102="",C103=""),"",C103/C102)</f>
        <v>1.5422885572139307</v>
      </c>
      <c r="D104" s="26">
        <f t="shared" si="54"/>
        <v>1.5455904334828101</v>
      </c>
      <c r="E104" s="26">
        <f t="shared" si="54"/>
        <v>1.5438144329896908</v>
      </c>
      <c r="F104" s="26">
        <f t="shared" si="54"/>
        <v>1.5438144329896908</v>
      </c>
      <c r="G104" s="26">
        <f t="shared" si="54"/>
        <v>1.546112115732369</v>
      </c>
      <c r="H104" s="26">
        <f t="shared" si="54"/>
        <v>1.54337899543379</v>
      </c>
      <c r="I104" s="26">
        <f t="shared" si="54"/>
        <v>1.5446808510638297</v>
      </c>
      <c r="J104" s="26">
        <f t="shared" si="54"/>
        <v>1.5449438202247192</v>
      </c>
      <c r="K104" s="26">
        <f t="shared" si="54"/>
        <v>1.5443298969072166</v>
      </c>
      <c r="L104" s="26">
        <f t="shared" si="54"/>
        <v>1.5456521739130438</v>
      </c>
      <c r="M104" s="26">
        <f t="shared" si="54"/>
        <v>1.5450346420323327</v>
      </c>
      <c r="N104" s="26">
        <f t="shared" si="54"/>
        <v>1.546218487394958</v>
      </c>
      <c r="O104" s="26">
        <f t="shared" si="54"/>
        <v>1.5450346420323327</v>
      </c>
      <c r="P104" s="119"/>
      <c r="Q104" s="132"/>
      <c r="R104" s="38" t="s">
        <v>104</v>
      </c>
      <c r="S104" s="52" t="str">
        <f t="shared" ref="S104:AE104" si="55">IF(OR(S102="",S103=""),"",S103/S102)</f>
        <v/>
      </c>
      <c r="T104" s="54" t="str">
        <f t="shared" si="55"/>
        <v/>
      </c>
      <c r="U104" s="54" t="str">
        <f t="shared" si="55"/>
        <v/>
      </c>
      <c r="V104" s="54" t="str">
        <f t="shared" si="55"/>
        <v/>
      </c>
      <c r="W104" s="54" t="str">
        <f t="shared" si="55"/>
        <v/>
      </c>
      <c r="X104" s="54" t="str">
        <f t="shared" si="55"/>
        <v/>
      </c>
      <c r="Y104" s="54" t="str">
        <f t="shared" si="55"/>
        <v/>
      </c>
      <c r="Z104" s="54" t="str">
        <f t="shared" si="55"/>
        <v/>
      </c>
      <c r="AA104" s="54" t="str">
        <f t="shared" si="55"/>
        <v/>
      </c>
      <c r="AB104" s="54" t="str">
        <f t="shared" si="55"/>
        <v/>
      </c>
      <c r="AC104" s="54" t="str">
        <f t="shared" si="55"/>
        <v/>
      </c>
      <c r="AD104" s="54" t="str">
        <f t="shared" si="55"/>
        <v/>
      </c>
      <c r="AE104" s="54" t="str">
        <f t="shared" si="55"/>
        <v/>
      </c>
    </row>
    <row r="105" spans="1:31" ht="15.6" x14ac:dyDescent="0.3">
      <c r="A105" s="132">
        <v>130</v>
      </c>
      <c r="B105" s="30" t="s">
        <v>102</v>
      </c>
      <c r="C105" s="37">
        <v>4.97</v>
      </c>
      <c r="D105" s="37">
        <v>8.2799999999999994</v>
      </c>
      <c r="E105" s="37">
        <v>4.8</v>
      </c>
      <c r="F105" s="37">
        <v>4.8</v>
      </c>
      <c r="G105" s="37">
        <v>6.84</v>
      </c>
      <c r="H105" s="37">
        <v>5.41</v>
      </c>
      <c r="I105" s="37">
        <v>5.81</v>
      </c>
      <c r="J105" s="37">
        <v>6.6</v>
      </c>
      <c r="K105" s="37">
        <v>5.99</v>
      </c>
      <c r="L105" s="37">
        <v>5.69</v>
      </c>
      <c r="M105" s="37">
        <v>5.35</v>
      </c>
      <c r="N105" s="37">
        <v>5.89</v>
      </c>
      <c r="O105" s="37">
        <v>5.36</v>
      </c>
      <c r="P105" s="115"/>
      <c r="Q105" s="132"/>
      <c r="R105" s="30" t="s">
        <v>102</v>
      </c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  <c r="AE105" s="117"/>
    </row>
    <row r="106" spans="1:31" ht="15.6" x14ac:dyDescent="0.3">
      <c r="A106" s="132"/>
      <c r="B106" s="20" t="s">
        <v>103</v>
      </c>
      <c r="C106" s="32">
        <v>7.58</v>
      </c>
      <c r="D106" s="32">
        <v>12.63</v>
      </c>
      <c r="E106" s="32">
        <v>7.32</v>
      </c>
      <c r="F106" s="32">
        <v>7.32</v>
      </c>
      <c r="G106" s="32">
        <v>10.44</v>
      </c>
      <c r="H106" s="32">
        <v>8.26</v>
      </c>
      <c r="I106" s="32">
        <v>8.86</v>
      </c>
      <c r="J106" s="32">
        <v>10.08</v>
      </c>
      <c r="K106" s="32">
        <v>9.15</v>
      </c>
      <c r="L106" s="32">
        <v>8.67</v>
      </c>
      <c r="M106" s="32">
        <v>8.17</v>
      </c>
      <c r="N106" s="32">
        <v>8.98</v>
      </c>
      <c r="O106" s="32">
        <v>8.17</v>
      </c>
      <c r="P106" s="115"/>
      <c r="Q106" s="132"/>
      <c r="R106" s="20" t="s">
        <v>151</v>
      </c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</row>
    <row r="107" spans="1:31" ht="15.6" x14ac:dyDescent="0.3">
      <c r="A107" s="132"/>
      <c r="B107" s="38" t="s">
        <v>104</v>
      </c>
      <c r="C107" s="26">
        <f t="shared" ref="C107:O107" si="56">IF(OR(C105="",C106=""),"",C106/C105)</f>
        <v>1.5251509054325956</v>
      </c>
      <c r="D107" s="26">
        <f t="shared" si="56"/>
        <v>1.5253623188405798</v>
      </c>
      <c r="E107" s="26">
        <f t="shared" si="56"/>
        <v>1.5250000000000001</v>
      </c>
      <c r="F107" s="26">
        <f t="shared" si="56"/>
        <v>1.5250000000000001</v>
      </c>
      <c r="G107" s="26">
        <f t="shared" si="56"/>
        <v>1.5263157894736841</v>
      </c>
      <c r="H107" s="26">
        <f t="shared" si="56"/>
        <v>1.5268022181146026</v>
      </c>
      <c r="I107" s="26">
        <f t="shared" si="56"/>
        <v>1.5249569707401032</v>
      </c>
      <c r="J107" s="26">
        <f t="shared" si="56"/>
        <v>1.5272727272727273</v>
      </c>
      <c r="K107" s="26">
        <f t="shared" si="56"/>
        <v>1.5275459098497497</v>
      </c>
      <c r="L107" s="26">
        <f t="shared" si="56"/>
        <v>1.5237258347978908</v>
      </c>
      <c r="M107" s="26">
        <f t="shared" si="56"/>
        <v>1.5271028037383179</v>
      </c>
      <c r="N107" s="26">
        <f t="shared" si="56"/>
        <v>1.5246179966044144</v>
      </c>
      <c r="O107" s="26">
        <f t="shared" si="56"/>
        <v>1.5242537313432836</v>
      </c>
      <c r="P107" s="119"/>
      <c r="Q107" s="132"/>
      <c r="R107" s="38" t="s">
        <v>104</v>
      </c>
      <c r="S107" s="52" t="str">
        <f t="shared" ref="S107:AE107" si="57">IF(OR(S105="",S106=""),"",S106/S105)</f>
        <v/>
      </c>
      <c r="T107" s="54" t="str">
        <f t="shared" si="57"/>
        <v/>
      </c>
      <c r="U107" s="54" t="str">
        <f t="shared" si="57"/>
        <v/>
      </c>
      <c r="V107" s="54" t="str">
        <f t="shared" si="57"/>
        <v/>
      </c>
      <c r="W107" s="54" t="str">
        <f t="shared" si="57"/>
        <v/>
      </c>
      <c r="X107" s="54" t="str">
        <f t="shared" si="57"/>
        <v/>
      </c>
      <c r="Y107" s="54" t="str">
        <f t="shared" si="57"/>
        <v/>
      </c>
      <c r="Z107" s="54" t="str">
        <f t="shared" si="57"/>
        <v/>
      </c>
      <c r="AA107" s="54" t="str">
        <f t="shared" si="57"/>
        <v/>
      </c>
      <c r="AB107" s="54" t="str">
        <f t="shared" si="57"/>
        <v/>
      </c>
      <c r="AC107" s="54" t="str">
        <f t="shared" si="57"/>
        <v/>
      </c>
      <c r="AD107" s="54" t="str">
        <f t="shared" si="57"/>
        <v/>
      </c>
      <c r="AE107" s="54" t="str">
        <f t="shared" si="57"/>
        <v/>
      </c>
    </row>
    <row r="108" spans="1:31" ht="15.6" x14ac:dyDescent="0.3">
      <c r="A108" s="132">
        <v>140</v>
      </c>
      <c r="B108" s="30" t="s">
        <v>102</v>
      </c>
      <c r="C108" s="37">
        <v>5.98</v>
      </c>
      <c r="D108" s="37">
        <v>9.9700000000000006</v>
      </c>
      <c r="E108" s="37">
        <v>5.78</v>
      </c>
      <c r="F108" s="37">
        <v>5.78</v>
      </c>
      <c r="G108" s="37">
        <v>8.25</v>
      </c>
      <c r="H108" s="37">
        <v>6.52</v>
      </c>
      <c r="I108" s="37">
        <v>7</v>
      </c>
      <c r="J108" s="37">
        <v>7.96</v>
      </c>
      <c r="K108" s="37">
        <v>7.23</v>
      </c>
      <c r="L108" s="37">
        <v>6.86</v>
      </c>
      <c r="M108" s="37">
        <v>6.45</v>
      </c>
      <c r="N108" s="37">
        <v>7.1</v>
      </c>
      <c r="O108" s="37">
        <v>6.46</v>
      </c>
      <c r="P108" s="115"/>
      <c r="Q108" s="132"/>
      <c r="R108" s="30" t="s">
        <v>102</v>
      </c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  <c r="AE108" s="117"/>
    </row>
    <row r="109" spans="1:31" ht="15.6" x14ac:dyDescent="0.3">
      <c r="A109" s="132"/>
      <c r="B109" s="20" t="s">
        <v>103</v>
      </c>
      <c r="C109" s="32">
        <v>9.0500000000000007</v>
      </c>
      <c r="D109" s="32">
        <v>15.08</v>
      </c>
      <c r="E109" s="32">
        <v>8.74</v>
      </c>
      <c r="F109" s="32">
        <v>8.74</v>
      </c>
      <c r="G109" s="32">
        <v>12.47</v>
      </c>
      <c r="H109" s="32">
        <v>9.86</v>
      </c>
      <c r="I109" s="32">
        <v>10.58</v>
      </c>
      <c r="J109" s="32">
        <v>12.03</v>
      </c>
      <c r="K109" s="32">
        <v>10.92</v>
      </c>
      <c r="L109" s="32">
        <v>10.36</v>
      </c>
      <c r="M109" s="32">
        <v>9.75</v>
      </c>
      <c r="N109" s="32">
        <v>10.73</v>
      </c>
      <c r="O109" s="32">
        <v>9.76</v>
      </c>
      <c r="P109" s="115"/>
      <c r="Q109" s="132"/>
      <c r="R109" s="20" t="s">
        <v>151</v>
      </c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</row>
    <row r="110" spans="1:31" ht="15.6" x14ac:dyDescent="0.3">
      <c r="A110" s="132"/>
      <c r="B110" s="38" t="s">
        <v>104</v>
      </c>
      <c r="C110" s="26">
        <f t="shared" ref="C110:O110" si="58">IF(OR(C108="",C109=""),"",C109/C108)</f>
        <v>1.5133779264214047</v>
      </c>
      <c r="D110" s="26">
        <f t="shared" si="58"/>
        <v>1.5125376128385155</v>
      </c>
      <c r="E110" s="26">
        <f t="shared" si="58"/>
        <v>1.5121107266435987</v>
      </c>
      <c r="F110" s="26">
        <f t="shared" si="58"/>
        <v>1.5121107266435987</v>
      </c>
      <c r="G110" s="26">
        <f t="shared" si="58"/>
        <v>1.5115151515151517</v>
      </c>
      <c r="H110" s="26">
        <f t="shared" si="58"/>
        <v>1.5122699386503067</v>
      </c>
      <c r="I110" s="26">
        <f t="shared" si="58"/>
        <v>1.5114285714285713</v>
      </c>
      <c r="J110" s="26">
        <f t="shared" si="58"/>
        <v>1.5113065326633166</v>
      </c>
      <c r="K110" s="26">
        <f t="shared" si="58"/>
        <v>1.5103734439834025</v>
      </c>
      <c r="L110" s="26">
        <f t="shared" si="58"/>
        <v>1.510204081632653</v>
      </c>
      <c r="M110" s="26">
        <f t="shared" si="58"/>
        <v>1.5116279069767442</v>
      </c>
      <c r="N110" s="26">
        <f t="shared" si="58"/>
        <v>1.511267605633803</v>
      </c>
      <c r="O110" s="26">
        <f t="shared" si="58"/>
        <v>1.5108359133126934</v>
      </c>
      <c r="P110" s="119"/>
      <c r="Q110" s="132"/>
      <c r="R110" s="38" t="s">
        <v>104</v>
      </c>
      <c r="S110" s="52" t="str">
        <f t="shared" ref="S110:AE110" si="59">IF(OR(S108="",S109=""),"",S109/S108)</f>
        <v/>
      </c>
      <c r="T110" s="54" t="str">
        <f t="shared" si="59"/>
        <v/>
      </c>
      <c r="U110" s="54" t="str">
        <f t="shared" si="59"/>
        <v/>
      </c>
      <c r="V110" s="54" t="str">
        <f t="shared" si="59"/>
        <v/>
      </c>
      <c r="W110" s="54" t="str">
        <f t="shared" si="59"/>
        <v/>
      </c>
      <c r="X110" s="54" t="str">
        <f t="shared" si="59"/>
        <v/>
      </c>
      <c r="Y110" s="54" t="str">
        <f t="shared" si="59"/>
        <v/>
      </c>
      <c r="Z110" s="54" t="str">
        <f t="shared" si="59"/>
        <v/>
      </c>
      <c r="AA110" s="54" t="str">
        <f t="shared" si="59"/>
        <v/>
      </c>
      <c r="AB110" s="54" t="str">
        <f t="shared" si="59"/>
        <v/>
      </c>
      <c r="AC110" s="54" t="str">
        <f t="shared" si="59"/>
        <v/>
      </c>
      <c r="AD110" s="54" t="str">
        <f t="shared" si="59"/>
        <v/>
      </c>
      <c r="AE110" s="54" t="str">
        <f t="shared" si="59"/>
        <v/>
      </c>
    </row>
    <row r="111" spans="1:31" ht="15.6" x14ac:dyDescent="0.3">
      <c r="A111" s="132">
        <v>150</v>
      </c>
      <c r="B111" s="30" t="s">
        <v>102</v>
      </c>
      <c r="C111" s="37">
        <v>7.07</v>
      </c>
      <c r="D111" s="37">
        <v>11.79</v>
      </c>
      <c r="E111" s="37">
        <v>6.83</v>
      </c>
      <c r="F111" s="37">
        <v>6.83</v>
      </c>
      <c r="G111" s="37">
        <v>9.75</v>
      </c>
      <c r="H111" s="37">
        <v>7.71</v>
      </c>
      <c r="I111" s="37">
        <v>8.25</v>
      </c>
      <c r="J111" s="37">
        <v>9.41</v>
      </c>
      <c r="K111" s="37">
        <v>8.5399999999999991</v>
      </c>
      <c r="L111" s="37">
        <v>8.11</v>
      </c>
      <c r="M111" s="37">
        <v>8.6199999999999992</v>
      </c>
      <c r="N111" s="37">
        <v>8.39</v>
      </c>
      <c r="O111" s="37">
        <v>7.63</v>
      </c>
      <c r="P111" s="115"/>
      <c r="Q111" s="132"/>
      <c r="R111" s="30" t="s">
        <v>102</v>
      </c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  <c r="AE111" s="117"/>
    </row>
    <row r="112" spans="1:31" ht="15.6" x14ac:dyDescent="0.3">
      <c r="A112" s="132"/>
      <c r="B112" s="20" t="s">
        <v>103</v>
      </c>
      <c r="C112" s="32">
        <v>10.61</v>
      </c>
      <c r="D112" s="32">
        <v>17.68</v>
      </c>
      <c r="E112" s="32">
        <v>10.25</v>
      </c>
      <c r="F112" s="32">
        <v>10.25</v>
      </c>
      <c r="G112" s="32">
        <v>14.62</v>
      </c>
      <c r="H112" s="32">
        <v>11.56</v>
      </c>
      <c r="I112" s="32">
        <v>12.41</v>
      </c>
      <c r="J112" s="32">
        <v>14.11</v>
      </c>
      <c r="K112" s="32">
        <v>12.81</v>
      </c>
      <c r="L112" s="32">
        <v>12.15</v>
      </c>
      <c r="M112" s="32">
        <v>11.43</v>
      </c>
      <c r="N112" s="32">
        <v>12.58</v>
      </c>
      <c r="O112" s="32">
        <v>11.44</v>
      </c>
      <c r="P112" s="115"/>
      <c r="Q112" s="132"/>
      <c r="R112" s="20" t="s">
        <v>151</v>
      </c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</row>
    <row r="113" spans="1:31" ht="15.6" x14ac:dyDescent="0.3">
      <c r="A113" s="132"/>
      <c r="B113" s="38" t="s">
        <v>104</v>
      </c>
      <c r="C113" s="26">
        <f t="shared" ref="C113:O113" si="60">IF(OR(C111="",C112=""),"",C112/C111)</f>
        <v>1.5007072135785007</v>
      </c>
      <c r="D113" s="26">
        <f t="shared" si="60"/>
        <v>1.4995759117896523</v>
      </c>
      <c r="E113" s="26">
        <f t="shared" si="60"/>
        <v>1.5007320644216691</v>
      </c>
      <c r="F113" s="26">
        <f t="shared" si="60"/>
        <v>1.5007320644216691</v>
      </c>
      <c r="G113" s="26">
        <f t="shared" si="60"/>
        <v>1.4994871794871794</v>
      </c>
      <c r="H113" s="26">
        <f t="shared" si="60"/>
        <v>1.4993514915693904</v>
      </c>
      <c r="I113" s="26">
        <f t="shared" si="60"/>
        <v>1.5042424242424242</v>
      </c>
      <c r="J113" s="26">
        <f t="shared" si="60"/>
        <v>1.4994686503719448</v>
      </c>
      <c r="K113" s="26">
        <f t="shared" si="60"/>
        <v>1.5000000000000002</v>
      </c>
      <c r="L113" s="26">
        <f t="shared" si="60"/>
        <v>1.4981504315659682</v>
      </c>
      <c r="M113" s="26">
        <f t="shared" si="60"/>
        <v>1.3259860788863109</v>
      </c>
      <c r="N113" s="26">
        <f t="shared" si="60"/>
        <v>1.4994040524433849</v>
      </c>
      <c r="O113" s="26">
        <f t="shared" si="60"/>
        <v>1.4993446920052425</v>
      </c>
      <c r="P113" s="119"/>
      <c r="Q113" s="132"/>
      <c r="R113" s="38" t="s">
        <v>104</v>
      </c>
      <c r="S113" s="52" t="str">
        <f t="shared" ref="S113:AE113" si="61">IF(OR(S111="",S112=""),"",S112/S111)</f>
        <v/>
      </c>
      <c r="T113" s="54" t="str">
        <f t="shared" si="61"/>
        <v/>
      </c>
      <c r="U113" s="54" t="str">
        <f t="shared" si="61"/>
        <v/>
      </c>
      <c r="V113" s="54" t="str">
        <f t="shared" si="61"/>
        <v/>
      </c>
      <c r="W113" s="54" t="str">
        <f t="shared" si="61"/>
        <v/>
      </c>
      <c r="X113" s="54" t="str">
        <f t="shared" si="61"/>
        <v/>
      </c>
      <c r="Y113" s="54" t="str">
        <f t="shared" si="61"/>
        <v/>
      </c>
      <c r="Z113" s="54" t="str">
        <f t="shared" si="61"/>
        <v/>
      </c>
      <c r="AA113" s="54" t="str">
        <f t="shared" si="61"/>
        <v/>
      </c>
      <c r="AB113" s="54" t="str">
        <f t="shared" si="61"/>
        <v/>
      </c>
      <c r="AC113" s="54" t="str">
        <f t="shared" si="61"/>
        <v/>
      </c>
      <c r="AD113" s="54" t="str">
        <f t="shared" si="61"/>
        <v/>
      </c>
      <c r="AE113" s="54" t="str">
        <f t="shared" si="61"/>
        <v/>
      </c>
    </row>
    <row r="114" spans="1:31" ht="15.6" x14ac:dyDescent="0.3">
      <c r="A114" s="132" t="s">
        <v>145</v>
      </c>
      <c r="B114" s="30" t="s">
        <v>102</v>
      </c>
      <c r="C114" s="37">
        <v>0.28000000000000003</v>
      </c>
      <c r="D114" s="37">
        <v>0.47</v>
      </c>
      <c r="E114" s="37">
        <v>0.27</v>
      </c>
      <c r="F114" s="37">
        <v>0.27</v>
      </c>
      <c r="G114" s="37">
        <v>0.38</v>
      </c>
      <c r="H114" s="37">
        <v>0.3</v>
      </c>
      <c r="I114" s="37">
        <v>0.33</v>
      </c>
      <c r="J114" s="37">
        <v>0.37</v>
      </c>
      <c r="K114" s="37">
        <v>0.34</v>
      </c>
      <c r="L114" s="37">
        <v>0.32</v>
      </c>
      <c r="M114" s="37">
        <v>0.3</v>
      </c>
      <c r="N114" s="37">
        <v>0.33</v>
      </c>
      <c r="O114" s="37">
        <v>0.3</v>
      </c>
      <c r="P114" s="115"/>
      <c r="Q114" s="132"/>
      <c r="R114" s="30" t="s">
        <v>102</v>
      </c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</row>
    <row r="115" spans="1:31" ht="15.6" x14ac:dyDescent="0.3">
      <c r="A115" s="132"/>
      <c r="B115" s="20" t="s">
        <v>103</v>
      </c>
      <c r="C115" s="32">
        <v>0.39</v>
      </c>
      <c r="D115" s="32">
        <v>0.66</v>
      </c>
      <c r="E115" s="32">
        <v>0.38</v>
      </c>
      <c r="F115" s="32">
        <v>0.38</v>
      </c>
      <c r="G115" s="32">
        <v>0.54</v>
      </c>
      <c r="H115" s="32">
        <v>0.43</v>
      </c>
      <c r="I115" s="32">
        <v>0.46</v>
      </c>
      <c r="J115" s="32">
        <v>0.52</v>
      </c>
      <c r="K115" s="32">
        <v>0.47</v>
      </c>
      <c r="L115" s="32">
        <v>0.45</v>
      </c>
      <c r="M115" s="32">
        <v>0.42</v>
      </c>
      <c r="N115" s="32">
        <v>0.47</v>
      </c>
      <c r="O115" s="32">
        <v>0.42</v>
      </c>
      <c r="P115" s="115"/>
      <c r="Q115" s="132"/>
      <c r="R115" s="20" t="s">
        <v>151</v>
      </c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</row>
    <row r="116" spans="1:31" ht="15.6" x14ac:dyDescent="0.3">
      <c r="A116" s="132"/>
      <c r="B116" s="38" t="s">
        <v>104</v>
      </c>
      <c r="C116" s="26">
        <f t="shared" ref="C116:O116" si="62">IF(OR(C114="",C115=""),"",C115/C114)</f>
        <v>1.3928571428571428</v>
      </c>
      <c r="D116" s="26">
        <f t="shared" si="62"/>
        <v>1.4042553191489364</v>
      </c>
      <c r="E116" s="26">
        <f t="shared" si="62"/>
        <v>1.4074074074074074</v>
      </c>
      <c r="F116" s="26">
        <f t="shared" si="62"/>
        <v>1.4074074074074074</v>
      </c>
      <c r="G116" s="26">
        <f t="shared" si="62"/>
        <v>1.4210526315789473</v>
      </c>
      <c r="H116" s="26">
        <f t="shared" si="62"/>
        <v>1.4333333333333333</v>
      </c>
      <c r="I116" s="26">
        <f t="shared" si="62"/>
        <v>1.393939393939394</v>
      </c>
      <c r="J116" s="26">
        <f t="shared" si="62"/>
        <v>1.4054054054054055</v>
      </c>
      <c r="K116" s="26">
        <f t="shared" si="62"/>
        <v>1.3823529411764703</v>
      </c>
      <c r="L116" s="26">
        <f t="shared" si="62"/>
        <v>1.40625</v>
      </c>
      <c r="M116" s="26">
        <f t="shared" si="62"/>
        <v>1.4</v>
      </c>
      <c r="N116" s="26">
        <f t="shared" si="62"/>
        <v>1.4242424242424241</v>
      </c>
      <c r="O116" s="26">
        <f t="shared" si="62"/>
        <v>1.4</v>
      </c>
      <c r="P116" s="119"/>
      <c r="Q116" s="132"/>
      <c r="R116" s="38" t="s">
        <v>104</v>
      </c>
      <c r="S116" s="52" t="str">
        <f t="shared" ref="S116:AE116" si="63">IF(OR(S114="",S115=""),"",S115/S114)</f>
        <v/>
      </c>
      <c r="T116" s="54" t="str">
        <f t="shared" si="63"/>
        <v/>
      </c>
      <c r="U116" s="54" t="str">
        <f t="shared" si="63"/>
        <v/>
      </c>
      <c r="V116" s="54" t="str">
        <f t="shared" si="63"/>
        <v/>
      </c>
      <c r="W116" s="54" t="str">
        <f t="shared" si="63"/>
        <v/>
      </c>
      <c r="X116" s="54" t="str">
        <f t="shared" si="63"/>
        <v/>
      </c>
      <c r="Y116" s="54" t="str">
        <f t="shared" si="63"/>
        <v/>
      </c>
      <c r="Z116" s="54" t="str">
        <f t="shared" si="63"/>
        <v/>
      </c>
      <c r="AA116" s="54" t="str">
        <f t="shared" si="63"/>
        <v/>
      </c>
      <c r="AB116" s="54" t="str">
        <f t="shared" si="63"/>
        <v/>
      </c>
      <c r="AC116" s="54" t="str">
        <f t="shared" si="63"/>
        <v/>
      </c>
      <c r="AD116" s="54" t="str">
        <f t="shared" si="63"/>
        <v/>
      </c>
      <c r="AE116" s="54" t="str">
        <f t="shared" si="63"/>
        <v/>
      </c>
    </row>
    <row r="117" spans="1:31" ht="15.6" x14ac:dyDescent="0.3">
      <c r="A117" s="132" t="s">
        <v>152</v>
      </c>
      <c r="B117" s="30" t="s">
        <v>102</v>
      </c>
      <c r="C117" s="37">
        <v>1.96</v>
      </c>
      <c r="D117" s="37">
        <v>3.27</v>
      </c>
      <c r="E117" s="37">
        <v>1.89</v>
      </c>
      <c r="F117" s="37">
        <v>1.89</v>
      </c>
      <c r="G117" s="37">
        <v>2.7</v>
      </c>
      <c r="H117" s="37">
        <v>2.14</v>
      </c>
      <c r="I117" s="37">
        <v>2.29</v>
      </c>
      <c r="J117" s="37">
        <v>2.61</v>
      </c>
      <c r="K117" s="37">
        <v>2.37</v>
      </c>
      <c r="L117" s="37">
        <v>2.25</v>
      </c>
      <c r="M117" s="37">
        <v>2.11</v>
      </c>
      <c r="N117" s="37">
        <v>2.3199999999999998</v>
      </c>
      <c r="O117" s="37">
        <v>2.11</v>
      </c>
      <c r="P117" s="115"/>
      <c r="Q117" s="132"/>
      <c r="R117" s="30" t="s">
        <v>102</v>
      </c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  <c r="AE117" s="117"/>
    </row>
    <row r="118" spans="1:31" ht="15.6" x14ac:dyDescent="0.3">
      <c r="A118" s="132"/>
      <c r="B118" s="20" t="s">
        <v>103</v>
      </c>
      <c r="C118" s="32">
        <v>2.7</v>
      </c>
      <c r="D118" s="32">
        <v>4.54</v>
      </c>
      <c r="E118" s="32">
        <v>2.61</v>
      </c>
      <c r="F118" s="32">
        <v>2.61</v>
      </c>
      <c r="G118" s="32">
        <v>3.73</v>
      </c>
      <c r="H118" s="32">
        <v>2.95</v>
      </c>
      <c r="I118" s="32">
        <v>3.16</v>
      </c>
      <c r="J118" s="32">
        <v>3.6</v>
      </c>
      <c r="K118" s="32">
        <v>3.26</v>
      </c>
      <c r="L118" s="32">
        <v>3.1</v>
      </c>
      <c r="M118" s="32">
        <v>2.92</v>
      </c>
      <c r="N118" s="32">
        <v>3.21</v>
      </c>
      <c r="O118" s="32">
        <v>2.92</v>
      </c>
      <c r="P118" s="115"/>
      <c r="Q118" s="132"/>
      <c r="R118" s="20" t="s">
        <v>151</v>
      </c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</row>
    <row r="119" spans="1:31" ht="15.6" x14ac:dyDescent="0.3">
      <c r="A119" s="132"/>
      <c r="B119" s="38" t="s">
        <v>104</v>
      </c>
      <c r="C119" s="26">
        <f t="shared" ref="C119:O119" si="64">IF(OR(C117="",C118=""),"",C118/C117)</f>
        <v>1.3775510204081634</v>
      </c>
      <c r="D119" s="26">
        <f t="shared" si="64"/>
        <v>1.3883792048929664</v>
      </c>
      <c r="E119" s="26">
        <f t="shared" si="64"/>
        <v>1.3809523809523809</v>
      </c>
      <c r="F119" s="26">
        <f t="shared" si="64"/>
        <v>1.3809523809523809</v>
      </c>
      <c r="G119" s="26">
        <f t="shared" si="64"/>
        <v>1.3814814814814813</v>
      </c>
      <c r="H119" s="26">
        <f t="shared" si="64"/>
        <v>1.3785046728971964</v>
      </c>
      <c r="I119" s="26">
        <f t="shared" si="64"/>
        <v>1.3799126637554586</v>
      </c>
      <c r="J119" s="26">
        <f t="shared" si="64"/>
        <v>1.3793103448275863</v>
      </c>
      <c r="K119" s="26">
        <f t="shared" si="64"/>
        <v>1.3755274261603374</v>
      </c>
      <c r="L119" s="26">
        <f t="shared" si="64"/>
        <v>1.3777777777777778</v>
      </c>
      <c r="M119" s="26">
        <f t="shared" si="64"/>
        <v>1.3838862559241707</v>
      </c>
      <c r="N119" s="26">
        <f t="shared" si="64"/>
        <v>1.3836206896551726</v>
      </c>
      <c r="O119" s="26">
        <f t="shared" si="64"/>
        <v>1.3838862559241707</v>
      </c>
      <c r="P119" s="119"/>
      <c r="Q119" s="132"/>
      <c r="R119" s="38" t="s">
        <v>104</v>
      </c>
      <c r="S119" s="52" t="str">
        <f t="shared" ref="S119:AE119" si="65">IF(OR(S117="",S118=""),"",S118/S117)</f>
        <v/>
      </c>
      <c r="T119" s="54" t="str">
        <f t="shared" si="65"/>
        <v/>
      </c>
      <c r="U119" s="54" t="str">
        <f t="shared" si="65"/>
        <v/>
      </c>
      <c r="V119" s="54" t="str">
        <f t="shared" si="65"/>
        <v/>
      </c>
      <c r="W119" s="54" t="str">
        <f t="shared" si="65"/>
        <v/>
      </c>
      <c r="X119" s="54" t="str">
        <f t="shared" si="65"/>
        <v/>
      </c>
      <c r="Y119" s="54" t="str">
        <f t="shared" si="65"/>
        <v/>
      </c>
      <c r="Z119" s="54" t="str">
        <f t="shared" si="65"/>
        <v/>
      </c>
      <c r="AA119" s="54" t="str">
        <f t="shared" si="65"/>
        <v/>
      </c>
      <c r="AB119" s="54" t="str">
        <f t="shared" si="65"/>
        <v/>
      </c>
      <c r="AC119" s="54" t="str">
        <f t="shared" si="65"/>
        <v/>
      </c>
      <c r="AD119" s="54" t="str">
        <f t="shared" si="65"/>
        <v/>
      </c>
      <c r="AE119" s="54" t="str">
        <f t="shared" si="65"/>
        <v/>
      </c>
    </row>
    <row r="121" spans="1:31" ht="15.6" x14ac:dyDescent="0.3">
      <c r="A121" s="8" t="s">
        <v>148</v>
      </c>
      <c r="Q121" s="8" t="s">
        <v>148</v>
      </c>
    </row>
    <row r="122" spans="1:31" ht="15.6" x14ac:dyDescent="0.3">
      <c r="B122" s="15" t="s">
        <v>100</v>
      </c>
      <c r="C122" s="31" t="s">
        <v>13</v>
      </c>
      <c r="D122" s="31" t="s">
        <v>26</v>
      </c>
      <c r="E122" s="31" t="s">
        <v>14</v>
      </c>
      <c r="F122" s="31" t="s">
        <v>18</v>
      </c>
      <c r="G122" s="31" t="s">
        <v>20</v>
      </c>
      <c r="H122" s="31" t="s">
        <v>21</v>
      </c>
      <c r="I122" s="31" t="s">
        <v>21</v>
      </c>
      <c r="J122" s="31" t="s">
        <v>21</v>
      </c>
      <c r="K122" s="31" t="s">
        <v>38</v>
      </c>
      <c r="L122" s="31" t="s">
        <v>22</v>
      </c>
      <c r="M122" s="31" t="s">
        <v>39</v>
      </c>
      <c r="N122" s="31" t="s">
        <v>42</v>
      </c>
      <c r="O122" s="31" t="s">
        <v>43</v>
      </c>
      <c r="P122" s="115"/>
      <c r="R122" s="15" t="s">
        <v>100</v>
      </c>
      <c r="S122" s="31" t="s">
        <v>13</v>
      </c>
      <c r="T122" s="31" t="s">
        <v>26</v>
      </c>
      <c r="U122" s="31" t="s">
        <v>14</v>
      </c>
      <c r="V122" s="31" t="s">
        <v>18</v>
      </c>
      <c r="W122" s="31" t="s">
        <v>20</v>
      </c>
      <c r="X122" s="31" t="s">
        <v>21</v>
      </c>
      <c r="Y122" s="31" t="s">
        <v>21</v>
      </c>
      <c r="Z122" s="31" t="s">
        <v>21</v>
      </c>
      <c r="AA122" s="31" t="s">
        <v>38</v>
      </c>
      <c r="AB122" s="31" t="s">
        <v>22</v>
      </c>
      <c r="AC122" s="31" t="s">
        <v>39</v>
      </c>
      <c r="AD122" s="31" t="s">
        <v>42</v>
      </c>
      <c r="AE122" s="31" t="s">
        <v>43</v>
      </c>
    </row>
    <row r="123" spans="1:31" ht="15.6" x14ac:dyDescent="0.3">
      <c r="B123" s="18" t="s">
        <v>114</v>
      </c>
      <c r="C123" s="32">
        <v>2</v>
      </c>
      <c r="D123" s="32">
        <v>3.6</v>
      </c>
      <c r="E123" s="32">
        <v>5</v>
      </c>
      <c r="F123" s="32">
        <v>10</v>
      </c>
      <c r="G123" s="32">
        <v>14.4</v>
      </c>
      <c r="H123" s="32">
        <v>19.2</v>
      </c>
      <c r="I123" s="32">
        <v>19.2</v>
      </c>
      <c r="J123" s="32">
        <v>19.2</v>
      </c>
      <c r="K123" s="32">
        <f>48*0.6</f>
        <v>28.799999999999997</v>
      </c>
      <c r="L123" s="32">
        <f>64*0.6</f>
        <v>38.4</v>
      </c>
      <c r="M123" s="32">
        <f>96*0.6</f>
        <v>57.599999999999994</v>
      </c>
      <c r="N123" s="32">
        <f>24*1.2</f>
        <v>28.799999999999997</v>
      </c>
      <c r="O123" s="32">
        <f>48*1.2</f>
        <v>57.599999999999994</v>
      </c>
      <c r="P123" s="115"/>
      <c r="R123" s="18" t="s">
        <v>114</v>
      </c>
      <c r="S123" s="32">
        <v>2</v>
      </c>
      <c r="T123" s="32">
        <v>3.6</v>
      </c>
      <c r="U123" s="32">
        <v>5</v>
      </c>
      <c r="V123" s="32">
        <v>10</v>
      </c>
      <c r="W123" s="32">
        <v>14.4</v>
      </c>
      <c r="X123" s="32">
        <v>19.2</v>
      </c>
      <c r="Y123" s="32">
        <v>19.2</v>
      </c>
      <c r="Z123" s="32">
        <v>19.2</v>
      </c>
      <c r="AA123" s="32">
        <f>48*0.6</f>
        <v>28.799999999999997</v>
      </c>
      <c r="AB123" s="32">
        <f>64*0.6</f>
        <v>38.4</v>
      </c>
      <c r="AC123" s="32">
        <f>96*0.6</f>
        <v>57.599999999999994</v>
      </c>
      <c r="AD123" s="32">
        <f>24*1.2</f>
        <v>28.799999999999997</v>
      </c>
      <c r="AE123" s="32">
        <f>48*1.2</f>
        <v>57.599999999999994</v>
      </c>
    </row>
    <row r="124" spans="1:31" ht="15.6" x14ac:dyDescent="0.3">
      <c r="B124" s="18" t="s">
        <v>101</v>
      </c>
      <c r="C124" s="32" t="s">
        <v>13</v>
      </c>
      <c r="D124" s="32" t="s">
        <v>26</v>
      </c>
      <c r="E124" s="32" t="s">
        <v>14</v>
      </c>
      <c r="F124" s="32" t="s">
        <v>18</v>
      </c>
      <c r="G124" s="32" t="s">
        <v>20</v>
      </c>
      <c r="H124" s="32" t="s">
        <v>21</v>
      </c>
      <c r="I124" s="32" t="s">
        <v>22</v>
      </c>
      <c r="J124" s="32" t="s">
        <v>22</v>
      </c>
      <c r="K124" s="32" t="s">
        <v>39</v>
      </c>
      <c r="L124" s="32" t="s">
        <v>40</v>
      </c>
      <c r="M124" s="32" t="s">
        <v>41</v>
      </c>
      <c r="N124" s="32" t="s">
        <v>42</v>
      </c>
      <c r="O124" s="32" t="s">
        <v>149</v>
      </c>
      <c r="P124" s="115"/>
      <c r="R124" s="18" t="s">
        <v>101</v>
      </c>
      <c r="S124" s="32" t="s">
        <v>13</v>
      </c>
      <c r="T124" s="32" t="s">
        <v>26</v>
      </c>
      <c r="U124" s="32" t="s">
        <v>14</v>
      </c>
      <c r="V124" s="32" t="s">
        <v>18</v>
      </c>
      <c r="W124" s="32" t="s">
        <v>20</v>
      </c>
      <c r="X124" s="32" t="s">
        <v>21</v>
      </c>
      <c r="Y124" s="32" t="s">
        <v>22</v>
      </c>
      <c r="Z124" s="32" t="s">
        <v>22</v>
      </c>
      <c r="AA124" s="32" t="s">
        <v>39</v>
      </c>
      <c r="AB124" s="32" t="s">
        <v>40</v>
      </c>
      <c r="AC124" s="32" t="s">
        <v>41</v>
      </c>
      <c r="AD124" s="32" t="s">
        <v>42</v>
      </c>
      <c r="AE124" s="32" t="s">
        <v>149</v>
      </c>
    </row>
    <row r="125" spans="1:31" ht="15.6" x14ac:dyDescent="0.3">
      <c r="B125" s="33" t="s">
        <v>115</v>
      </c>
      <c r="C125" s="40"/>
      <c r="D125" s="40"/>
      <c r="E125" s="40"/>
      <c r="F125" s="40"/>
      <c r="G125" s="40"/>
      <c r="H125" s="40" t="s">
        <v>119</v>
      </c>
      <c r="I125" s="40" t="s">
        <v>150</v>
      </c>
      <c r="J125" s="40" t="s">
        <v>121</v>
      </c>
      <c r="K125" s="40" t="s">
        <v>121</v>
      </c>
      <c r="L125" s="40" t="s">
        <v>121</v>
      </c>
      <c r="M125" s="40" t="s">
        <v>121</v>
      </c>
      <c r="N125" s="40" t="s">
        <v>121</v>
      </c>
      <c r="O125" s="40"/>
      <c r="P125" s="115"/>
      <c r="R125" s="33" t="s">
        <v>115</v>
      </c>
      <c r="S125" s="40"/>
      <c r="T125" s="40"/>
      <c r="U125" s="40"/>
      <c r="V125" s="40"/>
      <c r="W125" s="40"/>
      <c r="X125" s="40" t="s">
        <v>119</v>
      </c>
      <c r="Y125" s="40" t="s">
        <v>150</v>
      </c>
      <c r="Z125" s="40" t="s">
        <v>121</v>
      </c>
      <c r="AA125" s="40" t="s">
        <v>121</v>
      </c>
      <c r="AB125" s="40" t="s">
        <v>121</v>
      </c>
      <c r="AC125" s="40" t="s">
        <v>121</v>
      </c>
      <c r="AD125" s="40" t="s">
        <v>121</v>
      </c>
      <c r="AE125" s="40"/>
    </row>
    <row r="126" spans="1:31" ht="15.6" x14ac:dyDescent="0.3">
      <c r="A126" s="7" t="s">
        <v>6</v>
      </c>
      <c r="B126" s="35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116"/>
      <c r="Q126" s="7" t="s">
        <v>6</v>
      </c>
      <c r="R126" s="35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 spans="1:31" ht="15.6" x14ac:dyDescent="0.3">
      <c r="A127" s="132">
        <v>70</v>
      </c>
      <c r="B127" s="30" t="s">
        <v>102</v>
      </c>
      <c r="C127" s="37">
        <v>0.51</v>
      </c>
      <c r="D127" s="37">
        <v>0.84</v>
      </c>
      <c r="E127" s="37">
        <v>0.49</v>
      </c>
      <c r="F127" s="37">
        <v>0.49</v>
      </c>
      <c r="G127" s="37">
        <v>0.7</v>
      </c>
      <c r="H127" s="37">
        <v>0.55000000000000004</v>
      </c>
      <c r="I127" s="37">
        <v>0.59</v>
      </c>
      <c r="J127" s="37">
        <v>0.67</v>
      </c>
      <c r="K127" s="37">
        <v>0.61</v>
      </c>
      <c r="L127" s="37">
        <v>0.57999999999999996</v>
      </c>
      <c r="M127" s="37">
        <v>0.54</v>
      </c>
      <c r="N127" s="37">
        <v>0.6</v>
      </c>
      <c r="O127" s="37">
        <v>0.55000000000000004</v>
      </c>
      <c r="P127" s="115"/>
      <c r="Q127" s="132"/>
      <c r="R127" s="30" t="s">
        <v>102</v>
      </c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  <c r="AE127" s="117"/>
    </row>
    <row r="128" spans="1:31" ht="15.6" x14ac:dyDescent="0.3">
      <c r="A128" s="132"/>
      <c r="B128" s="20" t="s">
        <v>103</v>
      </c>
      <c r="C128" s="32">
        <v>0.83</v>
      </c>
      <c r="D128" s="32">
        <v>1.39</v>
      </c>
      <c r="E128" s="32">
        <v>0.81</v>
      </c>
      <c r="F128" s="32">
        <v>0.81</v>
      </c>
      <c r="G128" s="32">
        <v>1.1499999999999999</v>
      </c>
      <c r="H128" s="32">
        <v>0.91</v>
      </c>
      <c r="I128" s="32">
        <v>0.98</v>
      </c>
      <c r="J128" s="32">
        <v>1.1100000000000001</v>
      </c>
      <c r="K128" s="32">
        <v>1.01</v>
      </c>
      <c r="L128" s="32">
        <v>0.96</v>
      </c>
      <c r="M128" s="32">
        <v>0.9</v>
      </c>
      <c r="N128" s="32">
        <v>0.99</v>
      </c>
      <c r="O128" s="32">
        <v>0.9</v>
      </c>
      <c r="P128" s="115"/>
      <c r="Q128" s="132"/>
      <c r="R128" s="20" t="s">
        <v>151</v>
      </c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  <c r="AD128" s="118"/>
      <c r="AE128" s="118"/>
    </row>
    <row r="129" spans="1:31" ht="15.6" x14ac:dyDescent="0.3">
      <c r="A129" s="132"/>
      <c r="B129" s="38" t="s">
        <v>104</v>
      </c>
      <c r="C129" s="26">
        <f t="shared" ref="C129:O129" si="66">IF(OR(C127="",C128=""),"",C128/C127)</f>
        <v>1.6274509803921569</v>
      </c>
      <c r="D129" s="26">
        <f t="shared" si="66"/>
        <v>1.6547619047619047</v>
      </c>
      <c r="E129" s="26">
        <f t="shared" si="66"/>
        <v>1.653061224489796</v>
      </c>
      <c r="F129" s="26">
        <f t="shared" si="66"/>
        <v>1.653061224489796</v>
      </c>
      <c r="G129" s="26">
        <f t="shared" si="66"/>
        <v>1.6428571428571428</v>
      </c>
      <c r="H129" s="26">
        <f t="shared" si="66"/>
        <v>1.6545454545454545</v>
      </c>
      <c r="I129" s="26">
        <f t="shared" si="66"/>
        <v>1.6610169491525424</v>
      </c>
      <c r="J129" s="26">
        <f t="shared" si="66"/>
        <v>1.6567164179104479</v>
      </c>
      <c r="K129" s="26">
        <f t="shared" si="66"/>
        <v>1.6557377049180328</v>
      </c>
      <c r="L129" s="26">
        <f t="shared" si="66"/>
        <v>1.6551724137931034</v>
      </c>
      <c r="M129" s="26">
        <f t="shared" si="66"/>
        <v>1.6666666666666665</v>
      </c>
      <c r="N129" s="26">
        <f t="shared" si="66"/>
        <v>1.6500000000000001</v>
      </c>
      <c r="O129" s="26">
        <f t="shared" si="66"/>
        <v>1.6363636363636362</v>
      </c>
      <c r="P129" s="119"/>
      <c r="Q129" s="132"/>
      <c r="R129" s="38" t="s">
        <v>104</v>
      </c>
      <c r="S129" s="26" t="str">
        <f t="shared" ref="S129:AE129" si="67">IF(OR(S127="",S128=""),"",S128/S127)</f>
        <v/>
      </c>
      <c r="T129" s="26" t="str">
        <f t="shared" si="67"/>
        <v/>
      </c>
      <c r="U129" s="26" t="str">
        <f t="shared" si="67"/>
        <v/>
      </c>
      <c r="V129" s="26" t="str">
        <f t="shared" si="67"/>
        <v/>
      </c>
      <c r="W129" s="26" t="str">
        <f t="shared" si="67"/>
        <v/>
      </c>
      <c r="X129" s="26" t="str">
        <f t="shared" si="67"/>
        <v/>
      </c>
      <c r="Y129" s="26" t="str">
        <f t="shared" si="67"/>
        <v/>
      </c>
      <c r="Z129" s="26" t="str">
        <f t="shared" si="67"/>
        <v/>
      </c>
      <c r="AA129" s="26" t="str">
        <f t="shared" si="67"/>
        <v/>
      </c>
      <c r="AB129" s="26" t="str">
        <f t="shared" si="67"/>
        <v/>
      </c>
      <c r="AC129" s="26" t="str">
        <f t="shared" si="67"/>
        <v/>
      </c>
      <c r="AD129" s="26" t="str">
        <f t="shared" si="67"/>
        <v/>
      </c>
      <c r="AE129" s="26" t="str">
        <f t="shared" si="67"/>
        <v/>
      </c>
    </row>
    <row r="130" spans="1:31" ht="15.6" x14ac:dyDescent="0.3">
      <c r="A130" s="132">
        <v>80</v>
      </c>
      <c r="B130" s="30" t="s">
        <v>102</v>
      </c>
      <c r="C130" s="37">
        <v>0.9</v>
      </c>
      <c r="D130" s="37">
        <v>1.49</v>
      </c>
      <c r="E130" s="37">
        <v>0.87</v>
      </c>
      <c r="F130" s="37">
        <v>0.87</v>
      </c>
      <c r="G130" s="37">
        <v>1.23</v>
      </c>
      <c r="H130" s="37">
        <v>0.98</v>
      </c>
      <c r="I130" s="37">
        <v>1.05</v>
      </c>
      <c r="J130" s="37">
        <v>1.19</v>
      </c>
      <c r="K130" s="37">
        <v>1.08</v>
      </c>
      <c r="L130" s="37">
        <v>1.03</v>
      </c>
      <c r="M130" s="37">
        <v>0.97</v>
      </c>
      <c r="N130" s="37">
        <v>1.06</v>
      </c>
      <c r="O130" s="37">
        <v>0.97</v>
      </c>
      <c r="P130" s="115"/>
      <c r="Q130" s="132"/>
      <c r="R130" s="30" t="s">
        <v>102</v>
      </c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  <c r="AE130" s="117"/>
    </row>
    <row r="131" spans="1:31" ht="15.6" x14ac:dyDescent="0.3">
      <c r="A131" s="132"/>
      <c r="B131" s="20" t="s">
        <v>103</v>
      </c>
      <c r="C131" s="32">
        <v>1.36</v>
      </c>
      <c r="D131" s="32">
        <v>2.27</v>
      </c>
      <c r="E131" s="32">
        <v>1.32</v>
      </c>
      <c r="F131" s="32">
        <v>1.32</v>
      </c>
      <c r="G131" s="32">
        <v>1.88</v>
      </c>
      <c r="H131" s="32">
        <v>1.48</v>
      </c>
      <c r="I131" s="32">
        <v>1.59</v>
      </c>
      <c r="J131" s="32">
        <v>1.81</v>
      </c>
      <c r="K131" s="32">
        <v>1.64</v>
      </c>
      <c r="L131" s="32">
        <v>1.56</v>
      </c>
      <c r="M131" s="32">
        <v>1.47</v>
      </c>
      <c r="N131" s="32">
        <v>1.61</v>
      </c>
      <c r="O131" s="32">
        <v>1.47</v>
      </c>
      <c r="P131" s="115"/>
      <c r="Q131" s="132"/>
      <c r="R131" s="20" t="s">
        <v>151</v>
      </c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</row>
    <row r="132" spans="1:31" ht="15.6" x14ac:dyDescent="0.3">
      <c r="A132" s="132"/>
      <c r="B132" s="38" t="s">
        <v>104</v>
      </c>
      <c r="C132" s="26">
        <f t="shared" ref="C132:O132" si="68">IF(OR(C130="",C131=""),"",C131/C130)</f>
        <v>1.5111111111111111</v>
      </c>
      <c r="D132" s="26">
        <f t="shared" si="68"/>
        <v>1.523489932885906</v>
      </c>
      <c r="E132" s="26">
        <f t="shared" si="68"/>
        <v>1.517241379310345</v>
      </c>
      <c r="F132" s="26">
        <f t="shared" si="68"/>
        <v>1.517241379310345</v>
      </c>
      <c r="G132" s="26">
        <f t="shared" si="68"/>
        <v>1.5284552845528454</v>
      </c>
      <c r="H132" s="26">
        <f t="shared" si="68"/>
        <v>1.510204081632653</v>
      </c>
      <c r="I132" s="26">
        <f t="shared" si="68"/>
        <v>1.5142857142857142</v>
      </c>
      <c r="J132" s="26">
        <f t="shared" si="68"/>
        <v>1.5210084033613447</v>
      </c>
      <c r="K132" s="26">
        <f t="shared" si="68"/>
        <v>1.5185185185185184</v>
      </c>
      <c r="L132" s="26">
        <f t="shared" si="68"/>
        <v>1.5145631067961165</v>
      </c>
      <c r="M132" s="26">
        <f t="shared" si="68"/>
        <v>1.5154639175257731</v>
      </c>
      <c r="N132" s="26">
        <f t="shared" si="68"/>
        <v>1.5188679245283019</v>
      </c>
      <c r="O132" s="26">
        <f t="shared" si="68"/>
        <v>1.5154639175257731</v>
      </c>
      <c r="P132" s="119"/>
      <c r="Q132" s="132"/>
      <c r="R132" s="38" t="s">
        <v>104</v>
      </c>
      <c r="S132" s="52" t="str">
        <f t="shared" ref="S132:AE132" si="69">IF(OR(S130="",S131=""),"",S131/S130)</f>
        <v/>
      </c>
      <c r="T132" s="54" t="str">
        <f t="shared" si="69"/>
        <v/>
      </c>
      <c r="U132" s="54" t="str">
        <f t="shared" si="69"/>
        <v/>
      </c>
      <c r="V132" s="54" t="str">
        <f t="shared" si="69"/>
        <v/>
      </c>
      <c r="W132" s="54" t="str">
        <f t="shared" si="69"/>
        <v/>
      </c>
      <c r="X132" s="54" t="str">
        <f t="shared" si="69"/>
        <v/>
      </c>
      <c r="Y132" s="54" t="str">
        <f t="shared" si="69"/>
        <v/>
      </c>
      <c r="Z132" s="54" t="str">
        <f t="shared" si="69"/>
        <v/>
      </c>
      <c r="AA132" s="54" t="str">
        <f t="shared" si="69"/>
        <v/>
      </c>
      <c r="AB132" s="54" t="str">
        <f t="shared" si="69"/>
        <v/>
      </c>
      <c r="AC132" s="54" t="str">
        <f t="shared" si="69"/>
        <v/>
      </c>
      <c r="AD132" s="54" t="str">
        <f t="shared" si="69"/>
        <v/>
      </c>
      <c r="AE132" s="54" t="str">
        <f t="shared" si="69"/>
        <v/>
      </c>
    </row>
    <row r="133" spans="1:31" ht="15.6" x14ac:dyDescent="0.3">
      <c r="A133" s="132">
        <v>90</v>
      </c>
      <c r="B133" s="30" t="s">
        <v>102</v>
      </c>
      <c r="C133" s="37">
        <v>1.4</v>
      </c>
      <c r="D133" s="37">
        <v>2.34</v>
      </c>
      <c r="E133" s="37">
        <v>1.35</v>
      </c>
      <c r="F133" s="37">
        <v>1.35</v>
      </c>
      <c r="G133" s="37">
        <v>1.93</v>
      </c>
      <c r="H133" s="37">
        <v>1.53</v>
      </c>
      <c r="I133" s="37">
        <v>1.64</v>
      </c>
      <c r="J133" s="37">
        <v>1.87</v>
      </c>
      <c r="K133" s="37">
        <v>1.69</v>
      </c>
      <c r="L133" s="37">
        <v>1.61</v>
      </c>
      <c r="M133" s="37">
        <v>1.51</v>
      </c>
      <c r="N133" s="37">
        <v>1.66</v>
      </c>
      <c r="O133" s="37">
        <v>1.51</v>
      </c>
      <c r="P133" s="115"/>
      <c r="Q133" s="132"/>
      <c r="R133" s="30" t="s">
        <v>102</v>
      </c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  <c r="AE133" s="117"/>
    </row>
    <row r="134" spans="1:31" ht="15.6" x14ac:dyDescent="0.3">
      <c r="A134" s="132"/>
      <c r="B134" s="20" t="s">
        <v>103</v>
      </c>
      <c r="C134" s="32">
        <v>2.1</v>
      </c>
      <c r="D134" s="32">
        <v>3.49</v>
      </c>
      <c r="E134" s="32">
        <v>2.02</v>
      </c>
      <c r="F134" s="32">
        <v>2.02</v>
      </c>
      <c r="G134" s="32">
        <v>2.89</v>
      </c>
      <c r="H134" s="32">
        <v>2.2799999999999998</v>
      </c>
      <c r="I134" s="32">
        <v>2.4500000000000002</v>
      </c>
      <c r="J134" s="32">
        <v>2.79</v>
      </c>
      <c r="K134" s="32">
        <v>2.5299999999999998</v>
      </c>
      <c r="L134" s="32">
        <v>2.4</v>
      </c>
      <c r="M134" s="32">
        <v>2.2599999999999998</v>
      </c>
      <c r="N134" s="32">
        <v>2.4900000000000002</v>
      </c>
      <c r="O134" s="32">
        <v>2.2599999999999998</v>
      </c>
      <c r="P134" s="115"/>
      <c r="Q134" s="132"/>
      <c r="R134" s="20" t="s">
        <v>151</v>
      </c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</row>
    <row r="135" spans="1:31" ht="15.6" x14ac:dyDescent="0.3">
      <c r="A135" s="132"/>
      <c r="B135" s="38" t="s">
        <v>104</v>
      </c>
      <c r="C135" s="26">
        <f t="shared" ref="C135:O135" si="70">IF(OR(C133="",C134=""),"",C134/C133)</f>
        <v>1.5000000000000002</v>
      </c>
      <c r="D135" s="26">
        <f t="shared" si="70"/>
        <v>1.4914529914529917</v>
      </c>
      <c r="E135" s="26">
        <f t="shared" si="70"/>
        <v>1.4962962962962962</v>
      </c>
      <c r="F135" s="26">
        <f t="shared" si="70"/>
        <v>1.4962962962962962</v>
      </c>
      <c r="G135" s="26">
        <f t="shared" si="70"/>
        <v>1.4974093264248707</v>
      </c>
      <c r="H135" s="26">
        <f t="shared" si="70"/>
        <v>1.4901960784313724</v>
      </c>
      <c r="I135" s="26">
        <f t="shared" si="70"/>
        <v>1.4939024390243905</v>
      </c>
      <c r="J135" s="26">
        <f t="shared" si="70"/>
        <v>1.4919786096256684</v>
      </c>
      <c r="K135" s="26">
        <f t="shared" si="70"/>
        <v>1.4970414201183431</v>
      </c>
      <c r="L135" s="26">
        <f t="shared" si="70"/>
        <v>1.4906832298136645</v>
      </c>
      <c r="M135" s="26">
        <f t="shared" si="70"/>
        <v>1.4966887417218542</v>
      </c>
      <c r="N135" s="26">
        <f t="shared" si="70"/>
        <v>1.5000000000000002</v>
      </c>
      <c r="O135" s="26">
        <f t="shared" si="70"/>
        <v>1.4966887417218542</v>
      </c>
      <c r="P135" s="119"/>
      <c r="Q135" s="132"/>
      <c r="R135" s="38" t="s">
        <v>104</v>
      </c>
      <c r="S135" s="52" t="str">
        <f t="shared" ref="S135:AE135" si="71">IF(OR(S133="",S134=""),"",S134/S133)</f>
        <v/>
      </c>
      <c r="T135" s="54" t="str">
        <f t="shared" si="71"/>
        <v/>
      </c>
      <c r="U135" s="54" t="str">
        <f t="shared" si="71"/>
        <v/>
      </c>
      <c r="V135" s="54" t="str">
        <f t="shared" si="71"/>
        <v/>
      </c>
      <c r="W135" s="54" t="str">
        <f t="shared" si="71"/>
        <v/>
      </c>
      <c r="X135" s="54" t="str">
        <f t="shared" si="71"/>
        <v/>
      </c>
      <c r="Y135" s="54" t="str">
        <f t="shared" si="71"/>
        <v/>
      </c>
      <c r="Z135" s="54" t="str">
        <f t="shared" si="71"/>
        <v/>
      </c>
      <c r="AA135" s="54" t="str">
        <f t="shared" si="71"/>
        <v/>
      </c>
      <c r="AB135" s="54" t="str">
        <f t="shared" si="71"/>
        <v/>
      </c>
      <c r="AC135" s="54" t="str">
        <f t="shared" si="71"/>
        <v/>
      </c>
      <c r="AD135" s="54" t="str">
        <f t="shared" si="71"/>
        <v/>
      </c>
      <c r="AE135" s="54" t="str">
        <f t="shared" si="71"/>
        <v/>
      </c>
    </row>
    <row r="136" spans="1:31" ht="15.6" x14ac:dyDescent="0.3">
      <c r="A136" s="132">
        <v>100</v>
      </c>
      <c r="B136" s="30" t="s">
        <v>102</v>
      </c>
      <c r="C136" s="37">
        <v>2.04</v>
      </c>
      <c r="D136" s="37">
        <v>3.41</v>
      </c>
      <c r="E136" s="37">
        <v>1.98</v>
      </c>
      <c r="F136" s="37">
        <v>1.98</v>
      </c>
      <c r="G136" s="37">
        <v>2.82</v>
      </c>
      <c r="H136" s="37">
        <v>2.23</v>
      </c>
      <c r="I136" s="37">
        <v>2.39</v>
      </c>
      <c r="J136" s="37">
        <v>2.72</v>
      </c>
      <c r="K136" s="37">
        <v>2.4700000000000002</v>
      </c>
      <c r="L136" s="37">
        <v>2.34</v>
      </c>
      <c r="M136" s="37">
        <v>2.2000000000000002</v>
      </c>
      <c r="N136" s="37">
        <v>2.42</v>
      </c>
      <c r="O136" s="37">
        <v>2.21</v>
      </c>
      <c r="P136" s="115"/>
      <c r="Q136" s="132"/>
      <c r="R136" s="30" t="s">
        <v>102</v>
      </c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  <c r="AE136" s="117"/>
    </row>
    <row r="137" spans="1:31" ht="15.6" x14ac:dyDescent="0.3">
      <c r="A137" s="132"/>
      <c r="B137" s="20" t="s">
        <v>103</v>
      </c>
      <c r="C137" s="32">
        <v>2.94</v>
      </c>
      <c r="D137" s="32">
        <v>4.9000000000000004</v>
      </c>
      <c r="E137" s="32">
        <v>2.84</v>
      </c>
      <c r="F137" s="32">
        <v>2.84</v>
      </c>
      <c r="G137" s="32">
        <v>4.05</v>
      </c>
      <c r="H137" s="32">
        <v>3.2</v>
      </c>
      <c r="I137" s="32">
        <v>3.44</v>
      </c>
      <c r="J137" s="32">
        <v>3.91</v>
      </c>
      <c r="K137" s="32">
        <v>3.55</v>
      </c>
      <c r="L137" s="32">
        <v>3.37</v>
      </c>
      <c r="M137" s="32">
        <v>3.17</v>
      </c>
      <c r="N137" s="32">
        <v>3.48</v>
      </c>
      <c r="O137" s="32">
        <v>3.17</v>
      </c>
      <c r="P137" s="115"/>
      <c r="Q137" s="132"/>
      <c r="R137" s="20" t="s">
        <v>151</v>
      </c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</row>
    <row r="138" spans="1:31" ht="15.6" x14ac:dyDescent="0.3">
      <c r="A138" s="132"/>
      <c r="B138" s="38" t="s">
        <v>104</v>
      </c>
      <c r="C138" s="26">
        <f t="shared" ref="C138:O138" si="72">IF(OR(C136="",C137=""),"",C137/C136)</f>
        <v>1.4411764705882353</v>
      </c>
      <c r="D138" s="26">
        <f t="shared" si="72"/>
        <v>1.436950146627566</v>
      </c>
      <c r="E138" s="26">
        <f t="shared" si="72"/>
        <v>1.4343434343434343</v>
      </c>
      <c r="F138" s="26">
        <f t="shared" si="72"/>
        <v>1.4343434343434343</v>
      </c>
      <c r="G138" s="26">
        <f t="shared" si="72"/>
        <v>1.4361702127659575</v>
      </c>
      <c r="H138" s="26">
        <f t="shared" si="72"/>
        <v>1.4349775784753365</v>
      </c>
      <c r="I138" s="26">
        <f t="shared" si="72"/>
        <v>1.4393305439330544</v>
      </c>
      <c r="J138" s="26">
        <f t="shared" si="72"/>
        <v>1.4375</v>
      </c>
      <c r="K138" s="26">
        <f t="shared" si="72"/>
        <v>1.4372469635627529</v>
      </c>
      <c r="L138" s="26">
        <f t="shared" si="72"/>
        <v>1.4401709401709404</v>
      </c>
      <c r="M138" s="26">
        <f t="shared" si="72"/>
        <v>1.4409090909090907</v>
      </c>
      <c r="N138" s="26">
        <f t="shared" si="72"/>
        <v>1.4380165289256199</v>
      </c>
      <c r="O138" s="26">
        <f t="shared" si="72"/>
        <v>1.4343891402714932</v>
      </c>
      <c r="P138" s="119"/>
      <c r="Q138" s="132"/>
      <c r="R138" s="38" t="s">
        <v>104</v>
      </c>
      <c r="S138" s="52" t="str">
        <f t="shared" ref="S138:AE138" si="73">IF(OR(S136="",S137=""),"",S137/S136)</f>
        <v/>
      </c>
      <c r="T138" s="54" t="str">
        <f t="shared" si="73"/>
        <v/>
      </c>
      <c r="U138" s="54" t="str">
        <f t="shared" si="73"/>
        <v/>
      </c>
      <c r="V138" s="54" t="str">
        <f t="shared" si="73"/>
        <v/>
      </c>
      <c r="W138" s="54" t="str">
        <f t="shared" si="73"/>
        <v/>
      </c>
      <c r="X138" s="54" t="str">
        <f t="shared" si="73"/>
        <v/>
      </c>
      <c r="Y138" s="54" t="str">
        <f t="shared" si="73"/>
        <v/>
      </c>
      <c r="Z138" s="54" t="str">
        <f t="shared" si="73"/>
        <v/>
      </c>
      <c r="AA138" s="54" t="str">
        <f t="shared" si="73"/>
        <v/>
      </c>
      <c r="AB138" s="54" t="str">
        <f t="shared" si="73"/>
        <v/>
      </c>
      <c r="AC138" s="54" t="str">
        <f t="shared" si="73"/>
        <v/>
      </c>
      <c r="AD138" s="54" t="str">
        <f t="shared" si="73"/>
        <v/>
      </c>
      <c r="AE138" s="54" t="str">
        <f t="shared" si="73"/>
        <v/>
      </c>
    </row>
    <row r="139" spans="1:31" ht="15.6" x14ac:dyDescent="0.3">
      <c r="A139" s="132">
        <v>110</v>
      </c>
      <c r="B139" s="30" t="s">
        <v>102</v>
      </c>
      <c r="C139" s="37">
        <v>2.75</v>
      </c>
      <c r="D139" s="37">
        <v>4.59</v>
      </c>
      <c r="E139" s="37">
        <v>2.66</v>
      </c>
      <c r="F139" s="37">
        <v>2.66</v>
      </c>
      <c r="G139" s="37">
        <v>3.79</v>
      </c>
      <c r="H139" s="37">
        <v>3</v>
      </c>
      <c r="I139" s="37">
        <v>3.22</v>
      </c>
      <c r="J139" s="37">
        <v>3.66</v>
      </c>
      <c r="K139" s="37">
        <v>3.32</v>
      </c>
      <c r="L139" s="37">
        <v>3.5</v>
      </c>
      <c r="M139" s="37">
        <v>2.97</v>
      </c>
      <c r="N139" s="37">
        <v>3.26</v>
      </c>
      <c r="O139" s="37">
        <v>2.97</v>
      </c>
      <c r="P139" s="115"/>
      <c r="Q139" s="132"/>
      <c r="R139" s="30" t="s">
        <v>102</v>
      </c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  <c r="AE139" s="117"/>
    </row>
    <row r="140" spans="1:31" ht="15.6" x14ac:dyDescent="0.3">
      <c r="A140" s="132"/>
      <c r="B140" s="20" t="s">
        <v>103</v>
      </c>
      <c r="C140" s="32">
        <v>3.89</v>
      </c>
      <c r="D140" s="32">
        <v>6.48</v>
      </c>
      <c r="E140" s="32">
        <v>3.76</v>
      </c>
      <c r="F140" s="32">
        <v>3.76</v>
      </c>
      <c r="G140" s="32">
        <v>5.36</v>
      </c>
      <c r="H140" s="32">
        <v>4.24</v>
      </c>
      <c r="I140" s="32">
        <v>4.55</v>
      </c>
      <c r="J140" s="32">
        <v>5.17</v>
      </c>
      <c r="K140" s="32">
        <v>4.6900000000000004</v>
      </c>
      <c r="L140" s="32">
        <v>4.45</v>
      </c>
      <c r="M140" s="32">
        <v>4.1900000000000004</v>
      </c>
      <c r="N140" s="32">
        <v>4.6100000000000003</v>
      </c>
      <c r="O140" s="32">
        <v>4.1900000000000004</v>
      </c>
      <c r="P140" s="115"/>
      <c r="Q140" s="132"/>
      <c r="R140" s="20" t="s">
        <v>151</v>
      </c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</row>
    <row r="141" spans="1:31" ht="15.6" x14ac:dyDescent="0.3">
      <c r="A141" s="132"/>
      <c r="B141" s="38" t="s">
        <v>104</v>
      </c>
      <c r="C141" s="26">
        <f t="shared" ref="C141:O141" si="74">IF(OR(C139="",C140=""),"",C140/C139)</f>
        <v>1.4145454545454546</v>
      </c>
      <c r="D141" s="26">
        <f t="shared" si="74"/>
        <v>1.411764705882353</v>
      </c>
      <c r="E141" s="26">
        <f t="shared" si="74"/>
        <v>1.4135338345864661</v>
      </c>
      <c r="F141" s="26">
        <f t="shared" si="74"/>
        <v>1.4135338345864661</v>
      </c>
      <c r="G141" s="26">
        <f t="shared" si="74"/>
        <v>1.4142480211081796</v>
      </c>
      <c r="H141" s="26">
        <f t="shared" si="74"/>
        <v>1.4133333333333333</v>
      </c>
      <c r="I141" s="26">
        <f t="shared" si="74"/>
        <v>1.4130434782608694</v>
      </c>
      <c r="J141" s="26">
        <f t="shared" si="74"/>
        <v>1.4125683060109289</v>
      </c>
      <c r="K141" s="26">
        <f t="shared" si="74"/>
        <v>1.4126506024096388</v>
      </c>
      <c r="L141" s="26">
        <f t="shared" si="74"/>
        <v>1.2714285714285716</v>
      </c>
      <c r="M141" s="26">
        <f t="shared" si="74"/>
        <v>1.4107744107744109</v>
      </c>
      <c r="N141" s="26">
        <f t="shared" si="74"/>
        <v>1.414110429447853</v>
      </c>
      <c r="O141" s="26">
        <f t="shared" si="74"/>
        <v>1.4107744107744109</v>
      </c>
      <c r="P141" s="119"/>
      <c r="Q141" s="132"/>
      <c r="R141" s="38" t="s">
        <v>104</v>
      </c>
      <c r="S141" s="52" t="str">
        <f t="shared" ref="S141:AE141" si="75">IF(OR(S139="",S140=""),"",S140/S139)</f>
        <v/>
      </c>
      <c r="T141" s="54" t="str">
        <f t="shared" si="75"/>
        <v/>
      </c>
      <c r="U141" s="54" t="str">
        <f t="shared" si="75"/>
        <v/>
      </c>
      <c r="V141" s="54" t="str">
        <f t="shared" si="75"/>
        <v/>
      </c>
      <c r="W141" s="54" t="str">
        <f t="shared" si="75"/>
        <v/>
      </c>
      <c r="X141" s="54" t="str">
        <f t="shared" si="75"/>
        <v/>
      </c>
      <c r="Y141" s="54" t="str">
        <f t="shared" si="75"/>
        <v/>
      </c>
      <c r="Z141" s="54" t="str">
        <f t="shared" si="75"/>
        <v/>
      </c>
      <c r="AA141" s="54" t="str">
        <f t="shared" si="75"/>
        <v/>
      </c>
      <c r="AB141" s="54" t="str">
        <f t="shared" si="75"/>
        <v/>
      </c>
      <c r="AC141" s="54" t="str">
        <f t="shared" si="75"/>
        <v/>
      </c>
      <c r="AD141" s="54" t="str">
        <f t="shared" si="75"/>
        <v/>
      </c>
      <c r="AE141" s="54" t="str">
        <f t="shared" si="75"/>
        <v/>
      </c>
    </row>
    <row r="142" spans="1:31" ht="15.6" x14ac:dyDescent="0.3">
      <c r="A142" s="132">
        <v>120</v>
      </c>
      <c r="B142" s="30" t="s">
        <v>102</v>
      </c>
      <c r="C142" s="37">
        <v>3.56</v>
      </c>
      <c r="D142" s="37">
        <v>5.94</v>
      </c>
      <c r="E142" s="37">
        <v>3.44</v>
      </c>
      <c r="F142" s="37">
        <v>3.44</v>
      </c>
      <c r="G142" s="37">
        <v>4.91</v>
      </c>
      <c r="H142" s="37">
        <v>3.88</v>
      </c>
      <c r="I142" s="37">
        <v>4.17</v>
      </c>
      <c r="J142" s="37">
        <v>4.74</v>
      </c>
      <c r="K142" s="37">
        <v>4.3</v>
      </c>
      <c r="L142" s="37">
        <v>4.08</v>
      </c>
      <c r="M142" s="37">
        <v>3.84</v>
      </c>
      <c r="N142" s="37">
        <v>4.2300000000000004</v>
      </c>
      <c r="O142" s="37">
        <v>3.85</v>
      </c>
      <c r="P142" s="115"/>
      <c r="Q142" s="132"/>
      <c r="R142" s="30" t="s">
        <v>102</v>
      </c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  <c r="AE142" s="117"/>
    </row>
    <row r="143" spans="1:31" ht="15.6" x14ac:dyDescent="0.3">
      <c r="A143" s="132"/>
      <c r="B143" s="20" t="s">
        <v>103</v>
      </c>
      <c r="C143" s="32">
        <v>4.95</v>
      </c>
      <c r="D143" s="32">
        <v>8.26</v>
      </c>
      <c r="E143" s="32">
        <v>4.79</v>
      </c>
      <c r="F143" s="32">
        <v>4.79</v>
      </c>
      <c r="G143" s="32">
        <v>6.83</v>
      </c>
      <c r="H143" s="32">
        <v>5.4</v>
      </c>
      <c r="I143" s="32">
        <v>5.8</v>
      </c>
      <c r="J143" s="32">
        <v>6.59</v>
      </c>
      <c r="K143" s="32">
        <v>5.98</v>
      </c>
      <c r="L143" s="32">
        <v>5.68</v>
      </c>
      <c r="M143" s="32">
        <v>5.34</v>
      </c>
      <c r="N143" s="32">
        <v>5.87</v>
      </c>
      <c r="O143" s="32">
        <v>5.34</v>
      </c>
      <c r="P143" s="115"/>
      <c r="Q143" s="132"/>
      <c r="R143" s="20" t="s">
        <v>151</v>
      </c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</row>
    <row r="144" spans="1:31" ht="15.6" x14ac:dyDescent="0.3">
      <c r="A144" s="132"/>
      <c r="B144" s="38" t="s">
        <v>104</v>
      </c>
      <c r="C144" s="26">
        <f t="shared" ref="C144:O144" si="76">IF(OR(C142="",C143=""),"",C143/C142)</f>
        <v>1.3904494382022472</v>
      </c>
      <c r="D144" s="26">
        <f t="shared" si="76"/>
        <v>1.3905723905723903</v>
      </c>
      <c r="E144" s="26">
        <f t="shared" si="76"/>
        <v>1.3924418604651163</v>
      </c>
      <c r="F144" s="26">
        <f t="shared" si="76"/>
        <v>1.3924418604651163</v>
      </c>
      <c r="G144" s="26">
        <f t="shared" si="76"/>
        <v>1.3910386965376782</v>
      </c>
      <c r="H144" s="26">
        <f t="shared" si="76"/>
        <v>1.3917525773195878</v>
      </c>
      <c r="I144" s="26">
        <f t="shared" si="76"/>
        <v>1.3908872901678657</v>
      </c>
      <c r="J144" s="26">
        <f t="shared" si="76"/>
        <v>1.390295358649789</v>
      </c>
      <c r="K144" s="26">
        <f t="shared" si="76"/>
        <v>1.3906976744186048</v>
      </c>
      <c r="L144" s="26">
        <f t="shared" si="76"/>
        <v>1.392156862745098</v>
      </c>
      <c r="M144" s="26">
        <f t="shared" si="76"/>
        <v>1.390625</v>
      </c>
      <c r="N144" s="26">
        <f t="shared" si="76"/>
        <v>1.3877068557919621</v>
      </c>
      <c r="O144" s="26">
        <f t="shared" si="76"/>
        <v>1.387012987012987</v>
      </c>
      <c r="P144" s="119"/>
      <c r="Q144" s="132"/>
      <c r="R144" s="38" t="s">
        <v>104</v>
      </c>
      <c r="S144" s="52" t="str">
        <f t="shared" ref="S144:AE144" si="77">IF(OR(S142="",S143=""),"",S143/S142)</f>
        <v/>
      </c>
      <c r="T144" s="54" t="str">
        <f t="shared" si="77"/>
        <v/>
      </c>
      <c r="U144" s="54" t="str">
        <f t="shared" si="77"/>
        <v/>
      </c>
      <c r="V144" s="54" t="str">
        <f t="shared" si="77"/>
        <v/>
      </c>
      <c r="W144" s="54" t="str">
        <f t="shared" si="77"/>
        <v/>
      </c>
      <c r="X144" s="54" t="str">
        <f t="shared" si="77"/>
        <v/>
      </c>
      <c r="Y144" s="54" t="str">
        <f t="shared" si="77"/>
        <v/>
      </c>
      <c r="Z144" s="54" t="str">
        <f t="shared" si="77"/>
        <v/>
      </c>
      <c r="AA144" s="54" t="str">
        <f t="shared" si="77"/>
        <v/>
      </c>
      <c r="AB144" s="54" t="str">
        <f t="shared" si="77"/>
        <v/>
      </c>
      <c r="AC144" s="54" t="str">
        <f t="shared" si="77"/>
        <v/>
      </c>
      <c r="AD144" s="54" t="str">
        <f t="shared" si="77"/>
        <v/>
      </c>
      <c r="AE144" s="54" t="str">
        <f t="shared" si="77"/>
        <v/>
      </c>
    </row>
    <row r="145" spans="1:31" ht="15.6" x14ac:dyDescent="0.3">
      <c r="A145" s="132">
        <v>130</v>
      </c>
      <c r="B145" s="30" t="s">
        <v>102</v>
      </c>
      <c r="C145" s="37">
        <v>4.42</v>
      </c>
      <c r="D145" s="37">
        <v>7.37</v>
      </c>
      <c r="E145" s="37">
        <v>4.2699999999999996</v>
      </c>
      <c r="F145" s="37">
        <v>4.2699999999999996</v>
      </c>
      <c r="G145" s="37">
        <v>609</v>
      </c>
      <c r="H145" s="37">
        <v>4.82</v>
      </c>
      <c r="I145" s="37">
        <v>5.17</v>
      </c>
      <c r="J145" s="37">
        <v>5.88</v>
      </c>
      <c r="K145" s="37">
        <v>5.34</v>
      </c>
      <c r="L145" s="37">
        <v>5.07</v>
      </c>
      <c r="M145" s="37">
        <v>4.7699999999999996</v>
      </c>
      <c r="N145" s="37">
        <v>5.24</v>
      </c>
      <c r="O145" s="37">
        <v>4.7699999999999996</v>
      </c>
      <c r="P145" s="115"/>
      <c r="Q145" s="132"/>
      <c r="R145" s="30" t="s">
        <v>102</v>
      </c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  <c r="AE145" s="117"/>
    </row>
    <row r="146" spans="1:31" ht="15.6" x14ac:dyDescent="0.3">
      <c r="A146" s="132"/>
      <c r="B146" s="20" t="s">
        <v>103</v>
      </c>
      <c r="C146" s="32">
        <v>6.08</v>
      </c>
      <c r="D146" s="32">
        <v>10.130000000000001</v>
      </c>
      <c r="E146" s="32">
        <v>5.87</v>
      </c>
      <c r="F146" s="32">
        <v>5.87</v>
      </c>
      <c r="G146" s="32">
        <v>8.3800000000000008</v>
      </c>
      <c r="H146" s="32">
        <v>6.63</v>
      </c>
      <c r="I146" s="32">
        <v>7.11</v>
      </c>
      <c r="J146" s="32">
        <v>8.09</v>
      </c>
      <c r="K146" s="32">
        <v>7.34</v>
      </c>
      <c r="L146" s="32">
        <v>6.97</v>
      </c>
      <c r="M146" s="32">
        <v>6.55</v>
      </c>
      <c r="N146" s="32">
        <v>7.21</v>
      </c>
      <c r="O146" s="32">
        <v>6.56</v>
      </c>
      <c r="P146" s="115"/>
      <c r="Q146" s="132"/>
      <c r="R146" s="20" t="s">
        <v>151</v>
      </c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</row>
    <row r="147" spans="1:31" ht="15.6" x14ac:dyDescent="0.3">
      <c r="A147" s="132"/>
      <c r="B147" s="38" t="s">
        <v>104</v>
      </c>
      <c r="C147" s="26">
        <f t="shared" ref="C147:O147" si="78">IF(OR(C145="",C146=""),"",C146/C145)</f>
        <v>1.3755656108597285</v>
      </c>
      <c r="D147" s="26">
        <f t="shared" si="78"/>
        <v>1.3744911804613298</v>
      </c>
      <c r="E147" s="26">
        <f t="shared" si="78"/>
        <v>1.3747072599531618</v>
      </c>
      <c r="F147" s="26">
        <f t="shared" si="78"/>
        <v>1.3747072599531618</v>
      </c>
      <c r="G147" s="26">
        <f t="shared" si="78"/>
        <v>1.3760262725779968E-2</v>
      </c>
      <c r="H147" s="26">
        <f t="shared" si="78"/>
        <v>1.3755186721991701</v>
      </c>
      <c r="I147" s="26">
        <f t="shared" si="78"/>
        <v>1.3752417794970988</v>
      </c>
      <c r="J147" s="26">
        <f t="shared" si="78"/>
        <v>1.3758503401360545</v>
      </c>
      <c r="K147" s="26">
        <f t="shared" si="78"/>
        <v>1.3745318352059925</v>
      </c>
      <c r="L147" s="26">
        <f t="shared" si="78"/>
        <v>1.3747534516765285</v>
      </c>
      <c r="M147" s="26">
        <f t="shared" si="78"/>
        <v>1.3731656184486374</v>
      </c>
      <c r="N147" s="26">
        <f t="shared" si="78"/>
        <v>1.3759541984732824</v>
      </c>
      <c r="O147" s="26">
        <f t="shared" si="78"/>
        <v>1.3752620545073375</v>
      </c>
      <c r="P147" s="119"/>
      <c r="Q147" s="132"/>
      <c r="R147" s="38" t="s">
        <v>104</v>
      </c>
      <c r="S147" s="52" t="str">
        <f t="shared" ref="S147:AE147" si="79">IF(OR(S145="",S146=""),"",S146/S145)</f>
        <v/>
      </c>
      <c r="T147" s="54" t="str">
        <f t="shared" si="79"/>
        <v/>
      </c>
      <c r="U147" s="54" t="str">
        <f t="shared" si="79"/>
        <v/>
      </c>
      <c r="V147" s="54" t="str">
        <f t="shared" si="79"/>
        <v/>
      </c>
      <c r="W147" s="54" t="str">
        <f t="shared" si="79"/>
        <v/>
      </c>
      <c r="X147" s="54" t="str">
        <f t="shared" si="79"/>
        <v/>
      </c>
      <c r="Y147" s="54" t="str">
        <f t="shared" si="79"/>
        <v/>
      </c>
      <c r="Z147" s="54" t="str">
        <f t="shared" si="79"/>
        <v/>
      </c>
      <c r="AA147" s="54" t="str">
        <f t="shared" si="79"/>
        <v/>
      </c>
      <c r="AB147" s="54" t="str">
        <f t="shared" si="79"/>
        <v/>
      </c>
      <c r="AC147" s="54" t="str">
        <f t="shared" si="79"/>
        <v/>
      </c>
      <c r="AD147" s="54" t="str">
        <f t="shared" si="79"/>
        <v/>
      </c>
      <c r="AE147" s="54" t="str">
        <f t="shared" si="79"/>
        <v/>
      </c>
    </row>
    <row r="148" spans="1:31" ht="15.6" x14ac:dyDescent="0.3">
      <c r="A148" s="132">
        <v>140</v>
      </c>
      <c r="B148" s="30" t="s">
        <v>102</v>
      </c>
      <c r="C148" s="37">
        <v>5.34</v>
      </c>
      <c r="D148" s="37">
        <v>8.9</v>
      </c>
      <c r="E148" s="37">
        <v>5.16</v>
      </c>
      <c r="F148" s="37">
        <v>5.16</v>
      </c>
      <c r="G148" s="37">
        <v>7.36</v>
      </c>
      <c r="H148" s="37">
        <v>5.82</v>
      </c>
      <c r="I148" s="37">
        <v>6.25</v>
      </c>
      <c r="J148" s="37">
        <v>7.1</v>
      </c>
      <c r="K148" s="37">
        <v>6.45</v>
      </c>
      <c r="L148" s="37">
        <v>6.12</v>
      </c>
      <c r="M148" s="37">
        <v>5.76</v>
      </c>
      <c r="N148" s="37">
        <v>6.33</v>
      </c>
      <c r="O148" s="37">
        <v>5.76</v>
      </c>
      <c r="P148" s="115"/>
      <c r="Q148" s="132"/>
      <c r="R148" s="30" t="s">
        <v>102</v>
      </c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  <c r="AE148" s="117"/>
    </row>
    <row r="149" spans="1:31" ht="15.6" x14ac:dyDescent="0.3">
      <c r="A149" s="132"/>
      <c r="B149" s="20" t="s">
        <v>103</v>
      </c>
      <c r="C149" s="32">
        <v>7.28</v>
      </c>
      <c r="D149" s="32">
        <v>12.14</v>
      </c>
      <c r="E149" s="32">
        <v>7.04</v>
      </c>
      <c r="F149" s="32">
        <v>7.04</v>
      </c>
      <c r="G149" s="32">
        <v>10.039999999999999</v>
      </c>
      <c r="H149" s="32">
        <v>7.94</v>
      </c>
      <c r="I149" s="32">
        <v>8.52</v>
      </c>
      <c r="J149" s="32">
        <v>9.69</v>
      </c>
      <c r="K149" s="32">
        <v>8.7899999999999991</v>
      </c>
      <c r="L149" s="32">
        <v>8.35</v>
      </c>
      <c r="M149" s="32">
        <v>7.85</v>
      </c>
      <c r="N149" s="32">
        <v>8.64</v>
      </c>
      <c r="O149" s="32">
        <v>7.86</v>
      </c>
      <c r="P149" s="115"/>
      <c r="Q149" s="132"/>
      <c r="R149" s="20" t="s">
        <v>151</v>
      </c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</row>
    <row r="150" spans="1:31" ht="15.6" x14ac:dyDescent="0.3">
      <c r="A150" s="132"/>
      <c r="B150" s="38" t="s">
        <v>104</v>
      </c>
      <c r="C150" s="26">
        <f t="shared" ref="C150:O150" si="80">IF(OR(C148="",C149=""),"",C149/C148)</f>
        <v>1.3632958801498127</v>
      </c>
      <c r="D150" s="26">
        <f t="shared" si="80"/>
        <v>1.3640449438202247</v>
      </c>
      <c r="E150" s="26">
        <f t="shared" si="80"/>
        <v>1.3643410852713178</v>
      </c>
      <c r="F150" s="26">
        <f t="shared" si="80"/>
        <v>1.3643410852713178</v>
      </c>
      <c r="G150" s="26">
        <f t="shared" si="80"/>
        <v>1.3641304347826084</v>
      </c>
      <c r="H150" s="26">
        <f t="shared" si="80"/>
        <v>1.3642611683848798</v>
      </c>
      <c r="I150" s="26">
        <f t="shared" si="80"/>
        <v>1.3632</v>
      </c>
      <c r="J150" s="26">
        <f t="shared" si="80"/>
        <v>1.3647887323943662</v>
      </c>
      <c r="K150" s="26">
        <f t="shared" si="80"/>
        <v>1.3627906976744184</v>
      </c>
      <c r="L150" s="26">
        <f t="shared" si="80"/>
        <v>1.3643790849673201</v>
      </c>
      <c r="M150" s="26">
        <f t="shared" si="80"/>
        <v>1.3628472222222223</v>
      </c>
      <c r="N150" s="26">
        <f t="shared" si="80"/>
        <v>1.3649289099526067</v>
      </c>
      <c r="O150" s="26">
        <f t="shared" si="80"/>
        <v>1.3645833333333335</v>
      </c>
      <c r="P150" s="119"/>
      <c r="Q150" s="132"/>
      <c r="R150" s="38" t="s">
        <v>104</v>
      </c>
      <c r="S150" s="52" t="str">
        <f t="shared" ref="S150:AE150" si="81">IF(OR(S148="",S149=""),"",S149/S148)</f>
        <v/>
      </c>
      <c r="T150" s="54" t="str">
        <f t="shared" si="81"/>
        <v/>
      </c>
      <c r="U150" s="54" t="str">
        <f t="shared" si="81"/>
        <v/>
      </c>
      <c r="V150" s="54" t="str">
        <f t="shared" si="81"/>
        <v/>
      </c>
      <c r="W150" s="54" t="str">
        <f t="shared" si="81"/>
        <v/>
      </c>
      <c r="X150" s="54" t="str">
        <f t="shared" si="81"/>
        <v/>
      </c>
      <c r="Y150" s="54" t="str">
        <f t="shared" si="81"/>
        <v/>
      </c>
      <c r="Z150" s="54" t="str">
        <f t="shared" si="81"/>
        <v/>
      </c>
      <c r="AA150" s="54" t="str">
        <f t="shared" si="81"/>
        <v/>
      </c>
      <c r="AB150" s="54" t="str">
        <f t="shared" si="81"/>
        <v/>
      </c>
      <c r="AC150" s="54" t="str">
        <f t="shared" si="81"/>
        <v/>
      </c>
      <c r="AD150" s="54" t="str">
        <f t="shared" si="81"/>
        <v/>
      </c>
      <c r="AE150" s="54" t="str">
        <f t="shared" si="81"/>
        <v/>
      </c>
    </row>
    <row r="151" spans="1:31" ht="15.6" x14ac:dyDescent="0.3">
      <c r="A151" s="132">
        <v>150</v>
      </c>
      <c r="B151" s="30" t="s">
        <v>102</v>
      </c>
      <c r="C151" s="37">
        <v>6.33</v>
      </c>
      <c r="D151" s="37">
        <v>10.56</v>
      </c>
      <c r="E151" s="37">
        <v>6.12</v>
      </c>
      <c r="F151" s="37">
        <v>6.12</v>
      </c>
      <c r="G151" s="37">
        <v>8.73</v>
      </c>
      <c r="H151" s="37">
        <v>6.9</v>
      </c>
      <c r="I151" s="37">
        <v>7.41</v>
      </c>
      <c r="J151" s="37">
        <v>8.42</v>
      </c>
      <c r="K151" s="37">
        <v>7.65</v>
      </c>
      <c r="L151" s="37">
        <v>7.26</v>
      </c>
      <c r="M151" s="37">
        <v>6.83</v>
      </c>
      <c r="N151" s="37">
        <v>7.51</v>
      </c>
      <c r="O151" s="37">
        <v>6.83</v>
      </c>
      <c r="P151" s="115"/>
      <c r="Q151" s="132"/>
      <c r="R151" s="30" t="s">
        <v>102</v>
      </c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  <c r="AE151" s="117"/>
    </row>
    <row r="152" spans="1:31" ht="15.6" x14ac:dyDescent="0.3">
      <c r="A152" s="132"/>
      <c r="B152" s="20" t="s">
        <v>103</v>
      </c>
      <c r="C152" s="32">
        <v>8.56</v>
      </c>
      <c r="D152" s="32">
        <v>14.27</v>
      </c>
      <c r="E152" s="32">
        <v>8.27</v>
      </c>
      <c r="F152" s="32">
        <v>8.27</v>
      </c>
      <c r="G152" s="32">
        <v>11.8</v>
      </c>
      <c r="H152" s="32">
        <v>9.33</v>
      </c>
      <c r="I152" s="32">
        <v>10.02</v>
      </c>
      <c r="J152" s="32">
        <v>11.39</v>
      </c>
      <c r="K152" s="32">
        <v>10.34</v>
      </c>
      <c r="L152" s="32">
        <v>9.81</v>
      </c>
      <c r="M152" s="32">
        <v>9.23</v>
      </c>
      <c r="N152" s="32">
        <v>10.16</v>
      </c>
      <c r="O152" s="32">
        <v>9.24</v>
      </c>
      <c r="P152" s="115"/>
      <c r="Q152" s="132"/>
      <c r="R152" s="20" t="s">
        <v>151</v>
      </c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</row>
    <row r="153" spans="1:31" ht="15.6" x14ac:dyDescent="0.3">
      <c r="A153" s="132"/>
      <c r="B153" s="38" t="s">
        <v>104</v>
      </c>
      <c r="C153" s="26">
        <f t="shared" ref="C153:O153" si="82">IF(OR(C151="",C152=""),"",C152/C151)</f>
        <v>1.3522906793048974</v>
      </c>
      <c r="D153" s="26">
        <f t="shared" si="82"/>
        <v>1.3513257575757576</v>
      </c>
      <c r="E153" s="26">
        <f t="shared" si="82"/>
        <v>1.3513071895424835</v>
      </c>
      <c r="F153" s="26">
        <f t="shared" si="82"/>
        <v>1.3513071895424835</v>
      </c>
      <c r="G153" s="26">
        <f t="shared" si="82"/>
        <v>1.3516609392898054</v>
      </c>
      <c r="H153" s="26">
        <f t="shared" si="82"/>
        <v>1.3521739130434782</v>
      </c>
      <c r="I153" s="26">
        <f t="shared" si="82"/>
        <v>1.3522267206477732</v>
      </c>
      <c r="J153" s="26">
        <f t="shared" si="82"/>
        <v>1.3527315914489313</v>
      </c>
      <c r="K153" s="26">
        <f t="shared" si="82"/>
        <v>1.3516339869281044</v>
      </c>
      <c r="L153" s="26">
        <f t="shared" si="82"/>
        <v>1.3512396694214877</v>
      </c>
      <c r="M153" s="26">
        <f t="shared" si="82"/>
        <v>1.3513909224011713</v>
      </c>
      <c r="N153" s="26">
        <f t="shared" si="82"/>
        <v>1.3528628495339547</v>
      </c>
      <c r="O153" s="26">
        <f t="shared" si="82"/>
        <v>1.3528550512445094</v>
      </c>
      <c r="P153" s="119"/>
      <c r="Q153" s="132"/>
      <c r="R153" s="38" t="s">
        <v>104</v>
      </c>
      <c r="S153" s="52" t="str">
        <f t="shared" ref="S153:AE153" si="83">IF(OR(S151="",S152=""),"",S152/S151)</f>
        <v/>
      </c>
      <c r="T153" s="54" t="str">
        <f t="shared" si="83"/>
        <v/>
      </c>
      <c r="U153" s="54" t="str">
        <f t="shared" si="83"/>
        <v/>
      </c>
      <c r="V153" s="54" t="str">
        <f t="shared" si="83"/>
        <v/>
      </c>
      <c r="W153" s="54" t="str">
        <f t="shared" si="83"/>
        <v/>
      </c>
      <c r="X153" s="54" t="str">
        <f t="shared" si="83"/>
        <v/>
      </c>
      <c r="Y153" s="54" t="str">
        <f t="shared" si="83"/>
        <v/>
      </c>
      <c r="Z153" s="54" t="str">
        <f t="shared" si="83"/>
        <v/>
      </c>
      <c r="AA153" s="54" t="str">
        <f t="shared" si="83"/>
        <v/>
      </c>
      <c r="AB153" s="54" t="str">
        <f t="shared" si="83"/>
        <v/>
      </c>
      <c r="AC153" s="54" t="str">
        <f t="shared" si="83"/>
        <v/>
      </c>
      <c r="AD153" s="54" t="str">
        <f t="shared" si="83"/>
        <v/>
      </c>
      <c r="AE153" s="54" t="str">
        <f t="shared" si="83"/>
        <v/>
      </c>
    </row>
    <row r="154" spans="1:31" ht="15.6" x14ac:dyDescent="0.3">
      <c r="A154" s="132" t="s">
        <v>145</v>
      </c>
      <c r="B154" s="30" t="s">
        <v>102</v>
      </c>
      <c r="C154" s="37">
        <v>0.25</v>
      </c>
      <c r="D154" s="37">
        <v>0.42</v>
      </c>
      <c r="E154" s="37">
        <v>0.24</v>
      </c>
      <c r="F154" s="37">
        <v>0.24</v>
      </c>
      <c r="G154" s="37">
        <v>0.35</v>
      </c>
      <c r="H154" s="37">
        <v>0.27</v>
      </c>
      <c r="I154" s="37">
        <v>0.28999999999999998</v>
      </c>
      <c r="J154" s="37">
        <v>0.33</v>
      </c>
      <c r="K154" s="37">
        <v>0.3</v>
      </c>
      <c r="L154" s="37">
        <v>0.28999999999999998</v>
      </c>
      <c r="M154" s="37">
        <v>0.27</v>
      </c>
      <c r="N154" s="37">
        <v>0.3</v>
      </c>
      <c r="O154" s="37">
        <v>0.27</v>
      </c>
      <c r="P154" s="115"/>
      <c r="Q154" s="132"/>
      <c r="R154" s="30" t="s">
        <v>102</v>
      </c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  <c r="AE154" s="117"/>
    </row>
    <row r="155" spans="1:31" ht="15.6" x14ac:dyDescent="0.3">
      <c r="A155" s="132"/>
      <c r="B155" s="20" t="s">
        <v>103</v>
      </c>
      <c r="C155" s="32">
        <v>0.32</v>
      </c>
      <c r="D155" s="32">
        <v>0.53</v>
      </c>
      <c r="E155" s="32">
        <v>0.31</v>
      </c>
      <c r="F155" s="32">
        <v>0.31</v>
      </c>
      <c r="G155" s="32">
        <v>0.44</v>
      </c>
      <c r="H155" s="32">
        <v>0.35</v>
      </c>
      <c r="I155" s="32">
        <v>0.38</v>
      </c>
      <c r="J155" s="32">
        <v>0.43</v>
      </c>
      <c r="K155" s="32">
        <v>0.39</v>
      </c>
      <c r="L155" s="32">
        <v>0.37</v>
      </c>
      <c r="M155" s="32">
        <v>0.35</v>
      </c>
      <c r="N155" s="32">
        <v>0.38</v>
      </c>
      <c r="O155" s="32">
        <v>0.35</v>
      </c>
      <c r="P155" s="115"/>
      <c r="Q155" s="132"/>
      <c r="R155" s="20" t="s">
        <v>151</v>
      </c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</row>
    <row r="156" spans="1:31" ht="15.6" x14ac:dyDescent="0.3">
      <c r="A156" s="132"/>
      <c r="B156" s="38" t="s">
        <v>104</v>
      </c>
      <c r="C156" s="26">
        <f t="shared" ref="C156:O156" si="84">IF(OR(C154="",C155=""),"",C155/C154)</f>
        <v>1.28</v>
      </c>
      <c r="D156" s="26">
        <f t="shared" si="84"/>
        <v>1.2619047619047621</v>
      </c>
      <c r="E156" s="26">
        <f t="shared" si="84"/>
        <v>1.2916666666666667</v>
      </c>
      <c r="F156" s="26">
        <f t="shared" si="84"/>
        <v>1.2916666666666667</v>
      </c>
      <c r="G156" s="26">
        <f t="shared" si="84"/>
        <v>1.2571428571428573</v>
      </c>
      <c r="H156" s="26">
        <f t="shared" si="84"/>
        <v>1.2962962962962961</v>
      </c>
      <c r="I156" s="26">
        <f t="shared" si="84"/>
        <v>1.3103448275862071</v>
      </c>
      <c r="J156" s="26">
        <f t="shared" si="84"/>
        <v>1.303030303030303</v>
      </c>
      <c r="K156" s="26">
        <f t="shared" si="84"/>
        <v>1.3</v>
      </c>
      <c r="L156" s="26">
        <f t="shared" si="84"/>
        <v>1.2758620689655173</v>
      </c>
      <c r="M156" s="26">
        <f t="shared" si="84"/>
        <v>1.2962962962962961</v>
      </c>
      <c r="N156" s="26">
        <f t="shared" si="84"/>
        <v>1.2666666666666668</v>
      </c>
      <c r="O156" s="26">
        <f t="shared" si="84"/>
        <v>1.2962962962962961</v>
      </c>
      <c r="P156" s="119"/>
      <c r="Q156" s="132"/>
      <c r="R156" s="38" t="s">
        <v>104</v>
      </c>
      <c r="S156" s="52" t="str">
        <f t="shared" ref="S156:AE156" si="85">IF(OR(S154="",S155=""),"",S155/S154)</f>
        <v/>
      </c>
      <c r="T156" s="54" t="str">
        <f t="shared" si="85"/>
        <v/>
      </c>
      <c r="U156" s="54" t="str">
        <f t="shared" si="85"/>
        <v/>
      </c>
      <c r="V156" s="54" t="str">
        <f t="shared" si="85"/>
        <v/>
      </c>
      <c r="W156" s="54" t="str">
        <f t="shared" si="85"/>
        <v/>
      </c>
      <c r="X156" s="54" t="str">
        <f t="shared" si="85"/>
        <v/>
      </c>
      <c r="Y156" s="54" t="str">
        <f t="shared" si="85"/>
        <v/>
      </c>
      <c r="Z156" s="54" t="str">
        <f t="shared" si="85"/>
        <v/>
      </c>
      <c r="AA156" s="54" t="str">
        <f t="shared" si="85"/>
        <v/>
      </c>
      <c r="AB156" s="54" t="str">
        <f t="shared" si="85"/>
        <v/>
      </c>
      <c r="AC156" s="54" t="str">
        <f t="shared" si="85"/>
        <v/>
      </c>
      <c r="AD156" s="54" t="str">
        <f t="shared" si="85"/>
        <v/>
      </c>
      <c r="AE156" s="54" t="str">
        <f t="shared" si="85"/>
        <v/>
      </c>
    </row>
    <row r="157" spans="1:31" ht="15.6" x14ac:dyDescent="0.3">
      <c r="A157" s="132" t="s">
        <v>152</v>
      </c>
      <c r="B157" s="30" t="s">
        <v>102</v>
      </c>
      <c r="C157" s="37">
        <v>1.78</v>
      </c>
      <c r="D157" s="37">
        <v>2.97</v>
      </c>
      <c r="E157" s="37">
        <v>1.72</v>
      </c>
      <c r="F157" s="37">
        <v>1.72</v>
      </c>
      <c r="G157" s="37">
        <v>2.46</v>
      </c>
      <c r="H157" s="37">
        <v>1.94</v>
      </c>
      <c r="I157" s="37">
        <v>2.09</v>
      </c>
      <c r="J157" s="37">
        <v>2.37</v>
      </c>
      <c r="K157" s="37">
        <v>2.15</v>
      </c>
      <c r="L157" s="37">
        <v>2.04</v>
      </c>
      <c r="M157" s="37">
        <v>1.92</v>
      </c>
      <c r="N157" s="37">
        <v>2.12</v>
      </c>
      <c r="O157" s="37">
        <v>1.92</v>
      </c>
      <c r="P157" s="115"/>
      <c r="Q157" s="132"/>
      <c r="R157" s="30" t="s">
        <v>102</v>
      </c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  <c r="AE157" s="117"/>
    </row>
    <row r="158" spans="1:31" ht="15.6" x14ac:dyDescent="0.3">
      <c r="A158" s="132"/>
      <c r="B158" s="20" t="s">
        <v>103</v>
      </c>
      <c r="C158" s="32">
        <v>2.2599999999999998</v>
      </c>
      <c r="D158" s="32">
        <v>3.77</v>
      </c>
      <c r="E158" s="32">
        <v>2.1800000000000002</v>
      </c>
      <c r="F158" s="32">
        <v>2.1800000000000002</v>
      </c>
      <c r="G158" s="32">
        <v>3.12</v>
      </c>
      <c r="H158" s="32">
        <v>2.46</v>
      </c>
      <c r="I158" s="32">
        <v>2.65</v>
      </c>
      <c r="J158" s="32">
        <v>3.01</v>
      </c>
      <c r="K158" s="32">
        <v>2.73</v>
      </c>
      <c r="L158" s="32">
        <v>2.59</v>
      </c>
      <c r="M158" s="32">
        <v>2.44</v>
      </c>
      <c r="N158" s="32">
        <v>2.68</v>
      </c>
      <c r="O158" s="32">
        <v>2.44</v>
      </c>
      <c r="P158" s="115"/>
      <c r="Q158" s="132"/>
      <c r="R158" s="20" t="s">
        <v>151</v>
      </c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</row>
    <row r="159" spans="1:31" ht="15.6" x14ac:dyDescent="0.3">
      <c r="A159" s="132"/>
      <c r="B159" s="38" t="s">
        <v>104</v>
      </c>
      <c r="C159" s="26">
        <f t="shared" ref="C159:O159" si="86">IF(OR(C157="",C158=""),"",C158/C157)</f>
        <v>1.2696629213483144</v>
      </c>
      <c r="D159" s="26">
        <f t="shared" si="86"/>
        <v>1.2693602693602692</v>
      </c>
      <c r="E159" s="26">
        <f t="shared" si="86"/>
        <v>1.2674418604651163</v>
      </c>
      <c r="F159" s="26">
        <f t="shared" si="86"/>
        <v>1.2674418604651163</v>
      </c>
      <c r="G159" s="26">
        <f t="shared" si="86"/>
        <v>1.2682926829268293</v>
      </c>
      <c r="H159" s="26">
        <f t="shared" si="86"/>
        <v>1.268041237113402</v>
      </c>
      <c r="I159" s="26">
        <f t="shared" si="86"/>
        <v>1.2679425837320575</v>
      </c>
      <c r="J159" s="26">
        <f t="shared" si="86"/>
        <v>1.2700421940928268</v>
      </c>
      <c r="K159" s="26">
        <f t="shared" si="86"/>
        <v>1.2697674418604652</v>
      </c>
      <c r="L159" s="26">
        <f t="shared" si="86"/>
        <v>1.2696078431372548</v>
      </c>
      <c r="M159" s="26">
        <f t="shared" si="86"/>
        <v>1.2708333333333333</v>
      </c>
      <c r="N159" s="26">
        <f t="shared" si="86"/>
        <v>1.2641509433962264</v>
      </c>
      <c r="O159" s="26">
        <f t="shared" si="86"/>
        <v>1.2708333333333333</v>
      </c>
      <c r="P159" s="119"/>
      <c r="Q159" s="132"/>
      <c r="R159" s="38" t="s">
        <v>104</v>
      </c>
      <c r="S159" s="52" t="str">
        <f t="shared" ref="S159:AE159" si="87">IF(OR(S157="",S158=""),"",S158/S157)</f>
        <v/>
      </c>
      <c r="T159" s="54" t="str">
        <f t="shared" si="87"/>
        <v/>
      </c>
      <c r="U159" s="54" t="str">
        <f t="shared" si="87"/>
        <v/>
      </c>
      <c r="V159" s="54" t="str">
        <f t="shared" si="87"/>
        <v/>
      </c>
      <c r="W159" s="54" t="str">
        <f t="shared" si="87"/>
        <v/>
      </c>
      <c r="X159" s="54" t="str">
        <f t="shared" si="87"/>
        <v/>
      </c>
      <c r="Y159" s="54" t="str">
        <f t="shared" si="87"/>
        <v/>
      </c>
      <c r="Z159" s="54" t="str">
        <f t="shared" si="87"/>
        <v/>
      </c>
      <c r="AA159" s="54" t="str">
        <f t="shared" si="87"/>
        <v/>
      </c>
      <c r="AB159" s="54" t="str">
        <f t="shared" si="87"/>
        <v/>
      </c>
      <c r="AC159" s="54" t="str">
        <f t="shared" si="87"/>
        <v/>
      </c>
      <c r="AD159" s="54" t="str">
        <f t="shared" si="87"/>
        <v/>
      </c>
      <c r="AE159" s="54" t="str">
        <f t="shared" si="87"/>
        <v/>
      </c>
    </row>
  </sheetData>
  <mergeCells count="88">
    <mergeCell ref="A7:A9"/>
    <mergeCell ref="Q7:Q9"/>
    <mergeCell ref="A10:A12"/>
    <mergeCell ref="Q10:Q12"/>
    <mergeCell ref="A13:A15"/>
    <mergeCell ref="Q13:Q15"/>
    <mergeCell ref="A16:A18"/>
    <mergeCell ref="Q16:Q18"/>
    <mergeCell ref="A19:A21"/>
    <mergeCell ref="Q19:Q21"/>
    <mergeCell ref="A22:A24"/>
    <mergeCell ref="Q22:Q24"/>
    <mergeCell ref="A25:A27"/>
    <mergeCell ref="Q25:Q27"/>
    <mergeCell ref="A28:A30"/>
    <mergeCell ref="Q28:Q30"/>
    <mergeCell ref="A31:A33"/>
    <mergeCell ref="Q31:Q33"/>
    <mergeCell ref="A34:A36"/>
    <mergeCell ref="Q34:Q36"/>
    <mergeCell ref="A37:A39"/>
    <mergeCell ref="Q37:Q39"/>
    <mergeCell ref="A47:A49"/>
    <mergeCell ref="Q47:Q49"/>
    <mergeCell ref="A50:A52"/>
    <mergeCell ref="Q50:Q52"/>
    <mergeCell ref="A53:A55"/>
    <mergeCell ref="Q53:Q55"/>
    <mergeCell ref="A56:A58"/>
    <mergeCell ref="Q56:Q58"/>
    <mergeCell ref="A59:A61"/>
    <mergeCell ref="Q59:Q61"/>
    <mergeCell ref="A62:A64"/>
    <mergeCell ref="Q62:Q64"/>
    <mergeCell ref="A65:A67"/>
    <mergeCell ref="Q65:Q67"/>
    <mergeCell ref="A68:A70"/>
    <mergeCell ref="Q68:Q70"/>
    <mergeCell ref="A71:A73"/>
    <mergeCell ref="Q71:Q73"/>
    <mergeCell ref="A74:A76"/>
    <mergeCell ref="Q74:Q76"/>
    <mergeCell ref="A77:A79"/>
    <mergeCell ref="Q77:Q79"/>
    <mergeCell ref="A87:A89"/>
    <mergeCell ref="Q87:Q89"/>
    <mergeCell ref="A90:A92"/>
    <mergeCell ref="Q90:Q92"/>
    <mergeCell ref="A93:A95"/>
    <mergeCell ref="Q93:Q95"/>
    <mergeCell ref="A96:A98"/>
    <mergeCell ref="Q96:Q98"/>
    <mergeCell ref="A99:A101"/>
    <mergeCell ref="Q99:Q101"/>
    <mergeCell ref="A102:A104"/>
    <mergeCell ref="Q102:Q104"/>
    <mergeCell ref="A105:A107"/>
    <mergeCell ref="Q105:Q107"/>
    <mergeCell ref="A108:A110"/>
    <mergeCell ref="Q108:Q110"/>
    <mergeCell ref="A111:A113"/>
    <mergeCell ref="Q111:Q113"/>
    <mergeCell ref="A114:A116"/>
    <mergeCell ref="Q114:Q116"/>
    <mergeCell ref="A117:A119"/>
    <mergeCell ref="Q117:Q119"/>
    <mergeCell ref="A127:A129"/>
    <mergeCell ref="Q127:Q129"/>
    <mergeCell ref="A130:A132"/>
    <mergeCell ref="Q130:Q132"/>
    <mergeCell ref="A133:A135"/>
    <mergeCell ref="Q133:Q135"/>
    <mergeCell ref="A136:A138"/>
    <mergeCell ref="Q136:Q138"/>
    <mergeCell ref="A139:A141"/>
    <mergeCell ref="Q139:Q141"/>
    <mergeCell ref="A142:A144"/>
    <mergeCell ref="Q142:Q144"/>
    <mergeCell ref="A154:A156"/>
    <mergeCell ref="Q154:Q156"/>
    <mergeCell ref="A157:A159"/>
    <mergeCell ref="Q157:Q159"/>
    <mergeCell ref="A145:A147"/>
    <mergeCell ref="Q145:Q147"/>
    <mergeCell ref="A148:A150"/>
    <mergeCell ref="Q148:Q150"/>
    <mergeCell ref="A151:A153"/>
    <mergeCell ref="Q151:Q153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AA12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27" ht="15.6" x14ac:dyDescent="0.3">
      <c r="A1" s="8" t="s">
        <v>97</v>
      </c>
      <c r="O1" s="8" t="s">
        <v>97</v>
      </c>
    </row>
    <row r="2" spans="1:27" ht="15.6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35</v>
      </c>
      <c r="M2" s="31" t="s">
        <v>22</v>
      </c>
      <c r="N2" s="8"/>
      <c r="P2" s="15" t="s">
        <v>100</v>
      </c>
      <c r="Q2" s="31" t="s">
        <v>13</v>
      </c>
      <c r="R2" s="31" t="s">
        <v>26</v>
      </c>
      <c r="S2" s="31" t="s">
        <v>34</v>
      </c>
      <c r="T2" s="31" t="s">
        <v>14</v>
      </c>
      <c r="U2" s="31" t="s">
        <v>15</v>
      </c>
      <c r="V2" s="31" t="s">
        <v>18</v>
      </c>
      <c r="W2" s="31" t="s">
        <v>20</v>
      </c>
      <c r="X2" s="31" t="s">
        <v>16</v>
      </c>
      <c r="Y2" s="31" t="s">
        <v>21</v>
      </c>
      <c r="Z2" s="31" t="s">
        <v>35</v>
      </c>
      <c r="AA2" s="31" t="s">
        <v>22</v>
      </c>
    </row>
    <row r="3" spans="1:27" ht="15.6" x14ac:dyDescent="0.3">
      <c r="B3" s="18" t="s">
        <v>114</v>
      </c>
      <c r="C3" s="32">
        <v>2</v>
      </c>
      <c r="D3" s="32">
        <v>3.6</v>
      </c>
      <c r="E3" s="32">
        <v>2.4</v>
      </c>
      <c r="F3" s="32">
        <v>5</v>
      </c>
      <c r="G3" s="32">
        <v>6</v>
      </c>
      <c r="H3" s="32">
        <v>10</v>
      </c>
      <c r="I3" s="32">
        <f>12*1.2</f>
        <v>14.399999999999999</v>
      </c>
      <c r="J3" s="32">
        <v>12</v>
      </c>
      <c r="K3" s="32">
        <f>32*0.6</f>
        <v>19.2</v>
      </c>
      <c r="L3" s="32">
        <f>32*1.2</f>
        <v>38.4</v>
      </c>
      <c r="M3" s="32">
        <f>64*0.6</f>
        <v>38.4</v>
      </c>
      <c r="N3" s="8"/>
      <c r="P3" s="18" t="s">
        <v>114</v>
      </c>
      <c r="Q3" s="32">
        <v>2</v>
      </c>
      <c r="R3" s="32">
        <v>3.6</v>
      </c>
      <c r="S3" s="32">
        <v>2.4</v>
      </c>
      <c r="T3" s="32">
        <v>5</v>
      </c>
      <c r="U3" s="32">
        <v>6</v>
      </c>
      <c r="V3" s="32">
        <v>10</v>
      </c>
      <c r="W3" s="32">
        <f>12*1.2</f>
        <v>14.399999999999999</v>
      </c>
      <c r="X3" s="32">
        <v>12</v>
      </c>
      <c r="Y3" s="32">
        <f>32*0.6</f>
        <v>19.2</v>
      </c>
      <c r="Z3" s="32">
        <f>32*1.2</f>
        <v>38.4</v>
      </c>
      <c r="AA3" s="32">
        <f>64*0.6</f>
        <v>38.4</v>
      </c>
    </row>
    <row r="4" spans="1:27" ht="15.6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35</v>
      </c>
      <c r="M4" s="32" t="s">
        <v>40</v>
      </c>
      <c r="N4" s="8"/>
      <c r="P4" s="18" t="s">
        <v>101</v>
      </c>
      <c r="Q4" s="32" t="s">
        <v>13</v>
      </c>
      <c r="R4" s="32" t="s">
        <v>26</v>
      </c>
      <c r="S4" s="32" t="s">
        <v>31</v>
      </c>
      <c r="T4" s="32" t="s">
        <v>14</v>
      </c>
      <c r="U4" s="32" t="s">
        <v>16</v>
      </c>
      <c r="V4" s="32" t="s">
        <v>18</v>
      </c>
      <c r="W4" s="32" t="s">
        <v>20</v>
      </c>
      <c r="X4" s="32" t="s">
        <v>19</v>
      </c>
      <c r="Y4" s="32" t="s">
        <v>22</v>
      </c>
      <c r="Z4" s="32" t="s">
        <v>35</v>
      </c>
      <c r="AA4" s="32" t="s">
        <v>40</v>
      </c>
    </row>
    <row r="5" spans="1:27" ht="15.6" x14ac:dyDescent="0.3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 t="s">
        <v>121</v>
      </c>
      <c r="N5" s="8"/>
      <c r="P5" s="33" t="s">
        <v>115</v>
      </c>
      <c r="Q5" s="40"/>
      <c r="R5" s="40"/>
      <c r="S5" s="40" t="s">
        <v>121</v>
      </c>
      <c r="T5" s="40"/>
      <c r="U5" s="40" t="s">
        <v>121</v>
      </c>
      <c r="V5" s="40"/>
      <c r="W5" s="40"/>
      <c r="X5" s="40" t="s">
        <v>121</v>
      </c>
      <c r="Y5" s="40" t="s">
        <v>121</v>
      </c>
      <c r="Z5" s="40"/>
      <c r="AA5" s="40" t="s">
        <v>121</v>
      </c>
    </row>
    <row r="6" spans="1:27" ht="15.6" x14ac:dyDescent="0.3">
      <c r="A6" s="7" t="s">
        <v>6</v>
      </c>
      <c r="B6" s="35"/>
      <c r="C6" s="36"/>
      <c r="D6" s="36">
        <v>4.7</v>
      </c>
      <c r="E6" s="36"/>
      <c r="F6" s="36"/>
      <c r="G6" s="36"/>
      <c r="H6" s="36"/>
      <c r="I6" s="36"/>
      <c r="J6" s="36"/>
      <c r="K6" s="36"/>
      <c r="L6" s="36"/>
      <c r="M6" s="36"/>
      <c r="N6" s="8"/>
      <c r="O6" s="7" t="s">
        <v>6</v>
      </c>
      <c r="P6" s="35"/>
      <c r="Q6" s="36"/>
      <c r="R6" s="36">
        <v>4.7</v>
      </c>
      <c r="S6" s="36"/>
      <c r="T6" s="36"/>
      <c r="U6" s="36"/>
      <c r="V6" s="36"/>
      <c r="W6" s="36"/>
      <c r="X6" s="36"/>
      <c r="Y6" s="36"/>
      <c r="Z6" s="36"/>
      <c r="AA6" s="36"/>
    </row>
    <row r="7" spans="1:27" ht="15.6" x14ac:dyDescent="0.3">
      <c r="A7" s="132">
        <v>70</v>
      </c>
      <c r="B7" s="30" t="s">
        <v>102</v>
      </c>
      <c r="C7" s="37">
        <v>2.9</v>
      </c>
      <c r="D7" s="37">
        <v>4.7</v>
      </c>
      <c r="E7" s="37">
        <v>5</v>
      </c>
      <c r="F7" s="37">
        <v>2.6</v>
      </c>
      <c r="G7" s="37">
        <v>3.4</v>
      </c>
      <c r="H7" s="37">
        <v>2.6</v>
      </c>
      <c r="I7" s="37">
        <v>3.3</v>
      </c>
      <c r="J7" s="37">
        <v>3.5</v>
      </c>
      <c r="K7" s="37">
        <v>3.3</v>
      </c>
      <c r="L7" s="37">
        <v>2.9</v>
      </c>
      <c r="M7" s="37">
        <v>2.8</v>
      </c>
      <c r="N7" s="8"/>
      <c r="O7" s="132">
        <v>70</v>
      </c>
      <c r="P7" s="30" t="s">
        <v>102</v>
      </c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 spans="1:27" ht="15.6" x14ac:dyDescent="0.3">
      <c r="A8" s="132"/>
      <c r="B8" s="20" t="s">
        <v>103</v>
      </c>
      <c r="C8" s="32">
        <v>3.3</v>
      </c>
      <c r="D8" s="32">
        <v>5.3</v>
      </c>
      <c r="E8" s="32">
        <v>5.6</v>
      </c>
      <c r="F8" s="32">
        <v>2.9</v>
      </c>
      <c r="G8" s="32">
        <v>3.9</v>
      </c>
      <c r="H8" s="32">
        <v>2.9</v>
      </c>
      <c r="I8" s="32">
        <v>3.8</v>
      </c>
      <c r="J8" s="32">
        <v>4</v>
      </c>
      <c r="K8" s="32">
        <v>3.7</v>
      </c>
      <c r="L8" s="32">
        <v>3.3</v>
      </c>
      <c r="M8" s="32">
        <v>3.2</v>
      </c>
      <c r="N8" s="8"/>
      <c r="O8" s="132"/>
      <c r="P8" s="20" t="s">
        <v>151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spans="1:27" ht="15.6" x14ac:dyDescent="0.3">
      <c r="A9" s="132"/>
      <c r="B9" s="38" t="s">
        <v>104</v>
      </c>
      <c r="C9" s="26">
        <f t="shared" ref="C9:M9" si="0">IF(OR(C7="",C8=""),"",C8/C7)</f>
        <v>1.1379310344827587</v>
      </c>
      <c r="D9" s="26">
        <f t="shared" si="0"/>
        <v>1.1276595744680851</v>
      </c>
      <c r="E9" s="26">
        <f t="shared" si="0"/>
        <v>1.1199999999999999</v>
      </c>
      <c r="F9" s="26">
        <f t="shared" si="0"/>
        <v>1.1153846153846154</v>
      </c>
      <c r="G9" s="26">
        <f t="shared" si="0"/>
        <v>1.1470588235294117</v>
      </c>
      <c r="H9" s="26">
        <f t="shared" si="0"/>
        <v>1.1153846153846154</v>
      </c>
      <c r="I9" s="26">
        <f t="shared" si="0"/>
        <v>1.1515151515151516</v>
      </c>
      <c r="J9" s="26">
        <f t="shared" si="0"/>
        <v>1.1428571428571428</v>
      </c>
      <c r="K9" s="26">
        <f t="shared" si="0"/>
        <v>1.1212121212121213</v>
      </c>
      <c r="L9" s="26">
        <f t="shared" si="0"/>
        <v>1.1379310344827587</v>
      </c>
      <c r="M9" s="26">
        <f t="shared" si="0"/>
        <v>1.142857142857143</v>
      </c>
      <c r="N9" s="39"/>
      <c r="O9" s="132"/>
      <c r="P9" s="38" t="s">
        <v>104</v>
      </c>
      <c r="Q9" s="26" t="str">
        <f t="shared" ref="Q9:AA9" si="1">IF(OR(Q7="",Q8=""),"",Q8/Q7)</f>
        <v/>
      </c>
      <c r="R9" s="26" t="str">
        <f t="shared" si="1"/>
        <v/>
      </c>
      <c r="S9" s="26" t="str">
        <f t="shared" si="1"/>
        <v/>
      </c>
      <c r="T9" s="26" t="str">
        <f t="shared" si="1"/>
        <v/>
      </c>
      <c r="U9" s="26" t="str">
        <f t="shared" si="1"/>
        <v/>
      </c>
      <c r="V9" s="26" t="str">
        <f t="shared" si="1"/>
        <v/>
      </c>
      <c r="W9" s="26" t="str">
        <f t="shared" si="1"/>
        <v/>
      </c>
      <c r="X9" s="26" t="str">
        <f t="shared" si="1"/>
        <v/>
      </c>
      <c r="Y9" s="26" t="str">
        <f t="shared" si="1"/>
        <v/>
      </c>
      <c r="Z9" s="26" t="str">
        <f t="shared" si="1"/>
        <v/>
      </c>
      <c r="AA9" s="26" t="str">
        <f t="shared" si="1"/>
        <v/>
      </c>
    </row>
    <row r="10" spans="1:27" ht="15.6" x14ac:dyDescent="0.3">
      <c r="A10" s="132">
        <v>80</v>
      </c>
      <c r="B10" s="30" t="s">
        <v>102</v>
      </c>
      <c r="C10" s="37">
        <v>4.5999999999999996</v>
      </c>
      <c r="D10" s="37">
        <v>7.4</v>
      </c>
      <c r="E10" s="37">
        <v>7.9</v>
      </c>
      <c r="F10" s="37">
        <v>4.0999999999999996</v>
      </c>
      <c r="G10" s="37">
        <v>5.4</v>
      </c>
      <c r="H10" s="37">
        <v>4.0999999999999996</v>
      </c>
      <c r="I10" s="37">
        <v>5.3</v>
      </c>
      <c r="J10" s="37">
        <v>5.6</v>
      </c>
      <c r="K10" s="37">
        <v>5.2</v>
      </c>
      <c r="L10" s="37">
        <v>4.5999999999999996</v>
      </c>
      <c r="M10" s="37">
        <v>4.5</v>
      </c>
      <c r="N10" s="8"/>
      <c r="O10" s="132">
        <v>80</v>
      </c>
      <c r="P10" s="30" t="s">
        <v>102</v>
      </c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 spans="1:27" ht="15.6" x14ac:dyDescent="0.3">
      <c r="A11" s="132"/>
      <c r="B11" s="20" t="s">
        <v>103</v>
      </c>
      <c r="C11" s="32">
        <v>5</v>
      </c>
      <c r="D11" s="32">
        <v>8.1999999999999993</v>
      </c>
      <c r="E11" s="32">
        <v>8.6</v>
      </c>
      <c r="F11" s="32">
        <v>4.5</v>
      </c>
      <c r="G11" s="32">
        <v>6</v>
      </c>
      <c r="H11" s="32">
        <v>4.5</v>
      </c>
      <c r="I11" s="32">
        <v>5.8</v>
      </c>
      <c r="J11" s="32">
        <v>6.1</v>
      </c>
      <c r="K11" s="32">
        <v>5.7</v>
      </c>
      <c r="L11" s="32">
        <v>5.0999999999999996</v>
      </c>
      <c r="M11" s="32">
        <v>5</v>
      </c>
      <c r="N11" s="8"/>
      <c r="O11" s="132"/>
      <c r="P11" s="20" t="s">
        <v>151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spans="1:27" ht="15.6" x14ac:dyDescent="0.3">
      <c r="A12" s="132"/>
      <c r="B12" s="38" t="s">
        <v>104</v>
      </c>
      <c r="C12" s="26">
        <f t="shared" ref="C12:M12" si="2">IF(OR(C10="",C11=""),"",C11/C10)</f>
        <v>1.0869565217391306</v>
      </c>
      <c r="D12" s="26">
        <f t="shared" si="2"/>
        <v>1.1081081081081079</v>
      </c>
      <c r="E12" s="26">
        <f t="shared" si="2"/>
        <v>1.0886075949367087</v>
      </c>
      <c r="F12" s="26">
        <f t="shared" si="2"/>
        <v>1.0975609756097562</v>
      </c>
      <c r="G12" s="26">
        <f t="shared" si="2"/>
        <v>1.1111111111111109</v>
      </c>
      <c r="H12" s="26">
        <f t="shared" si="2"/>
        <v>1.0975609756097562</v>
      </c>
      <c r="I12" s="26">
        <f t="shared" si="2"/>
        <v>1.0943396226415094</v>
      </c>
      <c r="J12" s="26">
        <f t="shared" si="2"/>
        <v>1.0892857142857142</v>
      </c>
      <c r="K12" s="26">
        <f t="shared" si="2"/>
        <v>1.0961538461538463</v>
      </c>
      <c r="L12" s="26">
        <f t="shared" si="2"/>
        <v>1.1086956521739131</v>
      </c>
      <c r="M12" s="26">
        <f t="shared" si="2"/>
        <v>1.1111111111111112</v>
      </c>
      <c r="N12" s="39"/>
      <c r="O12" s="132"/>
      <c r="P12" s="38" t="s">
        <v>104</v>
      </c>
      <c r="Q12" s="26" t="str">
        <f t="shared" ref="Q12:AA12" si="3">IF(OR(Q10="",Q11=""),"",Q11/Q10)</f>
        <v/>
      </c>
      <c r="R12" s="26" t="str">
        <f t="shared" si="3"/>
        <v/>
      </c>
      <c r="S12" s="26" t="str">
        <f t="shared" si="3"/>
        <v/>
      </c>
      <c r="T12" s="26" t="str">
        <f t="shared" si="3"/>
        <v/>
      </c>
      <c r="U12" s="26" t="str">
        <f t="shared" si="3"/>
        <v/>
      </c>
      <c r="V12" s="26" t="str">
        <f t="shared" si="3"/>
        <v/>
      </c>
      <c r="W12" s="26" t="str">
        <f t="shared" si="3"/>
        <v/>
      </c>
      <c r="X12" s="26" t="str">
        <f t="shared" si="3"/>
        <v/>
      </c>
      <c r="Y12" s="26" t="str">
        <f t="shared" si="3"/>
        <v/>
      </c>
      <c r="Z12" s="26" t="str">
        <f t="shared" si="3"/>
        <v/>
      </c>
      <c r="AA12" s="26" t="str">
        <f t="shared" si="3"/>
        <v/>
      </c>
    </row>
    <row r="13" spans="1:27" ht="15.6" x14ac:dyDescent="0.3">
      <c r="A13" s="132">
        <v>100</v>
      </c>
      <c r="B13" s="30" t="s">
        <v>102</v>
      </c>
      <c r="C13" s="37">
        <v>9.1999999999999993</v>
      </c>
      <c r="D13" s="37">
        <v>14.9</v>
      </c>
      <c r="E13" s="37">
        <v>15.8</v>
      </c>
      <c r="F13" s="37">
        <v>8.1999999999999993</v>
      </c>
      <c r="G13" s="37">
        <v>10.9</v>
      </c>
      <c r="H13" s="37">
        <v>8.1999999999999993</v>
      </c>
      <c r="I13" s="37">
        <v>10.6</v>
      </c>
      <c r="J13" s="37">
        <v>11.2</v>
      </c>
      <c r="K13" s="37">
        <v>10.4</v>
      </c>
      <c r="L13" s="37">
        <v>9.1999999999999993</v>
      </c>
      <c r="M13" s="37">
        <v>9.1</v>
      </c>
      <c r="N13" s="8"/>
      <c r="O13" s="132">
        <v>100</v>
      </c>
      <c r="P13" s="30" t="s">
        <v>102</v>
      </c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 spans="1:27" ht="15.6" x14ac:dyDescent="0.3">
      <c r="A14" s="132"/>
      <c r="B14" s="20" t="s">
        <v>103</v>
      </c>
      <c r="C14" s="32">
        <v>9.8000000000000007</v>
      </c>
      <c r="D14" s="32">
        <v>15.9</v>
      </c>
      <c r="E14" s="32">
        <v>16.8</v>
      </c>
      <c r="F14" s="32">
        <v>8.8000000000000007</v>
      </c>
      <c r="G14" s="32">
        <v>11.6</v>
      </c>
      <c r="H14" s="32">
        <v>8.8000000000000007</v>
      </c>
      <c r="I14" s="32">
        <v>11.3</v>
      </c>
      <c r="J14" s="32">
        <v>11.9</v>
      </c>
      <c r="K14" s="32">
        <v>11</v>
      </c>
      <c r="L14" s="32">
        <v>9.8000000000000007</v>
      </c>
      <c r="M14" s="32">
        <v>9.6</v>
      </c>
      <c r="N14" s="8"/>
      <c r="O14" s="132"/>
      <c r="P14" s="20" t="s">
        <v>151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spans="1:27" ht="15.6" x14ac:dyDescent="0.3">
      <c r="A15" s="132"/>
      <c r="B15" s="38" t="s">
        <v>104</v>
      </c>
      <c r="C15" s="26">
        <f t="shared" ref="C15:M15" si="4">IF(OR(C13="",C14=""),"",C14/C13)</f>
        <v>1.0652173913043479</v>
      </c>
      <c r="D15" s="26">
        <f t="shared" si="4"/>
        <v>1.0671140939597314</v>
      </c>
      <c r="E15" s="26">
        <f t="shared" si="4"/>
        <v>1.0632911392405062</v>
      </c>
      <c r="F15" s="26">
        <f t="shared" si="4"/>
        <v>1.0731707317073174</v>
      </c>
      <c r="G15" s="26">
        <f t="shared" si="4"/>
        <v>1.0642201834862384</v>
      </c>
      <c r="H15" s="26">
        <f t="shared" si="4"/>
        <v>1.0731707317073174</v>
      </c>
      <c r="I15" s="26">
        <f t="shared" si="4"/>
        <v>1.0660377358490567</v>
      </c>
      <c r="J15" s="26">
        <f t="shared" si="4"/>
        <v>1.0625</v>
      </c>
      <c r="K15" s="26">
        <f t="shared" si="4"/>
        <v>1.0576923076923077</v>
      </c>
      <c r="L15" s="26">
        <f t="shared" si="4"/>
        <v>1.0652173913043479</v>
      </c>
      <c r="M15" s="26">
        <f t="shared" si="4"/>
        <v>1.054945054945055</v>
      </c>
      <c r="N15" s="39"/>
      <c r="O15" s="132"/>
      <c r="P15" s="38" t="s">
        <v>104</v>
      </c>
      <c r="Q15" s="26" t="str">
        <f t="shared" ref="Q15:AA15" si="5">IF(OR(Q13="",Q14=""),"",Q14/Q13)</f>
        <v/>
      </c>
      <c r="R15" s="26" t="str">
        <f t="shared" si="5"/>
        <v/>
      </c>
      <c r="S15" s="26" t="str">
        <f t="shared" si="5"/>
        <v/>
      </c>
      <c r="T15" s="26" t="str">
        <f t="shared" si="5"/>
        <v/>
      </c>
      <c r="U15" s="26" t="str">
        <f t="shared" si="5"/>
        <v/>
      </c>
      <c r="V15" s="26" t="str">
        <f t="shared" si="5"/>
        <v/>
      </c>
      <c r="W15" s="26" t="str">
        <f t="shared" si="5"/>
        <v/>
      </c>
      <c r="X15" s="26" t="str">
        <f t="shared" si="5"/>
        <v/>
      </c>
      <c r="Y15" s="26" t="str">
        <f t="shared" si="5"/>
        <v/>
      </c>
      <c r="Z15" s="26" t="str">
        <f t="shared" si="5"/>
        <v/>
      </c>
      <c r="AA15" s="26" t="str">
        <f t="shared" si="5"/>
        <v/>
      </c>
    </row>
    <row r="16" spans="1:27" ht="15.6" x14ac:dyDescent="0.3">
      <c r="A16" s="132">
        <v>120</v>
      </c>
      <c r="B16" s="30" t="s">
        <v>102</v>
      </c>
      <c r="C16" s="37">
        <v>14.8</v>
      </c>
      <c r="D16" s="37">
        <v>23.9</v>
      </c>
      <c r="E16" s="37">
        <v>25.4</v>
      </c>
      <c r="F16" s="37">
        <v>13.3</v>
      </c>
      <c r="G16" s="37">
        <v>17.600000000000001</v>
      </c>
      <c r="H16" s="37">
        <v>13.3</v>
      </c>
      <c r="I16" s="37">
        <v>17</v>
      </c>
      <c r="J16" s="37">
        <v>17.899999999999999</v>
      </c>
      <c r="K16" s="37">
        <v>16.7</v>
      </c>
      <c r="L16" s="37">
        <v>14.8</v>
      </c>
      <c r="M16" s="37">
        <v>14.6</v>
      </c>
      <c r="N16" s="8"/>
      <c r="O16" s="132">
        <v>120</v>
      </c>
      <c r="P16" s="30" t="s">
        <v>102</v>
      </c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 spans="1:27" ht="15.6" x14ac:dyDescent="0.3">
      <c r="A17" s="132"/>
      <c r="B17" s="20" t="s">
        <v>103</v>
      </c>
      <c r="C17" s="32">
        <v>15.5</v>
      </c>
      <c r="D17" s="32">
        <v>25.1</v>
      </c>
      <c r="E17" s="32">
        <v>26.6</v>
      </c>
      <c r="F17" s="32">
        <v>13.9</v>
      </c>
      <c r="G17" s="32">
        <v>18.399999999999999</v>
      </c>
      <c r="H17" s="32">
        <v>13.9</v>
      </c>
      <c r="I17" s="32">
        <v>17.8</v>
      </c>
      <c r="J17" s="32">
        <v>18.8</v>
      </c>
      <c r="K17" s="32">
        <v>17.5</v>
      </c>
      <c r="L17" s="32">
        <v>15.6</v>
      </c>
      <c r="M17" s="32">
        <v>15.3</v>
      </c>
      <c r="N17" s="8"/>
      <c r="O17" s="132"/>
      <c r="P17" s="20" t="s">
        <v>151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spans="1:27" ht="15.6" x14ac:dyDescent="0.3">
      <c r="A18" s="132"/>
      <c r="B18" s="38" t="s">
        <v>104</v>
      </c>
      <c r="C18" s="26">
        <f t="shared" ref="C18:M18" si="6">IF(OR(C16="",C17=""),"",C17/C16)</f>
        <v>1.0472972972972971</v>
      </c>
      <c r="D18" s="26">
        <f t="shared" si="6"/>
        <v>1.0502092050209206</v>
      </c>
      <c r="E18" s="26">
        <f t="shared" si="6"/>
        <v>1.0472440944881891</v>
      </c>
      <c r="F18" s="26">
        <f t="shared" si="6"/>
        <v>1.0451127819548871</v>
      </c>
      <c r="G18" s="26">
        <f t="shared" si="6"/>
        <v>1.0454545454545452</v>
      </c>
      <c r="H18" s="26">
        <f t="shared" si="6"/>
        <v>1.0451127819548871</v>
      </c>
      <c r="I18" s="26">
        <f t="shared" si="6"/>
        <v>1.0470588235294118</v>
      </c>
      <c r="J18" s="26">
        <f t="shared" si="6"/>
        <v>1.0502793296089388</v>
      </c>
      <c r="K18" s="26">
        <f t="shared" si="6"/>
        <v>1.0479041916167664</v>
      </c>
      <c r="L18" s="26">
        <f t="shared" si="6"/>
        <v>1.0540540540540539</v>
      </c>
      <c r="M18" s="26">
        <f t="shared" si="6"/>
        <v>1.047945205479452</v>
      </c>
      <c r="N18" s="39"/>
      <c r="O18" s="132"/>
      <c r="P18" s="38" t="s">
        <v>104</v>
      </c>
      <c r="Q18" s="26" t="str">
        <f t="shared" ref="Q18:AA18" si="7">IF(OR(Q16="",Q17=""),"",Q17/Q16)</f>
        <v/>
      </c>
      <c r="R18" s="26" t="str">
        <f t="shared" si="7"/>
        <v/>
      </c>
      <c r="S18" s="26" t="str">
        <f t="shared" si="7"/>
        <v/>
      </c>
      <c r="T18" s="26" t="str">
        <f t="shared" si="7"/>
        <v/>
      </c>
      <c r="U18" s="26" t="str">
        <f t="shared" si="7"/>
        <v/>
      </c>
      <c r="V18" s="26" t="str">
        <f t="shared" si="7"/>
        <v/>
      </c>
      <c r="W18" s="26" t="str">
        <f t="shared" si="7"/>
        <v/>
      </c>
      <c r="X18" s="26" t="str">
        <f t="shared" si="7"/>
        <v/>
      </c>
      <c r="Y18" s="26" t="str">
        <f t="shared" si="7"/>
        <v/>
      </c>
      <c r="Z18" s="26" t="str">
        <f t="shared" si="7"/>
        <v/>
      </c>
      <c r="AA18" s="26" t="str">
        <f t="shared" si="7"/>
        <v/>
      </c>
    </row>
    <row r="19" spans="1:27" ht="15.6" x14ac:dyDescent="0.3">
      <c r="A19" s="132">
        <v>140</v>
      </c>
      <c r="B19" s="30" t="s">
        <v>102</v>
      </c>
      <c r="C19" s="37">
        <v>22</v>
      </c>
      <c r="D19" s="37">
        <v>35.6</v>
      </c>
      <c r="E19" s="37">
        <v>37.799999999999997</v>
      </c>
      <c r="F19" s="37">
        <v>19.7</v>
      </c>
      <c r="G19" s="37">
        <v>26.2</v>
      </c>
      <c r="H19" s="37">
        <v>19.7</v>
      </c>
      <c r="I19" s="37">
        <v>25.3</v>
      </c>
      <c r="J19" s="37">
        <v>26.7</v>
      </c>
      <c r="K19" s="37">
        <v>24.9</v>
      </c>
      <c r="L19" s="37">
        <v>22.1</v>
      </c>
      <c r="M19" s="37">
        <v>21.8</v>
      </c>
      <c r="N19" s="8"/>
      <c r="O19" s="132">
        <v>140</v>
      </c>
      <c r="P19" s="30" t="s">
        <v>102</v>
      </c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 spans="1:27" ht="15.6" x14ac:dyDescent="0.3">
      <c r="A20" s="132"/>
      <c r="B20" s="20" t="s">
        <v>103</v>
      </c>
      <c r="C20" s="32">
        <v>22.9</v>
      </c>
      <c r="D20" s="32">
        <v>37.1</v>
      </c>
      <c r="E20" s="32">
        <v>39.299999999999997</v>
      </c>
      <c r="F20" s="32">
        <v>20.5</v>
      </c>
      <c r="G20" s="32">
        <v>27.2</v>
      </c>
      <c r="H20" s="32">
        <v>20.5</v>
      </c>
      <c r="I20" s="32">
        <v>26.3</v>
      </c>
      <c r="J20" s="32">
        <v>27.8</v>
      </c>
      <c r="K20" s="32">
        <v>25.9</v>
      </c>
      <c r="L20" s="32">
        <v>23</v>
      </c>
      <c r="M20" s="32">
        <v>22.6</v>
      </c>
      <c r="N20" s="8"/>
      <c r="O20" s="132"/>
      <c r="P20" s="20" t="s">
        <v>151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spans="1:27" ht="15.6" x14ac:dyDescent="0.3">
      <c r="A21" s="132"/>
      <c r="B21" s="38" t="s">
        <v>104</v>
      </c>
      <c r="C21" s="26">
        <f t="shared" ref="C21:M21" si="8">IF(OR(C19="",C20=""),"",C20/C19)</f>
        <v>1.0409090909090908</v>
      </c>
      <c r="D21" s="26">
        <f t="shared" si="8"/>
        <v>1.0421348314606742</v>
      </c>
      <c r="E21" s="26">
        <f t="shared" si="8"/>
        <v>1.0396825396825398</v>
      </c>
      <c r="F21" s="26">
        <f t="shared" si="8"/>
        <v>1.0406091370558377</v>
      </c>
      <c r="G21" s="26">
        <f t="shared" si="8"/>
        <v>1.0381679389312977</v>
      </c>
      <c r="H21" s="26">
        <f t="shared" si="8"/>
        <v>1.0406091370558377</v>
      </c>
      <c r="I21" s="26">
        <f t="shared" si="8"/>
        <v>1.0395256916996047</v>
      </c>
      <c r="J21" s="26">
        <f t="shared" si="8"/>
        <v>1.0411985018726593</v>
      </c>
      <c r="K21" s="26">
        <f t="shared" si="8"/>
        <v>1.0401606425702812</v>
      </c>
      <c r="L21" s="26">
        <f t="shared" si="8"/>
        <v>1.0407239819004523</v>
      </c>
      <c r="M21" s="26">
        <f t="shared" si="8"/>
        <v>1.036697247706422</v>
      </c>
      <c r="N21" s="39"/>
      <c r="O21" s="132"/>
      <c r="P21" s="38" t="s">
        <v>104</v>
      </c>
      <c r="Q21" s="26" t="str">
        <f t="shared" ref="Q21:AA21" si="9">IF(OR(Q19="",Q20=""),"",Q20/Q19)</f>
        <v/>
      </c>
      <c r="R21" s="26" t="str">
        <f t="shared" si="9"/>
        <v/>
      </c>
      <c r="S21" s="26" t="str">
        <f t="shared" si="9"/>
        <v/>
      </c>
      <c r="T21" s="26" t="str">
        <f t="shared" si="9"/>
        <v/>
      </c>
      <c r="U21" s="26" t="str">
        <f t="shared" si="9"/>
        <v/>
      </c>
      <c r="V21" s="26" t="str">
        <f t="shared" si="9"/>
        <v/>
      </c>
      <c r="W21" s="26" t="str">
        <f t="shared" si="9"/>
        <v/>
      </c>
      <c r="X21" s="26" t="str">
        <f t="shared" si="9"/>
        <v/>
      </c>
      <c r="Y21" s="26" t="str">
        <f t="shared" si="9"/>
        <v/>
      </c>
      <c r="Z21" s="26" t="str">
        <f t="shared" si="9"/>
        <v/>
      </c>
      <c r="AA21" s="26" t="str">
        <f t="shared" si="9"/>
        <v/>
      </c>
    </row>
    <row r="22" spans="1:27" ht="15" customHeight="1" x14ac:dyDescent="0.3">
      <c r="A22" s="150" t="s">
        <v>153</v>
      </c>
      <c r="B22" s="30" t="s">
        <v>102</v>
      </c>
      <c r="C22" s="37">
        <v>6.6</v>
      </c>
      <c r="D22" s="37">
        <v>10.6</v>
      </c>
      <c r="E22" s="37">
        <v>11.3</v>
      </c>
      <c r="F22" s="37">
        <v>5.9</v>
      </c>
      <c r="G22" s="37">
        <v>7.8</v>
      </c>
      <c r="H22" s="37">
        <v>5.9</v>
      </c>
      <c r="I22" s="37">
        <v>7.5</v>
      </c>
      <c r="J22" s="37">
        <v>8</v>
      </c>
      <c r="K22" s="37">
        <v>7.4</v>
      </c>
      <c r="L22" s="37">
        <v>6.6</v>
      </c>
      <c r="M22" s="37">
        <v>6.5</v>
      </c>
      <c r="N22" s="8"/>
      <c r="O22" s="150" t="s">
        <v>153</v>
      </c>
      <c r="P22" s="30" t="s">
        <v>102</v>
      </c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 spans="1:27" ht="15.6" x14ac:dyDescent="0.3">
      <c r="A23" s="150"/>
      <c r="B23" s="20" t="s">
        <v>103</v>
      </c>
      <c r="C23" s="32">
        <v>6.6</v>
      </c>
      <c r="D23" s="32">
        <v>10.7</v>
      </c>
      <c r="E23" s="32">
        <v>11.4</v>
      </c>
      <c r="F23" s="32">
        <v>5.9</v>
      </c>
      <c r="G23" s="32">
        <v>7.9</v>
      </c>
      <c r="H23" s="32">
        <v>5.9</v>
      </c>
      <c r="I23" s="32">
        <v>7.6</v>
      </c>
      <c r="J23" s="32">
        <v>8</v>
      </c>
      <c r="K23" s="32">
        <v>7.5</v>
      </c>
      <c r="L23" s="32">
        <v>6.6</v>
      </c>
      <c r="M23" s="32">
        <v>6.5</v>
      </c>
      <c r="N23" s="8"/>
      <c r="O23" s="150"/>
      <c r="P23" s="20" t="s">
        <v>151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spans="1:27" ht="15.6" x14ac:dyDescent="0.3">
      <c r="A24" s="150"/>
      <c r="B24" s="38" t="s">
        <v>104</v>
      </c>
      <c r="C24" s="26">
        <f t="shared" ref="C24:M24" si="10">IF(OR(C22="",C23=""),"",C23/C22)</f>
        <v>1</v>
      </c>
      <c r="D24" s="26">
        <f t="shared" si="10"/>
        <v>1.0094339622641508</v>
      </c>
      <c r="E24" s="26">
        <f t="shared" si="10"/>
        <v>1.0088495575221239</v>
      </c>
      <c r="F24" s="26">
        <f t="shared" si="10"/>
        <v>1</v>
      </c>
      <c r="G24" s="26">
        <f t="shared" si="10"/>
        <v>1.012820512820513</v>
      </c>
      <c r="H24" s="26">
        <f t="shared" si="10"/>
        <v>1</v>
      </c>
      <c r="I24" s="26">
        <f t="shared" si="10"/>
        <v>1.0133333333333332</v>
      </c>
      <c r="J24" s="26">
        <f t="shared" si="10"/>
        <v>1</v>
      </c>
      <c r="K24" s="26">
        <f t="shared" si="10"/>
        <v>1.0135135135135134</v>
      </c>
      <c r="L24" s="26">
        <f t="shared" si="10"/>
        <v>1</v>
      </c>
      <c r="M24" s="26">
        <f t="shared" si="10"/>
        <v>1</v>
      </c>
      <c r="N24" s="39"/>
      <c r="O24" s="150"/>
      <c r="P24" s="38" t="s">
        <v>104</v>
      </c>
      <c r="Q24" s="26" t="str">
        <f t="shared" ref="Q24:AA24" si="11">IF(OR(Q22="",Q23=""),"",Q23/Q22)</f>
        <v/>
      </c>
      <c r="R24" s="26" t="str">
        <f t="shared" si="11"/>
        <v/>
      </c>
      <c r="S24" s="26" t="str">
        <f t="shared" si="11"/>
        <v/>
      </c>
      <c r="T24" s="26" t="str">
        <f t="shared" si="11"/>
        <v/>
      </c>
      <c r="U24" s="26" t="str">
        <f t="shared" si="11"/>
        <v/>
      </c>
      <c r="V24" s="26" t="str">
        <f t="shared" si="11"/>
        <v/>
      </c>
      <c r="W24" s="26" t="str">
        <f t="shared" si="11"/>
        <v/>
      </c>
      <c r="X24" s="26" t="str">
        <f t="shared" si="11"/>
        <v/>
      </c>
      <c r="Y24" s="26" t="str">
        <f t="shared" si="11"/>
        <v/>
      </c>
      <c r="Z24" s="26" t="str">
        <f t="shared" si="11"/>
        <v/>
      </c>
      <c r="AA24" s="26" t="str">
        <f t="shared" si="11"/>
        <v/>
      </c>
    </row>
    <row r="26" spans="1:27" ht="15.6" x14ac:dyDescent="0.3">
      <c r="A26" s="8" t="s">
        <v>147</v>
      </c>
      <c r="O26" s="8" t="s">
        <v>147</v>
      </c>
    </row>
    <row r="27" spans="1:27" ht="15.6" x14ac:dyDescent="0.3">
      <c r="B27" s="15" t="s">
        <v>100</v>
      </c>
      <c r="C27" s="31" t="s">
        <v>13</v>
      </c>
      <c r="D27" s="31" t="s">
        <v>26</v>
      </c>
      <c r="E27" s="31" t="s">
        <v>34</v>
      </c>
      <c r="F27" s="31" t="s">
        <v>14</v>
      </c>
      <c r="G27" s="31" t="s">
        <v>15</v>
      </c>
      <c r="H27" s="31" t="s">
        <v>18</v>
      </c>
      <c r="I27" s="31" t="s">
        <v>20</v>
      </c>
      <c r="J27" s="31" t="s">
        <v>16</v>
      </c>
      <c r="K27" s="31" t="s">
        <v>21</v>
      </c>
      <c r="L27" s="31" t="s">
        <v>35</v>
      </c>
      <c r="M27" s="31" t="s">
        <v>22</v>
      </c>
      <c r="N27" s="8"/>
      <c r="P27" s="15" t="s">
        <v>100</v>
      </c>
      <c r="Q27" s="31" t="s">
        <v>13</v>
      </c>
      <c r="R27" s="31" t="s">
        <v>26</v>
      </c>
      <c r="S27" s="31" t="s">
        <v>34</v>
      </c>
      <c r="T27" s="31" t="s">
        <v>14</v>
      </c>
      <c r="U27" s="31" t="s">
        <v>15</v>
      </c>
      <c r="V27" s="31" t="s">
        <v>18</v>
      </c>
      <c r="W27" s="31" t="s">
        <v>20</v>
      </c>
      <c r="X27" s="31" t="s">
        <v>16</v>
      </c>
      <c r="Y27" s="31" t="s">
        <v>21</v>
      </c>
      <c r="Z27" s="31" t="s">
        <v>35</v>
      </c>
      <c r="AA27" s="31" t="s">
        <v>22</v>
      </c>
    </row>
    <row r="28" spans="1:27" ht="15.6" x14ac:dyDescent="0.3">
      <c r="B28" s="18" t="s">
        <v>114</v>
      </c>
      <c r="C28" s="32">
        <v>2</v>
      </c>
      <c r="D28" s="32">
        <v>3.6</v>
      </c>
      <c r="E28" s="32">
        <v>2.4</v>
      </c>
      <c r="F28" s="32">
        <v>5</v>
      </c>
      <c r="G28" s="32">
        <v>6</v>
      </c>
      <c r="H28" s="32">
        <v>10</v>
      </c>
      <c r="I28" s="32">
        <f>12*1.2</f>
        <v>14.399999999999999</v>
      </c>
      <c r="J28" s="32">
        <v>12</v>
      </c>
      <c r="K28" s="32">
        <f>32*0.6</f>
        <v>19.2</v>
      </c>
      <c r="L28" s="32">
        <f>32*1.2</f>
        <v>38.4</v>
      </c>
      <c r="M28" s="32">
        <f>64*0.6</f>
        <v>38.4</v>
      </c>
      <c r="N28" s="8"/>
      <c r="P28" s="18" t="s">
        <v>114</v>
      </c>
      <c r="Q28" s="32">
        <v>2</v>
      </c>
      <c r="R28" s="32">
        <v>3.6</v>
      </c>
      <c r="S28" s="32">
        <v>2.4</v>
      </c>
      <c r="T28" s="32">
        <v>5</v>
      </c>
      <c r="U28" s="32">
        <v>6</v>
      </c>
      <c r="V28" s="32">
        <v>10</v>
      </c>
      <c r="W28" s="32">
        <f>12*1.2</f>
        <v>14.399999999999999</v>
      </c>
      <c r="X28" s="32">
        <v>12</v>
      </c>
      <c r="Y28" s="32">
        <f>32*0.6</f>
        <v>19.2</v>
      </c>
      <c r="Z28" s="32">
        <f>32*1.2</f>
        <v>38.4</v>
      </c>
      <c r="AA28" s="32">
        <f>64*0.6</f>
        <v>38.4</v>
      </c>
    </row>
    <row r="29" spans="1:27" ht="15.6" x14ac:dyDescent="0.3">
      <c r="B29" s="18" t="s">
        <v>101</v>
      </c>
      <c r="C29" s="32" t="s">
        <v>13</v>
      </c>
      <c r="D29" s="32" t="s">
        <v>26</v>
      </c>
      <c r="E29" s="32" t="s">
        <v>31</v>
      </c>
      <c r="F29" s="32" t="s">
        <v>14</v>
      </c>
      <c r="G29" s="32" t="s">
        <v>16</v>
      </c>
      <c r="H29" s="32" t="s">
        <v>18</v>
      </c>
      <c r="I29" s="32" t="s">
        <v>20</v>
      </c>
      <c r="J29" s="32" t="s">
        <v>19</v>
      </c>
      <c r="K29" s="32" t="s">
        <v>22</v>
      </c>
      <c r="L29" s="32" t="s">
        <v>35</v>
      </c>
      <c r="M29" s="32" t="s">
        <v>40</v>
      </c>
      <c r="N29" s="8"/>
      <c r="P29" s="18" t="s">
        <v>101</v>
      </c>
      <c r="Q29" s="32" t="s">
        <v>13</v>
      </c>
      <c r="R29" s="32" t="s">
        <v>26</v>
      </c>
      <c r="S29" s="32" t="s">
        <v>31</v>
      </c>
      <c r="T29" s="32" t="s">
        <v>14</v>
      </c>
      <c r="U29" s="32" t="s">
        <v>16</v>
      </c>
      <c r="V29" s="32" t="s">
        <v>18</v>
      </c>
      <c r="W29" s="32" t="s">
        <v>20</v>
      </c>
      <c r="X29" s="32" t="s">
        <v>19</v>
      </c>
      <c r="Y29" s="32" t="s">
        <v>22</v>
      </c>
      <c r="Z29" s="32" t="s">
        <v>35</v>
      </c>
      <c r="AA29" s="32" t="s">
        <v>40</v>
      </c>
    </row>
    <row r="30" spans="1:27" ht="15.6" x14ac:dyDescent="0.3">
      <c r="B30" s="33" t="s">
        <v>115</v>
      </c>
      <c r="C30" s="40"/>
      <c r="D30" s="40"/>
      <c r="E30" s="40" t="s">
        <v>121</v>
      </c>
      <c r="F30" s="40"/>
      <c r="G30" s="40" t="s">
        <v>121</v>
      </c>
      <c r="H30" s="40"/>
      <c r="I30" s="40"/>
      <c r="J30" s="40" t="s">
        <v>121</v>
      </c>
      <c r="K30" s="40" t="s">
        <v>121</v>
      </c>
      <c r="L30" s="40"/>
      <c r="M30" s="40" t="s">
        <v>121</v>
      </c>
      <c r="N30" s="8"/>
      <c r="P30" s="33" t="s">
        <v>115</v>
      </c>
      <c r="Q30" s="40"/>
      <c r="R30" s="40"/>
      <c r="S30" s="40" t="s">
        <v>121</v>
      </c>
      <c r="T30" s="40"/>
      <c r="U30" s="40" t="s">
        <v>121</v>
      </c>
      <c r="V30" s="40"/>
      <c r="W30" s="40"/>
      <c r="X30" s="40" t="s">
        <v>121</v>
      </c>
      <c r="Y30" s="40" t="s">
        <v>121</v>
      </c>
      <c r="Z30" s="40"/>
      <c r="AA30" s="40" t="s">
        <v>121</v>
      </c>
    </row>
    <row r="31" spans="1:27" ht="15.6" x14ac:dyDescent="0.3">
      <c r="A31" s="7" t="s">
        <v>6</v>
      </c>
      <c r="B31" s="35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8"/>
      <c r="O31" s="7" t="s">
        <v>6</v>
      </c>
      <c r="P31" s="35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 spans="1:27" ht="15.6" x14ac:dyDescent="0.3">
      <c r="A32" s="132">
        <v>70</v>
      </c>
      <c r="B32" s="30" t="s">
        <v>102</v>
      </c>
      <c r="C32" s="37">
        <v>2.2799999999999998</v>
      </c>
      <c r="D32" s="37">
        <v>3.8</v>
      </c>
      <c r="E32" s="37">
        <v>2.2000000000000002</v>
      </c>
      <c r="F32" s="37">
        <v>2.2000000000000002</v>
      </c>
      <c r="G32" s="37">
        <v>3.14</v>
      </c>
      <c r="H32" s="37">
        <v>2.48</v>
      </c>
      <c r="I32" s="37">
        <v>2.67</v>
      </c>
      <c r="J32" s="37">
        <v>3.03</v>
      </c>
      <c r="K32" s="37">
        <v>2.75</v>
      </c>
      <c r="L32" s="37">
        <v>2.61</v>
      </c>
      <c r="M32" s="37">
        <v>2.46</v>
      </c>
      <c r="N32" s="8"/>
      <c r="O32" s="132">
        <v>70</v>
      </c>
      <c r="P32" s="30" t="s">
        <v>102</v>
      </c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 spans="1:27" ht="15.6" x14ac:dyDescent="0.3">
      <c r="A33" s="132"/>
      <c r="B33" s="20" t="s">
        <v>103</v>
      </c>
      <c r="C33" s="32">
        <v>2.25</v>
      </c>
      <c r="D33" s="32">
        <v>3.76</v>
      </c>
      <c r="E33" s="32">
        <v>2.1800000000000002</v>
      </c>
      <c r="F33" s="32">
        <v>2.1800000000000002</v>
      </c>
      <c r="G33" s="32">
        <v>3.11</v>
      </c>
      <c r="H33" s="32">
        <v>2.46</v>
      </c>
      <c r="I33" s="32">
        <v>2.64</v>
      </c>
      <c r="J33" s="32">
        <v>3</v>
      </c>
      <c r="K33" s="32">
        <v>2.72</v>
      </c>
      <c r="L33" s="32">
        <v>2.58</v>
      </c>
      <c r="M33" s="32">
        <v>2.4300000000000002</v>
      </c>
      <c r="N33" s="8"/>
      <c r="O33" s="132"/>
      <c r="P33" s="20" t="s">
        <v>151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15.6" x14ac:dyDescent="0.3">
      <c r="A34" s="132"/>
      <c r="B34" s="38" t="s">
        <v>104</v>
      </c>
      <c r="C34" s="26">
        <f t="shared" ref="C34:M34" si="12">IF(OR(C32="",C33=""),"",C33/C32)</f>
        <v>0.98684210526315796</v>
      </c>
      <c r="D34" s="26">
        <f t="shared" si="12"/>
        <v>0.98947368421052628</v>
      </c>
      <c r="E34" s="26">
        <f t="shared" si="12"/>
        <v>0.99090909090909085</v>
      </c>
      <c r="F34" s="26">
        <f t="shared" si="12"/>
        <v>0.99090909090909085</v>
      </c>
      <c r="G34" s="26">
        <f t="shared" si="12"/>
        <v>0.99044585987261136</v>
      </c>
      <c r="H34" s="26">
        <f t="shared" si="12"/>
        <v>0.99193548387096775</v>
      </c>
      <c r="I34" s="26">
        <f t="shared" si="12"/>
        <v>0.98876404494382031</v>
      </c>
      <c r="J34" s="26">
        <f t="shared" si="12"/>
        <v>0.9900990099009902</v>
      </c>
      <c r="K34" s="26">
        <f t="shared" si="12"/>
        <v>0.98909090909090913</v>
      </c>
      <c r="L34" s="26">
        <f t="shared" si="12"/>
        <v>0.98850574712643691</v>
      </c>
      <c r="M34" s="26">
        <f t="shared" si="12"/>
        <v>0.98780487804878059</v>
      </c>
      <c r="N34" s="39"/>
      <c r="O34" s="132"/>
      <c r="P34" s="38" t="s">
        <v>104</v>
      </c>
      <c r="Q34" s="26" t="str">
        <f t="shared" ref="Q34:AA34" si="13">IF(OR(Q32="",Q33=""),"",Q33/Q32)</f>
        <v/>
      </c>
      <c r="R34" s="26" t="str">
        <f t="shared" si="13"/>
        <v/>
      </c>
      <c r="S34" s="26" t="str">
        <f t="shared" si="13"/>
        <v/>
      </c>
      <c r="T34" s="26" t="str">
        <f t="shared" si="13"/>
        <v/>
      </c>
      <c r="U34" s="26" t="str">
        <f t="shared" si="13"/>
        <v/>
      </c>
      <c r="V34" s="26" t="str">
        <f t="shared" si="13"/>
        <v/>
      </c>
      <c r="W34" s="26" t="str">
        <f t="shared" si="13"/>
        <v/>
      </c>
      <c r="X34" s="26" t="str">
        <f t="shared" si="13"/>
        <v/>
      </c>
      <c r="Y34" s="26" t="str">
        <f t="shared" si="13"/>
        <v/>
      </c>
      <c r="Z34" s="26" t="str">
        <f t="shared" si="13"/>
        <v/>
      </c>
      <c r="AA34" s="26" t="str">
        <f t="shared" si="13"/>
        <v/>
      </c>
    </row>
    <row r="35" spans="1:27" ht="15.6" x14ac:dyDescent="0.3">
      <c r="A35" s="132">
        <v>80</v>
      </c>
      <c r="B35" s="30" t="s">
        <v>102</v>
      </c>
      <c r="C35" s="37">
        <v>3.67</v>
      </c>
      <c r="D35" s="37">
        <v>6.12</v>
      </c>
      <c r="E35" s="37">
        <v>3.55</v>
      </c>
      <c r="F35" s="37">
        <v>3.55</v>
      </c>
      <c r="G35" s="37">
        <v>5.0599999999999996</v>
      </c>
      <c r="H35" s="37">
        <v>4</v>
      </c>
      <c r="I35" s="37">
        <v>4.29</v>
      </c>
      <c r="J35" s="37">
        <v>4.88</v>
      </c>
      <c r="K35" s="37">
        <v>4.43</v>
      </c>
      <c r="L35" s="37">
        <v>4.21</v>
      </c>
      <c r="M35" s="37">
        <v>3.96</v>
      </c>
      <c r="N35" s="8"/>
      <c r="O35" s="132">
        <v>80</v>
      </c>
      <c r="P35" s="30" t="s">
        <v>102</v>
      </c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 spans="1:27" ht="15.6" x14ac:dyDescent="0.3">
      <c r="A36" s="132"/>
      <c r="B36" s="20" t="s">
        <v>103</v>
      </c>
      <c r="C36" s="32">
        <v>3.6</v>
      </c>
      <c r="D36" s="32">
        <v>5.99</v>
      </c>
      <c r="E36" s="32">
        <v>3.48</v>
      </c>
      <c r="F36" s="32">
        <v>3.48</v>
      </c>
      <c r="G36" s="32">
        <v>4.96</v>
      </c>
      <c r="H36" s="32">
        <v>3.92</v>
      </c>
      <c r="I36" s="32">
        <v>4.21</v>
      </c>
      <c r="J36" s="32">
        <v>4.78</v>
      </c>
      <c r="K36" s="32">
        <v>4.34</v>
      </c>
      <c r="L36" s="32">
        <v>4.12</v>
      </c>
      <c r="M36" s="32">
        <v>3.88</v>
      </c>
      <c r="N36" s="8"/>
      <c r="O36" s="132"/>
      <c r="P36" s="20" t="s">
        <v>151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15.6" x14ac:dyDescent="0.3">
      <c r="A37" s="132"/>
      <c r="B37" s="38" t="s">
        <v>104</v>
      </c>
      <c r="C37" s="26">
        <f t="shared" ref="C37:M37" si="14">IF(OR(C35="",C36=""),"",C36/C35)</f>
        <v>0.98092643051771122</v>
      </c>
      <c r="D37" s="26">
        <f t="shared" si="14"/>
        <v>0.97875816993464049</v>
      </c>
      <c r="E37" s="26">
        <f t="shared" si="14"/>
        <v>0.9802816901408451</v>
      </c>
      <c r="F37" s="26">
        <f t="shared" si="14"/>
        <v>0.9802816901408451</v>
      </c>
      <c r="G37" s="26">
        <f t="shared" si="14"/>
        <v>0.98023715415019774</v>
      </c>
      <c r="H37" s="26">
        <f t="shared" si="14"/>
        <v>0.98</v>
      </c>
      <c r="I37" s="26">
        <f t="shared" si="14"/>
        <v>0.98135198135198132</v>
      </c>
      <c r="J37" s="26">
        <f t="shared" si="14"/>
        <v>0.97950819672131151</v>
      </c>
      <c r="K37" s="26">
        <f t="shared" si="14"/>
        <v>0.97968397291196396</v>
      </c>
      <c r="L37" s="26">
        <f t="shared" si="14"/>
        <v>0.97862232779097391</v>
      </c>
      <c r="M37" s="26">
        <f t="shared" si="14"/>
        <v>0.97979797979797978</v>
      </c>
      <c r="N37" s="39"/>
      <c r="O37" s="132"/>
      <c r="P37" s="38" t="s">
        <v>104</v>
      </c>
      <c r="Q37" s="26" t="str">
        <f t="shared" ref="Q37:AA37" si="15">IF(OR(Q35="",Q36=""),"",Q36/Q35)</f>
        <v/>
      </c>
      <c r="R37" s="26" t="str">
        <f t="shared" si="15"/>
        <v/>
      </c>
      <c r="S37" s="26" t="str">
        <f t="shared" si="15"/>
        <v/>
      </c>
      <c r="T37" s="26" t="str">
        <f t="shared" si="15"/>
        <v/>
      </c>
      <c r="U37" s="26" t="str">
        <f t="shared" si="15"/>
        <v/>
      </c>
      <c r="V37" s="26" t="str">
        <f t="shared" si="15"/>
        <v/>
      </c>
      <c r="W37" s="26" t="str">
        <f t="shared" si="15"/>
        <v/>
      </c>
      <c r="X37" s="26" t="str">
        <f t="shared" si="15"/>
        <v/>
      </c>
      <c r="Y37" s="26" t="str">
        <f t="shared" si="15"/>
        <v/>
      </c>
      <c r="Z37" s="26" t="str">
        <f t="shared" si="15"/>
        <v/>
      </c>
      <c r="AA37" s="26" t="str">
        <f t="shared" si="15"/>
        <v/>
      </c>
    </row>
    <row r="38" spans="1:27" ht="15.6" x14ac:dyDescent="0.3">
      <c r="A38" s="132">
        <v>100</v>
      </c>
      <c r="B38" s="30" t="s">
        <v>102</v>
      </c>
      <c r="C38" s="37">
        <v>5.43</v>
      </c>
      <c r="D38" s="37">
        <v>9.0500000000000007</v>
      </c>
      <c r="E38" s="37">
        <v>5.25</v>
      </c>
      <c r="F38" s="37">
        <v>52.25</v>
      </c>
      <c r="G38" s="37">
        <v>7.49</v>
      </c>
      <c r="H38" s="37">
        <v>5.92</v>
      </c>
      <c r="I38" s="37">
        <v>6.35</v>
      </c>
      <c r="J38" s="37">
        <v>7.23</v>
      </c>
      <c r="K38" s="37">
        <v>6.56</v>
      </c>
      <c r="L38" s="37">
        <v>6.22</v>
      </c>
      <c r="M38" s="37">
        <v>5.86</v>
      </c>
      <c r="N38" s="8"/>
      <c r="O38" s="132">
        <v>100</v>
      </c>
      <c r="P38" s="30" t="s">
        <v>102</v>
      </c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 spans="1:27" ht="15.6" x14ac:dyDescent="0.3">
      <c r="A39" s="132"/>
      <c r="B39" s="20" t="s">
        <v>103</v>
      </c>
      <c r="C39" s="32">
        <v>5.29</v>
      </c>
      <c r="D39" s="32">
        <v>8.82</v>
      </c>
      <c r="E39" s="32">
        <v>5.1100000000000003</v>
      </c>
      <c r="F39" s="32">
        <v>5.1100000000000003</v>
      </c>
      <c r="G39" s="32">
        <v>7.29</v>
      </c>
      <c r="H39" s="32">
        <v>5.76</v>
      </c>
      <c r="I39" s="32">
        <v>6.19</v>
      </c>
      <c r="J39" s="32">
        <v>7.04</v>
      </c>
      <c r="K39" s="32">
        <v>6.39</v>
      </c>
      <c r="L39" s="32">
        <v>6.06</v>
      </c>
      <c r="M39" s="32">
        <v>5.7</v>
      </c>
      <c r="N39" s="8"/>
      <c r="O39" s="132"/>
      <c r="P39" s="20" t="s">
        <v>151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spans="1:27" ht="15.6" x14ac:dyDescent="0.3">
      <c r="A40" s="132"/>
      <c r="B40" s="38" t="s">
        <v>104</v>
      </c>
      <c r="C40" s="26">
        <f t="shared" ref="C40:M40" si="16">IF(OR(C38="",C39=""),"",C39/C38)</f>
        <v>0.97421731123388589</v>
      </c>
      <c r="D40" s="26">
        <f t="shared" si="16"/>
        <v>0.97458563535911602</v>
      </c>
      <c r="E40" s="26">
        <f t="shared" si="16"/>
        <v>0.97333333333333338</v>
      </c>
      <c r="F40" s="26">
        <f t="shared" si="16"/>
        <v>9.7799043062200969E-2</v>
      </c>
      <c r="G40" s="26">
        <f t="shared" si="16"/>
        <v>0.97329773030707611</v>
      </c>
      <c r="H40" s="26">
        <f t="shared" si="16"/>
        <v>0.97297297297297292</v>
      </c>
      <c r="I40" s="26">
        <f t="shared" si="16"/>
        <v>0.97480314960629932</v>
      </c>
      <c r="J40" s="26">
        <f t="shared" si="16"/>
        <v>0.97372060857538034</v>
      </c>
      <c r="K40" s="26">
        <f t="shared" si="16"/>
        <v>0.97408536585365857</v>
      </c>
      <c r="L40" s="26">
        <f t="shared" si="16"/>
        <v>0.97427652733118963</v>
      </c>
      <c r="M40" s="26">
        <f t="shared" si="16"/>
        <v>0.97269624573378832</v>
      </c>
      <c r="N40" s="39"/>
      <c r="O40" s="132"/>
      <c r="P40" s="38" t="s">
        <v>104</v>
      </c>
      <c r="Q40" s="26" t="str">
        <f t="shared" ref="Q40:AA40" si="17">IF(OR(Q38="",Q39=""),"",Q39/Q38)</f>
        <v/>
      </c>
      <c r="R40" s="26" t="str">
        <f t="shared" si="17"/>
        <v/>
      </c>
      <c r="S40" s="26" t="str">
        <f t="shared" si="17"/>
        <v/>
      </c>
      <c r="T40" s="26" t="str">
        <f t="shared" si="17"/>
        <v/>
      </c>
      <c r="U40" s="26" t="str">
        <f t="shared" si="17"/>
        <v/>
      </c>
      <c r="V40" s="26" t="str">
        <f t="shared" si="17"/>
        <v/>
      </c>
      <c r="W40" s="26" t="str">
        <f t="shared" si="17"/>
        <v/>
      </c>
      <c r="X40" s="26" t="str">
        <f t="shared" si="17"/>
        <v/>
      </c>
      <c r="Y40" s="26" t="str">
        <f t="shared" si="17"/>
        <v/>
      </c>
      <c r="Z40" s="26" t="str">
        <f t="shared" si="17"/>
        <v/>
      </c>
      <c r="AA40" s="26" t="str">
        <f t="shared" si="17"/>
        <v/>
      </c>
    </row>
    <row r="41" spans="1:27" ht="15.6" x14ac:dyDescent="0.3">
      <c r="A41" s="132">
        <v>120</v>
      </c>
      <c r="B41" s="30" t="s">
        <v>102</v>
      </c>
      <c r="C41" s="37">
        <v>7.45</v>
      </c>
      <c r="D41" s="37">
        <v>12.43</v>
      </c>
      <c r="E41" s="37">
        <v>7.2</v>
      </c>
      <c r="F41" s="37">
        <v>7.2</v>
      </c>
      <c r="G41" s="37">
        <v>10.26</v>
      </c>
      <c r="H41" s="37">
        <v>8.1199999999999992</v>
      </c>
      <c r="I41" s="37">
        <v>8.7100000000000009</v>
      </c>
      <c r="J41" s="37">
        <v>9.91</v>
      </c>
      <c r="K41" s="37">
        <v>8.99</v>
      </c>
      <c r="L41" s="37">
        <v>8.5299999999999994</v>
      </c>
      <c r="M41" s="37">
        <v>8.0299999999999994</v>
      </c>
      <c r="N41" s="8"/>
      <c r="O41" s="132">
        <v>120</v>
      </c>
      <c r="P41" s="30" t="s">
        <v>102</v>
      </c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 spans="1:27" ht="15.6" x14ac:dyDescent="0.3">
      <c r="A42" s="132"/>
      <c r="B42" s="20" t="s">
        <v>103</v>
      </c>
      <c r="C42" s="32">
        <v>7.23</v>
      </c>
      <c r="D42" s="32">
        <v>12.04</v>
      </c>
      <c r="E42" s="32">
        <v>6.98</v>
      </c>
      <c r="F42" s="32">
        <v>6.98</v>
      </c>
      <c r="G42" s="32">
        <v>9.9600000000000009</v>
      </c>
      <c r="H42" s="32">
        <v>7.87</v>
      </c>
      <c r="I42" s="32">
        <v>8.4499999999999993</v>
      </c>
      <c r="J42" s="32">
        <v>9.61</v>
      </c>
      <c r="K42" s="32">
        <v>8.7200000000000006</v>
      </c>
      <c r="L42" s="32">
        <v>8.2799999999999994</v>
      </c>
      <c r="M42" s="32">
        <v>7.79</v>
      </c>
      <c r="N42" s="8"/>
      <c r="O42" s="132"/>
      <c r="P42" s="20" t="s">
        <v>151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spans="1:27" ht="15.6" x14ac:dyDescent="0.3">
      <c r="A43" s="132"/>
      <c r="B43" s="38" t="s">
        <v>104</v>
      </c>
      <c r="C43" s="26">
        <f t="shared" ref="C43:M43" si="18">IF(OR(C41="",C42=""),"",C42/C41)</f>
        <v>0.97046979865771821</v>
      </c>
      <c r="D43" s="26">
        <f t="shared" si="18"/>
        <v>0.96862429605792433</v>
      </c>
      <c r="E43" s="26">
        <f t="shared" si="18"/>
        <v>0.96944444444444444</v>
      </c>
      <c r="F43" s="26">
        <f t="shared" si="18"/>
        <v>0.96944444444444444</v>
      </c>
      <c r="G43" s="26">
        <f t="shared" si="18"/>
        <v>0.97076023391812871</v>
      </c>
      <c r="H43" s="26">
        <f t="shared" si="18"/>
        <v>0.96921182266009864</v>
      </c>
      <c r="I43" s="26">
        <f t="shared" si="18"/>
        <v>0.97014925373134309</v>
      </c>
      <c r="J43" s="26">
        <f t="shared" si="18"/>
        <v>0.96972754793138238</v>
      </c>
      <c r="K43" s="26">
        <f t="shared" si="18"/>
        <v>0.96996662958843161</v>
      </c>
      <c r="L43" s="26">
        <f t="shared" si="18"/>
        <v>0.97069167643610788</v>
      </c>
      <c r="M43" s="26">
        <f t="shared" si="18"/>
        <v>0.9701120797011209</v>
      </c>
      <c r="N43" s="39"/>
      <c r="O43" s="132"/>
      <c r="P43" s="38" t="s">
        <v>104</v>
      </c>
      <c r="Q43" s="26" t="str">
        <f t="shared" ref="Q43:AA43" si="19">IF(OR(Q41="",Q42=""),"",Q42/Q41)</f>
        <v/>
      </c>
      <c r="R43" s="26" t="str">
        <f t="shared" si="19"/>
        <v/>
      </c>
      <c r="S43" s="26" t="str">
        <f t="shared" si="19"/>
        <v/>
      </c>
      <c r="T43" s="26" t="str">
        <f t="shared" si="19"/>
        <v/>
      </c>
      <c r="U43" s="26" t="str">
        <f t="shared" si="19"/>
        <v/>
      </c>
      <c r="V43" s="26" t="str">
        <f t="shared" si="19"/>
        <v/>
      </c>
      <c r="W43" s="26" t="str">
        <f t="shared" si="19"/>
        <v/>
      </c>
      <c r="X43" s="26" t="str">
        <f t="shared" si="19"/>
        <v/>
      </c>
      <c r="Y43" s="26" t="str">
        <f t="shared" si="19"/>
        <v/>
      </c>
      <c r="Z43" s="26" t="str">
        <f t="shared" si="19"/>
        <v/>
      </c>
      <c r="AA43" s="26" t="str">
        <f t="shared" si="19"/>
        <v/>
      </c>
    </row>
    <row r="44" spans="1:27" ht="15.6" x14ac:dyDescent="0.3">
      <c r="A44" s="132">
        <v>140</v>
      </c>
      <c r="B44" s="30" t="s">
        <v>102</v>
      </c>
      <c r="C44" s="37">
        <v>9.66</v>
      </c>
      <c r="D44" s="37">
        <v>16.11</v>
      </c>
      <c r="E44" s="37">
        <v>9.34</v>
      </c>
      <c r="F44" s="37">
        <v>9.34</v>
      </c>
      <c r="G44" s="37">
        <v>13.32</v>
      </c>
      <c r="H44" s="37">
        <v>10.53</v>
      </c>
      <c r="I44" s="37">
        <v>11.31</v>
      </c>
      <c r="J44" s="37">
        <v>12.86</v>
      </c>
      <c r="K44" s="37">
        <v>11.67</v>
      </c>
      <c r="L44" s="37">
        <v>11.07</v>
      </c>
      <c r="M44" s="37">
        <v>10.42</v>
      </c>
      <c r="N44" s="8"/>
      <c r="O44" s="132">
        <v>140</v>
      </c>
      <c r="P44" s="30" t="s">
        <v>102</v>
      </c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 spans="1:27" ht="15.6" x14ac:dyDescent="0.3">
      <c r="A45" s="132"/>
      <c r="B45" s="20" t="s">
        <v>103</v>
      </c>
      <c r="C45" s="32">
        <v>9.3699999999999992</v>
      </c>
      <c r="D45" s="32">
        <v>15.62</v>
      </c>
      <c r="E45" s="32">
        <v>9.06</v>
      </c>
      <c r="F45" s="32">
        <v>9.06</v>
      </c>
      <c r="G45" s="32">
        <v>12.92</v>
      </c>
      <c r="H45" s="32">
        <v>10.220000000000001</v>
      </c>
      <c r="I45" s="32">
        <v>10.97</v>
      </c>
      <c r="J45" s="32">
        <v>12.47</v>
      </c>
      <c r="K45" s="32">
        <v>11.32</v>
      </c>
      <c r="L45" s="32">
        <v>10.74</v>
      </c>
      <c r="M45" s="32">
        <v>10.1</v>
      </c>
      <c r="N45" s="8"/>
      <c r="O45" s="132"/>
      <c r="P45" s="20" t="s">
        <v>151</v>
      </c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spans="1:27" ht="15.6" x14ac:dyDescent="0.3">
      <c r="A46" s="132"/>
      <c r="B46" s="38" t="s">
        <v>104</v>
      </c>
      <c r="C46" s="26">
        <f t="shared" ref="C46:M46" si="20">IF(OR(C44="",C45=""),"",C45/C44)</f>
        <v>0.96997929606625244</v>
      </c>
      <c r="D46" s="26">
        <f t="shared" si="20"/>
        <v>0.96958410924891369</v>
      </c>
      <c r="E46" s="26">
        <f t="shared" si="20"/>
        <v>0.97002141327623137</v>
      </c>
      <c r="F46" s="26">
        <f t="shared" si="20"/>
        <v>0.97002141327623137</v>
      </c>
      <c r="G46" s="26">
        <f t="shared" si="20"/>
        <v>0.96996996996996998</v>
      </c>
      <c r="H46" s="26">
        <f t="shared" si="20"/>
        <v>0.97056030389363734</v>
      </c>
      <c r="I46" s="26">
        <f t="shared" si="20"/>
        <v>0.96993810786914236</v>
      </c>
      <c r="J46" s="26">
        <f t="shared" si="20"/>
        <v>0.96967340590979789</v>
      </c>
      <c r="K46" s="26">
        <f t="shared" si="20"/>
        <v>0.97000856898029142</v>
      </c>
      <c r="L46" s="26">
        <f t="shared" si="20"/>
        <v>0.97018970189701892</v>
      </c>
      <c r="M46" s="26">
        <f t="shared" si="20"/>
        <v>0.96928982725527824</v>
      </c>
      <c r="N46" s="39"/>
      <c r="O46" s="132"/>
      <c r="P46" s="38" t="s">
        <v>104</v>
      </c>
      <c r="Q46" s="26" t="str">
        <f t="shared" ref="Q46:AA46" si="21">IF(OR(Q44="",Q45=""),"",Q45/Q44)</f>
        <v/>
      </c>
      <c r="R46" s="26" t="str">
        <f t="shared" si="21"/>
        <v/>
      </c>
      <c r="S46" s="26" t="str">
        <f t="shared" si="21"/>
        <v/>
      </c>
      <c r="T46" s="26" t="str">
        <f t="shared" si="21"/>
        <v/>
      </c>
      <c r="U46" s="26" t="str">
        <f t="shared" si="21"/>
        <v/>
      </c>
      <c r="V46" s="26" t="str">
        <f t="shared" si="21"/>
        <v/>
      </c>
      <c r="W46" s="26" t="str">
        <f t="shared" si="21"/>
        <v/>
      </c>
      <c r="X46" s="26" t="str">
        <f t="shared" si="21"/>
        <v/>
      </c>
      <c r="Y46" s="26" t="str">
        <f t="shared" si="21"/>
        <v/>
      </c>
      <c r="Z46" s="26" t="str">
        <f t="shared" si="21"/>
        <v/>
      </c>
      <c r="AA46" s="26" t="str">
        <f t="shared" si="21"/>
        <v/>
      </c>
    </row>
    <row r="47" spans="1:27" ht="15" customHeight="1" x14ac:dyDescent="0.3">
      <c r="A47" s="150" t="s">
        <v>153</v>
      </c>
      <c r="B47" s="30" t="s">
        <v>102</v>
      </c>
      <c r="C47" s="37">
        <v>12.1</v>
      </c>
      <c r="D47" s="37">
        <v>20.16</v>
      </c>
      <c r="E47" s="37">
        <v>11.69</v>
      </c>
      <c r="F47" s="37">
        <v>11.69</v>
      </c>
      <c r="G47" s="37">
        <v>16.670000000000002</v>
      </c>
      <c r="H47" s="37">
        <v>13.18</v>
      </c>
      <c r="I47" s="37">
        <v>14.15</v>
      </c>
      <c r="J47" s="37">
        <v>16.09</v>
      </c>
      <c r="K47" s="37">
        <v>14.6</v>
      </c>
      <c r="L47" s="37">
        <v>13.86</v>
      </c>
      <c r="M47" s="37">
        <v>13.04</v>
      </c>
      <c r="N47" s="8"/>
      <c r="O47" s="150" t="s">
        <v>153</v>
      </c>
      <c r="P47" s="30" t="s">
        <v>102</v>
      </c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 spans="1:27" ht="15.6" x14ac:dyDescent="0.3">
      <c r="A48" s="150"/>
      <c r="B48" s="20" t="s">
        <v>103</v>
      </c>
      <c r="C48" s="32">
        <v>11.74</v>
      </c>
      <c r="D48" s="32">
        <v>19.57</v>
      </c>
      <c r="E48" s="32">
        <v>11.34</v>
      </c>
      <c r="F48" s="32">
        <v>11.34</v>
      </c>
      <c r="G48" s="32">
        <v>16.18</v>
      </c>
      <c r="H48" s="32">
        <v>12.79</v>
      </c>
      <c r="I48" s="32">
        <v>13.73</v>
      </c>
      <c r="J48" s="32">
        <v>15.62</v>
      </c>
      <c r="K48" s="32">
        <v>14.17</v>
      </c>
      <c r="L48" s="32">
        <v>13.45</v>
      </c>
      <c r="M48" s="32">
        <v>12.65</v>
      </c>
      <c r="N48" s="8"/>
      <c r="O48" s="150"/>
      <c r="P48" s="20" t="s">
        <v>151</v>
      </c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spans="1:27" ht="15.6" x14ac:dyDescent="0.3">
      <c r="A49" s="150"/>
      <c r="B49" s="38" t="s">
        <v>104</v>
      </c>
      <c r="C49" s="26">
        <f t="shared" ref="C49:M49" si="22">IF(OR(C47="",C48=""),"",C48/C47)</f>
        <v>0.97024793388429753</v>
      </c>
      <c r="D49" s="26">
        <f t="shared" si="22"/>
        <v>0.97073412698412698</v>
      </c>
      <c r="E49" s="26">
        <f t="shared" si="22"/>
        <v>0.97005988023952094</v>
      </c>
      <c r="F49" s="26">
        <f t="shared" si="22"/>
        <v>0.97005988023952094</v>
      </c>
      <c r="G49" s="26">
        <f t="shared" si="22"/>
        <v>0.97060587882423499</v>
      </c>
      <c r="H49" s="26">
        <f t="shared" si="22"/>
        <v>0.97040971168437018</v>
      </c>
      <c r="I49" s="26">
        <f t="shared" si="22"/>
        <v>0.97031802120141342</v>
      </c>
      <c r="J49" s="26">
        <f t="shared" si="22"/>
        <v>0.97078931013051584</v>
      </c>
      <c r="K49" s="26">
        <f t="shared" si="22"/>
        <v>0.97054794520547949</v>
      </c>
      <c r="L49" s="26">
        <f t="shared" si="22"/>
        <v>0.9704184704184704</v>
      </c>
      <c r="M49" s="26">
        <f t="shared" si="22"/>
        <v>0.97009202453987742</v>
      </c>
      <c r="N49" s="39"/>
      <c r="O49" s="150"/>
      <c r="P49" s="38" t="s">
        <v>104</v>
      </c>
      <c r="Q49" s="26" t="str">
        <f t="shared" ref="Q49:AA49" si="23">IF(OR(Q47="",Q48=""),"",Q48/Q47)</f>
        <v/>
      </c>
      <c r="R49" s="26" t="str">
        <f t="shared" si="23"/>
        <v/>
      </c>
      <c r="S49" s="26" t="str">
        <f t="shared" si="23"/>
        <v/>
      </c>
      <c r="T49" s="26" t="str">
        <f t="shared" si="23"/>
        <v/>
      </c>
      <c r="U49" s="26" t="str">
        <f t="shared" si="23"/>
        <v/>
      </c>
      <c r="V49" s="26" t="str">
        <f t="shared" si="23"/>
        <v/>
      </c>
      <c r="W49" s="26" t="str">
        <f t="shared" si="23"/>
        <v/>
      </c>
      <c r="X49" s="26" t="str">
        <f t="shared" si="23"/>
        <v/>
      </c>
      <c r="Y49" s="26" t="str">
        <f t="shared" si="23"/>
        <v/>
      </c>
      <c r="Z49" s="26" t="str">
        <f t="shared" si="23"/>
        <v/>
      </c>
      <c r="AA49" s="26" t="str">
        <f t="shared" si="23"/>
        <v/>
      </c>
    </row>
    <row r="51" spans="1:27" ht="15.6" x14ac:dyDescent="0.3">
      <c r="A51" s="8" t="s">
        <v>154</v>
      </c>
      <c r="O51" s="8" t="s">
        <v>154</v>
      </c>
    </row>
    <row r="52" spans="1:27" ht="15.6" x14ac:dyDescent="0.3">
      <c r="B52" s="15" t="s">
        <v>100</v>
      </c>
      <c r="C52" s="31" t="s">
        <v>13</v>
      </c>
      <c r="D52" s="31" t="s">
        <v>26</v>
      </c>
      <c r="E52" s="31" t="s">
        <v>34</v>
      </c>
      <c r="F52" s="31" t="s">
        <v>14</v>
      </c>
      <c r="G52" s="31" t="s">
        <v>15</v>
      </c>
      <c r="H52" s="31" t="s">
        <v>18</v>
      </c>
      <c r="I52" s="31" t="s">
        <v>20</v>
      </c>
      <c r="J52" s="31" t="s">
        <v>16</v>
      </c>
      <c r="K52" s="31" t="s">
        <v>21</v>
      </c>
      <c r="L52" s="31" t="s">
        <v>35</v>
      </c>
      <c r="M52" s="31" t="s">
        <v>22</v>
      </c>
      <c r="N52" s="8"/>
      <c r="P52" s="15" t="s">
        <v>100</v>
      </c>
      <c r="Q52" s="31" t="s">
        <v>13</v>
      </c>
      <c r="R52" s="31" t="s">
        <v>26</v>
      </c>
      <c r="S52" s="31" t="s">
        <v>34</v>
      </c>
      <c r="T52" s="31" t="s">
        <v>14</v>
      </c>
      <c r="U52" s="31" t="s">
        <v>15</v>
      </c>
      <c r="V52" s="31" t="s">
        <v>18</v>
      </c>
      <c r="W52" s="31" t="s">
        <v>20</v>
      </c>
      <c r="X52" s="31" t="s">
        <v>16</v>
      </c>
      <c r="Y52" s="31" t="s">
        <v>21</v>
      </c>
      <c r="Z52" s="31" t="s">
        <v>35</v>
      </c>
      <c r="AA52" s="31" t="s">
        <v>22</v>
      </c>
    </row>
    <row r="53" spans="1:27" ht="15.6" x14ac:dyDescent="0.3">
      <c r="B53" s="18" t="s">
        <v>114</v>
      </c>
      <c r="C53" s="32">
        <v>2</v>
      </c>
      <c r="D53" s="32">
        <v>3.6</v>
      </c>
      <c r="E53" s="32">
        <v>2.4</v>
      </c>
      <c r="F53" s="32">
        <v>5</v>
      </c>
      <c r="G53" s="32">
        <v>6</v>
      </c>
      <c r="H53" s="32">
        <v>10</v>
      </c>
      <c r="I53" s="32">
        <f>12*1.2</f>
        <v>14.399999999999999</v>
      </c>
      <c r="J53" s="32">
        <v>12</v>
      </c>
      <c r="K53" s="32">
        <f>32*0.6</f>
        <v>19.2</v>
      </c>
      <c r="L53" s="32">
        <f>32*1.2</f>
        <v>38.4</v>
      </c>
      <c r="M53" s="32">
        <f>64*0.6</f>
        <v>38.4</v>
      </c>
      <c r="N53" s="8"/>
      <c r="P53" s="18" t="s">
        <v>114</v>
      </c>
      <c r="Q53" s="32">
        <v>2</v>
      </c>
      <c r="R53" s="32">
        <v>3.6</v>
      </c>
      <c r="S53" s="32">
        <v>2.4</v>
      </c>
      <c r="T53" s="32">
        <v>5</v>
      </c>
      <c r="U53" s="32">
        <v>6</v>
      </c>
      <c r="V53" s="32">
        <v>10</v>
      </c>
      <c r="W53" s="32">
        <f>12*1.2</f>
        <v>14.399999999999999</v>
      </c>
      <c r="X53" s="32">
        <v>12</v>
      </c>
      <c r="Y53" s="32">
        <f>32*0.6</f>
        <v>19.2</v>
      </c>
      <c r="Z53" s="32">
        <f>32*1.2</f>
        <v>38.4</v>
      </c>
      <c r="AA53" s="32">
        <f>64*0.6</f>
        <v>38.4</v>
      </c>
    </row>
    <row r="54" spans="1:27" ht="15.6" x14ac:dyDescent="0.3">
      <c r="B54" s="18" t="s">
        <v>101</v>
      </c>
      <c r="C54" s="32" t="s">
        <v>13</v>
      </c>
      <c r="D54" s="32" t="s">
        <v>26</v>
      </c>
      <c r="E54" s="32" t="s">
        <v>31</v>
      </c>
      <c r="F54" s="32" t="s">
        <v>14</v>
      </c>
      <c r="G54" s="32" t="s">
        <v>16</v>
      </c>
      <c r="H54" s="32" t="s">
        <v>18</v>
      </c>
      <c r="I54" s="32" t="s">
        <v>20</v>
      </c>
      <c r="J54" s="32" t="s">
        <v>19</v>
      </c>
      <c r="K54" s="32" t="s">
        <v>22</v>
      </c>
      <c r="L54" s="32" t="s">
        <v>35</v>
      </c>
      <c r="M54" s="32" t="s">
        <v>40</v>
      </c>
      <c r="N54" s="8"/>
      <c r="P54" s="18" t="s">
        <v>101</v>
      </c>
      <c r="Q54" s="32" t="s">
        <v>13</v>
      </c>
      <c r="R54" s="32" t="s">
        <v>26</v>
      </c>
      <c r="S54" s="32" t="s">
        <v>31</v>
      </c>
      <c r="T54" s="32" t="s">
        <v>14</v>
      </c>
      <c r="U54" s="32" t="s">
        <v>16</v>
      </c>
      <c r="V54" s="32" t="s">
        <v>18</v>
      </c>
      <c r="W54" s="32" t="s">
        <v>20</v>
      </c>
      <c r="X54" s="32" t="s">
        <v>19</v>
      </c>
      <c r="Y54" s="32" t="s">
        <v>22</v>
      </c>
      <c r="Z54" s="32" t="s">
        <v>35</v>
      </c>
      <c r="AA54" s="32" t="s">
        <v>40</v>
      </c>
    </row>
    <row r="55" spans="1:27" ht="15.6" x14ac:dyDescent="0.3">
      <c r="B55" s="33" t="s">
        <v>115</v>
      </c>
      <c r="C55" s="40"/>
      <c r="D55" s="40"/>
      <c r="E55" s="40" t="s">
        <v>121</v>
      </c>
      <c r="F55" s="40"/>
      <c r="G55" s="40" t="s">
        <v>121</v>
      </c>
      <c r="H55" s="40"/>
      <c r="I55" s="40"/>
      <c r="J55" s="40" t="s">
        <v>121</v>
      </c>
      <c r="K55" s="40" t="s">
        <v>121</v>
      </c>
      <c r="L55" s="40"/>
      <c r="M55" s="40" t="s">
        <v>121</v>
      </c>
      <c r="N55" s="8"/>
      <c r="P55" s="33" t="s">
        <v>115</v>
      </c>
      <c r="Q55" s="40"/>
      <c r="R55" s="40"/>
      <c r="S55" s="40" t="s">
        <v>121</v>
      </c>
      <c r="T55" s="40"/>
      <c r="U55" s="40" t="s">
        <v>121</v>
      </c>
      <c r="V55" s="40"/>
      <c r="W55" s="40"/>
      <c r="X55" s="40" t="s">
        <v>121</v>
      </c>
      <c r="Y55" s="40" t="s">
        <v>121</v>
      </c>
      <c r="Z55" s="40"/>
      <c r="AA55" s="40" t="s">
        <v>121</v>
      </c>
    </row>
    <row r="56" spans="1:27" ht="15.6" x14ac:dyDescent="0.3">
      <c r="A56" s="7" t="s">
        <v>6</v>
      </c>
      <c r="B56" s="35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8"/>
      <c r="O56" s="7" t="s">
        <v>6</v>
      </c>
      <c r="P56" s="35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 spans="1:27" ht="15.6" x14ac:dyDescent="0.3">
      <c r="A57" s="132">
        <v>70</v>
      </c>
      <c r="B57" s="30" t="s">
        <v>102</v>
      </c>
      <c r="C57" s="37">
        <v>0.6</v>
      </c>
      <c r="D57" s="37">
        <v>1</v>
      </c>
      <c r="E57" s="37">
        <v>1.1000000000000001</v>
      </c>
      <c r="F57" s="37">
        <v>0.6</v>
      </c>
      <c r="G57" s="37">
        <v>0.8</v>
      </c>
      <c r="H57" s="37">
        <v>0.6</v>
      </c>
      <c r="I57" s="37">
        <v>0.7</v>
      </c>
      <c r="J57" s="37">
        <v>0.8</v>
      </c>
      <c r="K57" s="37">
        <v>0.7</v>
      </c>
      <c r="L57" s="37">
        <v>0.6</v>
      </c>
      <c r="M57" s="37">
        <v>0.6</v>
      </c>
      <c r="N57" s="8"/>
      <c r="O57" s="132" t="s">
        <v>52</v>
      </c>
      <c r="P57" s="30" t="s">
        <v>102</v>
      </c>
      <c r="Q57" s="117"/>
      <c r="R57" s="117"/>
      <c r="S57" s="117"/>
      <c r="T57" s="117"/>
      <c r="U57" s="117"/>
      <c r="V57" s="117"/>
      <c r="W57" s="117"/>
      <c r="X57" s="117"/>
      <c r="Y57" s="117">
        <f>AVERAGE(0.4579,0.4603,0.4541)</f>
        <v>0.4574333333333333</v>
      </c>
      <c r="Z57" s="117"/>
      <c r="AA57" s="117"/>
    </row>
    <row r="58" spans="1:27" ht="15.6" x14ac:dyDescent="0.3">
      <c r="A58" s="132"/>
      <c r="B58" s="20" t="s">
        <v>103</v>
      </c>
      <c r="C58" s="32">
        <v>1.3</v>
      </c>
      <c r="D58" s="32">
        <v>2.1</v>
      </c>
      <c r="E58" s="32">
        <v>2.2000000000000002</v>
      </c>
      <c r="F58" s="32">
        <v>1.1000000000000001</v>
      </c>
      <c r="G58" s="32">
        <v>1.5</v>
      </c>
      <c r="H58" s="32">
        <v>1.1000000000000001</v>
      </c>
      <c r="I58" s="32">
        <v>1.5</v>
      </c>
      <c r="J58" s="32">
        <v>1.5</v>
      </c>
      <c r="K58" s="32">
        <v>1.4</v>
      </c>
      <c r="L58" s="32">
        <v>1.3</v>
      </c>
      <c r="M58" s="32">
        <v>1.2</v>
      </c>
      <c r="N58" s="8"/>
      <c r="O58" s="132"/>
      <c r="P58" s="20" t="s">
        <v>151</v>
      </c>
      <c r="Q58" s="118"/>
      <c r="R58" s="118"/>
      <c r="S58" s="118"/>
      <c r="T58" s="118"/>
      <c r="U58" s="118"/>
      <c r="V58" s="118"/>
      <c r="W58" s="118"/>
      <c r="X58" s="118"/>
      <c r="Y58" s="118">
        <f>AVERAGE(0.9235,1.003,0.9243)</f>
        <v>0.9502666666666667</v>
      </c>
      <c r="Z58" s="118"/>
      <c r="AA58" s="118"/>
    </row>
    <row r="59" spans="1:27" ht="15.6" x14ac:dyDescent="0.3">
      <c r="A59" s="132"/>
      <c r="B59" s="38" t="s">
        <v>104</v>
      </c>
      <c r="C59" s="26">
        <f t="shared" ref="C59:M59" si="24">IF(OR(C57="",C58=""),"",C58/C57)</f>
        <v>2.166666666666667</v>
      </c>
      <c r="D59" s="26">
        <f t="shared" si="24"/>
        <v>2.1</v>
      </c>
      <c r="E59" s="26">
        <f t="shared" si="24"/>
        <v>2</v>
      </c>
      <c r="F59" s="26">
        <f t="shared" si="24"/>
        <v>1.8333333333333335</v>
      </c>
      <c r="G59" s="26">
        <f t="shared" si="24"/>
        <v>1.875</v>
      </c>
      <c r="H59" s="26">
        <f t="shared" si="24"/>
        <v>1.8333333333333335</v>
      </c>
      <c r="I59" s="26">
        <f t="shared" si="24"/>
        <v>2.1428571428571428</v>
      </c>
      <c r="J59" s="26">
        <f t="shared" si="24"/>
        <v>1.875</v>
      </c>
      <c r="K59" s="26">
        <f t="shared" si="24"/>
        <v>2</v>
      </c>
      <c r="L59" s="26">
        <f t="shared" si="24"/>
        <v>2.166666666666667</v>
      </c>
      <c r="M59" s="26">
        <f t="shared" si="24"/>
        <v>2</v>
      </c>
      <c r="N59" s="39"/>
      <c r="O59" s="132"/>
      <c r="P59" s="38" t="s">
        <v>104</v>
      </c>
      <c r="Q59" s="26" t="str">
        <f t="shared" ref="Q59:AA59" si="25">IF(OR(Q57="",Q58=""),"",Q58/Q57)</f>
        <v/>
      </c>
      <c r="R59" s="26" t="str">
        <f t="shared" si="25"/>
        <v/>
      </c>
      <c r="S59" s="26" t="str">
        <f t="shared" si="25"/>
        <v/>
      </c>
      <c r="T59" s="26" t="str">
        <f t="shared" si="25"/>
        <v/>
      </c>
      <c r="U59" s="26" t="str">
        <f t="shared" si="25"/>
        <v/>
      </c>
      <c r="V59" s="26" t="str">
        <f t="shared" si="25"/>
        <v/>
      </c>
      <c r="W59" s="26" t="str">
        <f t="shared" si="25"/>
        <v/>
      </c>
      <c r="X59" s="26" t="str">
        <f t="shared" si="25"/>
        <v/>
      </c>
      <c r="Y59" s="26">
        <f t="shared" si="25"/>
        <v>2.0773883261677479</v>
      </c>
      <c r="Z59" s="26" t="str">
        <f t="shared" si="25"/>
        <v/>
      </c>
      <c r="AA59" s="26" t="str">
        <f t="shared" si="25"/>
        <v/>
      </c>
    </row>
    <row r="60" spans="1:27" ht="15.6" x14ac:dyDescent="0.3">
      <c r="A60" s="132">
        <v>80</v>
      </c>
      <c r="B60" s="30" t="s">
        <v>102</v>
      </c>
      <c r="C60" s="37">
        <v>1.1000000000000001</v>
      </c>
      <c r="D60" s="37">
        <v>1.8</v>
      </c>
      <c r="E60" s="37">
        <v>1.9</v>
      </c>
      <c r="F60" s="37">
        <v>1</v>
      </c>
      <c r="G60" s="37">
        <v>1.3</v>
      </c>
      <c r="H60" s="37">
        <v>1</v>
      </c>
      <c r="I60" s="37">
        <v>1.3</v>
      </c>
      <c r="J60" s="37">
        <v>1.3</v>
      </c>
      <c r="K60" s="37">
        <v>1.2</v>
      </c>
      <c r="L60" s="37">
        <v>1.1000000000000001</v>
      </c>
      <c r="M60" s="37">
        <v>1.1000000000000001</v>
      </c>
      <c r="N60" s="8"/>
      <c r="O60" s="132" t="s">
        <v>53</v>
      </c>
      <c r="P60" s="30" t="s">
        <v>102</v>
      </c>
      <c r="Q60" s="117"/>
      <c r="R60" s="117"/>
      <c r="S60" s="117"/>
      <c r="T60" s="117"/>
      <c r="U60" s="117"/>
      <c r="V60" s="117"/>
      <c r="W60" s="117"/>
      <c r="X60" s="117"/>
      <c r="Y60" s="117">
        <f>AVERAGE(0.963,0.9669,0.9591)</f>
        <v>0.96299999999999997</v>
      </c>
      <c r="Z60" s="117"/>
      <c r="AA60" s="117"/>
    </row>
    <row r="61" spans="1:27" ht="15.6" x14ac:dyDescent="0.3">
      <c r="A61" s="132"/>
      <c r="B61" s="20" t="s">
        <v>103</v>
      </c>
      <c r="C61" s="32">
        <v>2</v>
      </c>
      <c r="D61" s="32">
        <v>3.2</v>
      </c>
      <c r="E61" s="32">
        <v>3.4</v>
      </c>
      <c r="F61" s="32">
        <v>1.8</v>
      </c>
      <c r="G61" s="32">
        <v>2.4</v>
      </c>
      <c r="H61" s="32">
        <v>1.8</v>
      </c>
      <c r="I61" s="32">
        <v>2.2999999999999998</v>
      </c>
      <c r="J61" s="32">
        <v>2.4</v>
      </c>
      <c r="K61" s="32">
        <v>2.2000000000000002</v>
      </c>
      <c r="L61" s="32">
        <v>2</v>
      </c>
      <c r="M61" s="32">
        <v>2</v>
      </c>
      <c r="N61" s="8"/>
      <c r="O61" s="132"/>
      <c r="P61" s="20" t="s">
        <v>151</v>
      </c>
      <c r="Q61" s="118"/>
      <c r="R61" s="118"/>
      <c r="S61" s="118"/>
      <c r="T61" s="118"/>
      <c r="U61" s="118"/>
      <c r="V61" s="118"/>
      <c r="W61" s="118"/>
      <c r="X61" s="118"/>
      <c r="Y61" s="118">
        <f>AVERAGE(2.02,1.853,1.861)</f>
        <v>1.9113333333333333</v>
      </c>
      <c r="Z61" s="118"/>
      <c r="AA61" s="118"/>
    </row>
    <row r="62" spans="1:27" ht="15.6" x14ac:dyDescent="0.3">
      <c r="A62" s="132"/>
      <c r="B62" s="38" t="s">
        <v>104</v>
      </c>
      <c r="C62" s="26">
        <f t="shared" ref="C62:M62" si="26">IF(OR(C60="",C61=""),"",C61/C60)</f>
        <v>1.8181818181818181</v>
      </c>
      <c r="D62" s="26">
        <f t="shared" si="26"/>
        <v>1.7777777777777779</v>
      </c>
      <c r="E62" s="26">
        <f t="shared" si="26"/>
        <v>1.7894736842105263</v>
      </c>
      <c r="F62" s="26">
        <f t="shared" si="26"/>
        <v>1.8</v>
      </c>
      <c r="G62" s="26">
        <f t="shared" si="26"/>
        <v>1.846153846153846</v>
      </c>
      <c r="H62" s="26">
        <f t="shared" si="26"/>
        <v>1.8</v>
      </c>
      <c r="I62" s="26">
        <f t="shared" si="26"/>
        <v>1.7692307692307689</v>
      </c>
      <c r="J62" s="26">
        <f t="shared" si="26"/>
        <v>1.846153846153846</v>
      </c>
      <c r="K62" s="26">
        <f t="shared" si="26"/>
        <v>1.8333333333333335</v>
      </c>
      <c r="L62" s="26">
        <f t="shared" si="26"/>
        <v>1.8181818181818181</v>
      </c>
      <c r="M62" s="26">
        <f t="shared" si="26"/>
        <v>1.8181818181818181</v>
      </c>
      <c r="N62" s="39"/>
      <c r="O62" s="132"/>
      <c r="P62" s="38" t="s">
        <v>104</v>
      </c>
      <c r="Q62" s="26" t="str">
        <f t="shared" ref="Q62:AA62" si="27">IF(OR(Q60="",Q61=""),"",Q61/Q60)</f>
        <v/>
      </c>
      <c r="R62" s="26" t="str">
        <f t="shared" si="27"/>
        <v/>
      </c>
      <c r="S62" s="26" t="str">
        <f t="shared" si="27"/>
        <v/>
      </c>
      <c r="T62" s="26" t="str">
        <f t="shared" si="27"/>
        <v/>
      </c>
      <c r="U62" s="26" t="str">
        <f t="shared" si="27"/>
        <v/>
      </c>
      <c r="V62" s="26" t="str">
        <f t="shared" si="27"/>
        <v/>
      </c>
      <c r="W62" s="26" t="str">
        <f t="shared" si="27"/>
        <v/>
      </c>
      <c r="X62" s="26" t="str">
        <f t="shared" si="27"/>
        <v/>
      </c>
      <c r="Y62" s="26">
        <f t="shared" si="27"/>
        <v>1.9847698165455177</v>
      </c>
      <c r="Z62" s="26" t="str">
        <f t="shared" si="27"/>
        <v/>
      </c>
      <c r="AA62" s="26" t="str">
        <f t="shared" si="27"/>
        <v/>
      </c>
    </row>
    <row r="63" spans="1:27" ht="15.6" x14ac:dyDescent="0.3">
      <c r="A63" s="132">
        <v>100</v>
      </c>
      <c r="B63" s="30" t="s">
        <v>102</v>
      </c>
      <c r="C63" s="37">
        <v>2.5</v>
      </c>
      <c r="D63" s="37">
        <v>4.0999999999999996</v>
      </c>
      <c r="E63" s="37">
        <v>4.3</v>
      </c>
      <c r="F63" s="37">
        <v>2.2999999999999998</v>
      </c>
      <c r="G63" s="37">
        <v>3</v>
      </c>
      <c r="H63" s="37">
        <v>2.2999999999999998</v>
      </c>
      <c r="I63" s="37">
        <v>2.9</v>
      </c>
      <c r="J63" s="37">
        <v>3.1</v>
      </c>
      <c r="K63" s="37">
        <v>2.9</v>
      </c>
      <c r="L63" s="37">
        <v>2.5</v>
      </c>
      <c r="M63" s="37">
        <v>2.5</v>
      </c>
      <c r="N63" s="8"/>
      <c r="O63" s="132" t="s">
        <v>54</v>
      </c>
      <c r="P63" s="30" t="s">
        <v>102</v>
      </c>
      <c r="Q63" s="117"/>
      <c r="R63" s="117"/>
      <c r="S63" s="117"/>
      <c r="T63" s="117"/>
      <c r="U63" s="117"/>
      <c r="V63" s="117"/>
      <c r="W63" s="117"/>
      <c r="X63" s="117"/>
      <c r="Y63" s="117">
        <f>AVERAGE(1.368,1.377,1.38)</f>
        <v>1.375</v>
      </c>
      <c r="Z63" s="117"/>
      <c r="AA63" s="117"/>
    </row>
    <row r="64" spans="1:27" ht="15.6" x14ac:dyDescent="0.3">
      <c r="A64" s="132"/>
      <c r="B64" s="20" t="s">
        <v>103</v>
      </c>
      <c r="C64" s="32">
        <v>4.2</v>
      </c>
      <c r="D64" s="32">
        <v>6.8</v>
      </c>
      <c r="E64" s="32">
        <v>7.2</v>
      </c>
      <c r="F64" s="32">
        <v>3.8</v>
      </c>
      <c r="G64" s="32">
        <v>5</v>
      </c>
      <c r="H64" s="32">
        <v>3.8</v>
      </c>
      <c r="I64" s="32">
        <v>4.8</v>
      </c>
      <c r="J64" s="32">
        <v>5.0999999999999996</v>
      </c>
      <c r="K64" s="32">
        <v>4.7</v>
      </c>
      <c r="L64" s="32">
        <v>4.2</v>
      </c>
      <c r="M64" s="32">
        <v>4.0999999999999996</v>
      </c>
      <c r="N64" s="8"/>
      <c r="O64" s="132"/>
      <c r="P64" s="20" t="s">
        <v>151</v>
      </c>
      <c r="Q64" s="118"/>
      <c r="R64" s="118"/>
      <c r="S64" s="118"/>
      <c r="T64" s="118"/>
      <c r="U64" s="118"/>
      <c r="V64" s="118"/>
      <c r="W64" s="118"/>
      <c r="X64" s="118"/>
      <c r="Y64" s="118">
        <f>AVERAGE(3.296,3.109,3.115)</f>
        <v>3.1733333333333333</v>
      </c>
      <c r="Z64" s="118"/>
      <c r="AA64" s="118"/>
    </row>
    <row r="65" spans="1:27" ht="15.6" x14ac:dyDescent="0.3">
      <c r="A65" s="132"/>
      <c r="B65" s="38" t="s">
        <v>104</v>
      </c>
      <c r="C65" s="26">
        <f t="shared" ref="C65:M65" si="28">IF(OR(C63="",C64=""),"",C64/C63)</f>
        <v>1.6800000000000002</v>
      </c>
      <c r="D65" s="26">
        <f t="shared" si="28"/>
        <v>1.6585365853658538</v>
      </c>
      <c r="E65" s="26">
        <f t="shared" si="28"/>
        <v>1.6744186046511629</v>
      </c>
      <c r="F65" s="26">
        <f t="shared" si="28"/>
        <v>1.6521739130434783</v>
      </c>
      <c r="G65" s="26">
        <f t="shared" si="28"/>
        <v>1.6666666666666667</v>
      </c>
      <c r="H65" s="26">
        <f t="shared" si="28"/>
        <v>1.6521739130434783</v>
      </c>
      <c r="I65" s="26">
        <f t="shared" si="28"/>
        <v>1.6551724137931034</v>
      </c>
      <c r="J65" s="26">
        <f t="shared" si="28"/>
        <v>1.6451612903225805</v>
      </c>
      <c r="K65" s="26">
        <f t="shared" si="28"/>
        <v>1.6206896551724139</v>
      </c>
      <c r="L65" s="26">
        <f t="shared" si="28"/>
        <v>1.6800000000000002</v>
      </c>
      <c r="M65" s="26">
        <f t="shared" si="28"/>
        <v>1.64</v>
      </c>
      <c r="N65" s="39"/>
      <c r="O65" s="132"/>
      <c r="P65" s="38" t="s">
        <v>104</v>
      </c>
      <c r="Q65" s="26" t="str">
        <f t="shared" ref="Q65:AA65" si="29">IF(OR(Q63="",Q64=""),"",Q64/Q63)</f>
        <v/>
      </c>
      <c r="R65" s="26" t="str">
        <f t="shared" si="29"/>
        <v/>
      </c>
      <c r="S65" s="26" t="str">
        <f t="shared" si="29"/>
        <v/>
      </c>
      <c r="T65" s="26" t="str">
        <f t="shared" si="29"/>
        <v/>
      </c>
      <c r="U65" s="26" t="str">
        <f t="shared" si="29"/>
        <v/>
      </c>
      <c r="V65" s="26" t="str">
        <f t="shared" si="29"/>
        <v/>
      </c>
      <c r="W65" s="26" t="str">
        <f t="shared" si="29"/>
        <v/>
      </c>
      <c r="X65" s="26" t="str">
        <f t="shared" si="29"/>
        <v/>
      </c>
      <c r="Y65" s="26">
        <f t="shared" si="29"/>
        <v>2.3078787878787881</v>
      </c>
      <c r="Z65" s="26" t="str">
        <f t="shared" si="29"/>
        <v/>
      </c>
      <c r="AA65" s="26" t="str">
        <f t="shared" si="29"/>
        <v/>
      </c>
    </row>
    <row r="66" spans="1:27" ht="15.6" x14ac:dyDescent="0.3">
      <c r="A66" s="132">
        <v>120</v>
      </c>
      <c r="B66" s="30" t="s">
        <v>102</v>
      </c>
      <c r="C66" s="37">
        <v>4.4000000000000004</v>
      </c>
      <c r="D66" s="37">
        <v>7.1</v>
      </c>
      <c r="E66" s="37">
        <v>7.5</v>
      </c>
      <c r="F66" s="37">
        <v>3.9</v>
      </c>
      <c r="G66" s="37">
        <v>5.2</v>
      </c>
      <c r="H66" s="37">
        <v>3.9</v>
      </c>
      <c r="I66" s="37">
        <v>5</v>
      </c>
      <c r="J66" s="37">
        <v>5.3</v>
      </c>
      <c r="K66" s="37">
        <v>4.9000000000000004</v>
      </c>
      <c r="L66" s="37">
        <v>4.4000000000000004</v>
      </c>
      <c r="M66" s="37">
        <v>4.3</v>
      </c>
      <c r="N66" s="8"/>
      <c r="O66" s="132">
        <v>120</v>
      </c>
      <c r="P66" s="30" t="s">
        <v>102</v>
      </c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</row>
    <row r="67" spans="1:27" ht="15.6" x14ac:dyDescent="0.3">
      <c r="A67" s="132"/>
      <c r="B67" s="20" t="s">
        <v>103</v>
      </c>
      <c r="C67" s="32">
        <v>6.9</v>
      </c>
      <c r="D67" s="32">
        <v>11.1</v>
      </c>
      <c r="E67" s="32">
        <v>11.7</v>
      </c>
      <c r="F67" s="32">
        <v>6.2</v>
      </c>
      <c r="G67" s="32">
        <v>8.1</v>
      </c>
      <c r="H67" s="32">
        <v>6.2</v>
      </c>
      <c r="I67" s="32">
        <v>7.9</v>
      </c>
      <c r="J67" s="32">
        <v>8.3000000000000007</v>
      </c>
      <c r="K67" s="32">
        <v>7.7</v>
      </c>
      <c r="L67" s="32">
        <v>6.9</v>
      </c>
      <c r="M67" s="32">
        <v>6.7</v>
      </c>
      <c r="N67" s="8"/>
      <c r="O67" s="132"/>
      <c r="P67" s="20" t="s">
        <v>151</v>
      </c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</row>
    <row r="68" spans="1:27" ht="15.6" x14ac:dyDescent="0.3">
      <c r="A68" s="132"/>
      <c r="B68" s="38" t="s">
        <v>104</v>
      </c>
      <c r="C68" s="26">
        <f t="shared" ref="C68:M68" si="30">IF(OR(C66="",C67=""),"",C67/C66)</f>
        <v>1.5681818181818181</v>
      </c>
      <c r="D68" s="26">
        <f t="shared" si="30"/>
        <v>1.563380281690141</v>
      </c>
      <c r="E68" s="26">
        <f t="shared" si="30"/>
        <v>1.5599999999999998</v>
      </c>
      <c r="F68" s="26">
        <f t="shared" si="30"/>
        <v>1.5897435897435899</v>
      </c>
      <c r="G68" s="26">
        <f t="shared" si="30"/>
        <v>1.5576923076923075</v>
      </c>
      <c r="H68" s="26">
        <f t="shared" si="30"/>
        <v>1.5897435897435899</v>
      </c>
      <c r="I68" s="26">
        <f t="shared" si="30"/>
        <v>1.58</v>
      </c>
      <c r="J68" s="26">
        <f t="shared" si="30"/>
        <v>1.5660377358490567</v>
      </c>
      <c r="K68" s="26">
        <f t="shared" si="30"/>
        <v>1.5714285714285714</v>
      </c>
      <c r="L68" s="26">
        <f t="shared" si="30"/>
        <v>1.5681818181818181</v>
      </c>
      <c r="M68" s="26">
        <f t="shared" si="30"/>
        <v>1.558139534883721</v>
      </c>
      <c r="N68" s="39"/>
      <c r="O68" s="132"/>
      <c r="P68" s="38" t="s">
        <v>104</v>
      </c>
      <c r="Q68" s="26" t="str">
        <f t="shared" ref="Q68:AA68" si="31">IF(OR(Q66="",Q67=""),"",Q67/Q66)</f>
        <v/>
      </c>
      <c r="R68" s="26" t="str">
        <f t="shared" si="31"/>
        <v/>
      </c>
      <c r="S68" s="26" t="str">
        <f t="shared" si="31"/>
        <v/>
      </c>
      <c r="T68" s="26" t="str">
        <f t="shared" si="31"/>
        <v/>
      </c>
      <c r="U68" s="26" t="str">
        <f t="shared" si="31"/>
        <v/>
      </c>
      <c r="V68" s="26" t="str">
        <f t="shared" si="31"/>
        <v/>
      </c>
      <c r="W68" s="26" t="str">
        <f t="shared" si="31"/>
        <v/>
      </c>
      <c r="X68" s="26" t="str">
        <f t="shared" si="31"/>
        <v/>
      </c>
      <c r="Y68" s="26" t="str">
        <f t="shared" si="31"/>
        <v/>
      </c>
      <c r="Z68" s="26" t="str">
        <f t="shared" si="31"/>
        <v/>
      </c>
      <c r="AA68" s="26" t="str">
        <f t="shared" si="31"/>
        <v/>
      </c>
    </row>
    <row r="69" spans="1:27" ht="15.6" x14ac:dyDescent="0.3">
      <c r="A69" s="132">
        <v>140</v>
      </c>
      <c r="B69" s="30" t="s">
        <v>102</v>
      </c>
      <c r="C69" s="37">
        <v>6.5</v>
      </c>
      <c r="D69" s="37">
        <v>10.6</v>
      </c>
      <c r="E69" s="37">
        <v>11.2</v>
      </c>
      <c r="F69" s="37">
        <v>5.9</v>
      </c>
      <c r="G69" s="37">
        <v>7.8</v>
      </c>
      <c r="H69" s="37">
        <v>5.9</v>
      </c>
      <c r="I69" s="37">
        <v>7.5</v>
      </c>
      <c r="J69" s="37">
        <v>7.9</v>
      </c>
      <c r="K69" s="37">
        <v>7.4</v>
      </c>
      <c r="L69" s="37">
        <v>6.6</v>
      </c>
      <c r="M69" s="37">
        <v>6.5</v>
      </c>
      <c r="N69" s="8"/>
      <c r="O69" s="132">
        <v>140</v>
      </c>
      <c r="P69" s="30" t="s">
        <v>102</v>
      </c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</row>
    <row r="70" spans="1:27" ht="15.6" x14ac:dyDescent="0.3">
      <c r="A70" s="132"/>
      <c r="B70" s="20" t="s">
        <v>103</v>
      </c>
      <c r="C70" s="32">
        <v>10</v>
      </c>
      <c r="D70" s="32">
        <v>16.2</v>
      </c>
      <c r="E70" s="32">
        <v>17.100000000000001</v>
      </c>
      <c r="F70" s="32">
        <v>9</v>
      </c>
      <c r="G70" s="32">
        <v>11.8</v>
      </c>
      <c r="H70" s="32">
        <v>9</v>
      </c>
      <c r="I70" s="32">
        <v>11.5</v>
      </c>
      <c r="J70" s="32">
        <v>12.1</v>
      </c>
      <c r="K70" s="32">
        <v>11.2</v>
      </c>
      <c r="L70" s="32">
        <v>10</v>
      </c>
      <c r="M70" s="32">
        <v>9.8000000000000007</v>
      </c>
      <c r="N70" s="8"/>
      <c r="O70" s="132"/>
      <c r="P70" s="20" t="s">
        <v>151</v>
      </c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</row>
    <row r="71" spans="1:27" ht="15.6" x14ac:dyDescent="0.3">
      <c r="A71" s="132"/>
      <c r="B71" s="38" t="s">
        <v>104</v>
      </c>
      <c r="C71" s="26">
        <f t="shared" ref="C71:M71" si="32">IF(OR(C69="",C70=""),"",C70/C69)</f>
        <v>1.5384615384615385</v>
      </c>
      <c r="D71" s="26">
        <f t="shared" si="32"/>
        <v>1.5283018867924527</v>
      </c>
      <c r="E71" s="26">
        <f t="shared" si="32"/>
        <v>1.5267857142857144</v>
      </c>
      <c r="F71" s="26">
        <f t="shared" si="32"/>
        <v>1.5254237288135593</v>
      </c>
      <c r="G71" s="26">
        <f t="shared" si="32"/>
        <v>1.512820512820513</v>
      </c>
      <c r="H71" s="26">
        <f t="shared" si="32"/>
        <v>1.5254237288135593</v>
      </c>
      <c r="I71" s="26">
        <f t="shared" si="32"/>
        <v>1.5333333333333334</v>
      </c>
      <c r="J71" s="26">
        <f t="shared" si="32"/>
        <v>1.5316455696202531</v>
      </c>
      <c r="K71" s="26">
        <f t="shared" si="32"/>
        <v>1.5135135135135134</v>
      </c>
      <c r="L71" s="26">
        <f t="shared" si="32"/>
        <v>1.5151515151515151</v>
      </c>
      <c r="M71" s="26">
        <f t="shared" si="32"/>
        <v>1.5076923076923079</v>
      </c>
      <c r="N71" s="39"/>
      <c r="O71" s="132"/>
      <c r="P71" s="38" t="s">
        <v>104</v>
      </c>
      <c r="Q71" s="26" t="str">
        <f t="shared" ref="Q71:AA71" si="33">IF(OR(Q69="",Q70=""),"",Q70/Q69)</f>
        <v/>
      </c>
      <c r="R71" s="26" t="str">
        <f t="shared" si="33"/>
        <v/>
      </c>
      <c r="S71" s="26" t="str">
        <f t="shared" si="33"/>
        <v/>
      </c>
      <c r="T71" s="26" t="str">
        <f t="shared" si="33"/>
        <v/>
      </c>
      <c r="U71" s="26" t="str">
        <f t="shared" si="33"/>
        <v/>
      </c>
      <c r="V71" s="26" t="str">
        <f t="shared" si="33"/>
        <v/>
      </c>
      <c r="W71" s="26" t="str">
        <f t="shared" si="33"/>
        <v/>
      </c>
      <c r="X71" s="26" t="str">
        <f t="shared" si="33"/>
        <v/>
      </c>
      <c r="Y71" s="26" t="str">
        <f t="shared" si="33"/>
        <v/>
      </c>
      <c r="Z71" s="26" t="str">
        <f t="shared" si="33"/>
        <v/>
      </c>
      <c r="AA71" s="26" t="str">
        <f t="shared" si="33"/>
        <v/>
      </c>
    </row>
    <row r="73" spans="1:27" ht="15.6" x14ac:dyDescent="0.3">
      <c r="A73" s="8" t="s">
        <v>155</v>
      </c>
      <c r="O73" s="8" t="s">
        <v>155</v>
      </c>
    </row>
    <row r="74" spans="1:27" ht="15.6" x14ac:dyDescent="0.3">
      <c r="B74" s="15" t="s">
        <v>100</v>
      </c>
      <c r="C74" s="31" t="s">
        <v>13</v>
      </c>
      <c r="D74" s="31" t="s">
        <v>26</v>
      </c>
      <c r="E74" s="31" t="s">
        <v>34</v>
      </c>
      <c r="F74" s="31" t="s">
        <v>14</v>
      </c>
      <c r="G74" s="31" t="s">
        <v>15</v>
      </c>
      <c r="H74" s="31" t="s">
        <v>18</v>
      </c>
      <c r="I74" s="31" t="s">
        <v>20</v>
      </c>
      <c r="J74" s="31" t="s">
        <v>16</v>
      </c>
      <c r="K74" s="31" t="s">
        <v>21</v>
      </c>
      <c r="L74" s="31" t="s">
        <v>35</v>
      </c>
      <c r="M74" s="31" t="s">
        <v>22</v>
      </c>
      <c r="N74" s="8"/>
      <c r="P74" s="15" t="s">
        <v>100</v>
      </c>
      <c r="Q74" s="31" t="s">
        <v>13</v>
      </c>
      <c r="R74" s="31" t="s">
        <v>26</v>
      </c>
      <c r="S74" s="31" t="s">
        <v>34</v>
      </c>
      <c r="T74" s="31" t="s">
        <v>14</v>
      </c>
      <c r="U74" s="31" t="s">
        <v>15</v>
      </c>
      <c r="V74" s="31" t="s">
        <v>18</v>
      </c>
      <c r="W74" s="31" t="s">
        <v>20</v>
      </c>
      <c r="X74" s="31" t="s">
        <v>16</v>
      </c>
      <c r="Y74" s="31" t="s">
        <v>21</v>
      </c>
      <c r="Z74" s="31" t="s">
        <v>35</v>
      </c>
      <c r="AA74" s="31" t="s">
        <v>22</v>
      </c>
    </row>
    <row r="75" spans="1:27" ht="15.6" x14ac:dyDescent="0.3">
      <c r="B75" s="18" t="s">
        <v>114</v>
      </c>
      <c r="C75" s="32">
        <v>2</v>
      </c>
      <c r="D75" s="32">
        <v>3.6</v>
      </c>
      <c r="E75" s="32">
        <v>2.4</v>
      </c>
      <c r="F75" s="32">
        <v>5</v>
      </c>
      <c r="G75" s="32">
        <v>6</v>
      </c>
      <c r="H75" s="32">
        <v>10</v>
      </c>
      <c r="I75" s="32">
        <f>12*1.2</f>
        <v>14.399999999999999</v>
      </c>
      <c r="J75" s="32">
        <v>12</v>
      </c>
      <c r="K75" s="32">
        <f>32*0.6</f>
        <v>19.2</v>
      </c>
      <c r="L75" s="32">
        <f>32*1.2</f>
        <v>38.4</v>
      </c>
      <c r="M75" s="32">
        <f>64*0.6</f>
        <v>38.4</v>
      </c>
      <c r="N75" s="8"/>
      <c r="P75" s="18" t="s">
        <v>114</v>
      </c>
      <c r="Q75" s="32">
        <v>2</v>
      </c>
      <c r="R75" s="32">
        <v>3.6</v>
      </c>
      <c r="S75" s="32">
        <v>2.4</v>
      </c>
      <c r="T75" s="32">
        <v>5</v>
      </c>
      <c r="U75" s="32">
        <v>6</v>
      </c>
      <c r="V75" s="32">
        <v>10</v>
      </c>
      <c r="W75" s="32">
        <f>12*1.2</f>
        <v>14.399999999999999</v>
      </c>
      <c r="X75" s="32">
        <v>12</v>
      </c>
      <c r="Y75" s="32">
        <f>32*0.6</f>
        <v>19.2</v>
      </c>
      <c r="Z75" s="32">
        <f>32*1.2</f>
        <v>38.4</v>
      </c>
      <c r="AA75" s="32">
        <f>64*0.6</f>
        <v>38.4</v>
      </c>
    </row>
    <row r="76" spans="1:27" ht="15.6" x14ac:dyDescent="0.3">
      <c r="B76" s="18" t="s">
        <v>101</v>
      </c>
      <c r="C76" s="32" t="s">
        <v>13</v>
      </c>
      <c r="D76" s="32" t="s">
        <v>26</v>
      </c>
      <c r="E76" s="32" t="s">
        <v>31</v>
      </c>
      <c r="F76" s="32" t="s">
        <v>14</v>
      </c>
      <c r="G76" s="32" t="s">
        <v>16</v>
      </c>
      <c r="H76" s="32" t="s">
        <v>18</v>
      </c>
      <c r="I76" s="32" t="s">
        <v>20</v>
      </c>
      <c r="J76" s="32" t="s">
        <v>19</v>
      </c>
      <c r="K76" s="32" t="s">
        <v>22</v>
      </c>
      <c r="L76" s="32" t="s">
        <v>35</v>
      </c>
      <c r="M76" s="32" t="s">
        <v>40</v>
      </c>
      <c r="N76" s="8"/>
      <c r="P76" s="18" t="s">
        <v>101</v>
      </c>
      <c r="Q76" s="32" t="s">
        <v>13</v>
      </c>
      <c r="R76" s="32" t="s">
        <v>26</v>
      </c>
      <c r="S76" s="32" t="s">
        <v>31</v>
      </c>
      <c r="T76" s="32" t="s">
        <v>14</v>
      </c>
      <c r="U76" s="32" t="s">
        <v>16</v>
      </c>
      <c r="V76" s="32" t="s">
        <v>18</v>
      </c>
      <c r="W76" s="32" t="s">
        <v>20</v>
      </c>
      <c r="X76" s="32" t="s">
        <v>19</v>
      </c>
      <c r="Y76" s="32" t="s">
        <v>22</v>
      </c>
      <c r="Z76" s="32" t="s">
        <v>35</v>
      </c>
      <c r="AA76" s="32" t="s">
        <v>40</v>
      </c>
    </row>
    <row r="77" spans="1:27" ht="15.6" x14ac:dyDescent="0.3">
      <c r="B77" s="33" t="s">
        <v>115</v>
      </c>
      <c r="C77" s="40"/>
      <c r="D77" s="40"/>
      <c r="E77" s="40" t="s">
        <v>121</v>
      </c>
      <c r="F77" s="40"/>
      <c r="G77" s="40" t="s">
        <v>121</v>
      </c>
      <c r="H77" s="40"/>
      <c r="I77" s="40"/>
      <c r="J77" s="40" t="s">
        <v>121</v>
      </c>
      <c r="K77" s="40" t="s">
        <v>121</v>
      </c>
      <c r="L77" s="40"/>
      <c r="M77" s="40" t="s">
        <v>121</v>
      </c>
      <c r="N77" s="8"/>
      <c r="P77" s="33" t="s">
        <v>115</v>
      </c>
      <c r="Q77" s="40"/>
      <c r="R77" s="40"/>
      <c r="S77" s="40" t="s">
        <v>121</v>
      </c>
      <c r="T77" s="40"/>
      <c r="U77" s="40" t="s">
        <v>121</v>
      </c>
      <c r="V77" s="40"/>
      <c r="W77" s="40"/>
      <c r="X77" s="40" t="s">
        <v>121</v>
      </c>
      <c r="Y77" s="40" t="s">
        <v>121</v>
      </c>
      <c r="Z77" s="40"/>
      <c r="AA77" s="40" t="s">
        <v>121</v>
      </c>
    </row>
    <row r="78" spans="1:27" ht="15.6" x14ac:dyDescent="0.3">
      <c r="A78" s="7" t="s">
        <v>6</v>
      </c>
      <c r="B78" s="35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8"/>
      <c r="O78" s="7" t="s">
        <v>6</v>
      </c>
      <c r="P78" s="35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</row>
    <row r="79" spans="1:27" ht="15.6" x14ac:dyDescent="0.3">
      <c r="A79" s="132">
        <v>70</v>
      </c>
      <c r="B79" s="30" t="s">
        <v>102</v>
      </c>
      <c r="C79" s="37">
        <v>0.7</v>
      </c>
      <c r="D79" s="37">
        <v>1.2</v>
      </c>
      <c r="E79" s="37">
        <v>1.2</v>
      </c>
      <c r="F79" s="37">
        <v>0.6</v>
      </c>
      <c r="G79" s="37">
        <v>0.9</v>
      </c>
      <c r="H79" s="37">
        <v>0.6</v>
      </c>
      <c r="I79" s="37">
        <v>0.8</v>
      </c>
      <c r="J79" s="37">
        <v>0.9</v>
      </c>
      <c r="K79" s="37">
        <v>0.8</v>
      </c>
      <c r="L79" s="37">
        <v>0.7</v>
      </c>
      <c r="M79" s="37">
        <v>0.7</v>
      </c>
      <c r="N79" s="8"/>
      <c r="O79" s="132">
        <v>70</v>
      </c>
      <c r="P79" s="30" t="s">
        <v>102</v>
      </c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</row>
    <row r="80" spans="1:27" ht="15.6" x14ac:dyDescent="0.3">
      <c r="A80" s="132"/>
      <c r="B80" s="20" t="s">
        <v>103</v>
      </c>
      <c r="C80" s="32">
        <v>1.7</v>
      </c>
      <c r="D80" s="32">
        <v>2.7</v>
      </c>
      <c r="E80" s="32">
        <v>2.9</v>
      </c>
      <c r="F80" s="32">
        <v>1.5</v>
      </c>
      <c r="G80" s="32">
        <v>2</v>
      </c>
      <c r="H80" s="32">
        <v>1.5</v>
      </c>
      <c r="I80" s="32">
        <v>2</v>
      </c>
      <c r="J80" s="32">
        <v>2.1</v>
      </c>
      <c r="K80" s="32">
        <v>1.9</v>
      </c>
      <c r="L80" s="32">
        <v>1.7</v>
      </c>
      <c r="M80" s="32">
        <v>1.7</v>
      </c>
      <c r="N80" s="8"/>
      <c r="O80" s="132"/>
      <c r="P80" s="20" t="s">
        <v>151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spans="1:27" ht="15.6" x14ac:dyDescent="0.3">
      <c r="A81" s="132"/>
      <c r="B81" s="38" t="s">
        <v>104</v>
      </c>
      <c r="C81" s="26">
        <f t="shared" ref="C81:M81" si="34">IF(OR(C79="",C80=""),"",C80/C79)</f>
        <v>2.4285714285714288</v>
      </c>
      <c r="D81" s="26">
        <f t="shared" si="34"/>
        <v>2.2500000000000004</v>
      </c>
      <c r="E81" s="26">
        <f t="shared" si="34"/>
        <v>2.4166666666666665</v>
      </c>
      <c r="F81" s="26">
        <f t="shared" si="34"/>
        <v>2.5</v>
      </c>
      <c r="G81" s="26">
        <f t="shared" si="34"/>
        <v>2.2222222222222223</v>
      </c>
      <c r="H81" s="26">
        <f t="shared" si="34"/>
        <v>2.5</v>
      </c>
      <c r="I81" s="26">
        <f t="shared" si="34"/>
        <v>2.5</v>
      </c>
      <c r="J81" s="26">
        <f t="shared" si="34"/>
        <v>2.3333333333333335</v>
      </c>
      <c r="K81" s="26">
        <f t="shared" si="34"/>
        <v>2.3749999999999996</v>
      </c>
      <c r="L81" s="26">
        <f t="shared" si="34"/>
        <v>2.4285714285714288</v>
      </c>
      <c r="M81" s="26">
        <f t="shared" si="34"/>
        <v>2.4285714285714288</v>
      </c>
      <c r="N81" s="39"/>
      <c r="O81" s="132"/>
      <c r="P81" s="38" t="s">
        <v>104</v>
      </c>
      <c r="Q81" s="26" t="str">
        <f t="shared" ref="Q81:AA81" si="35">IF(OR(Q79="",Q80=""),"",Q80/Q79)</f>
        <v/>
      </c>
      <c r="R81" s="26" t="str">
        <f t="shared" si="35"/>
        <v/>
      </c>
      <c r="S81" s="26" t="str">
        <f t="shared" si="35"/>
        <v/>
      </c>
      <c r="T81" s="26" t="str">
        <f t="shared" si="35"/>
        <v/>
      </c>
      <c r="U81" s="26" t="str">
        <f t="shared" si="35"/>
        <v/>
      </c>
      <c r="V81" s="26" t="str">
        <f t="shared" si="35"/>
        <v/>
      </c>
      <c r="W81" s="26" t="str">
        <f t="shared" si="35"/>
        <v/>
      </c>
      <c r="X81" s="26" t="str">
        <f t="shared" si="35"/>
        <v/>
      </c>
      <c r="Y81" s="26" t="str">
        <f t="shared" si="35"/>
        <v/>
      </c>
      <c r="Z81" s="26" t="str">
        <f t="shared" si="35"/>
        <v/>
      </c>
      <c r="AA81" s="26" t="str">
        <f t="shared" si="35"/>
        <v/>
      </c>
    </row>
    <row r="82" spans="1:27" ht="15.6" x14ac:dyDescent="0.3">
      <c r="A82" s="132">
        <v>80</v>
      </c>
      <c r="B82" s="30" t="s">
        <v>102</v>
      </c>
      <c r="C82" s="37">
        <v>1.2</v>
      </c>
      <c r="D82" s="37">
        <v>2</v>
      </c>
      <c r="E82" s="37">
        <v>2.1</v>
      </c>
      <c r="F82" s="37">
        <v>1.1000000000000001</v>
      </c>
      <c r="G82" s="37">
        <v>1.5</v>
      </c>
      <c r="H82" s="37">
        <v>1.1000000000000001</v>
      </c>
      <c r="I82" s="37">
        <v>1.4</v>
      </c>
      <c r="J82" s="37">
        <v>1.5</v>
      </c>
      <c r="K82" s="37">
        <v>1.4</v>
      </c>
      <c r="L82" s="37">
        <v>1.2</v>
      </c>
      <c r="M82" s="37">
        <v>1.2</v>
      </c>
      <c r="N82" s="8"/>
      <c r="O82" s="132">
        <v>80</v>
      </c>
      <c r="P82" s="30" t="s">
        <v>102</v>
      </c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</row>
    <row r="83" spans="1:27" ht="15.6" x14ac:dyDescent="0.3">
      <c r="A83" s="132"/>
      <c r="B83" s="20" t="s">
        <v>103</v>
      </c>
      <c r="C83" s="32">
        <v>2.6</v>
      </c>
      <c r="D83" s="32">
        <v>4.3</v>
      </c>
      <c r="E83" s="32">
        <v>4.5</v>
      </c>
      <c r="F83" s="32">
        <v>2.4</v>
      </c>
      <c r="G83" s="32">
        <v>3.1</v>
      </c>
      <c r="H83" s="32">
        <v>2.4</v>
      </c>
      <c r="I83" s="32">
        <v>3</v>
      </c>
      <c r="J83" s="32">
        <v>3.2</v>
      </c>
      <c r="K83" s="32">
        <v>2.9</v>
      </c>
      <c r="L83" s="32">
        <v>2.6</v>
      </c>
      <c r="M83" s="32">
        <v>2.6</v>
      </c>
      <c r="N83" s="8"/>
      <c r="O83" s="132"/>
      <c r="P83" s="20" t="s">
        <v>151</v>
      </c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spans="1:27" ht="15.6" x14ac:dyDescent="0.3">
      <c r="A84" s="132"/>
      <c r="B84" s="38" t="s">
        <v>104</v>
      </c>
      <c r="C84" s="26">
        <f t="shared" ref="C84:M84" si="36">IF(OR(C82="",C83=""),"",C83/C82)</f>
        <v>2.166666666666667</v>
      </c>
      <c r="D84" s="26">
        <f t="shared" si="36"/>
        <v>2.15</v>
      </c>
      <c r="E84" s="26">
        <f t="shared" si="36"/>
        <v>2.1428571428571428</v>
      </c>
      <c r="F84" s="26">
        <f t="shared" si="36"/>
        <v>2.1818181818181817</v>
      </c>
      <c r="G84" s="26">
        <f t="shared" si="36"/>
        <v>2.0666666666666669</v>
      </c>
      <c r="H84" s="26">
        <f t="shared" si="36"/>
        <v>2.1818181818181817</v>
      </c>
      <c r="I84" s="26">
        <f t="shared" si="36"/>
        <v>2.1428571428571428</v>
      </c>
      <c r="J84" s="26">
        <f t="shared" si="36"/>
        <v>2.1333333333333333</v>
      </c>
      <c r="K84" s="26">
        <f t="shared" si="36"/>
        <v>2.0714285714285716</v>
      </c>
      <c r="L84" s="26">
        <f t="shared" si="36"/>
        <v>2.166666666666667</v>
      </c>
      <c r="M84" s="26">
        <f t="shared" si="36"/>
        <v>2.166666666666667</v>
      </c>
      <c r="N84" s="39"/>
      <c r="O84" s="132"/>
      <c r="P84" s="38" t="s">
        <v>104</v>
      </c>
      <c r="Q84" s="26" t="str">
        <f t="shared" ref="Q84:AA84" si="37">IF(OR(Q82="",Q83=""),"",Q83/Q82)</f>
        <v/>
      </c>
      <c r="R84" s="26" t="str">
        <f t="shared" si="37"/>
        <v/>
      </c>
      <c r="S84" s="26" t="str">
        <f t="shared" si="37"/>
        <v/>
      </c>
      <c r="T84" s="26" t="str">
        <f t="shared" si="37"/>
        <v/>
      </c>
      <c r="U84" s="26" t="str">
        <f t="shared" si="37"/>
        <v/>
      </c>
      <c r="V84" s="26" t="str">
        <f t="shared" si="37"/>
        <v/>
      </c>
      <c r="W84" s="26" t="str">
        <f t="shared" si="37"/>
        <v/>
      </c>
      <c r="X84" s="26" t="str">
        <f t="shared" si="37"/>
        <v/>
      </c>
      <c r="Y84" s="26" t="str">
        <f t="shared" si="37"/>
        <v/>
      </c>
      <c r="Z84" s="26" t="str">
        <f t="shared" si="37"/>
        <v/>
      </c>
      <c r="AA84" s="26" t="str">
        <f t="shared" si="37"/>
        <v/>
      </c>
    </row>
    <row r="85" spans="1:27" ht="15.6" x14ac:dyDescent="0.3">
      <c r="A85" s="132">
        <v>100</v>
      </c>
      <c r="B85" s="30" t="s">
        <v>102</v>
      </c>
      <c r="C85" s="37">
        <v>2.7</v>
      </c>
      <c r="D85" s="37">
        <v>4.4000000000000004</v>
      </c>
      <c r="E85" s="37">
        <v>4.7</v>
      </c>
      <c r="F85" s="37">
        <v>2.5</v>
      </c>
      <c r="G85" s="37">
        <v>3.3</v>
      </c>
      <c r="H85" s="37">
        <v>2.5</v>
      </c>
      <c r="I85" s="37">
        <v>3.2</v>
      </c>
      <c r="J85" s="37">
        <v>3.3</v>
      </c>
      <c r="K85" s="37">
        <v>3.1</v>
      </c>
      <c r="L85" s="37">
        <v>2.8</v>
      </c>
      <c r="M85" s="37">
        <v>2.7</v>
      </c>
      <c r="N85" s="8"/>
      <c r="O85" s="132">
        <v>100</v>
      </c>
      <c r="P85" s="30" t="s">
        <v>102</v>
      </c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</row>
    <row r="86" spans="1:27" ht="15.6" x14ac:dyDescent="0.3">
      <c r="A86" s="132"/>
      <c r="B86" s="20" t="s">
        <v>103</v>
      </c>
      <c r="C86" s="32">
        <v>5.2</v>
      </c>
      <c r="D86" s="32">
        <v>8.4</v>
      </c>
      <c r="E86" s="32">
        <v>8.9</v>
      </c>
      <c r="F86" s="32">
        <v>4.5999999999999996</v>
      </c>
      <c r="G86" s="32">
        <v>6.1</v>
      </c>
      <c r="H86" s="32">
        <v>4.5999999999999996</v>
      </c>
      <c r="I86" s="32">
        <v>6</v>
      </c>
      <c r="J86" s="32">
        <v>6.3</v>
      </c>
      <c r="K86" s="32">
        <v>5.8</v>
      </c>
      <c r="L86" s="32">
        <v>5.2</v>
      </c>
      <c r="M86" s="32">
        <v>5.0999999999999996</v>
      </c>
      <c r="N86" s="8"/>
      <c r="O86" s="132"/>
      <c r="P86" s="20" t="s">
        <v>151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spans="1:27" ht="15.6" x14ac:dyDescent="0.3">
      <c r="A87" s="132"/>
      <c r="B87" s="38" t="s">
        <v>104</v>
      </c>
      <c r="C87" s="26">
        <f t="shared" ref="C87:M87" si="38">IF(OR(C85="",C86=""),"",C86/C85)</f>
        <v>1.9259259259259258</v>
      </c>
      <c r="D87" s="26">
        <f t="shared" si="38"/>
        <v>1.9090909090909089</v>
      </c>
      <c r="E87" s="26">
        <f t="shared" si="38"/>
        <v>1.8936170212765957</v>
      </c>
      <c r="F87" s="26">
        <f t="shared" si="38"/>
        <v>1.8399999999999999</v>
      </c>
      <c r="G87" s="26">
        <f t="shared" si="38"/>
        <v>1.8484848484848484</v>
      </c>
      <c r="H87" s="26">
        <f t="shared" si="38"/>
        <v>1.8399999999999999</v>
      </c>
      <c r="I87" s="26">
        <f t="shared" si="38"/>
        <v>1.875</v>
      </c>
      <c r="J87" s="26">
        <f t="shared" si="38"/>
        <v>1.9090909090909092</v>
      </c>
      <c r="K87" s="26">
        <f t="shared" si="38"/>
        <v>1.8709677419354838</v>
      </c>
      <c r="L87" s="26">
        <f t="shared" si="38"/>
        <v>1.8571428571428574</v>
      </c>
      <c r="M87" s="26">
        <f t="shared" si="38"/>
        <v>1.8888888888888886</v>
      </c>
      <c r="N87" s="39"/>
      <c r="O87" s="132"/>
      <c r="P87" s="38" t="s">
        <v>104</v>
      </c>
      <c r="Q87" s="26" t="str">
        <f t="shared" ref="Q87:AA87" si="39">IF(OR(Q85="",Q86=""),"",Q86/Q85)</f>
        <v/>
      </c>
      <c r="R87" s="26" t="str">
        <f t="shared" si="39"/>
        <v/>
      </c>
      <c r="S87" s="26" t="str">
        <f t="shared" si="39"/>
        <v/>
      </c>
      <c r="T87" s="26" t="str">
        <f t="shared" si="39"/>
        <v/>
      </c>
      <c r="U87" s="26" t="str">
        <f t="shared" si="39"/>
        <v/>
      </c>
      <c r="V87" s="26" t="str">
        <f t="shared" si="39"/>
        <v/>
      </c>
      <c r="W87" s="26" t="str">
        <f t="shared" si="39"/>
        <v/>
      </c>
      <c r="X87" s="26" t="str">
        <f t="shared" si="39"/>
        <v/>
      </c>
      <c r="Y87" s="26" t="str">
        <f t="shared" si="39"/>
        <v/>
      </c>
      <c r="Z87" s="26" t="str">
        <f t="shared" si="39"/>
        <v/>
      </c>
      <c r="AA87" s="26" t="str">
        <f t="shared" si="39"/>
        <v/>
      </c>
    </row>
    <row r="88" spans="1:27" ht="15.6" x14ac:dyDescent="0.3">
      <c r="A88" s="132">
        <v>120</v>
      </c>
      <c r="B88" s="30" t="s">
        <v>102</v>
      </c>
      <c r="C88" s="37">
        <v>4.7</v>
      </c>
      <c r="D88" s="37">
        <v>7.6</v>
      </c>
      <c r="E88" s="37">
        <v>8</v>
      </c>
      <c r="F88" s="37">
        <v>4.2</v>
      </c>
      <c r="G88" s="37">
        <v>5.6</v>
      </c>
      <c r="H88" s="37">
        <v>4.2</v>
      </c>
      <c r="I88" s="37">
        <v>5.4</v>
      </c>
      <c r="J88" s="37">
        <v>5.7</v>
      </c>
      <c r="K88" s="37">
        <v>5.3</v>
      </c>
      <c r="L88" s="37">
        <v>4.7</v>
      </c>
      <c r="M88" s="37">
        <v>4.5999999999999996</v>
      </c>
      <c r="N88" s="8"/>
      <c r="O88" s="132">
        <v>120</v>
      </c>
      <c r="P88" s="30" t="s">
        <v>102</v>
      </c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</row>
    <row r="89" spans="1:27" ht="15.6" x14ac:dyDescent="0.3">
      <c r="A89" s="132"/>
      <c r="B89" s="20" t="s">
        <v>103</v>
      </c>
      <c r="C89" s="32">
        <v>8.3000000000000007</v>
      </c>
      <c r="D89" s="32">
        <v>13.4</v>
      </c>
      <c r="E89" s="32">
        <v>14.2</v>
      </c>
      <c r="F89" s="32">
        <v>7.4</v>
      </c>
      <c r="G89" s="32">
        <v>9.9</v>
      </c>
      <c r="H89" s="32">
        <v>7.4</v>
      </c>
      <c r="I89" s="32">
        <v>9.6</v>
      </c>
      <c r="J89" s="32">
        <v>10</v>
      </c>
      <c r="K89" s="32">
        <v>9.4</v>
      </c>
      <c r="L89" s="32">
        <v>8.3000000000000007</v>
      </c>
      <c r="M89" s="32">
        <v>8.1999999999999993</v>
      </c>
      <c r="N89" s="8"/>
      <c r="O89" s="132"/>
      <c r="P89" s="20" t="s">
        <v>151</v>
      </c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spans="1:27" ht="15.6" x14ac:dyDescent="0.3">
      <c r="A90" s="132"/>
      <c r="B90" s="38" t="s">
        <v>104</v>
      </c>
      <c r="C90" s="26">
        <f t="shared" ref="C90:M90" si="40">IF(OR(C88="",C89=""),"",C89/C88)</f>
        <v>1.7659574468085106</v>
      </c>
      <c r="D90" s="26">
        <f t="shared" si="40"/>
        <v>1.7631578947368423</v>
      </c>
      <c r="E90" s="26">
        <f t="shared" si="40"/>
        <v>1.7749999999999999</v>
      </c>
      <c r="F90" s="26">
        <f t="shared" si="40"/>
        <v>1.7619047619047619</v>
      </c>
      <c r="G90" s="26">
        <f t="shared" si="40"/>
        <v>1.767857142857143</v>
      </c>
      <c r="H90" s="26">
        <f t="shared" si="40"/>
        <v>1.7619047619047619</v>
      </c>
      <c r="I90" s="26">
        <f t="shared" si="40"/>
        <v>1.7777777777777777</v>
      </c>
      <c r="J90" s="26">
        <f t="shared" si="40"/>
        <v>1.7543859649122806</v>
      </c>
      <c r="K90" s="26">
        <f t="shared" si="40"/>
        <v>1.7735849056603774</v>
      </c>
      <c r="L90" s="26">
        <f t="shared" si="40"/>
        <v>1.7659574468085106</v>
      </c>
      <c r="M90" s="26">
        <f t="shared" si="40"/>
        <v>1.7826086956521738</v>
      </c>
      <c r="N90" s="39"/>
      <c r="O90" s="132"/>
      <c r="P90" s="38" t="s">
        <v>104</v>
      </c>
      <c r="Q90" s="26" t="str">
        <f t="shared" ref="Q90:AA90" si="41">IF(OR(Q88="",Q89=""),"",Q89/Q88)</f>
        <v/>
      </c>
      <c r="R90" s="26" t="str">
        <f t="shared" si="41"/>
        <v/>
      </c>
      <c r="S90" s="26" t="str">
        <f t="shared" si="41"/>
        <v/>
      </c>
      <c r="T90" s="26" t="str">
        <f t="shared" si="41"/>
        <v/>
      </c>
      <c r="U90" s="26" t="str">
        <f t="shared" si="41"/>
        <v/>
      </c>
      <c r="V90" s="26" t="str">
        <f t="shared" si="41"/>
        <v/>
      </c>
      <c r="W90" s="26" t="str">
        <f t="shared" si="41"/>
        <v/>
      </c>
      <c r="X90" s="26" t="str">
        <f t="shared" si="41"/>
        <v/>
      </c>
      <c r="Y90" s="26" t="str">
        <f t="shared" si="41"/>
        <v/>
      </c>
      <c r="Z90" s="26" t="str">
        <f t="shared" si="41"/>
        <v/>
      </c>
      <c r="AA90" s="26" t="str">
        <f t="shared" si="41"/>
        <v/>
      </c>
    </row>
    <row r="91" spans="1:27" ht="15.6" x14ac:dyDescent="0.3">
      <c r="A91" s="132">
        <v>140</v>
      </c>
      <c r="B91" s="30" t="s">
        <v>102</v>
      </c>
      <c r="C91" s="37">
        <v>7.3</v>
      </c>
      <c r="D91" s="37">
        <v>11.8</v>
      </c>
      <c r="E91" s="37">
        <v>12.6</v>
      </c>
      <c r="F91" s="37">
        <v>6.6</v>
      </c>
      <c r="G91" s="37">
        <v>8.6999999999999993</v>
      </c>
      <c r="H91" s="37">
        <v>6.6</v>
      </c>
      <c r="I91" s="37">
        <v>8.4</v>
      </c>
      <c r="J91" s="37">
        <v>8.9</v>
      </c>
      <c r="K91" s="37">
        <v>8.3000000000000007</v>
      </c>
      <c r="L91" s="37">
        <v>7.3</v>
      </c>
      <c r="M91" s="37">
        <v>7.2</v>
      </c>
      <c r="N91" s="8"/>
      <c r="O91" s="132">
        <v>140</v>
      </c>
      <c r="P91" s="30" t="s">
        <v>102</v>
      </c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 spans="1:27" ht="15.6" x14ac:dyDescent="0.3">
      <c r="A92" s="132"/>
      <c r="B92" s="20" t="s">
        <v>103</v>
      </c>
      <c r="C92" s="32">
        <v>12.4</v>
      </c>
      <c r="D92" s="32">
        <v>20.100000000000001</v>
      </c>
      <c r="E92" s="32">
        <v>21.2</v>
      </c>
      <c r="F92" s="32">
        <v>11.1</v>
      </c>
      <c r="G92" s="32">
        <v>14.7</v>
      </c>
      <c r="H92" s="32">
        <v>11.1</v>
      </c>
      <c r="I92" s="32">
        <v>14.3</v>
      </c>
      <c r="J92" s="32">
        <v>15</v>
      </c>
      <c r="K92" s="32">
        <v>14</v>
      </c>
      <c r="L92" s="32">
        <v>12.5</v>
      </c>
      <c r="M92" s="32">
        <v>12.2</v>
      </c>
      <c r="N92" s="8"/>
      <c r="O92" s="132"/>
      <c r="P92" s="20" t="s">
        <v>151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spans="1:27" ht="15.6" x14ac:dyDescent="0.3">
      <c r="A93" s="132"/>
      <c r="B93" s="38" t="s">
        <v>104</v>
      </c>
      <c r="C93" s="26">
        <f t="shared" ref="C93:M93" si="42">IF(OR(C91="",C92=""),"",C92/C91)</f>
        <v>1.6986301369863015</v>
      </c>
      <c r="D93" s="26">
        <f t="shared" si="42"/>
        <v>1.7033898305084747</v>
      </c>
      <c r="E93" s="26">
        <f t="shared" si="42"/>
        <v>1.6825396825396826</v>
      </c>
      <c r="F93" s="26">
        <f t="shared" si="42"/>
        <v>1.6818181818181819</v>
      </c>
      <c r="G93" s="26">
        <f t="shared" si="42"/>
        <v>1.6896551724137931</v>
      </c>
      <c r="H93" s="26">
        <f t="shared" si="42"/>
        <v>1.6818181818181819</v>
      </c>
      <c r="I93" s="26">
        <f t="shared" si="42"/>
        <v>1.7023809523809523</v>
      </c>
      <c r="J93" s="26">
        <f t="shared" si="42"/>
        <v>1.6853932584269662</v>
      </c>
      <c r="K93" s="26">
        <f t="shared" si="42"/>
        <v>1.6867469879518071</v>
      </c>
      <c r="L93" s="26">
        <f t="shared" si="42"/>
        <v>1.7123287671232876</v>
      </c>
      <c r="M93" s="26">
        <f t="shared" si="42"/>
        <v>1.6944444444444442</v>
      </c>
      <c r="N93" s="39"/>
      <c r="O93" s="132"/>
      <c r="P93" s="38" t="s">
        <v>104</v>
      </c>
      <c r="Q93" s="26" t="str">
        <f t="shared" ref="Q93:AA93" si="43">IF(OR(Q91="",Q92=""),"",Q92/Q91)</f>
        <v/>
      </c>
      <c r="R93" s="26" t="str">
        <f t="shared" si="43"/>
        <v/>
      </c>
      <c r="S93" s="26" t="str">
        <f t="shared" si="43"/>
        <v/>
      </c>
      <c r="T93" s="26" t="str">
        <f t="shared" si="43"/>
        <v/>
      </c>
      <c r="U93" s="26" t="str">
        <f t="shared" si="43"/>
        <v/>
      </c>
      <c r="V93" s="26" t="str">
        <f t="shared" si="43"/>
        <v/>
      </c>
      <c r="W93" s="26" t="str">
        <f t="shared" si="43"/>
        <v/>
      </c>
      <c r="X93" s="26" t="str">
        <f t="shared" si="43"/>
        <v/>
      </c>
      <c r="Y93" s="26" t="str">
        <f t="shared" si="43"/>
        <v/>
      </c>
      <c r="Z93" s="26" t="str">
        <f t="shared" si="43"/>
        <v/>
      </c>
      <c r="AA93" s="26" t="str">
        <f t="shared" si="43"/>
        <v/>
      </c>
    </row>
    <row r="94" spans="1:27" ht="15" customHeight="1" x14ac:dyDescent="0.3">
      <c r="A94" s="150" t="s">
        <v>153</v>
      </c>
      <c r="B94" s="30" t="s">
        <v>102</v>
      </c>
      <c r="C94" s="37">
        <v>2.5</v>
      </c>
      <c r="D94" s="37">
        <v>4.0999999999999996</v>
      </c>
      <c r="E94" s="37">
        <v>4.3</v>
      </c>
      <c r="F94" s="37">
        <v>2.2999999999999998</v>
      </c>
      <c r="G94" s="37">
        <v>3</v>
      </c>
      <c r="H94" s="37">
        <v>2.2999999999999998</v>
      </c>
      <c r="I94" s="37">
        <v>2.9</v>
      </c>
      <c r="J94" s="37">
        <v>3.1</v>
      </c>
      <c r="K94" s="37">
        <v>2.8</v>
      </c>
      <c r="L94" s="37">
        <v>2.5</v>
      </c>
      <c r="M94" s="37">
        <v>2.5</v>
      </c>
      <c r="N94" s="8"/>
      <c r="O94" s="150" t="s">
        <v>153</v>
      </c>
      <c r="P94" s="30" t="s">
        <v>102</v>
      </c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 spans="1:27" ht="15.6" x14ac:dyDescent="0.3">
      <c r="A95" s="150"/>
      <c r="B95" s="20" t="s">
        <v>103</v>
      </c>
      <c r="C95" s="32">
        <v>3.7</v>
      </c>
      <c r="D95" s="32">
        <v>6</v>
      </c>
      <c r="E95" s="32">
        <v>6.3</v>
      </c>
      <c r="F95" s="32">
        <v>3.3</v>
      </c>
      <c r="G95" s="32">
        <v>4.4000000000000004</v>
      </c>
      <c r="H95" s="32">
        <v>3.3</v>
      </c>
      <c r="I95" s="32">
        <v>4.2</v>
      </c>
      <c r="J95" s="32">
        <v>4.5</v>
      </c>
      <c r="K95" s="32">
        <v>4.0999999999999996</v>
      </c>
      <c r="L95" s="32">
        <v>3.7</v>
      </c>
      <c r="M95" s="32">
        <v>3.6</v>
      </c>
      <c r="N95" s="8"/>
      <c r="O95" s="150"/>
      <c r="P95" s="20" t="s">
        <v>151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spans="1:27" ht="15.6" x14ac:dyDescent="0.3">
      <c r="A96" s="150"/>
      <c r="B96" s="38" t="s">
        <v>104</v>
      </c>
      <c r="C96" s="26">
        <f t="shared" ref="C96:M96" si="44">IF(OR(C94="",C95=""),"",C95/C94)</f>
        <v>1.48</v>
      </c>
      <c r="D96" s="26">
        <f t="shared" si="44"/>
        <v>1.4634146341463417</v>
      </c>
      <c r="E96" s="26">
        <f t="shared" si="44"/>
        <v>1.4651162790697674</v>
      </c>
      <c r="F96" s="26">
        <f t="shared" si="44"/>
        <v>1.4347826086956521</v>
      </c>
      <c r="G96" s="26">
        <f t="shared" si="44"/>
        <v>1.4666666666666668</v>
      </c>
      <c r="H96" s="26">
        <f t="shared" si="44"/>
        <v>1.4347826086956521</v>
      </c>
      <c r="I96" s="26">
        <f t="shared" si="44"/>
        <v>1.4482758620689655</v>
      </c>
      <c r="J96" s="26">
        <f t="shared" si="44"/>
        <v>1.4516129032258065</v>
      </c>
      <c r="K96" s="26">
        <f t="shared" si="44"/>
        <v>1.4642857142857142</v>
      </c>
      <c r="L96" s="26">
        <f t="shared" si="44"/>
        <v>1.48</v>
      </c>
      <c r="M96" s="26">
        <f t="shared" si="44"/>
        <v>1.44</v>
      </c>
      <c r="N96" s="39"/>
      <c r="O96" s="150"/>
      <c r="P96" s="38" t="s">
        <v>104</v>
      </c>
      <c r="Q96" s="26" t="str">
        <f t="shared" ref="Q96:AA96" si="45">IF(OR(Q94="",Q95=""),"",Q95/Q94)</f>
        <v/>
      </c>
      <c r="R96" s="26" t="str">
        <f t="shared" si="45"/>
        <v/>
      </c>
      <c r="S96" s="26" t="str">
        <f t="shared" si="45"/>
        <v/>
      </c>
      <c r="T96" s="26" t="str">
        <f t="shared" si="45"/>
        <v/>
      </c>
      <c r="U96" s="26" t="str">
        <f t="shared" si="45"/>
        <v/>
      </c>
      <c r="V96" s="26" t="str">
        <f t="shared" si="45"/>
        <v/>
      </c>
      <c r="W96" s="26" t="str">
        <f t="shared" si="45"/>
        <v/>
      </c>
      <c r="X96" s="26" t="str">
        <f t="shared" si="45"/>
        <v/>
      </c>
      <c r="Y96" s="26" t="str">
        <f t="shared" si="45"/>
        <v/>
      </c>
      <c r="Z96" s="26" t="str">
        <f t="shared" si="45"/>
        <v/>
      </c>
      <c r="AA96" s="26" t="str">
        <f t="shared" si="45"/>
        <v/>
      </c>
    </row>
    <row r="98" spans="1:27" ht="15.6" x14ac:dyDescent="0.3">
      <c r="A98" s="8" t="s">
        <v>148</v>
      </c>
      <c r="O98" s="8" t="s">
        <v>148</v>
      </c>
    </row>
    <row r="99" spans="1:27" ht="15.6" x14ac:dyDescent="0.3">
      <c r="B99" s="15" t="s">
        <v>100</v>
      </c>
      <c r="C99" s="31" t="s">
        <v>13</v>
      </c>
      <c r="D99" s="31" t="s">
        <v>26</v>
      </c>
      <c r="E99" s="31" t="s">
        <v>34</v>
      </c>
      <c r="F99" s="31" t="s">
        <v>14</v>
      </c>
      <c r="G99" s="31" t="s">
        <v>15</v>
      </c>
      <c r="H99" s="31" t="s">
        <v>18</v>
      </c>
      <c r="I99" s="31" t="s">
        <v>20</v>
      </c>
      <c r="J99" s="31" t="s">
        <v>16</v>
      </c>
      <c r="K99" s="31" t="s">
        <v>21</v>
      </c>
      <c r="L99" s="31" t="s">
        <v>35</v>
      </c>
      <c r="M99" s="31" t="s">
        <v>22</v>
      </c>
      <c r="N99" s="8"/>
      <c r="P99" s="15" t="s">
        <v>100</v>
      </c>
      <c r="Q99" s="31" t="s">
        <v>13</v>
      </c>
      <c r="R99" s="31" t="s">
        <v>26</v>
      </c>
      <c r="S99" s="31" t="s">
        <v>34</v>
      </c>
      <c r="T99" s="31" t="s">
        <v>14</v>
      </c>
      <c r="U99" s="31" t="s">
        <v>15</v>
      </c>
      <c r="V99" s="31" t="s">
        <v>18</v>
      </c>
      <c r="W99" s="31" t="s">
        <v>20</v>
      </c>
      <c r="X99" s="31" t="s">
        <v>16</v>
      </c>
      <c r="Y99" s="31" t="s">
        <v>21</v>
      </c>
      <c r="Z99" s="31" t="s">
        <v>35</v>
      </c>
      <c r="AA99" s="31" t="s">
        <v>22</v>
      </c>
    </row>
    <row r="100" spans="1:27" ht="15.6" x14ac:dyDescent="0.3">
      <c r="B100" s="18" t="s">
        <v>114</v>
      </c>
      <c r="C100" s="32">
        <v>2</v>
      </c>
      <c r="D100" s="32">
        <v>3.6</v>
      </c>
      <c r="E100" s="32">
        <v>2.4</v>
      </c>
      <c r="F100" s="32">
        <v>5</v>
      </c>
      <c r="G100" s="32">
        <v>6</v>
      </c>
      <c r="H100" s="32">
        <v>10</v>
      </c>
      <c r="I100" s="32">
        <f>12*1.2</f>
        <v>14.399999999999999</v>
      </c>
      <c r="J100" s="32">
        <v>12</v>
      </c>
      <c r="K100" s="32">
        <f>32*0.6</f>
        <v>19.2</v>
      </c>
      <c r="L100" s="32">
        <f>32*1.2</f>
        <v>38.4</v>
      </c>
      <c r="M100" s="32">
        <f>64*0.6</f>
        <v>38.4</v>
      </c>
      <c r="N100" s="8"/>
      <c r="P100" s="18" t="s">
        <v>114</v>
      </c>
      <c r="Q100" s="32">
        <v>2</v>
      </c>
      <c r="R100" s="32">
        <v>3.6</v>
      </c>
      <c r="S100" s="32">
        <v>2.4</v>
      </c>
      <c r="T100" s="32">
        <v>5</v>
      </c>
      <c r="U100" s="32">
        <v>6</v>
      </c>
      <c r="V100" s="32">
        <v>10</v>
      </c>
      <c r="W100" s="32">
        <f>12*1.2</f>
        <v>14.399999999999999</v>
      </c>
      <c r="X100" s="32">
        <v>12</v>
      </c>
      <c r="Y100" s="32">
        <f>32*0.6</f>
        <v>19.2</v>
      </c>
      <c r="Z100" s="32">
        <f>32*1.2</f>
        <v>38.4</v>
      </c>
      <c r="AA100" s="32">
        <f>64*0.6</f>
        <v>38.4</v>
      </c>
    </row>
    <row r="101" spans="1:27" ht="15.6" x14ac:dyDescent="0.3">
      <c r="B101" s="18" t="s">
        <v>101</v>
      </c>
      <c r="C101" s="32" t="s">
        <v>13</v>
      </c>
      <c r="D101" s="32" t="s">
        <v>26</v>
      </c>
      <c r="E101" s="32" t="s">
        <v>31</v>
      </c>
      <c r="F101" s="32" t="s">
        <v>14</v>
      </c>
      <c r="G101" s="32" t="s">
        <v>16</v>
      </c>
      <c r="H101" s="32" t="s">
        <v>18</v>
      </c>
      <c r="I101" s="32" t="s">
        <v>20</v>
      </c>
      <c r="J101" s="32" t="s">
        <v>19</v>
      </c>
      <c r="K101" s="32" t="s">
        <v>22</v>
      </c>
      <c r="L101" s="32" t="s">
        <v>35</v>
      </c>
      <c r="M101" s="32" t="s">
        <v>40</v>
      </c>
      <c r="N101" s="8"/>
      <c r="P101" s="18" t="s">
        <v>101</v>
      </c>
      <c r="Q101" s="32" t="s">
        <v>13</v>
      </c>
      <c r="R101" s="32" t="s">
        <v>26</v>
      </c>
      <c r="S101" s="32" t="s">
        <v>31</v>
      </c>
      <c r="T101" s="32" t="s">
        <v>14</v>
      </c>
      <c r="U101" s="32" t="s">
        <v>16</v>
      </c>
      <c r="V101" s="32" t="s">
        <v>18</v>
      </c>
      <c r="W101" s="32" t="s">
        <v>20</v>
      </c>
      <c r="X101" s="32" t="s">
        <v>19</v>
      </c>
      <c r="Y101" s="32" t="s">
        <v>22</v>
      </c>
      <c r="Z101" s="32" t="s">
        <v>35</v>
      </c>
      <c r="AA101" s="32" t="s">
        <v>40</v>
      </c>
    </row>
    <row r="102" spans="1:27" ht="15.6" x14ac:dyDescent="0.3">
      <c r="B102" s="33" t="s">
        <v>115</v>
      </c>
      <c r="C102" s="40"/>
      <c r="D102" s="40"/>
      <c r="E102" s="40" t="s">
        <v>121</v>
      </c>
      <c r="F102" s="40"/>
      <c r="G102" s="40" t="s">
        <v>121</v>
      </c>
      <c r="H102" s="40"/>
      <c r="I102" s="40"/>
      <c r="J102" s="40" t="s">
        <v>121</v>
      </c>
      <c r="K102" s="40" t="s">
        <v>121</v>
      </c>
      <c r="L102" s="40"/>
      <c r="M102" s="40" t="s">
        <v>121</v>
      </c>
      <c r="N102" s="8"/>
      <c r="P102" s="33" t="s">
        <v>115</v>
      </c>
      <c r="Q102" s="40"/>
      <c r="R102" s="40"/>
      <c r="S102" s="40" t="s">
        <v>121</v>
      </c>
      <c r="T102" s="40"/>
      <c r="U102" s="40" t="s">
        <v>121</v>
      </c>
      <c r="V102" s="40"/>
      <c r="W102" s="40"/>
      <c r="X102" s="40" t="s">
        <v>121</v>
      </c>
      <c r="Y102" s="40" t="s">
        <v>121</v>
      </c>
      <c r="Z102" s="40"/>
      <c r="AA102" s="40" t="s">
        <v>121</v>
      </c>
    </row>
    <row r="103" spans="1:27" ht="15.6" x14ac:dyDescent="0.3">
      <c r="A103" s="7" t="s">
        <v>6</v>
      </c>
      <c r="B103" s="35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8"/>
      <c r="O103" s="7" t="s">
        <v>6</v>
      </c>
      <c r="P103" s="35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 spans="1:27" ht="15.6" x14ac:dyDescent="0.3">
      <c r="A104" s="132">
        <v>70</v>
      </c>
      <c r="B104" s="30" t="s">
        <v>102</v>
      </c>
      <c r="C104" s="37">
        <v>0.6</v>
      </c>
      <c r="D104" s="37">
        <v>0.9</v>
      </c>
      <c r="E104" s="37">
        <v>1</v>
      </c>
      <c r="F104" s="37">
        <v>0.5</v>
      </c>
      <c r="G104" s="37">
        <v>0.7</v>
      </c>
      <c r="H104" s="37">
        <v>0.5</v>
      </c>
      <c r="I104" s="37">
        <v>0.6</v>
      </c>
      <c r="J104" s="37">
        <v>0.7</v>
      </c>
      <c r="K104" s="37">
        <v>0.6</v>
      </c>
      <c r="L104" s="37">
        <v>0.6</v>
      </c>
      <c r="M104" s="37">
        <v>0.6</v>
      </c>
      <c r="N104" s="8"/>
      <c r="O104" s="132">
        <v>70</v>
      </c>
      <c r="P104" s="30" t="s">
        <v>102</v>
      </c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 spans="1:27" ht="15.6" x14ac:dyDescent="0.3">
      <c r="A105" s="132"/>
      <c r="B105" s="20" t="s">
        <v>103</v>
      </c>
      <c r="C105" s="32">
        <v>1</v>
      </c>
      <c r="D105" s="32">
        <v>1.6</v>
      </c>
      <c r="E105" s="32">
        <v>1.7</v>
      </c>
      <c r="F105" s="32">
        <v>0.9</v>
      </c>
      <c r="G105" s="32">
        <v>1.2</v>
      </c>
      <c r="H105" s="32">
        <v>0.9</v>
      </c>
      <c r="I105" s="32">
        <v>1.1000000000000001</v>
      </c>
      <c r="J105" s="32">
        <v>1.2</v>
      </c>
      <c r="K105" s="32">
        <v>1.1000000000000001</v>
      </c>
      <c r="L105" s="32">
        <v>1</v>
      </c>
      <c r="M105" s="32">
        <v>1</v>
      </c>
      <c r="N105" s="8"/>
      <c r="O105" s="132"/>
      <c r="P105" s="20" t="s">
        <v>151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spans="1:27" ht="15.6" x14ac:dyDescent="0.3">
      <c r="A106" s="132"/>
      <c r="B106" s="38" t="s">
        <v>104</v>
      </c>
      <c r="C106" s="26">
        <f t="shared" ref="C106:M106" si="46">IF(OR(C104="",C105=""),"",C105/C104)</f>
        <v>1.6666666666666667</v>
      </c>
      <c r="D106" s="26">
        <f t="shared" si="46"/>
        <v>1.7777777777777779</v>
      </c>
      <c r="E106" s="26">
        <f t="shared" si="46"/>
        <v>1.7</v>
      </c>
      <c r="F106" s="26">
        <f t="shared" si="46"/>
        <v>1.8</v>
      </c>
      <c r="G106" s="26">
        <f t="shared" si="46"/>
        <v>1.7142857142857144</v>
      </c>
      <c r="H106" s="26">
        <f t="shared" si="46"/>
        <v>1.8</v>
      </c>
      <c r="I106" s="26">
        <f t="shared" si="46"/>
        <v>1.8333333333333335</v>
      </c>
      <c r="J106" s="26">
        <f t="shared" si="46"/>
        <v>1.7142857142857144</v>
      </c>
      <c r="K106" s="26">
        <f t="shared" si="46"/>
        <v>1.8333333333333335</v>
      </c>
      <c r="L106" s="26">
        <f t="shared" si="46"/>
        <v>1.6666666666666667</v>
      </c>
      <c r="M106" s="26">
        <f t="shared" si="46"/>
        <v>1.6666666666666667</v>
      </c>
      <c r="N106" s="39"/>
      <c r="O106" s="132"/>
      <c r="P106" s="38" t="s">
        <v>104</v>
      </c>
      <c r="Q106" s="26" t="str">
        <f t="shared" ref="Q106:AA106" si="47">IF(OR(Q104="",Q105=""),"",Q105/Q104)</f>
        <v/>
      </c>
      <c r="R106" s="26" t="str">
        <f t="shared" si="47"/>
        <v/>
      </c>
      <c r="S106" s="26" t="str">
        <f t="shared" si="47"/>
        <v/>
      </c>
      <c r="T106" s="26" t="str">
        <f t="shared" si="47"/>
        <v/>
      </c>
      <c r="U106" s="26" t="str">
        <f t="shared" si="47"/>
        <v/>
      </c>
      <c r="V106" s="26" t="str">
        <f t="shared" si="47"/>
        <v/>
      </c>
      <c r="W106" s="26" t="str">
        <f t="shared" si="47"/>
        <v/>
      </c>
      <c r="X106" s="26" t="str">
        <f t="shared" si="47"/>
        <v/>
      </c>
      <c r="Y106" s="26" t="str">
        <f t="shared" si="47"/>
        <v/>
      </c>
      <c r="Z106" s="26" t="str">
        <f t="shared" si="47"/>
        <v/>
      </c>
      <c r="AA106" s="26" t="str">
        <f t="shared" si="47"/>
        <v/>
      </c>
    </row>
    <row r="107" spans="1:27" ht="15.6" x14ac:dyDescent="0.3">
      <c r="A107" s="132">
        <v>80</v>
      </c>
      <c r="B107" s="30" t="s">
        <v>102</v>
      </c>
      <c r="C107" s="37">
        <v>1</v>
      </c>
      <c r="D107" s="37">
        <v>1.6</v>
      </c>
      <c r="E107" s="37">
        <v>1.7</v>
      </c>
      <c r="F107" s="37">
        <v>0.9</v>
      </c>
      <c r="G107" s="37">
        <v>1.2</v>
      </c>
      <c r="H107" s="37">
        <v>0.9</v>
      </c>
      <c r="I107" s="37">
        <v>1.1000000000000001</v>
      </c>
      <c r="J107" s="37">
        <v>1.2</v>
      </c>
      <c r="K107" s="37">
        <v>1.1000000000000001</v>
      </c>
      <c r="L107" s="37">
        <v>1</v>
      </c>
      <c r="M107" s="37">
        <v>1</v>
      </c>
      <c r="N107" s="8"/>
      <c r="O107" s="132">
        <v>80</v>
      </c>
      <c r="P107" s="30" t="s">
        <v>102</v>
      </c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 spans="1:27" ht="15.6" x14ac:dyDescent="0.3">
      <c r="A108" s="132"/>
      <c r="B108" s="20" t="s">
        <v>103</v>
      </c>
      <c r="C108" s="32">
        <v>1.6</v>
      </c>
      <c r="D108" s="32">
        <v>2.6</v>
      </c>
      <c r="E108" s="32">
        <v>2.7</v>
      </c>
      <c r="F108" s="32">
        <v>1.4</v>
      </c>
      <c r="G108" s="32">
        <v>1.9</v>
      </c>
      <c r="H108" s="32">
        <v>1.4</v>
      </c>
      <c r="I108" s="32">
        <v>1.9</v>
      </c>
      <c r="J108" s="32">
        <v>1.9</v>
      </c>
      <c r="K108" s="32">
        <v>1.8</v>
      </c>
      <c r="L108" s="32">
        <v>1.6</v>
      </c>
      <c r="M108" s="32">
        <v>1.6</v>
      </c>
      <c r="N108" s="8"/>
      <c r="O108" s="132"/>
      <c r="P108" s="20" t="s">
        <v>151</v>
      </c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spans="1:27" ht="15.6" x14ac:dyDescent="0.3">
      <c r="A109" s="132"/>
      <c r="B109" s="38" t="s">
        <v>104</v>
      </c>
      <c r="C109" s="26">
        <f t="shared" ref="C109:L109" si="48">IF(OR(C107="",C108=""),"",C108/C107)</f>
        <v>1.6</v>
      </c>
      <c r="D109" s="26">
        <f t="shared" si="48"/>
        <v>1.625</v>
      </c>
      <c r="E109" s="26">
        <f t="shared" si="48"/>
        <v>1.5882352941176472</v>
      </c>
      <c r="F109" s="26">
        <f t="shared" si="48"/>
        <v>1.5555555555555554</v>
      </c>
      <c r="G109" s="26">
        <f t="shared" si="48"/>
        <v>1.5833333333333333</v>
      </c>
      <c r="H109" s="26">
        <f t="shared" si="48"/>
        <v>1.5555555555555554</v>
      </c>
      <c r="I109" s="26">
        <f t="shared" si="48"/>
        <v>1.7272727272727271</v>
      </c>
      <c r="J109" s="26">
        <f t="shared" si="48"/>
        <v>1.5833333333333333</v>
      </c>
      <c r="K109" s="26">
        <f t="shared" si="48"/>
        <v>1.6363636363636362</v>
      </c>
      <c r="L109" s="26">
        <f t="shared" si="48"/>
        <v>1.6</v>
      </c>
      <c r="M109" s="26">
        <v>2.2000000000000002</v>
      </c>
      <c r="N109" s="39"/>
      <c r="O109" s="132"/>
      <c r="P109" s="38" t="s">
        <v>104</v>
      </c>
      <c r="Q109" s="26" t="str">
        <f t="shared" ref="Q109:AA109" si="49">IF(OR(Q107="",Q108=""),"",Q108/Q107)</f>
        <v/>
      </c>
      <c r="R109" s="26" t="str">
        <f t="shared" si="49"/>
        <v/>
      </c>
      <c r="S109" s="26" t="str">
        <f t="shared" si="49"/>
        <v/>
      </c>
      <c r="T109" s="26" t="str">
        <f t="shared" si="49"/>
        <v/>
      </c>
      <c r="U109" s="26" t="str">
        <f t="shared" si="49"/>
        <v/>
      </c>
      <c r="V109" s="26" t="str">
        <f t="shared" si="49"/>
        <v/>
      </c>
      <c r="W109" s="26" t="str">
        <f t="shared" si="49"/>
        <v/>
      </c>
      <c r="X109" s="26" t="str">
        <f t="shared" si="49"/>
        <v/>
      </c>
      <c r="Y109" s="26" t="str">
        <f t="shared" si="49"/>
        <v/>
      </c>
      <c r="Z109" s="26" t="str">
        <f t="shared" si="49"/>
        <v/>
      </c>
      <c r="AA109" s="26" t="str">
        <f t="shared" si="49"/>
        <v/>
      </c>
    </row>
    <row r="110" spans="1:27" ht="15.6" x14ac:dyDescent="0.3">
      <c r="A110" s="132">
        <v>100</v>
      </c>
      <c r="B110" s="30" t="s">
        <v>102</v>
      </c>
      <c r="C110" s="37">
        <v>2.2000000000000002</v>
      </c>
      <c r="D110" s="37">
        <v>3.6</v>
      </c>
      <c r="E110" s="37">
        <v>3.8</v>
      </c>
      <c r="F110" s="37">
        <v>2</v>
      </c>
      <c r="G110" s="37">
        <v>2.6</v>
      </c>
      <c r="H110" s="37">
        <v>2</v>
      </c>
      <c r="I110" s="37">
        <v>2.6</v>
      </c>
      <c r="J110" s="37">
        <v>2.7</v>
      </c>
      <c r="K110" s="37">
        <v>2.5</v>
      </c>
      <c r="L110" s="37">
        <v>2.2000000000000002</v>
      </c>
      <c r="M110" s="37">
        <v>3.3</v>
      </c>
      <c r="N110" s="8"/>
      <c r="O110" s="132">
        <v>100</v>
      </c>
      <c r="P110" s="30" t="s">
        <v>102</v>
      </c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 spans="1:27" ht="15.6" x14ac:dyDescent="0.3">
      <c r="A111" s="132"/>
      <c r="B111" s="20" t="s">
        <v>103</v>
      </c>
      <c r="C111" s="32">
        <v>3.4</v>
      </c>
      <c r="D111" s="32">
        <v>5.5</v>
      </c>
      <c r="E111" s="32">
        <v>5.8</v>
      </c>
      <c r="F111" s="32">
        <v>3</v>
      </c>
      <c r="G111" s="32">
        <v>4</v>
      </c>
      <c r="H111" s="32">
        <v>3</v>
      </c>
      <c r="I111" s="32">
        <v>3.9</v>
      </c>
      <c r="J111" s="32">
        <v>4.0999999999999996</v>
      </c>
      <c r="K111" s="32">
        <v>3.8</v>
      </c>
      <c r="L111" s="32">
        <v>3.4</v>
      </c>
      <c r="M111" s="32">
        <v>2.2599999999999998</v>
      </c>
      <c r="N111" s="8"/>
      <c r="O111" s="132"/>
      <c r="P111" s="20" t="s">
        <v>151</v>
      </c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spans="1:27" ht="15.6" x14ac:dyDescent="0.3">
      <c r="A112" s="132"/>
      <c r="B112" s="38" t="s">
        <v>104</v>
      </c>
      <c r="C112" s="26">
        <f t="shared" ref="C112:L112" si="50">IF(OR(C110="",C111=""),"",C111/C110)</f>
        <v>1.5454545454545452</v>
      </c>
      <c r="D112" s="26">
        <f t="shared" si="50"/>
        <v>1.5277777777777777</v>
      </c>
      <c r="E112" s="26">
        <f t="shared" si="50"/>
        <v>1.5263157894736843</v>
      </c>
      <c r="F112" s="26">
        <f t="shared" si="50"/>
        <v>1.5</v>
      </c>
      <c r="G112" s="26">
        <f t="shared" si="50"/>
        <v>1.5384615384615383</v>
      </c>
      <c r="H112" s="26">
        <f t="shared" si="50"/>
        <v>1.5</v>
      </c>
      <c r="I112" s="26">
        <f t="shared" si="50"/>
        <v>1.5</v>
      </c>
      <c r="J112" s="26">
        <f t="shared" si="50"/>
        <v>1.5185185185185184</v>
      </c>
      <c r="K112" s="26">
        <f t="shared" si="50"/>
        <v>1.52</v>
      </c>
      <c r="L112" s="26">
        <f t="shared" si="50"/>
        <v>1.5454545454545452</v>
      </c>
      <c r="M112" s="26">
        <v>3.8</v>
      </c>
      <c r="N112" s="39"/>
      <c r="O112" s="132"/>
      <c r="P112" s="38" t="s">
        <v>104</v>
      </c>
      <c r="Q112" s="26" t="str">
        <f t="shared" ref="Q112:AA112" si="51">IF(OR(Q110="",Q111=""),"",Q111/Q110)</f>
        <v/>
      </c>
      <c r="R112" s="26" t="str">
        <f t="shared" si="51"/>
        <v/>
      </c>
      <c r="S112" s="26" t="str">
        <f t="shared" si="51"/>
        <v/>
      </c>
      <c r="T112" s="26" t="str">
        <f t="shared" si="51"/>
        <v/>
      </c>
      <c r="U112" s="26" t="str">
        <f t="shared" si="51"/>
        <v/>
      </c>
      <c r="V112" s="26" t="str">
        <f t="shared" si="51"/>
        <v/>
      </c>
      <c r="W112" s="26" t="str">
        <f t="shared" si="51"/>
        <v/>
      </c>
      <c r="X112" s="26" t="str">
        <f t="shared" si="51"/>
        <v/>
      </c>
      <c r="Y112" s="26" t="str">
        <f t="shared" si="51"/>
        <v/>
      </c>
      <c r="Z112" s="26" t="str">
        <f t="shared" si="51"/>
        <v/>
      </c>
      <c r="AA112" s="26" t="str">
        <f t="shared" si="51"/>
        <v/>
      </c>
    </row>
    <row r="113" spans="1:27" ht="15.6" x14ac:dyDescent="0.3">
      <c r="A113" s="132">
        <v>120</v>
      </c>
      <c r="B113" s="30" t="s">
        <v>102</v>
      </c>
      <c r="C113" s="37">
        <v>3.9</v>
      </c>
      <c r="D113" s="37">
        <v>6.3</v>
      </c>
      <c r="E113" s="37">
        <v>6.7</v>
      </c>
      <c r="F113" s="37">
        <v>3.5</v>
      </c>
      <c r="G113" s="37">
        <v>4.5999999999999996</v>
      </c>
      <c r="H113" s="37">
        <v>3.5</v>
      </c>
      <c r="I113" s="37">
        <v>4.5</v>
      </c>
      <c r="J113" s="37">
        <v>4.7</v>
      </c>
      <c r="K113" s="37">
        <v>4.4000000000000004</v>
      </c>
      <c r="L113" s="37">
        <v>3.9</v>
      </c>
      <c r="M113" s="37">
        <v>5.5</v>
      </c>
      <c r="N113" s="8"/>
      <c r="O113" s="132">
        <v>120</v>
      </c>
      <c r="P113" s="30" t="s">
        <v>102</v>
      </c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 spans="1:27" ht="15.6" x14ac:dyDescent="0.3">
      <c r="A114" s="132"/>
      <c r="B114" s="20" t="s">
        <v>103</v>
      </c>
      <c r="C114" s="32">
        <v>5.6</v>
      </c>
      <c r="D114" s="32">
        <v>9.1</v>
      </c>
      <c r="E114" s="32">
        <v>9.6</v>
      </c>
      <c r="F114" s="32">
        <v>5.0999999999999996</v>
      </c>
      <c r="G114" s="32">
        <v>6.7</v>
      </c>
      <c r="H114" s="32">
        <v>5.0999999999999996</v>
      </c>
      <c r="I114" s="32">
        <v>6.5</v>
      </c>
      <c r="J114" s="32">
        <v>6.8</v>
      </c>
      <c r="K114" s="32">
        <v>6.3</v>
      </c>
      <c r="L114" s="32">
        <v>5.7</v>
      </c>
      <c r="M114" s="32">
        <v>3.17</v>
      </c>
      <c r="N114" s="8"/>
      <c r="O114" s="132"/>
      <c r="P114" s="20" t="s">
        <v>151</v>
      </c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spans="1:27" ht="15.6" x14ac:dyDescent="0.3">
      <c r="A115" s="132"/>
      <c r="B115" s="38" t="s">
        <v>104</v>
      </c>
      <c r="C115" s="26">
        <f t="shared" ref="C115:L115" si="52">IF(OR(C113="",C114=""),"",C114/C113)</f>
        <v>1.4358974358974359</v>
      </c>
      <c r="D115" s="26">
        <f t="shared" si="52"/>
        <v>1.4444444444444444</v>
      </c>
      <c r="E115" s="26">
        <f t="shared" si="52"/>
        <v>1.4328358208955223</v>
      </c>
      <c r="F115" s="26">
        <f t="shared" si="52"/>
        <v>1.4571428571428571</v>
      </c>
      <c r="G115" s="26">
        <f t="shared" si="52"/>
        <v>1.456521739130435</v>
      </c>
      <c r="H115" s="26">
        <f t="shared" si="52"/>
        <v>1.4571428571428571</v>
      </c>
      <c r="I115" s="26">
        <f t="shared" si="52"/>
        <v>1.4444444444444444</v>
      </c>
      <c r="J115" s="26">
        <f t="shared" si="52"/>
        <v>1.4468085106382977</v>
      </c>
      <c r="K115" s="26">
        <f t="shared" si="52"/>
        <v>1.4318181818181817</v>
      </c>
      <c r="L115" s="26">
        <f t="shared" si="52"/>
        <v>1.4615384615384617</v>
      </c>
      <c r="M115" s="26">
        <v>6</v>
      </c>
      <c r="N115" s="39"/>
      <c r="O115" s="132"/>
      <c r="P115" s="38" t="s">
        <v>104</v>
      </c>
      <c r="Q115" s="26" t="str">
        <f t="shared" ref="Q115:AA115" si="53">IF(OR(Q113="",Q114=""),"",Q114/Q113)</f>
        <v/>
      </c>
      <c r="R115" s="26" t="str">
        <f t="shared" si="53"/>
        <v/>
      </c>
      <c r="S115" s="26" t="str">
        <f t="shared" si="53"/>
        <v/>
      </c>
      <c r="T115" s="26" t="str">
        <f t="shared" si="53"/>
        <v/>
      </c>
      <c r="U115" s="26" t="str">
        <f t="shared" si="53"/>
        <v/>
      </c>
      <c r="V115" s="26" t="str">
        <f t="shared" si="53"/>
        <v/>
      </c>
      <c r="W115" s="26" t="str">
        <f t="shared" si="53"/>
        <v/>
      </c>
      <c r="X115" s="26" t="str">
        <f t="shared" si="53"/>
        <v/>
      </c>
      <c r="Y115" s="26" t="str">
        <f t="shared" si="53"/>
        <v/>
      </c>
      <c r="Z115" s="26" t="str">
        <f t="shared" si="53"/>
        <v/>
      </c>
      <c r="AA115" s="26" t="str">
        <f t="shared" si="53"/>
        <v/>
      </c>
    </row>
    <row r="116" spans="1:27" ht="15.6" x14ac:dyDescent="0.3">
      <c r="A116" s="132">
        <v>140</v>
      </c>
      <c r="B116" s="30" t="s">
        <v>102</v>
      </c>
      <c r="C116" s="37">
        <v>6.1</v>
      </c>
      <c r="D116" s="37">
        <v>9.9</v>
      </c>
      <c r="E116" s="37">
        <v>10.5</v>
      </c>
      <c r="F116" s="37">
        <v>5.5</v>
      </c>
      <c r="G116" s="37">
        <v>7.3</v>
      </c>
      <c r="H116" s="37">
        <v>5.5</v>
      </c>
      <c r="I116" s="37">
        <v>7.1</v>
      </c>
      <c r="J116" s="37">
        <v>7.4</v>
      </c>
      <c r="K116" s="37">
        <v>6.9</v>
      </c>
      <c r="L116" s="37">
        <v>6.2</v>
      </c>
      <c r="M116" s="37">
        <v>8.5</v>
      </c>
      <c r="N116" s="8"/>
      <c r="O116" s="132">
        <v>140</v>
      </c>
      <c r="P116" s="30" t="s">
        <v>102</v>
      </c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 spans="1:27" ht="15.6" x14ac:dyDescent="0.3">
      <c r="A117" s="132"/>
      <c r="B117" s="20" t="s">
        <v>103</v>
      </c>
      <c r="C117" s="32">
        <v>8.6999999999999993</v>
      </c>
      <c r="D117" s="32">
        <v>14.1</v>
      </c>
      <c r="E117" s="32">
        <v>14.8</v>
      </c>
      <c r="F117" s="32">
        <v>7.8</v>
      </c>
      <c r="G117" s="32">
        <v>10.3</v>
      </c>
      <c r="H117" s="32">
        <v>7.8</v>
      </c>
      <c r="I117" s="32">
        <v>10</v>
      </c>
      <c r="J117" s="32">
        <v>10.5</v>
      </c>
      <c r="K117" s="32">
        <v>9.6999999999999993</v>
      </c>
      <c r="L117" s="32">
        <v>8.6999999999999993</v>
      </c>
      <c r="M117" s="32">
        <v>4.1900000000000004</v>
      </c>
      <c r="N117" s="8"/>
      <c r="O117" s="132"/>
      <c r="P117" s="20" t="s">
        <v>151</v>
      </c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spans="1:27" ht="15.6" x14ac:dyDescent="0.3">
      <c r="A118" s="132"/>
      <c r="B118" s="38" t="s">
        <v>104</v>
      </c>
      <c r="C118" s="26">
        <f t="shared" ref="C118:L118" si="54">IF(OR(C116="",C117=""),"",C117/C116)</f>
        <v>1.4262295081967213</v>
      </c>
      <c r="D118" s="26">
        <f t="shared" si="54"/>
        <v>1.4242424242424241</v>
      </c>
      <c r="E118" s="26">
        <f t="shared" si="54"/>
        <v>1.4095238095238096</v>
      </c>
      <c r="F118" s="26">
        <f t="shared" si="54"/>
        <v>1.4181818181818182</v>
      </c>
      <c r="G118" s="26">
        <f t="shared" si="54"/>
        <v>1.4109589041095891</v>
      </c>
      <c r="H118" s="26">
        <f t="shared" si="54"/>
        <v>1.4181818181818182</v>
      </c>
      <c r="I118" s="26">
        <f t="shared" si="54"/>
        <v>1.4084507042253522</v>
      </c>
      <c r="J118" s="26">
        <f t="shared" si="54"/>
        <v>1.4189189189189189</v>
      </c>
      <c r="K118" s="26">
        <f t="shared" si="54"/>
        <v>1.4057971014492752</v>
      </c>
      <c r="L118" s="26">
        <f t="shared" si="54"/>
        <v>1.4032258064516128</v>
      </c>
      <c r="M118" s="26">
        <v>2.2000000000000002</v>
      </c>
      <c r="N118" s="39"/>
      <c r="O118" s="132"/>
      <c r="P118" s="38" t="s">
        <v>104</v>
      </c>
      <c r="Q118" s="26" t="str">
        <f t="shared" ref="Q118:AA118" si="55">IF(OR(Q116="",Q117=""),"",Q117/Q116)</f>
        <v/>
      </c>
      <c r="R118" s="26" t="str">
        <f t="shared" si="55"/>
        <v/>
      </c>
      <c r="S118" s="26" t="str">
        <f t="shared" si="55"/>
        <v/>
      </c>
      <c r="T118" s="26" t="str">
        <f t="shared" si="55"/>
        <v/>
      </c>
      <c r="U118" s="26" t="str">
        <f t="shared" si="55"/>
        <v/>
      </c>
      <c r="V118" s="26" t="str">
        <f t="shared" si="55"/>
        <v/>
      </c>
      <c r="W118" s="26" t="str">
        <f t="shared" si="55"/>
        <v/>
      </c>
      <c r="X118" s="26" t="str">
        <f t="shared" si="55"/>
        <v/>
      </c>
      <c r="Y118" s="26" t="str">
        <f t="shared" si="55"/>
        <v/>
      </c>
      <c r="Z118" s="26" t="str">
        <f t="shared" si="55"/>
        <v/>
      </c>
      <c r="AA118" s="26" t="str">
        <f t="shared" si="55"/>
        <v/>
      </c>
    </row>
    <row r="119" spans="1:27" ht="15" customHeight="1" x14ac:dyDescent="0.3">
      <c r="A119" s="150" t="s">
        <v>153</v>
      </c>
      <c r="B119" s="30" t="s">
        <v>102</v>
      </c>
      <c r="C119" s="37">
        <v>2.2000000000000002</v>
      </c>
      <c r="D119" s="37">
        <v>3.6</v>
      </c>
      <c r="E119" s="37">
        <v>3.8</v>
      </c>
      <c r="F119" s="37">
        <v>2</v>
      </c>
      <c r="G119" s="37">
        <v>2.6</v>
      </c>
      <c r="H119" s="37">
        <v>2</v>
      </c>
      <c r="I119" s="37">
        <v>2.5</v>
      </c>
      <c r="J119" s="37">
        <v>2.7</v>
      </c>
      <c r="K119" s="37">
        <v>2.5</v>
      </c>
      <c r="L119" s="37">
        <v>2.2000000000000002</v>
      </c>
      <c r="M119" s="37">
        <v>2.8</v>
      </c>
      <c r="N119" s="8"/>
      <c r="O119" s="150" t="s">
        <v>153</v>
      </c>
      <c r="P119" s="30" t="s">
        <v>102</v>
      </c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 spans="1:27" ht="15.6" x14ac:dyDescent="0.3">
      <c r="A120" s="150"/>
      <c r="B120" s="20" t="s">
        <v>103</v>
      </c>
      <c r="C120" s="32">
        <v>2.9</v>
      </c>
      <c r="D120" s="32">
        <v>4.5999999999999996</v>
      </c>
      <c r="E120" s="32">
        <v>4.9000000000000004</v>
      </c>
      <c r="F120" s="32">
        <v>2.6</v>
      </c>
      <c r="G120" s="32">
        <v>3.4</v>
      </c>
      <c r="H120" s="32">
        <v>2.6</v>
      </c>
      <c r="I120" s="32">
        <v>3.3</v>
      </c>
      <c r="J120" s="32">
        <v>3.5</v>
      </c>
      <c r="K120" s="32">
        <v>3.2</v>
      </c>
      <c r="L120" s="32">
        <v>2.9</v>
      </c>
      <c r="M120" s="32">
        <v>5.34</v>
      </c>
      <c r="N120" s="8"/>
      <c r="O120" s="150"/>
      <c r="P120" s="20" t="s">
        <v>151</v>
      </c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spans="1:27" ht="15.6" x14ac:dyDescent="0.3">
      <c r="A121" s="150"/>
      <c r="B121" s="38" t="s">
        <v>104</v>
      </c>
      <c r="C121" s="26">
        <f t="shared" ref="C121:M121" si="56">IF(OR(C119="",C120=""),"",C120/C119)</f>
        <v>1.3181818181818181</v>
      </c>
      <c r="D121" s="26">
        <f t="shared" si="56"/>
        <v>1.2777777777777777</v>
      </c>
      <c r="E121" s="26">
        <f t="shared" si="56"/>
        <v>1.2894736842105265</v>
      </c>
      <c r="F121" s="26">
        <f t="shared" si="56"/>
        <v>1.3</v>
      </c>
      <c r="G121" s="26">
        <f t="shared" si="56"/>
        <v>1.3076923076923077</v>
      </c>
      <c r="H121" s="26">
        <f t="shared" si="56"/>
        <v>1.3</v>
      </c>
      <c r="I121" s="26">
        <f t="shared" si="56"/>
        <v>1.3199999999999998</v>
      </c>
      <c r="J121" s="26">
        <f t="shared" si="56"/>
        <v>1.2962962962962963</v>
      </c>
      <c r="K121" s="26">
        <f t="shared" si="56"/>
        <v>1.28</v>
      </c>
      <c r="L121" s="26">
        <f t="shared" si="56"/>
        <v>1.3181818181818181</v>
      </c>
      <c r="M121" s="26">
        <f t="shared" si="56"/>
        <v>1.9071428571428573</v>
      </c>
      <c r="N121" s="39"/>
      <c r="O121" s="150"/>
      <c r="P121" s="38" t="s">
        <v>104</v>
      </c>
      <c r="Q121" s="26" t="str">
        <f t="shared" ref="Q121:AA121" si="57">IF(OR(Q119="",Q120=""),"",Q120/Q119)</f>
        <v/>
      </c>
      <c r="R121" s="26" t="str">
        <f t="shared" si="57"/>
        <v/>
      </c>
      <c r="S121" s="26" t="str">
        <f t="shared" si="57"/>
        <v/>
      </c>
      <c r="T121" s="26" t="str">
        <f t="shared" si="57"/>
        <v/>
      </c>
      <c r="U121" s="26" t="str">
        <f t="shared" si="57"/>
        <v/>
      </c>
      <c r="V121" s="26" t="str">
        <f t="shared" si="57"/>
        <v/>
      </c>
      <c r="W121" s="26" t="str">
        <f t="shared" si="57"/>
        <v/>
      </c>
      <c r="X121" s="26" t="str">
        <f t="shared" si="57"/>
        <v/>
      </c>
      <c r="Y121" s="26" t="str">
        <f t="shared" si="57"/>
        <v/>
      </c>
      <c r="Z121" s="26" t="str">
        <f t="shared" si="57"/>
        <v/>
      </c>
      <c r="AA121" s="26" t="str">
        <f t="shared" si="57"/>
        <v/>
      </c>
    </row>
  </sheetData>
  <mergeCells count="58">
    <mergeCell ref="A7:A9"/>
    <mergeCell ref="O7:O9"/>
    <mergeCell ref="A10:A12"/>
    <mergeCell ref="O10:O12"/>
    <mergeCell ref="A13:A15"/>
    <mergeCell ref="O13:O15"/>
    <mergeCell ref="A16:A18"/>
    <mergeCell ref="O16:O18"/>
    <mergeCell ref="A19:A21"/>
    <mergeCell ref="O19:O21"/>
    <mergeCell ref="A22:A24"/>
    <mergeCell ref="O22:O24"/>
    <mergeCell ref="A32:A34"/>
    <mergeCell ref="O32:O34"/>
    <mergeCell ref="A35:A37"/>
    <mergeCell ref="O35:O37"/>
    <mergeCell ref="A38:A40"/>
    <mergeCell ref="O38:O40"/>
    <mergeCell ref="A41:A43"/>
    <mergeCell ref="O41:O43"/>
    <mergeCell ref="A44:A46"/>
    <mergeCell ref="O44:O46"/>
    <mergeCell ref="A47:A49"/>
    <mergeCell ref="O47:O49"/>
    <mergeCell ref="A57:A59"/>
    <mergeCell ref="O57:O59"/>
    <mergeCell ref="A60:A62"/>
    <mergeCell ref="O60:O62"/>
    <mergeCell ref="A63:A65"/>
    <mergeCell ref="O63:O65"/>
    <mergeCell ref="A66:A68"/>
    <mergeCell ref="O66:O68"/>
    <mergeCell ref="A69:A71"/>
    <mergeCell ref="O69:O71"/>
    <mergeCell ref="A79:A81"/>
    <mergeCell ref="O79:O81"/>
    <mergeCell ref="A82:A84"/>
    <mergeCell ref="O82:O84"/>
    <mergeCell ref="A85:A87"/>
    <mergeCell ref="O85:O87"/>
    <mergeCell ref="A88:A90"/>
    <mergeCell ref="O88:O90"/>
    <mergeCell ref="A91:A93"/>
    <mergeCell ref="O91:O93"/>
    <mergeCell ref="A94:A96"/>
    <mergeCell ref="O94:O96"/>
    <mergeCell ref="A104:A106"/>
    <mergeCell ref="O104:O106"/>
    <mergeCell ref="A116:A118"/>
    <mergeCell ref="O116:O118"/>
    <mergeCell ref="A119:A121"/>
    <mergeCell ref="O119:O121"/>
    <mergeCell ref="A107:A109"/>
    <mergeCell ref="O107:O109"/>
    <mergeCell ref="A110:A112"/>
    <mergeCell ref="O110:O112"/>
    <mergeCell ref="A113:A115"/>
    <mergeCell ref="O113:O115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N87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21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32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32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32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32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32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32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32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32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32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32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32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32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32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32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32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32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32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32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32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32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32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32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32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32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32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32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32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32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32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32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32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32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32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32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32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32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32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32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32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32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32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32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32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32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32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32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32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32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32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32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32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32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32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32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32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32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32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32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32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32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:A9"/>
    <mergeCell ref="A10:A12"/>
    <mergeCell ref="A13:A15"/>
    <mergeCell ref="A16:A18"/>
    <mergeCell ref="A19:A21"/>
    <mergeCell ref="A29:A31"/>
    <mergeCell ref="A32:A34"/>
    <mergeCell ref="A35:A37"/>
    <mergeCell ref="A38:A40"/>
    <mergeCell ref="A41:A43"/>
    <mergeCell ref="A51:A53"/>
    <mergeCell ref="A54:A56"/>
    <mergeCell ref="A57:A59"/>
    <mergeCell ref="A60:A62"/>
    <mergeCell ref="A63:A65"/>
    <mergeCell ref="A73:A75"/>
    <mergeCell ref="A76:A78"/>
    <mergeCell ref="A79:A81"/>
    <mergeCell ref="A82:A84"/>
    <mergeCell ref="A85:A87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N11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14" width="8.59765625" customWidth="1"/>
  </cols>
  <sheetData>
    <row r="1" spans="1:14" ht="15.6" x14ac:dyDescent="0.3">
      <c r="A1" s="8" t="s">
        <v>97</v>
      </c>
    </row>
    <row r="2" spans="1:14" ht="15.6" x14ac:dyDescent="0.3">
      <c r="C2" s="15" t="s">
        <v>100</v>
      </c>
      <c r="D2" s="4" t="s">
        <v>14</v>
      </c>
      <c r="E2" s="16" t="s">
        <v>57</v>
      </c>
      <c r="F2" s="4" t="s">
        <v>68</v>
      </c>
      <c r="G2" s="16" t="s">
        <v>27</v>
      </c>
      <c r="H2" s="4" t="s">
        <v>58</v>
      </c>
      <c r="I2" s="16" t="s">
        <v>59</v>
      </c>
      <c r="J2" s="62" t="s">
        <v>156</v>
      </c>
      <c r="K2" s="4" t="s">
        <v>60</v>
      </c>
      <c r="L2" s="16" t="s">
        <v>61</v>
      </c>
      <c r="M2" s="4" t="s">
        <v>62</v>
      </c>
      <c r="N2" s="17" t="s">
        <v>63</v>
      </c>
    </row>
    <row r="3" spans="1:14" ht="15.6" x14ac:dyDescent="0.3">
      <c r="C3" s="18" t="s">
        <v>114</v>
      </c>
      <c r="D3" s="2">
        <v>5</v>
      </c>
      <c r="E3" s="19">
        <v>7.2</v>
      </c>
      <c r="F3" s="2">
        <v>9</v>
      </c>
      <c r="G3" s="19">
        <v>15</v>
      </c>
      <c r="H3" s="2">
        <v>14.4</v>
      </c>
      <c r="I3" s="19">
        <v>19.2</v>
      </c>
      <c r="J3" s="63">
        <v>19.2</v>
      </c>
      <c r="K3" s="2">
        <v>24</v>
      </c>
      <c r="L3" s="19">
        <v>28.8</v>
      </c>
      <c r="M3" s="2">
        <v>38.4</v>
      </c>
      <c r="N3" s="20">
        <v>57.6</v>
      </c>
    </row>
    <row r="4" spans="1:14" ht="15.6" x14ac:dyDescent="0.3">
      <c r="A4" s="120"/>
      <c r="C4" s="121"/>
      <c r="D4" s="122">
        <v>6.5</v>
      </c>
      <c r="E4" s="123">
        <v>7.5</v>
      </c>
      <c r="F4" s="122">
        <v>14.2</v>
      </c>
      <c r="G4" s="123">
        <v>20.2</v>
      </c>
      <c r="H4" s="122"/>
      <c r="I4" s="123">
        <v>29</v>
      </c>
      <c r="J4" s="124">
        <v>23.3</v>
      </c>
      <c r="K4" s="122">
        <v>29.2</v>
      </c>
      <c r="L4" s="123"/>
      <c r="M4" s="122">
        <v>49</v>
      </c>
      <c r="N4" s="125">
        <v>69</v>
      </c>
    </row>
    <row r="5" spans="1:14" ht="15" customHeight="1" x14ac:dyDescent="0.3">
      <c r="A5" s="153" t="s">
        <v>157</v>
      </c>
      <c r="C5" s="41" t="s">
        <v>101</v>
      </c>
      <c r="D5" s="42" t="s">
        <v>14</v>
      </c>
      <c r="E5" s="43" t="s">
        <v>57</v>
      </c>
      <c r="F5" s="42" t="s">
        <v>68</v>
      </c>
      <c r="G5" s="43" t="s">
        <v>27</v>
      </c>
      <c r="H5" s="42" t="s">
        <v>58</v>
      </c>
      <c r="I5" s="43" t="s">
        <v>59</v>
      </c>
      <c r="J5" s="111" t="s">
        <v>156</v>
      </c>
      <c r="K5" s="42" t="s">
        <v>60</v>
      </c>
      <c r="L5" s="43" t="s">
        <v>61</v>
      </c>
      <c r="M5" s="42" t="s">
        <v>62</v>
      </c>
      <c r="N5" s="44" t="s">
        <v>63</v>
      </c>
    </row>
    <row r="6" spans="1:14" ht="15.6" x14ac:dyDescent="0.3">
      <c r="A6" s="153"/>
      <c r="B6" s="7" t="s">
        <v>6</v>
      </c>
      <c r="C6" s="126"/>
      <c r="D6" s="22"/>
      <c r="E6" s="23"/>
      <c r="F6" s="22"/>
      <c r="G6" s="23"/>
      <c r="H6" s="22"/>
      <c r="I6" s="23"/>
      <c r="J6" s="127"/>
      <c r="K6" s="22"/>
      <c r="L6" s="23"/>
      <c r="M6" s="22"/>
      <c r="N6" s="24"/>
    </row>
    <row r="7" spans="1:14" ht="15.6" x14ac:dyDescent="0.3">
      <c r="A7" s="131" t="s">
        <v>158</v>
      </c>
      <c r="B7" s="151">
        <v>70</v>
      </c>
      <c r="C7" s="2" t="s">
        <v>102</v>
      </c>
      <c r="D7" s="2">
        <v>3.21</v>
      </c>
      <c r="E7" s="19">
        <v>2.69</v>
      </c>
      <c r="F7" s="2">
        <v>4.08</v>
      </c>
      <c r="G7" s="19">
        <v>3.88</v>
      </c>
      <c r="H7" s="2"/>
      <c r="I7" s="19">
        <v>4.09</v>
      </c>
      <c r="J7" s="63">
        <v>3.64</v>
      </c>
      <c r="K7" s="2">
        <v>3.56</v>
      </c>
      <c r="L7" s="19">
        <v>3.93</v>
      </c>
      <c r="M7" s="2">
        <v>3.72</v>
      </c>
      <c r="N7" s="20">
        <v>3.51</v>
      </c>
    </row>
    <row r="8" spans="1:14" ht="15.6" x14ac:dyDescent="0.3">
      <c r="A8" s="131"/>
      <c r="B8" s="151"/>
      <c r="C8" s="2" t="s">
        <v>103</v>
      </c>
      <c r="D8" s="2">
        <v>3.45</v>
      </c>
      <c r="E8" s="19">
        <v>2.9</v>
      </c>
      <c r="F8" s="2">
        <v>4.3899999999999997</v>
      </c>
      <c r="G8" s="19">
        <v>4.17</v>
      </c>
      <c r="H8" s="2"/>
      <c r="I8" s="19">
        <v>4.4000000000000004</v>
      </c>
      <c r="J8" s="63">
        <v>3.92</v>
      </c>
      <c r="K8" s="2">
        <v>3.83</v>
      </c>
      <c r="L8" s="19">
        <v>4.2300000000000004</v>
      </c>
      <c r="M8" s="2">
        <v>4</v>
      </c>
      <c r="N8" s="20">
        <v>3.77</v>
      </c>
    </row>
    <row r="9" spans="1:14" ht="15.6" x14ac:dyDescent="0.3">
      <c r="A9" s="131"/>
      <c r="B9" s="151"/>
      <c r="C9" s="25" t="s">
        <v>104</v>
      </c>
      <c r="D9" s="26">
        <f t="shared" ref="D9:N9" si="0">IF(OR(D7="",D8=""),"",D8/D7)</f>
        <v>1.0747663551401869</v>
      </c>
      <c r="E9" s="27">
        <f t="shared" si="0"/>
        <v>1.0780669144981412</v>
      </c>
      <c r="F9" s="26">
        <f t="shared" si="0"/>
        <v>1.0759803921568627</v>
      </c>
      <c r="G9" s="27">
        <f t="shared" si="0"/>
        <v>1.0747422680412371</v>
      </c>
      <c r="H9" s="26" t="str">
        <f t="shared" si="0"/>
        <v/>
      </c>
      <c r="I9" s="27">
        <f t="shared" si="0"/>
        <v>1.0757946210268949</v>
      </c>
      <c r="J9" s="128">
        <f t="shared" si="0"/>
        <v>1.0769230769230769</v>
      </c>
      <c r="K9" s="26">
        <f t="shared" si="0"/>
        <v>1.0758426966292134</v>
      </c>
      <c r="L9" s="27">
        <f t="shared" si="0"/>
        <v>1.0763358778625955</v>
      </c>
      <c r="M9" s="26">
        <f t="shared" si="0"/>
        <v>1.075268817204301</v>
      </c>
      <c r="N9" s="28">
        <f t="shared" si="0"/>
        <v>1.0740740740740742</v>
      </c>
    </row>
    <row r="10" spans="1:14" ht="15.6" x14ac:dyDescent="0.3">
      <c r="A10" s="131"/>
      <c r="B10" s="151">
        <v>90</v>
      </c>
      <c r="C10" s="2" t="s">
        <v>102</v>
      </c>
      <c r="D10" s="2">
        <v>7.13</v>
      </c>
      <c r="E10" s="19">
        <v>5.99</v>
      </c>
      <c r="F10" s="2">
        <v>9.08</v>
      </c>
      <c r="G10" s="19">
        <v>8.6300000000000008</v>
      </c>
      <c r="H10" s="2">
        <v>9.85</v>
      </c>
      <c r="I10" s="19">
        <v>9.11</v>
      </c>
      <c r="J10" s="63">
        <v>8.1</v>
      </c>
      <c r="K10" s="2">
        <v>7.92</v>
      </c>
      <c r="L10" s="19">
        <v>8.73</v>
      </c>
      <c r="M10" s="2">
        <v>8.27</v>
      </c>
      <c r="N10" s="20">
        <v>7.8</v>
      </c>
    </row>
    <row r="11" spans="1:14" ht="15.6" x14ac:dyDescent="0.3">
      <c r="A11" s="131"/>
      <c r="B11" s="151"/>
      <c r="C11" s="2" t="s">
        <v>103</v>
      </c>
      <c r="D11" s="2">
        <v>7.44</v>
      </c>
      <c r="E11" s="19">
        <v>6.25</v>
      </c>
      <c r="F11" s="2">
        <v>9.48</v>
      </c>
      <c r="G11" s="19">
        <v>9</v>
      </c>
      <c r="H11" s="2">
        <v>10.28</v>
      </c>
      <c r="I11" s="19">
        <v>9.5</v>
      </c>
      <c r="J11" s="63">
        <v>8.4499999999999993</v>
      </c>
      <c r="K11" s="2">
        <v>8.26</v>
      </c>
      <c r="L11" s="19">
        <v>9.1199999999999992</v>
      </c>
      <c r="M11" s="2">
        <v>8.6300000000000008</v>
      </c>
      <c r="N11" s="20">
        <v>8.14</v>
      </c>
    </row>
    <row r="12" spans="1:14" ht="15.6" x14ac:dyDescent="0.3">
      <c r="A12" s="131"/>
      <c r="B12" s="151"/>
      <c r="C12" s="25" t="s">
        <v>104</v>
      </c>
      <c r="D12" s="26">
        <f t="shared" ref="D12:N12" si="1">IF(OR(D10="",D11=""),"",D11/D10)</f>
        <v>1.0434782608695652</v>
      </c>
      <c r="E12" s="27">
        <f t="shared" si="1"/>
        <v>1.0434056761268782</v>
      </c>
      <c r="F12" s="26">
        <f t="shared" si="1"/>
        <v>1.0440528634361235</v>
      </c>
      <c r="G12" s="27">
        <f t="shared" si="1"/>
        <v>1.0428736964078793</v>
      </c>
      <c r="H12" s="26">
        <f t="shared" si="1"/>
        <v>1.0436548223350253</v>
      </c>
      <c r="I12" s="27">
        <f t="shared" si="1"/>
        <v>1.0428100987925357</v>
      </c>
      <c r="J12" s="128">
        <f t="shared" si="1"/>
        <v>1.0432098765432098</v>
      </c>
      <c r="K12" s="26">
        <f t="shared" si="1"/>
        <v>1.0429292929292928</v>
      </c>
      <c r="L12" s="27">
        <f t="shared" si="1"/>
        <v>1.0446735395189002</v>
      </c>
      <c r="M12" s="26">
        <f t="shared" si="1"/>
        <v>1.0435308343409917</v>
      </c>
      <c r="N12" s="28">
        <f t="shared" si="1"/>
        <v>1.0435897435897437</v>
      </c>
    </row>
    <row r="13" spans="1:14" ht="15.6" x14ac:dyDescent="0.3">
      <c r="A13" s="131"/>
      <c r="B13" s="151">
        <v>120</v>
      </c>
      <c r="C13" s="6" t="s">
        <v>102</v>
      </c>
      <c r="D13" s="6">
        <v>15.04</v>
      </c>
      <c r="E13" s="29">
        <v>12.64</v>
      </c>
      <c r="F13" s="6">
        <v>19.16</v>
      </c>
      <c r="G13" s="29">
        <v>18.2</v>
      </c>
      <c r="H13" s="6">
        <v>20.79</v>
      </c>
      <c r="I13" s="29">
        <v>19.21</v>
      </c>
      <c r="J13" s="5">
        <v>17.09</v>
      </c>
      <c r="K13" s="6">
        <v>16.7</v>
      </c>
      <c r="L13" s="29">
        <v>18.420000000000002</v>
      </c>
      <c r="M13" s="6">
        <v>17.43</v>
      </c>
      <c r="N13" s="30">
        <v>16.45</v>
      </c>
    </row>
    <row r="14" spans="1:14" ht="15.6" x14ac:dyDescent="0.3">
      <c r="A14" s="131"/>
      <c r="B14" s="151"/>
      <c r="C14" s="2" t="s">
        <v>103</v>
      </c>
      <c r="D14" s="2">
        <v>15.46</v>
      </c>
      <c r="E14" s="19">
        <v>12.99</v>
      </c>
      <c r="F14" s="2">
        <v>19.690000000000001</v>
      </c>
      <c r="G14" s="19">
        <v>18.7</v>
      </c>
      <c r="H14" s="2">
        <v>21.36</v>
      </c>
      <c r="I14" s="19">
        <v>19.739999999999998</v>
      </c>
      <c r="J14" s="63">
        <v>17.559999999999999</v>
      </c>
      <c r="K14" s="2">
        <v>17.170000000000002</v>
      </c>
      <c r="L14" s="19">
        <v>18.940000000000001</v>
      </c>
      <c r="M14" s="2">
        <v>17.920000000000002</v>
      </c>
      <c r="N14" s="20">
        <v>16.899999999999999</v>
      </c>
    </row>
    <row r="15" spans="1:14" ht="15.6" x14ac:dyDescent="0.3">
      <c r="A15" s="131"/>
      <c r="B15" s="151"/>
      <c r="C15" s="25" t="s">
        <v>104</v>
      </c>
      <c r="D15" s="26">
        <f t="shared" ref="D15:N15" si="2">IF(OR(D13="",D14=""),"",D14/D13)</f>
        <v>1.0279255319148937</v>
      </c>
      <c r="E15" s="27">
        <f t="shared" si="2"/>
        <v>1.0276898734177216</v>
      </c>
      <c r="F15" s="26">
        <f t="shared" si="2"/>
        <v>1.0276617954070981</v>
      </c>
      <c r="G15" s="27">
        <f t="shared" si="2"/>
        <v>1.0274725274725274</v>
      </c>
      <c r="H15" s="26">
        <f t="shared" si="2"/>
        <v>1.0274170274170273</v>
      </c>
      <c r="I15" s="27">
        <f t="shared" si="2"/>
        <v>1.027589796980739</v>
      </c>
      <c r="J15" s="128">
        <f t="shared" si="2"/>
        <v>1.0275014628437682</v>
      </c>
      <c r="K15" s="26">
        <f t="shared" si="2"/>
        <v>1.0281437125748505</v>
      </c>
      <c r="L15" s="27">
        <f t="shared" si="2"/>
        <v>1.0282301845819761</v>
      </c>
      <c r="M15" s="26">
        <f t="shared" si="2"/>
        <v>1.0281124497991969</v>
      </c>
      <c r="N15" s="28">
        <f t="shared" si="2"/>
        <v>1.0273556231003038</v>
      </c>
    </row>
    <row r="16" spans="1:14" ht="15.6" x14ac:dyDescent="0.3">
      <c r="A16" s="131"/>
      <c r="B16" s="151">
        <v>140</v>
      </c>
      <c r="C16" s="6" t="s">
        <v>102</v>
      </c>
      <c r="D16" s="6">
        <v>21.41</v>
      </c>
      <c r="E16" s="29">
        <v>17.989999999999998</v>
      </c>
      <c r="F16" s="6">
        <v>27.27</v>
      </c>
      <c r="G16" s="29">
        <v>25.91</v>
      </c>
      <c r="H16" s="6">
        <v>29.59</v>
      </c>
      <c r="I16" s="29">
        <v>27.43</v>
      </c>
      <c r="J16" s="5">
        <v>24.33</v>
      </c>
      <c r="K16" s="6">
        <v>23.78</v>
      </c>
      <c r="L16" s="29">
        <v>26.23</v>
      </c>
      <c r="M16" s="6">
        <v>24.82</v>
      </c>
      <c r="N16" s="30">
        <v>23.41</v>
      </c>
    </row>
    <row r="17" spans="1:14" ht="15.6" x14ac:dyDescent="0.3">
      <c r="A17" s="131"/>
      <c r="B17" s="151"/>
      <c r="C17" s="2" t="s">
        <v>103</v>
      </c>
      <c r="D17" s="2">
        <v>21.88</v>
      </c>
      <c r="E17" s="19">
        <v>18.39</v>
      </c>
      <c r="F17" s="2">
        <v>27.87</v>
      </c>
      <c r="G17" s="19">
        <v>26.47</v>
      </c>
      <c r="H17" s="2">
        <v>30.24</v>
      </c>
      <c r="I17" s="19">
        <v>27.94</v>
      </c>
      <c r="J17" s="63">
        <v>24.86</v>
      </c>
      <c r="K17" s="2">
        <v>24.3</v>
      </c>
      <c r="L17" s="19">
        <v>26.8</v>
      </c>
      <c r="M17" s="2">
        <v>25.36</v>
      </c>
      <c r="N17" s="20">
        <v>23.92</v>
      </c>
    </row>
    <row r="18" spans="1:14" ht="15.6" x14ac:dyDescent="0.3">
      <c r="A18" s="131"/>
      <c r="B18" s="151"/>
      <c r="C18" s="25" t="s">
        <v>104</v>
      </c>
      <c r="D18" s="26">
        <f t="shared" ref="D18:N18" si="3">IF(OR(D16="",D17=""),"",D17/D16)</f>
        <v>1.0219523587108827</v>
      </c>
      <c r="E18" s="27">
        <f t="shared" si="3"/>
        <v>1.0222345747637578</v>
      </c>
      <c r="F18" s="26">
        <f t="shared" si="3"/>
        <v>1.022002200220022</v>
      </c>
      <c r="G18" s="27">
        <f t="shared" si="3"/>
        <v>1.0216132767271324</v>
      </c>
      <c r="H18" s="26">
        <f t="shared" si="3"/>
        <v>1.0219668807029401</v>
      </c>
      <c r="I18" s="27">
        <f t="shared" si="3"/>
        <v>1.018592781625957</v>
      </c>
      <c r="J18" s="128">
        <f t="shared" si="3"/>
        <v>1.021783806000822</v>
      </c>
      <c r="K18" s="26">
        <f t="shared" si="3"/>
        <v>1.0218671152228764</v>
      </c>
      <c r="L18" s="27">
        <f t="shared" si="3"/>
        <v>1.0217308425467022</v>
      </c>
      <c r="M18" s="26">
        <f t="shared" si="3"/>
        <v>1.0217566478646252</v>
      </c>
      <c r="N18" s="28">
        <f t="shared" si="3"/>
        <v>1.0217855617257583</v>
      </c>
    </row>
    <row r="19" spans="1:14" ht="15.6" x14ac:dyDescent="0.3">
      <c r="A19" s="131" t="s">
        <v>159</v>
      </c>
      <c r="B19" s="151">
        <v>100</v>
      </c>
      <c r="C19" s="6" t="s">
        <v>102</v>
      </c>
      <c r="D19" s="6">
        <v>1.54</v>
      </c>
      <c r="E19" s="29">
        <v>1.29</v>
      </c>
      <c r="F19" s="6">
        <v>1.96</v>
      </c>
      <c r="G19" s="29">
        <v>1.86</v>
      </c>
      <c r="H19" s="6">
        <v>2.12</v>
      </c>
      <c r="I19" s="29">
        <v>1.96</v>
      </c>
      <c r="J19" s="5">
        <v>1.75</v>
      </c>
      <c r="K19" s="6">
        <v>1.71</v>
      </c>
      <c r="L19" s="29">
        <v>1.88</v>
      </c>
      <c r="M19" s="6">
        <v>1.78</v>
      </c>
      <c r="N19" s="30">
        <v>1.68</v>
      </c>
    </row>
    <row r="20" spans="1:14" ht="15.6" x14ac:dyDescent="0.3">
      <c r="A20" s="131"/>
      <c r="B20" s="151"/>
      <c r="C20" s="2" t="s">
        <v>103</v>
      </c>
      <c r="D20" s="2">
        <v>1.54</v>
      </c>
      <c r="E20" s="19">
        <v>1.29</v>
      </c>
      <c r="F20" s="2">
        <v>1.96</v>
      </c>
      <c r="G20" s="19">
        <v>1.86</v>
      </c>
      <c r="H20" s="2">
        <v>2.14</v>
      </c>
      <c r="I20" s="19">
        <v>1.96</v>
      </c>
      <c r="J20" s="63">
        <v>1.75</v>
      </c>
      <c r="K20" s="2">
        <v>1.71</v>
      </c>
      <c r="L20" s="19">
        <v>1.88</v>
      </c>
      <c r="M20" s="2">
        <v>1.78</v>
      </c>
      <c r="N20" s="20">
        <v>1.68</v>
      </c>
    </row>
    <row r="21" spans="1:14" ht="15.6" x14ac:dyDescent="0.3">
      <c r="A21" s="131"/>
      <c r="B21" s="151"/>
      <c r="C21" s="25" t="s">
        <v>104</v>
      </c>
      <c r="D21" s="26">
        <f t="shared" ref="D21:N21" si="4">IF(OR(D19="",D20=""),"",D20/D19)</f>
        <v>1</v>
      </c>
      <c r="E21" s="27">
        <f t="shared" si="4"/>
        <v>1</v>
      </c>
      <c r="F21" s="26">
        <f t="shared" si="4"/>
        <v>1</v>
      </c>
      <c r="G21" s="27">
        <f t="shared" si="4"/>
        <v>1</v>
      </c>
      <c r="H21" s="26">
        <f t="shared" si="4"/>
        <v>1.0094339622641511</v>
      </c>
      <c r="I21" s="27">
        <f t="shared" si="4"/>
        <v>1</v>
      </c>
      <c r="J21" s="128">
        <f t="shared" si="4"/>
        <v>1</v>
      </c>
      <c r="K21" s="26">
        <f t="shared" si="4"/>
        <v>1</v>
      </c>
      <c r="L21" s="27">
        <f t="shared" si="4"/>
        <v>1</v>
      </c>
      <c r="M21" s="26">
        <f t="shared" si="4"/>
        <v>1</v>
      </c>
      <c r="N21" s="28">
        <f t="shared" si="4"/>
        <v>1</v>
      </c>
    </row>
    <row r="22" spans="1:14" ht="15.6" x14ac:dyDescent="0.3">
      <c r="A22" s="131"/>
      <c r="B22" s="151">
        <v>140</v>
      </c>
      <c r="C22" s="6" t="s">
        <v>102</v>
      </c>
      <c r="D22" s="6">
        <v>6.03</v>
      </c>
      <c r="E22" s="29">
        <v>5.07</v>
      </c>
      <c r="F22" s="6">
        <v>7.68</v>
      </c>
      <c r="G22" s="29">
        <v>7.3</v>
      </c>
      <c r="H22" s="6">
        <v>8.34</v>
      </c>
      <c r="I22" s="29">
        <v>7.7</v>
      </c>
      <c r="J22" s="5">
        <v>6.85</v>
      </c>
      <c r="K22" s="6">
        <v>6.7</v>
      </c>
      <c r="L22" s="29">
        <v>7.39</v>
      </c>
      <c r="M22" s="6">
        <v>6.99</v>
      </c>
      <c r="N22" s="30">
        <v>6.59</v>
      </c>
    </row>
    <row r="23" spans="1:14" ht="15.6" x14ac:dyDescent="0.3">
      <c r="A23" s="131"/>
      <c r="B23" s="151"/>
      <c r="C23" s="2" t="s">
        <v>103</v>
      </c>
      <c r="D23" s="2">
        <v>6.09</v>
      </c>
      <c r="E23" s="19">
        <v>5.12</v>
      </c>
      <c r="F23" s="2">
        <v>7.76</v>
      </c>
      <c r="G23" s="19">
        <v>7.37</v>
      </c>
      <c r="H23" s="2">
        <v>8.42</v>
      </c>
      <c r="I23" s="19">
        <v>7.78</v>
      </c>
      <c r="J23" s="63">
        <v>6.92</v>
      </c>
      <c r="K23" s="2">
        <v>6.77</v>
      </c>
      <c r="L23" s="19">
        <v>7.46</v>
      </c>
      <c r="M23" s="2">
        <v>7.06</v>
      </c>
      <c r="N23" s="20">
        <v>6.66</v>
      </c>
    </row>
    <row r="24" spans="1:14" ht="15.6" x14ac:dyDescent="0.3">
      <c r="A24" s="131"/>
      <c r="B24" s="151"/>
      <c r="C24" s="25" t="s">
        <v>104</v>
      </c>
      <c r="D24" s="26">
        <f t="shared" ref="D24:N24" si="5">IF(OR(D22="",D23=""),"",D23/D22)</f>
        <v>1.0099502487562189</v>
      </c>
      <c r="E24" s="27">
        <f t="shared" si="5"/>
        <v>1.0098619329388561</v>
      </c>
      <c r="F24" s="26">
        <f t="shared" si="5"/>
        <v>1.0104166666666667</v>
      </c>
      <c r="G24" s="27">
        <f t="shared" si="5"/>
        <v>1.0095890410958905</v>
      </c>
      <c r="H24" s="26">
        <f t="shared" si="5"/>
        <v>1.0095923261390887</v>
      </c>
      <c r="I24" s="27">
        <f t="shared" si="5"/>
        <v>1.0103896103896104</v>
      </c>
      <c r="J24" s="128">
        <f t="shared" si="5"/>
        <v>1.0102189781021897</v>
      </c>
      <c r="K24" s="26">
        <f t="shared" si="5"/>
        <v>1.0104477611940297</v>
      </c>
      <c r="L24" s="27">
        <f t="shared" si="5"/>
        <v>1.0094722598105548</v>
      </c>
      <c r="M24" s="26">
        <f t="shared" si="5"/>
        <v>1.0100143061516451</v>
      </c>
      <c r="N24" s="28">
        <f t="shared" si="5"/>
        <v>1.0106221547799696</v>
      </c>
    </row>
    <row r="25" spans="1:14" ht="15.6" x14ac:dyDescent="0.3">
      <c r="A25" s="152">
        <v>150</v>
      </c>
      <c r="B25" s="151">
        <v>150</v>
      </c>
      <c r="C25" s="6" t="s">
        <v>102</v>
      </c>
      <c r="D25" s="6"/>
      <c r="E25" s="29"/>
      <c r="F25" s="6"/>
      <c r="G25" s="29"/>
      <c r="H25" s="6"/>
      <c r="I25" s="29"/>
      <c r="J25" s="5">
        <v>5.09</v>
      </c>
      <c r="K25" s="6"/>
      <c r="L25" s="29"/>
      <c r="M25" s="6"/>
      <c r="N25" s="30"/>
    </row>
    <row r="26" spans="1:14" ht="15.6" x14ac:dyDescent="0.3">
      <c r="A26" s="152"/>
      <c r="B26" s="151"/>
      <c r="C26" s="2" t="s">
        <v>103</v>
      </c>
      <c r="D26" s="2"/>
      <c r="E26" s="19"/>
      <c r="F26" s="2"/>
      <c r="G26" s="19"/>
      <c r="H26" s="2"/>
      <c r="I26" s="19"/>
      <c r="J26" s="63">
        <v>5.18</v>
      </c>
      <c r="K26" s="2"/>
      <c r="L26" s="19"/>
      <c r="M26" s="2"/>
      <c r="N26" s="20"/>
    </row>
    <row r="27" spans="1:14" ht="15.6" x14ac:dyDescent="0.3">
      <c r="A27" s="152"/>
      <c r="B27" s="151"/>
      <c r="C27" s="25" t="s">
        <v>104</v>
      </c>
      <c r="D27" s="26" t="str">
        <f t="shared" ref="D27:N27" si="6">IF(OR(D25="",D26=""),"",D26/D25)</f>
        <v/>
      </c>
      <c r="E27" s="27" t="str">
        <f t="shared" si="6"/>
        <v/>
      </c>
      <c r="F27" s="26" t="str">
        <f t="shared" si="6"/>
        <v/>
      </c>
      <c r="G27" s="27" t="str">
        <f t="shared" si="6"/>
        <v/>
      </c>
      <c r="H27" s="26" t="str">
        <f t="shared" si="6"/>
        <v/>
      </c>
      <c r="I27" s="27" t="str">
        <f t="shared" si="6"/>
        <v/>
      </c>
      <c r="J27" s="128">
        <f t="shared" si="6"/>
        <v>1.0176817288801572</v>
      </c>
      <c r="K27" s="26" t="str">
        <f t="shared" si="6"/>
        <v/>
      </c>
      <c r="L27" s="27" t="str">
        <f t="shared" si="6"/>
        <v/>
      </c>
      <c r="M27" s="26" t="str">
        <f t="shared" si="6"/>
        <v/>
      </c>
      <c r="N27" s="28" t="str">
        <f t="shared" si="6"/>
        <v/>
      </c>
    </row>
    <row r="29" spans="1:14" ht="15.6" x14ac:dyDescent="0.3">
      <c r="A29" s="8" t="s">
        <v>122</v>
      </c>
    </row>
    <row r="30" spans="1:14" ht="15.6" x14ac:dyDescent="0.3">
      <c r="C30" s="15" t="s">
        <v>100</v>
      </c>
      <c r="D30" s="17" t="s">
        <v>14</v>
      </c>
      <c r="E30" s="16" t="s">
        <v>57</v>
      </c>
      <c r="F30" s="4" t="s">
        <v>68</v>
      </c>
      <c r="G30" s="16" t="s">
        <v>27</v>
      </c>
      <c r="H30" s="4" t="s">
        <v>58</v>
      </c>
      <c r="I30" s="17" t="s">
        <v>59</v>
      </c>
      <c r="J30" s="62" t="s">
        <v>156</v>
      </c>
      <c r="K30" s="4" t="s">
        <v>60</v>
      </c>
      <c r="L30" s="16" t="s">
        <v>61</v>
      </c>
      <c r="M30" s="4" t="s">
        <v>62</v>
      </c>
      <c r="N30" s="17" t="s">
        <v>63</v>
      </c>
    </row>
    <row r="31" spans="1:14" ht="15.6" x14ac:dyDescent="0.3">
      <c r="C31" s="18" t="s">
        <v>114</v>
      </c>
      <c r="D31" s="20">
        <v>5</v>
      </c>
      <c r="E31" s="19">
        <v>7.2</v>
      </c>
      <c r="F31" s="2">
        <v>9</v>
      </c>
      <c r="G31" s="19">
        <v>15</v>
      </c>
      <c r="H31" s="2">
        <v>14.4</v>
      </c>
      <c r="I31" s="20">
        <v>19.2</v>
      </c>
      <c r="J31" s="63">
        <v>19.2</v>
      </c>
      <c r="K31" s="2">
        <v>24</v>
      </c>
      <c r="L31" s="19">
        <v>28.8</v>
      </c>
      <c r="M31" s="2">
        <v>38.4</v>
      </c>
      <c r="N31" s="20">
        <v>57.6</v>
      </c>
    </row>
    <row r="32" spans="1:14" ht="15.6" x14ac:dyDescent="0.3">
      <c r="A32" s="120"/>
      <c r="C32" s="121"/>
      <c r="D32" s="122">
        <v>6.5</v>
      </c>
      <c r="E32" s="123">
        <v>7.5</v>
      </c>
      <c r="F32" s="122">
        <v>14.2</v>
      </c>
      <c r="G32" s="123">
        <v>20.2</v>
      </c>
      <c r="H32" s="122"/>
      <c r="I32" s="123">
        <v>29</v>
      </c>
      <c r="J32" s="124">
        <v>23.3</v>
      </c>
      <c r="K32" s="122">
        <v>29.2</v>
      </c>
      <c r="L32" s="123"/>
      <c r="M32" s="122">
        <v>49</v>
      </c>
      <c r="N32" s="125">
        <v>69</v>
      </c>
    </row>
    <row r="33" spans="1:14" ht="15" customHeight="1" x14ac:dyDescent="0.3">
      <c r="A33" s="153" t="s">
        <v>157</v>
      </c>
      <c r="C33" s="18" t="s">
        <v>101</v>
      </c>
      <c r="D33" s="20" t="s">
        <v>14</v>
      </c>
      <c r="E33" s="19" t="s">
        <v>57</v>
      </c>
      <c r="F33" s="42" t="s">
        <v>68</v>
      </c>
      <c r="G33" s="43" t="s">
        <v>27</v>
      </c>
      <c r="H33" s="2" t="s">
        <v>58</v>
      </c>
      <c r="I33" s="20" t="s">
        <v>59</v>
      </c>
      <c r="J33" s="111" t="s">
        <v>156</v>
      </c>
      <c r="K33" s="2" t="s">
        <v>60</v>
      </c>
      <c r="L33" s="19" t="s">
        <v>61</v>
      </c>
      <c r="M33" s="2" t="s">
        <v>62</v>
      </c>
      <c r="N33" s="20" t="s">
        <v>63</v>
      </c>
    </row>
    <row r="34" spans="1:14" ht="15.6" x14ac:dyDescent="0.3">
      <c r="A34" s="153"/>
      <c r="B34" s="7" t="s">
        <v>6</v>
      </c>
      <c r="C34" s="69"/>
      <c r="D34" s="70"/>
      <c r="E34" s="71"/>
      <c r="F34" s="72"/>
      <c r="G34" s="71"/>
      <c r="H34" s="72"/>
      <c r="I34" s="70"/>
      <c r="J34" s="71"/>
      <c r="K34" s="72"/>
      <c r="L34" s="71"/>
      <c r="M34" s="72"/>
      <c r="N34" s="70"/>
    </row>
    <row r="35" spans="1:14" ht="15.6" x14ac:dyDescent="0.3">
      <c r="A35" s="131" t="s">
        <v>158</v>
      </c>
      <c r="B35" s="151">
        <v>70</v>
      </c>
      <c r="C35" s="2" t="s">
        <v>102</v>
      </c>
      <c r="D35" s="2">
        <v>2.85</v>
      </c>
      <c r="E35" s="19">
        <v>2.4</v>
      </c>
      <c r="F35" s="2">
        <v>3.64</v>
      </c>
      <c r="G35" s="19">
        <v>3.64</v>
      </c>
      <c r="H35" s="2"/>
      <c r="I35" s="20">
        <v>3.64</v>
      </c>
      <c r="J35" s="19">
        <v>3.64</v>
      </c>
      <c r="K35" s="2">
        <v>3.17</v>
      </c>
      <c r="L35" s="19">
        <v>3.5</v>
      </c>
      <c r="M35" s="2">
        <v>3.31</v>
      </c>
      <c r="N35" s="20">
        <v>3.12</v>
      </c>
    </row>
    <row r="36" spans="1:14" ht="15.6" x14ac:dyDescent="0.3">
      <c r="A36" s="131"/>
      <c r="B36" s="151"/>
      <c r="C36" s="2" t="s">
        <v>103</v>
      </c>
      <c r="D36" s="2">
        <v>2.89</v>
      </c>
      <c r="E36" s="19">
        <v>2.4300000000000002</v>
      </c>
      <c r="F36" s="2">
        <v>3.68</v>
      </c>
      <c r="G36" s="19">
        <v>3.69</v>
      </c>
      <c r="H36" s="2"/>
      <c r="I36" s="20">
        <v>3.69</v>
      </c>
      <c r="J36" s="19">
        <v>3.69</v>
      </c>
      <c r="K36" s="2">
        <v>3.21</v>
      </c>
      <c r="L36" s="19">
        <v>3.54</v>
      </c>
      <c r="M36" s="2">
        <v>3.35</v>
      </c>
      <c r="N36" s="20">
        <v>3.16</v>
      </c>
    </row>
    <row r="37" spans="1:14" ht="15.6" x14ac:dyDescent="0.3">
      <c r="A37" s="131"/>
      <c r="B37" s="151"/>
      <c r="C37" s="25" t="s">
        <v>104</v>
      </c>
      <c r="D37" s="26">
        <f t="shared" ref="D37:N37" si="7">IF(OR(D35="",D36=""),"",D36/D35)</f>
        <v>1.0140350877192983</v>
      </c>
      <c r="E37" s="27">
        <f t="shared" si="7"/>
        <v>1.0125000000000002</v>
      </c>
      <c r="F37" s="26">
        <f t="shared" si="7"/>
        <v>1.0109890109890109</v>
      </c>
      <c r="G37" s="27">
        <f t="shared" si="7"/>
        <v>1.0137362637362637</v>
      </c>
      <c r="H37" s="26" t="str">
        <f t="shared" si="7"/>
        <v/>
      </c>
      <c r="I37" s="28">
        <f t="shared" si="7"/>
        <v>1.0137362637362637</v>
      </c>
      <c r="J37" s="27">
        <f t="shared" si="7"/>
        <v>1.0137362637362637</v>
      </c>
      <c r="K37" s="26">
        <f t="shared" si="7"/>
        <v>1.0126182965299684</v>
      </c>
      <c r="L37" s="27">
        <f t="shared" si="7"/>
        <v>1.0114285714285713</v>
      </c>
      <c r="M37" s="26">
        <f t="shared" si="7"/>
        <v>1.0120845921450152</v>
      </c>
      <c r="N37" s="28">
        <f t="shared" si="7"/>
        <v>1.0128205128205128</v>
      </c>
    </row>
    <row r="38" spans="1:14" ht="15.6" x14ac:dyDescent="0.3">
      <c r="A38" s="131"/>
      <c r="B38" s="151">
        <v>90</v>
      </c>
      <c r="C38" s="4" t="s">
        <v>102</v>
      </c>
      <c r="D38" s="17">
        <v>6.46</v>
      </c>
      <c r="E38" s="16">
        <v>5.43</v>
      </c>
      <c r="F38" s="4">
        <v>8.23</v>
      </c>
      <c r="G38" s="16">
        <v>8.26</v>
      </c>
      <c r="H38" s="4">
        <v>8.93</v>
      </c>
      <c r="I38" s="17">
        <v>8.26</v>
      </c>
      <c r="J38" s="16">
        <v>8.26</v>
      </c>
      <c r="K38" s="4">
        <v>7.18</v>
      </c>
      <c r="L38" s="16">
        <v>7.92</v>
      </c>
      <c r="M38" s="4">
        <v>7.49</v>
      </c>
      <c r="N38" s="17">
        <v>7.07</v>
      </c>
    </row>
    <row r="39" spans="1:14" ht="15.6" x14ac:dyDescent="0.3">
      <c r="A39" s="131"/>
      <c r="B39" s="151"/>
      <c r="C39" s="2" t="s">
        <v>103</v>
      </c>
      <c r="D39" s="20">
        <v>6.41</v>
      </c>
      <c r="E39" s="19">
        <v>5.38</v>
      </c>
      <c r="F39" s="2">
        <v>8.16</v>
      </c>
      <c r="G39" s="19">
        <v>8.18</v>
      </c>
      <c r="H39" s="2">
        <v>8.85</v>
      </c>
      <c r="I39" s="20">
        <v>8.18</v>
      </c>
      <c r="J39" s="19">
        <v>8.18</v>
      </c>
      <c r="K39" s="2">
        <v>7.11</v>
      </c>
      <c r="L39" s="19">
        <v>7.85</v>
      </c>
      <c r="M39" s="2">
        <v>7.43</v>
      </c>
      <c r="N39" s="20">
        <v>7.01</v>
      </c>
    </row>
    <row r="40" spans="1:14" ht="15.6" x14ac:dyDescent="0.3">
      <c r="A40" s="131"/>
      <c r="B40" s="151"/>
      <c r="C40" s="25" t="s">
        <v>104</v>
      </c>
      <c r="D40" s="28">
        <f t="shared" ref="D40:N40" si="8">IF(OR(D38="",D39=""),"",D39/D38)</f>
        <v>0.99226006191950467</v>
      </c>
      <c r="E40" s="27">
        <f t="shared" si="8"/>
        <v>0.99079189686924496</v>
      </c>
      <c r="F40" s="26">
        <f t="shared" si="8"/>
        <v>0.99149453219927097</v>
      </c>
      <c r="G40" s="27">
        <f t="shared" si="8"/>
        <v>0.99031476997578693</v>
      </c>
      <c r="H40" s="26">
        <f t="shared" si="8"/>
        <v>0.99104143337066064</v>
      </c>
      <c r="I40" s="28">
        <f t="shared" si="8"/>
        <v>0.99031476997578693</v>
      </c>
      <c r="J40" s="27">
        <f t="shared" si="8"/>
        <v>0.99031476997578693</v>
      </c>
      <c r="K40" s="26">
        <f t="shared" si="8"/>
        <v>0.99025069637883012</v>
      </c>
      <c r="L40" s="27">
        <f t="shared" si="8"/>
        <v>0.99116161616161613</v>
      </c>
      <c r="M40" s="26">
        <f t="shared" si="8"/>
        <v>0.99198931909212273</v>
      </c>
      <c r="N40" s="28">
        <f t="shared" si="8"/>
        <v>0.99151343705799144</v>
      </c>
    </row>
    <row r="41" spans="1:14" ht="15.6" x14ac:dyDescent="0.3">
      <c r="A41" s="131"/>
      <c r="B41" s="151">
        <v>120</v>
      </c>
      <c r="C41" s="6" t="s">
        <v>102</v>
      </c>
      <c r="D41" s="30">
        <v>13.85</v>
      </c>
      <c r="E41" s="29">
        <v>11.64</v>
      </c>
      <c r="F41" s="6">
        <v>17.649999999999999</v>
      </c>
      <c r="G41" s="29">
        <v>17.7</v>
      </c>
      <c r="H41" s="6">
        <v>19.149999999999999</v>
      </c>
      <c r="I41" s="30">
        <v>17.7</v>
      </c>
      <c r="J41" s="29">
        <v>17.7</v>
      </c>
      <c r="K41" s="6">
        <v>15.39</v>
      </c>
      <c r="L41" s="29">
        <v>16.98</v>
      </c>
      <c r="M41" s="6">
        <v>16.059999999999999</v>
      </c>
      <c r="N41" s="30">
        <v>15.15</v>
      </c>
    </row>
    <row r="42" spans="1:14" ht="15.6" x14ac:dyDescent="0.3">
      <c r="A42" s="131"/>
      <c r="B42" s="151"/>
      <c r="C42" s="2" t="s">
        <v>103</v>
      </c>
      <c r="D42" s="20">
        <v>13.62</v>
      </c>
      <c r="E42" s="19">
        <v>11.45</v>
      </c>
      <c r="F42" s="2">
        <v>17.350000000000001</v>
      </c>
      <c r="G42" s="19">
        <v>17.399999999999999</v>
      </c>
      <c r="H42" s="2">
        <v>18.829999999999998</v>
      </c>
      <c r="I42" s="20">
        <v>17.399999999999999</v>
      </c>
      <c r="J42" s="19">
        <v>17.399999999999999</v>
      </c>
      <c r="K42" s="2">
        <v>15.13</v>
      </c>
      <c r="L42" s="19">
        <v>16.690000000000001</v>
      </c>
      <c r="M42" s="2">
        <v>15.8</v>
      </c>
      <c r="N42" s="20">
        <v>14.9</v>
      </c>
    </row>
    <row r="43" spans="1:14" ht="15.6" x14ac:dyDescent="0.3">
      <c r="A43" s="131"/>
      <c r="B43" s="151"/>
      <c r="C43" s="73" t="s">
        <v>104</v>
      </c>
      <c r="D43" s="68">
        <f t="shared" ref="D43:N43" si="9">IF(OR(D41="",D42=""),"",D42/D41)</f>
        <v>0.98339350180505414</v>
      </c>
      <c r="E43" s="67">
        <f t="shared" si="9"/>
        <v>0.98367697594501702</v>
      </c>
      <c r="F43" s="66">
        <f t="shared" si="9"/>
        <v>0.98300283286118995</v>
      </c>
      <c r="G43" s="67">
        <f t="shared" si="9"/>
        <v>0.98305084745762705</v>
      </c>
      <c r="H43" s="66">
        <f t="shared" si="9"/>
        <v>0.98328981723237596</v>
      </c>
      <c r="I43" s="68">
        <f t="shared" si="9"/>
        <v>0.98305084745762705</v>
      </c>
      <c r="J43" s="67">
        <f t="shared" si="9"/>
        <v>0.98305084745762705</v>
      </c>
      <c r="K43" s="66">
        <f t="shared" si="9"/>
        <v>0.98310591293047433</v>
      </c>
      <c r="L43" s="67">
        <f t="shared" si="9"/>
        <v>0.98292108362779751</v>
      </c>
      <c r="M43" s="66">
        <f t="shared" si="9"/>
        <v>0.98381070983810726</v>
      </c>
      <c r="N43" s="68">
        <f t="shared" si="9"/>
        <v>0.98349834983498352</v>
      </c>
    </row>
    <row r="44" spans="1:14" ht="15.6" x14ac:dyDescent="0.3">
      <c r="A44" s="131"/>
      <c r="B44" s="151">
        <v>140</v>
      </c>
      <c r="C44" s="4" t="s">
        <v>102</v>
      </c>
      <c r="D44" s="17">
        <v>19.8</v>
      </c>
      <c r="E44" s="16">
        <v>16.64</v>
      </c>
      <c r="F44" s="4">
        <v>25.22</v>
      </c>
      <c r="G44" s="16">
        <v>25.29</v>
      </c>
      <c r="H44" s="4">
        <v>27.37</v>
      </c>
      <c r="I44" s="17">
        <v>25.29</v>
      </c>
      <c r="J44" s="16">
        <v>25.29</v>
      </c>
      <c r="K44" s="4">
        <v>21.99</v>
      </c>
      <c r="L44" s="16">
        <v>24.26</v>
      </c>
      <c r="M44" s="4">
        <v>22.95</v>
      </c>
      <c r="N44" s="17">
        <v>21.65</v>
      </c>
    </row>
    <row r="45" spans="1:14" ht="15.6" x14ac:dyDescent="0.3">
      <c r="A45" s="131"/>
      <c r="B45" s="151"/>
      <c r="C45" s="2" t="s">
        <v>103</v>
      </c>
      <c r="D45" s="20">
        <v>19.45</v>
      </c>
      <c r="E45" s="19">
        <v>16.34</v>
      </c>
      <c r="F45" s="2">
        <v>24.77</v>
      </c>
      <c r="G45" s="19">
        <v>24.84</v>
      </c>
      <c r="H45" s="2">
        <v>26.88</v>
      </c>
      <c r="I45" s="20">
        <v>24.84</v>
      </c>
      <c r="J45" s="19">
        <v>24.84</v>
      </c>
      <c r="K45" s="2">
        <v>21.6</v>
      </c>
      <c r="L45" s="19">
        <v>23.83</v>
      </c>
      <c r="M45" s="2">
        <v>22.55</v>
      </c>
      <c r="N45" s="20">
        <v>21.27</v>
      </c>
    </row>
    <row r="46" spans="1:14" ht="15.6" x14ac:dyDescent="0.3">
      <c r="A46" s="131"/>
      <c r="B46" s="151"/>
      <c r="C46" s="25" t="s">
        <v>104</v>
      </c>
      <c r="D46" s="28">
        <f t="shared" ref="D46:N46" si="10">IF(OR(D44="",D45=""),"",D45/D44)</f>
        <v>0.98232323232323226</v>
      </c>
      <c r="E46" s="27">
        <f t="shared" si="10"/>
        <v>0.98197115384615385</v>
      </c>
      <c r="F46" s="26">
        <f t="shared" si="10"/>
        <v>0.98215701823949253</v>
      </c>
      <c r="G46" s="27">
        <f t="shared" si="10"/>
        <v>0.98220640569395024</v>
      </c>
      <c r="H46" s="26">
        <f t="shared" si="10"/>
        <v>0.98209718670076718</v>
      </c>
      <c r="I46" s="28">
        <f t="shared" si="10"/>
        <v>0.98220640569395024</v>
      </c>
      <c r="J46" s="27">
        <f t="shared" si="10"/>
        <v>0.98220640569395024</v>
      </c>
      <c r="K46" s="26">
        <f t="shared" si="10"/>
        <v>0.98226466575716254</v>
      </c>
      <c r="L46" s="27">
        <f t="shared" si="10"/>
        <v>0.9822753503709809</v>
      </c>
      <c r="M46" s="26">
        <f t="shared" si="10"/>
        <v>0.98257080610021796</v>
      </c>
      <c r="N46" s="28">
        <f t="shared" si="10"/>
        <v>0.98244803695150118</v>
      </c>
    </row>
    <row r="47" spans="1:14" ht="15.6" x14ac:dyDescent="0.3">
      <c r="A47" s="131" t="s">
        <v>159</v>
      </c>
      <c r="B47" s="151">
        <v>100</v>
      </c>
      <c r="C47" s="6" t="s">
        <v>102</v>
      </c>
      <c r="D47" s="30">
        <v>1.44</v>
      </c>
      <c r="E47" s="29">
        <v>1.21</v>
      </c>
      <c r="F47" s="6">
        <v>1.84</v>
      </c>
      <c r="G47" s="29">
        <v>1.84</v>
      </c>
      <c r="H47" s="6">
        <v>1.99</v>
      </c>
      <c r="I47" s="30">
        <v>1.84</v>
      </c>
      <c r="J47" s="29">
        <v>1.84</v>
      </c>
      <c r="K47" s="6">
        <v>1.6</v>
      </c>
      <c r="L47" s="29">
        <v>1.77</v>
      </c>
      <c r="M47" s="6">
        <v>1.67</v>
      </c>
      <c r="N47" s="30">
        <v>1.58</v>
      </c>
    </row>
    <row r="48" spans="1:14" ht="15.6" x14ac:dyDescent="0.3">
      <c r="A48" s="131"/>
      <c r="B48" s="151"/>
      <c r="C48" s="2" t="s">
        <v>103</v>
      </c>
      <c r="D48" s="20">
        <v>1.4</v>
      </c>
      <c r="E48" s="19">
        <v>1.18</v>
      </c>
      <c r="F48" s="2">
        <v>1.78</v>
      </c>
      <c r="G48" s="19">
        <v>1.79</v>
      </c>
      <c r="H48" s="2">
        <v>1.93</v>
      </c>
      <c r="I48" s="20">
        <v>1.79</v>
      </c>
      <c r="J48" s="19">
        <v>1.79</v>
      </c>
      <c r="K48" s="2">
        <v>1.55</v>
      </c>
      <c r="L48" s="19">
        <v>1.71</v>
      </c>
      <c r="M48" s="2">
        <v>1.62</v>
      </c>
      <c r="N48" s="20">
        <v>1.53</v>
      </c>
    </row>
    <row r="49" spans="1:14" ht="15.6" x14ac:dyDescent="0.3">
      <c r="A49" s="131"/>
      <c r="B49" s="151"/>
      <c r="C49" s="73" t="s">
        <v>104</v>
      </c>
      <c r="D49" s="68">
        <f t="shared" ref="D49:N49" si="11">IF(OR(D47="",D48=""),"",D48/D47)</f>
        <v>0.97222222222222221</v>
      </c>
      <c r="E49" s="67">
        <f t="shared" si="11"/>
        <v>0.97520661157024791</v>
      </c>
      <c r="F49" s="66">
        <f t="shared" si="11"/>
        <v>0.96739130434782605</v>
      </c>
      <c r="G49" s="67">
        <f t="shared" si="11"/>
        <v>0.97282608695652173</v>
      </c>
      <c r="H49" s="66">
        <f t="shared" si="11"/>
        <v>0.96984924623115576</v>
      </c>
      <c r="I49" s="68">
        <f t="shared" si="11"/>
        <v>0.97282608695652173</v>
      </c>
      <c r="J49" s="67">
        <f t="shared" si="11"/>
        <v>0.97282608695652173</v>
      </c>
      <c r="K49" s="66">
        <f t="shared" si="11"/>
        <v>0.96875</v>
      </c>
      <c r="L49" s="67">
        <f t="shared" si="11"/>
        <v>0.96610169491525422</v>
      </c>
      <c r="M49" s="66">
        <f t="shared" si="11"/>
        <v>0.97005988023952106</v>
      </c>
      <c r="N49" s="68">
        <f t="shared" si="11"/>
        <v>0.96835443037974678</v>
      </c>
    </row>
    <row r="50" spans="1:14" ht="15.6" x14ac:dyDescent="0.3">
      <c r="A50" s="131"/>
      <c r="B50" s="151">
        <v>140</v>
      </c>
      <c r="C50" s="4" t="s">
        <v>102</v>
      </c>
      <c r="D50" s="17">
        <v>5.72</v>
      </c>
      <c r="E50" s="16">
        <v>4.8</v>
      </c>
      <c r="F50" s="4">
        <v>7.28</v>
      </c>
      <c r="G50" s="16">
        <v>7.3</v>
      </c>
      <c r="H50" s="4">
        <v>7.9</v>
      </c>
      <c r="I50" s="17">
        <v>7.3</v>
      </c>
      <c r="J50" s="16">
        <v>7.3</v>
      </c>
      <c r="K50" s="4">
        <v>6.35</v>
      </c>
      <c r="L50" s="16">
        <v>7</v>
      </c>
      <c r="M50" s="4">
        <v>6.63</v>
      </c>
      <c r="N50" s="17">
        <v>6.25</v>
      </c>
    </row>
    <row r="51" spans="1:14" ht="15.6" x14ac:dyDescent="0.3">
      <c r="A51" s="131"/>
      <c r="B51" s="151"/>
      <c r="C51" s="2" t="s">
        <v>103</v>
      </c>
      <c r="D51" s="20">
        <v>5.62</v>
      </c>
      <c r="E51" s="19">
        <v>4.72</v>
      </c>
      <c r="F51" s="2">
        <v>7.16</v>
      </c>
      <c r="G51" s="19">
        <v>7.18</v>
      </c>
      <c r="H51" s="2">
        <v>7.77</v>
      </c>
      <c r="I51" s="20">
        <v>7.18</v>
      </c>
      <c r="J51" s="19">
        <v>7.18</v>
      </c>
      <c r="K51" s="2">
        <v>6.24</v>
      </c>
      <c r="L51" s="19">
        <v>6.89</v>
      </c>
      <c r="M51" s="2">
        <v>6.52</v>
      </c>
      <c r="N51" s="20">
        <v>6.15</v>
      </c>
    </row>
    <row r="52" spans="1:14" ht="15.6" x14ac:dyDescent="0.3">
      <c r="A52" s="131"/>
      <c r="B52" s="151"/>
      <c r="C52" s="25" t="s">
        <v>104</v>
      </c>
      <c r="D52" s="28">
        <f t="shared" ref="D52:N52" si="12">IF(OR(D50="",D51=""),"",D51/D50)</f>
        <v>0.98251748251748261</v>
      </c>
      <c r="E52" s="27">
        <f t="shared" si="12"/>
        <v>0.98333333333333328</v>
      </c>
      <c r="F52" s="26">
        <f t="shared" si="12"/>
        <v>0.98351648351648346</v>
      </c>
      <c r="G52" s="27">
        <f t="shared" si="12"/>
        <v>0.98356164383561639</v>
      </c>
      <c r="H52" s="26">
        <f t="shared" si="12"/>
        <v>0.98354430379746827</v>
      </c>
      <c r="I52" s="28">
        <f t="shared" si="12"/>
        <v>0.98356164383561639</v>
      </c>
      <c r="J52" s="27">
        <f t="shared" si="12"/>
        <v>0.98356164383561639</v>
      </c>
      <c r="K52" s="26">
        <f t="shared" si="12"/>
        <v>0.98267716535433081</v>
      </c>
      <c r="L52" s="27">
        <f t="shared" si="12"/>
        <v>0.98428571428571421</v>
      </c>
      <c r="M52" s="26">
        <f t="shared" si="12"/>
        <v>0.98340874811463042</v>
      </c>
      <c r="N52" s="28">
        <f t="shared" si="12"/>
        <v>0.9840000000000001</v>
      </c>
    </row>
    <row r="53" spans="1:14" ht="15.6" x14ac:dyDescent="0.3">
      <c r="A53" s="152" t="s">
        <v>160</v>
      </c>
      <c r="B53" s="151">
        <v>150</v>
      </c>
      <c r="C53" s="6" t="s">
        <v>102</v>
      </c>
      <c r="D53" s="6"/>
      <c r="E53" s="29"/>
      <c r="F53" s="6"/>
      <c r="G53" s="29"/>
      <c r="H53" s="6"/>
      <c r="I53" s="29"/>
      <c r="J53" s="5">
        <v>4.8499999999999996</v>
      </c>
      <c r="K53" s="6"/>
      <c r="L53" s="29"/>
      <c r="M53" s="6"/>
      <c r="N53" s="30"/>
    </row>
    <row r="54" spans="1:14" ht="15.6" x14ac:dyDescent="0.3">
      <c r="A54" s="152"/>
      <c r="B54" s="151"/>
      <c r="C54" s="2" t="s">
        <v>103</v>
      </c>
      <c r="D54" s="2"/>
      <c r="E54" s="19"/>
      <c r="F54" s="2"/>
      <c r="G54" s="19"/>
      <c r="H54" s="2"/>
      <c r="I54" s="19"/>
      <c r="J54" s="63">
        <v>4.8099999999999996</v>
      </c>
      <c r="K54" s="2"/>
      <c r="L54" s="19"/>
      <c r="M54" s="2"/>
      <c r="N54" s="20"/>
    </row>
    <row r="55" spans="1:14" ht="15.6" x14ac:dyDescent="0.3">
      <c r="A55" s="152"/>
      <c r="B55" s="151"/>
      <c r="C55" s="25" t="s">
        <v>104</v>
      </c>
      <c r="D55" s="26" t="str">
        <f t="shared" ref="D55:N55" si="13">IF(OR(D53="",D54=""),"",D54/D53)</f>
        <v/>
      </c>
      <c r="E55" s="27" t="str">
        <f t="shared" si="13"/>
        <v/>
      </c>
      <c r="F55" s="26" t="str">
        <f t="shared" si="13"/>
        <v/>
      </c>
      <c r="G55" s="27" t="str">
        <f t="shared" si="13"/>
        <v/>
      </c>
      <c r="H55" s="26" t="str">
        <f t="shared" si="13"/>
        <v/>
      </c>
      <c r="I55" s="27" t="str">
        <f t="shared" si="13"/>
        <v/>
      </c>
      <c r="J55" s="128">
        <f t="shared" si="13"/>
        <v>0.99175257731958766</v>
      </c>
      <c r="K55" s="26" t="str">
        <f t="shared" si="13"/>
        <v/>
      </c>
      <c r="L55" s="27" t="str">
        <f t="shared" si="13"/>
        <v/>
      </c>
      <c r="M55" s="26" t="str">
        <f t="shared" si="13"/>
        <v/>
      </c>
      <c r="N55" s="28" t="str">
        <f t="shared" si="13"/>
        <v/>
      </c>
    </row>
    <row r="57" spans="1:14" ht="15.6" x14ac:dyDescent="0.3">
      <c r="A57" s="8" t="s">
        <v>136</v>
      </c>
    </row>
    <row r="58" spans="1:14" ht="15.6" x14ac:dyDescent="0.3">
      <c r="C58" s="55" t="s">
        <v>100</v>
      </c>
      <c r="D58" s="4" t="s">
        <v>14</v>
      </c>
      <c r="E58" s="16" t="s">
        <v>57</v>
      </c>
      <c r="F58" s="4" t="s">
        <v>68</v>
      </c>
      <c r="G58" s="16" t="s">
        <v>27</v>
      </c>
      <c r="H58" s="4" t="s">
        <v>58</v>
      </c>
      <c r="I58" s="17" t="s">
        <v>59</v>
      </c>
      <c r="J58" s="62" t="s">
        <v>156</v>
      </c>
      <c r="K58" s="4" t="s">
        <v>60</v>
      </c>
      <c r="L58" s="16" t="s">
        <v>61</v>
      </c>
      <c r="M58" s="4" t="s">
        <v>62</v>
      </c>
      <c r="N58" s="17" t="s">
        <v>63</v>
      </c>
    </row>
    <row r="59" spans="1:14" ht="15.6" x14ac:dyDescent="0.3">
      <c r="C59" s="56" t="s">
        <v>114</v>
      </c>
      <c r="D59" s="2">
        <v>5</v>
      </c>
      <c r="E59" s="19">
        <v>7.2</v>
      </c>
      <c r="F59" s="2">
        <v>9</v>
      </c>
      <c r="G59" s="19">
        <v>15</v>
      </c>
      <c r="H59" s="2">
        <v>14.4</v>
      </c>
      <c r="I59" s="20">
        <v>19.2</v>
      </c>
      <c r="J59" s="63">
        <v>19.2</v>
      </c>
      <c r="K59" s="2">
        <v>24</v>
      </c>
      <c r="L59" s="19">
        <v>28.8</v>
      </c>
      <c r="M59" s="2">
        <v>38.4</v>
      </c>
      <c r="N59" s="20">
        <v>57.6</v>
      </c>
    </row>
    <row r="60" spans="1:14" ht="15.6" x14ac:dyDescent="0.3">
      <c r="A60" s="120"/>
      <c r="C60" s="121"/>
      <c r="D60" s="122">
        <v>6.5</v>
      </c>
      <c r="E60" s="123">
        <v>7.5</v>
      </c>
      <c r="F60" s="122">
        <v>14.2</v>
      </c>
      <c r="G60" s="123">
        <v>20.2</v>
      </c>
      <c r="H60" s="122"/>
      <c r="I60" s="123">
        <v>29</v>
      </c>
      <c r="J60" s="124">
        <v>23.3</v>
      </c>
      <c r="K60" s="122">
        <v>29.2</v>
      </c>
      <c r="L60" s="123"/>
      <c r="M60" s="122">
        <v>49</v>
      </c>
      <c r="N60" s="125">
        <v>69</v>
      </c>
    </row>
    <row r="61" spans="1:14" ht="15" customHeight="1" x14ac:dyDescent="0.3">
      <c r="A61" s="153" t="s">
        <v>157</v>
      </c>
      <c r="C61" s="56" t="s">
        <v>101</v>
      </c>
      <c r="D61" s="2" t="s">
        <v>14</v>
      </c>
      <c r="E61" s="19" t="s">
        <v>57</v>
      </c>
      <c r="F61" s="42" t="s">
        <v>68</v>
      </c>
      <c r="G61" s="43" t="s">
        <v>27</v>
      </c>
      <c r="H61" s="2" t="s">
        <v>58</v>
      </c>
      <c r="I61" s="20" t="s">
        <v>59</v>
      </c>
      <c r="J61" s="111" t="s">
        <v>156</v>
      </c>
      <c r="K61" s="2" t="s">
        <v>60</v>
      </c>
      <c r="L61" s="19" t="s">
        <v>61</v>
      </c>
      <c r="M61" s="2" t="s">
        <v>62</v>
      </c>
      <c r="N61" s="20" t="s">
        <v>63</v>
      </c>
    </row>
    <row r="62" spans="1:14" ht="15.6" x14ac:dyDescent="0.3">
      <c r="A62" s="153"/>
      <c r="B62" s="7" t="s">
        <v>6</v>
      </c>
      <c r="C62" s="74"/>
      <c r="D62" s="59"/>
      <c r="E62" s="60"/>
      <c r="F62" s="59"/>
      <c r="G62" s="60"/>
      <c r="H62" s="59"/>
      <c r="I62" s="61"/>
      <c r="J62" s="60"/>
      <c r="K62" s="59"/>
      <c r="L62" s="60"/>
      <c r="M62" s="59"/>
      <c r="N62" s="61"/>
    </row>
    <row r="63" spans="1:14" ht="15.6" x14ac:dyDescent="0.3">
      <c r="A63" s="131" t="s">
        <v>158</v>
      </c>
      <c r="B63" s="151">
        <v>70</v>
      </c>
      <c r="C63" s="2" t="s">
        <v>102</v>
      </c>
      <c r="D63" s="2">
        <v>0.71</v>
      </c>
      <c r="E63" s="19">
        <v>0.59</v>
      </c>
      <c r="F63" s="2">
        <v>0.9</v>
      </c>
      <c r="G63" s="19">
        <v>0.86</v>
      </c>
      <c r="H63" s="2"/>
      <c r="I63" s="20">
        <v>0.9</v>
      </c>
      <c r="J63" s="19">
        <v>0.9</v>
      </c>
      <c r="K63" s="2">
        <v>0.79</v>
      </c>
      <c r="L63" s="19">
        <v>0.87</v>
      </c>
      <c r="M63" s="2">
        <v>0.82</v>
      </c>
      <c r="N63" s="20">
        <v>0.77</v>
      </c>
    </row>
    <row r="64" spans="1:14" ht="15.6" x14ac:dyDescent="0.3">
      <c r="A64" s="131"/>
      <c r="B64" s="151"/>
      <c r="C64" s="2" t="s">
        <v>103</v>
      </c>
      <c r="D64" s="2">
        <v>1.41</v>
      </c>
      <c r="E64" s="19">
        <v>1.18</v>
      </c>
      <c r="F64" s="2">
        <v>1.8</v>
      </c>
      <c r="G64" s="19">
        <v>1.71</v>
      </c>
      <c r="H64" s="2"/>
      <c r="I64" s="20">
        <v>1.8</v>
      </c>
      <c r="J64" s="19">
        <v>1.8</v>
      </c>
      <c r="K64" s="2">
        <v>1.57</v>
      </c>
      <c r="L64" s="19">
        <v>1.73</v>
      </c>
      <c r="M64" s="2">
        <v>1.63</v>
      </c>
      <c r="N64" s="20">
        <v>1.54</v>
      </c>
    </row>
    <row r="65" spans="1:14" ht="15.6" x14ac:dyDescent="0.3">
      <c r="A65" s="131"/>
      <c r="B65" s="151"/>
      <c r="C65" s="25" t="s">
        <v>104</v>
      </c>
      <c r="D65" s="26">
        <f t="shared" ref="D65:N65" si="14">IF(OR(D63="",D64=""),"",D64/D63)</f>
        <v>1.9859154929577465</v>
      </c>
      <c r="E65" s="27">
        <f t="shared" si="14"/>
        <v>2</v>
      </c>
      <c r="F65" s="26">
        <f t="shared" si="14"/>
        <v>2</v>
      </c>
      <c r="G65" s="27">
        <f t="shared" si="14"/>
        <v>1.9883720930232558</v>
      </c>
      <c r="H65" s="26" t="str">
        <f t="shared" si="14"/>
        <v/>
      </c>
      <c r="I65" s="28">
        <f t="shared" si="14"/>
        <v>2</v>
      </c>
      <c r="J65" s="27">
        <f t="shared" si="14"/>
        <v>2</v>
      </c>
      <c r="K65" s="26">
        <f t="shared" si="14"/>
        <v>1.9873417721518987</v>
      </c>
      <c r="L65" s="27">
        <f t="shared" si="14"/>
        <v>1.9885057471264367</v>
      </c>
      <c r="M65" s="26">
        <f t="shared" si="14"/>
        <v>1.9878048780487805</v>
      </c>
      <c r="N65" s="28">
        <f t="shared" si="14"/>
        <v>2</v>
      </c>
    </row>
    <row r="66" spans="1:14" ht="15.6" x14ac:dyDescent="0.3">
      <c r="A66" s="131"/>
      <c r="B66" s="154">
        <v>90</v>
      </c>
      <c r="C66" s="16" t="s">
        <v>102</v>
      </c>
      <c r="D66" s="4">
        <v>1.86</v>
      </c>
      <c r="E66" s="16">
        <v>1.57</v>
      </c>
      <c r="F66" s="4">
        <v>2.37</v>
      </c>
      <c r="G66" s="16">
        <v>2.2599999999999998</v>
      </c>
      <c r="H66" s="4">
        <v>2.58</v>
      </c>
      <c r="I66" s="17">
        <v>2.38</v>
      </c>
      <c r="J66" s="16">
        <v>2.38</v>
      </c>
      <c r="K66" s="4">
        <v>2.0699999999999998</v>
      </c>
      <c r="L66" s="16">
        <v>2.2799999999999998</v>
      </c>
      <c r="M66" s="4">
        <v>2.16</v>
      </c>
      <c r="N66" s="17">
        <v>2.04</v>
      </c>
    </row>
    <row r="67" spans="1:14" ht="15.6" x14ac:dyDescent="0.3">
      <c r="A67" s="131"/>
      <c r="B67" s="154"/>
      <c r="C67" s="19" t="s">
        <v>103</v>
      </c>
      <c r="D67" s="2">
        <v>3.26</v>
      </c>
      <c r="E67" s="19">
        <v>2.74</v>
      </c>
      <c r="F67" s="2">
        <v>4.16</v>
      </c>
      <c r="G67" s="19">
        <v>3.95</v>
      </c>
      <c r="H67" s="2">
        <v>4.51</v>
      </c>
      <c r="I67" s="20">
        <v>4.17</v>
      </c>
      <c r="J67" s="19">
        <v>4.17</v>
      </c>
      <c r="K67" s="2">
        <v>3.62</v>
      </c>
      <c r="L67" s="19">
        <v>4</v>
      </c>
      <c r="M67" s="2">
        <v>3.78</v>
      </c>
      <c r="N67" s="20">
        <v>3.57</v>
      </c>
    </row>
    <row r="68" spans="1:14" ht="15.6" x14ac:dyDescent="0.3">
      <c r="A68" s="131"/>
      <c r="B68" s="154"/>
      <c r="C68" s="75" t="s">
        <v>104</v>
      </c>
      <c r="D68" s="26">
        <f t="shared" ref="D68:N68" si="15">IF(OR(D66="",D67=""),"",D67/D66)</f>
        <v>1.7526881720430105</v>
      </c>
      <c r="E68" s="27">
        <f t="shared" si="15"/>
        <v>1.7452229299363058</v>
      </c>
      <c r="F68" s="26">
        <f t="shared" si="15"/>
        <v>1.7552742616033754</v>
      </c>
      <c r="G68" s="27">
        <f t="shared" si="15"/>
        <v>1.7477876106194692</v>
      </c>
      <c r="H68" s="26">
        <f t="shared" si="15"/>
        <v>1.7480620155038757</v>
      </c>
      <c r="I68" s="28">
        <f t="shared" si="15"/>
        <v>1.7521008403361344</v>
      </c>
      <c r="J68" s="27">
        <f t="shared" si="15"/>
        <v>1.7521008403361344</v>
      </c>
      <c r="K68" s="26">
        <f t="shared" si="15"/>
        <v>1.7487922705314012</v>
      </c>
      <c r="L68" s="27">
        <f t="shared" si="15"/>
        <v>1.7543859649122808</v>
      </c>
      <c r="M68" s="26">
        <f t="shared" si="15"/>
        <v>1.7499999999999998</v>
      </c>
      <c r="N68" s="28">
        <f t="shared" si="15"/>
        <v>1.75</v>
      </c>
    </row>
    <row r="69" spans="1:14" ht="15.6" x14ac:dyDescent="0.3">
      <c r="A69" s="131"/>
      <c r="B69" s="154">
        <v>120</v>
      </c>
      <c r="C69" s="29" t="s">
        <v>102</v>
      </c>
      <c r="D69" s="6">
        <v>4.47</v>
      </c>
      <c r="E69" s="29">
        <v>3.76</v>
      </c>
      <c r="F69" s="6">
        <v>5.7</v>
      </c>
      <c r="G69" s="29">
        <v>4.51</v>
      </c>
      <c r="H69" s="6">
        <v>6.18</v>
      </c>
      <c r="I69" s="30">
        <v>5.71</v>
      </c>
      <c r="J69" s="29">
        <v>5.71</v>
      </c>
      <c r="K69" s="6">
        <v>4.97</v>
      </c>
      <c r="L69" s="29">
        <v>5.48</v>
      </c>
      <c r="M69" s="6">
        <v>5.18</v>
      </c>
      <c r="N69" s="30">
        <v>4.8899999999999997</v>
      </c>
    </row>
    <row r="70" spans="1:14" ht="15.6" x14ac:dyDescent="0.3">
      <c r="A70" s="131"/>
      <c r="B70" s="154"/>
      <c r="C70" s="19" t="s">
        <v>103</v>
      </c>
      <c r="D70" s="2">
        <v>7.23</v>
      </c>
      <c r="E70" s="19">
        <v>6.07</v>
      </c>
      <c r="F70" s="2">
        <v>9.1999999999999993</v>
      </c>
      <c r="G70" s="19">
        <v>8.74</v>
      </c>
      <c r="H70" s="2">
        <v>9.99</v>
      </c>
      <c r="I70" s="20">
        <v>9.23</v>
      </c>
      <c r="J70" s="19">
        <v>9.23</v>
      </c>
      <c r="K70" s="2">
        <v>8.0299999999999994</v>
      </c>
      <c r="L70" s="19">
        <v>8.85</v>
      </c>
      <c r="M70" s="2">
        <v>8.3800000000000008</v>
      </c>
      <c r="N70" s="20">
        <v>7.9</v>
      </c>
    </row>
    <row r="71" spans="1:14" ht="15.6" x14ac:dyDescent="0.3">
      <c r="A71" s="131"/>
      <c r="B71" s="154"/>
      <c r="C71" s="76" t="s">
        <v>104</v>
      </c>
      <c r="D71" s="66">
        <f t="shared" ref="D71:N71" si="16">IF(OR(D69="",D70=""),"",D70/D69)</f>
        <v>1.6174496644295304</v>
      </c>
      <c r="E71" s="67">
        <f t="shared" si="16"/>
        <v>1.6143617021276597</v>
      </c>
      <c r="F71" s="66">
        <f t="shared" si="16"/>
        <v>1.6140350877192982</v>
      </c>
      <c r="G71" s="67">
        <f t="shared" si="16"/>
        <v>1.9379157427937916</v>
      </c>
      <c r="H71" s="66">
        <f t="shared" si="16"/>
        <v>1.6165048543689322</v>
      </c>
      <c r="I71" s="68">
        <f t="shared" si="16"/>
        <v>1.6164623467600701</v>
      </c>
      <c r="J71" s="67">
        <f t="shared" si="16"/>
        <v>1.6164623467600701</v>
      </c>
      <c r="K71" s="66">
        <f t="shared" si="16"/>
        <v>1.6156941649899397</v>
      </c>
      <c r="L71" s="67">
        <f t="shared" si="16"/>
        <v>1.6149635036496348</v>
      </c>
      <c r="M71" s="66">
        <f t="shared" si="16"/>
        <v>1.6177606177606181</v>
      </c>
      <c r="N71" s="68">
        <f t="shared" si="16"/>
        <v>1.6155419222903886</v>
      </c>
    </row>
    <row r="72" spans="1:14" ht="15.6" x14ac:dyDescent="0.3">
      <c r="A72" s="131"/>
      <c r="B72" s="154">
        <v>140</v>
      </c>
      <c r="C72" s="16" t="s">
        <v>102</v>
      </c>
      <c r="D72" s="4">
        <v>6.69</v>
      </c>
      <c r="E72" s="16">
        <v>5.63</v>
      </c>
      <c r="F72" s="4">
        <v>8.5299999999999994</v>
      </c>
      <c r="G72" s="16">
        <v>8.1</v>
      </c>
      <c r="H72" s="4">
        <v>9.25</v>
      </c>
      <c r="I72" s="17">
        <v>8.5500000000000007</v>
      </c>
      <c r="J72" s="16">
        <v>8.5500000000000007</v>
      </c>
      <c r="K72" s="4">
        <v>7.44</v>
      </c>
      <c r="L72" s="16">
        <v>8.1999999999999993</v>
      </c>
      <c r="M72" s="4">
        <v>7.76</v>
      </c>
      <c r="N72" s="17">
        <v>7.32</v>
      </c>
    </row>
    <row r="73" spans="1:14" ht="15.6" x14ac:dyDescent="0.3">
      <c r="A73" s="131"/>
      <c r="B73" s="154"/>
      <c r="C73" s="19" t="s">
        <v>103</v>
      </c>
      <c r="D73" s="2">
        <v>10.51</v>
      </c>
      <c r="E73" s="19">
        <v>8.84</v>
      </c>
      <c r="F73" s="2">
        <v>13.39</v>
      </c>
      <c r="G73" s="19">
        <v>12.73</v>
      </c>
      <c r="H73" s="2">
        <v>14.53</v>
      </c>
      <c r="I73" s="20">
        <v>13.43</v>
      </c>
      <c r="J73" s="19">
        <v>13.43</v>
      </c>
      <c r="K73" s="2">
        <v>11.68</v>
      </c>
      <c r="L73" s="19">
        <v>12.88</v>
      </c>
      <c r="M73" s="2">
        <v>12.19</v>
      </c>
      <c r="N73" s="20">
        <v>11.5</v>
      </c>
    </row>
    <row r="74" spans="1:14" ht="15.6" x14ac:dyDescent="0.3">
      <c r="A74" s="131"/>
      <c r="B74" s="154"/>
      <c r="C74" s="75" t="s">
        <v>104</v>
      </c>
      <c r="D74" s="26">
        <f t="shared" ref="D74:N74" si="17">IF(OR(D72="",D73=""),"",D73/D72)</f>
        <v>1.5710014947683109</v>
      </c>
      <c r="E74" s="27">
        <f t="shared" si="17"/>
        <v>1.5701598579040852</v>
      </c>
      <c r="F74" s="26">
        <f t="shared" si="17"/>
        <v>1.5697538100820634</v>
      </c>
      <c r="G74" s="27">
        <f t="shared" si="17"/>
        <v>1.5716049382716051</v>
      </c>
      <c r="H74" s="26">
        <f t="shared" si="17"/>
        <v>1.5708108108108108</v>
      </c>
      <c r="I74" s="28">
        <f t="shared" si="17"/>
        <v>1.5707602339181286</v>
      </c>
      <c r="J74" s="27">
        <f t="shared" si="17"/>
        <v>1.5707602339181286</v>
      </c>
      <c r="K74" s="26">
        <f t="shared" si="17"/>
        <v>1.5698924731182795</v>
      </c>
      <c r="L74" s="27">
        <f t="shared" si="17"/>
        <v>1.5707317073170735</v>
      </c>
      <c r="M74" s="26">
        <f t="shared" si="17"/>
        <v>1.5708762886597938</v>
      </c>
      <c r="N74" s="28">
        <f t="shared" si="17"/>
        <v>1.5710382513661201</v>
      </c>
    </row>
    <row r="75" spans="1:14" ht="15.6" x14ac:dyDescent="0.3">
      <c r="A75" s="131" t="s">
        <v>159</v>
      </c>
      <c r="B75" s="154">
        <v>100</v>
      </c>
      <c r="C75" s="29" t="s">
        <v>102</v>
      </c>
      <c r="D75" s="6">
        <v>0.53</v>
      </c>
      <c r="E75" s="29">
        <v>0.44</v>
      </c>
      <c r="F75" s="6">
        <v>0.67</v>
      </c>
      <c r="G75" s="29">
        <v>0.64</v>
      </c>
      <c r="H75" s="6">
        <v>0.73</v>
      </c>
      <c r="I75" s="30">
        <v>0.67</v>
      </c>
      <c r="J75" s="29">
        <v>0.67</v>
      </c>
      <c r="K75" s="6">
        <v>0.59</v>
      </c>
      <c r="L75" s="29">
        <v>0.65</v>
      </c>
      <c r="M75" s="6">
        <v>0.61</v>
      </c>
      <c r="N75" s="30">
        <v>0.57999999999999996</v>
      </c>
    </row>
    <row r="76" spans="1:14" ht="15.6" x14ac:dyDescent="0.3">
      <c r="A76" s="131"/>
      <c r="B76" s="154"/>
      <c r="C76" s="19" t="s">
        <v>103</v>
      </c>
      <c r="D76" s="2">
        <v>0.78</v>
      </c>
      <c r="E76" s="19">
        <v>0.66</v>
      </c>
      <c r="F76" s="2">
        <v>0.99</v>
      </c>
      <c r="G76" s="19">
        <v>0.94</v>
      </c>
      <c r="H76" s="2">
        <v>1.08</v>
      </c>
      <c r="I76" s="20">
        <v>1</v>
      </c>
      <c r="J76" s="19">
        <v>1</v>
      </c>
      <c r="K76" s="2">
        <v>0.87</v>
      </c>
      <c r="L76" s="19">
        <v>0.96</v>
      </c>
      <c r="M76" s="2">
        <v>0.9</v>
      </c>
      <c r="N76" s="20">
        <v>0.85</v>
      </c>
    </row>
    <row r="77" spans="1:14" ht="15.6" x14ac:dyDescent="0.3">
      <c r="A77" s="131"/>
      <c r="B77" s="154"/>
      <c r="C77" s="76" t="s">
        <v>104</v>
      </c>
      <c r="D77" s="66">
        <f t="shared" ref="D77:N77" si="18">IF(OR(D75="",D76=""),"",D76/D75)</f>
        <v>1.4716981132075471</v>
      </c>
      <c r="E77" s="67">
        <f t="shared" si="18"/>
        <v>1.5</v>
      </c>
      <c r="F77" s="66">
        <f t="shared" si="18"/>
        <v>1.4776119402985073</v>
      </c>
      <c r="G77" s="67">
        <f t="shared" si="18"/>
        <v>1.4687499999999998</v>
      </c>
      <c r="H77" s="66">
        <f t="shared" si="18"/>
        <v>1.4794520547945207</v>
      </c>
      <c r="I77" s="68">
        <f t="shared" si="18"/>
        <v>1.4925373134328357</v>
      </c>
      <c r="J77" s="67">
        <f t="shared" si="18"/>
        <v>1.4925373134328357</v>
      </c>
      <c r="K77" s="66">
        <f t="shared" si="18"/>
        <v>1.4745762711864407</v>
      </c>
      <c r="L77" s="67">
        <f t="shared" si="18"/>
        <v>1.4769230769230768</v>
      </c>
      <c r="M77" s="66">
        <f t="shared" si="18"/>
        <v>1.4754098360655739</v>
      </c>
      <c r="N77" s="68">
        <f t="shared" si="18"/>
        <v>1.4655172413793105</v>
      </c>
    </row>
    <row r="78" spans="1:14" ht="15.6" x14ac:dyDescent="0.3">
      <c r="A78" s="131"/>
      <c r="B78" s="154">
        <v>140</v>
      </c>
      <c r="C78" s="16" t="s">
        <v>102</v>
      </c>
      <c r="D78" s="4">
        <v>2.2599999999999998</v>
      </c>
      <c r="E78" s="16">
        <v>1.9</v>
      </c>
      <c r="F78" s="4">
        <v>2.88</v>
      </c>
      <c r="G78" s="16">
        <v>2.74</v>
      </c>
      <c r="H78" s="4">
        <v>3.12</v>
      </c>
      <c r="I78" s="17">
        <v>2.89</v>
      </c>
      <c r="J78" s="16">
        <v>2.89</v>
      </c>
      <c r="K78" s="4">
        <v>2.5099999999999998</v>
      </c>
      <c r="L78" s="16">
        <v>2.77</v>
      </c>
      <c r="M78" s="4">
        <v>2.62</v>
      </c>
      <c r="N78" s="17">
        <v>2.4700000000000002</v>
      </c>
    </row>
    <row r="79" spans="1:14" ht="15.6" x14ac:dyDescent="0.3">
      <c r="A79" s="131"/>
      <c r="B79" s="154"/>
      <c r="C79" s="19" t="s">
        <v>103</v>
      </c>
      <c r="D79" s="2">
        <v>3.26</v>
      </c>
      <c r="E79" s="19">
        <v>2.74</v>
      </c>
      <c r="F79" s="2">
        <v>4.1500000000000004</v>
      </c>
      <c r="G79" s="19">
        <v>3.94</v>
      </c>
      <c r="H79" s="2">
        <v>4.5</v>
      </c>
      <c r="I79" s="20">
        <v>4.16</v>
      </c>
      <c r="J79" s="19">
        <v>4.16</v>
      </c>
      <c r="K79" s="2">
        <v>3.62</v>
      </c>
      <c r="L79" s="19">
        <v>3.99</v>
      </c>
      <c r="M79" s="2">
        <v>3.78</v>
      </c>
      <c r="N79" s="20">
        <v>3.56</v>
      </c>
    </row>
    <row r="80" spans="1:14" ht="15.6" x14ac:dyDescent="0.3">
      <c r="A80" s="131"/>
      <c r="B80" s="154"/>
      <c r="C80" s="75" t="s">
        <v>104</v>
      </c>
      <c r="D80" s="26">
        <f t="shared" ref="D80:N80" si="19">IF(OR(D78="",D79=""),"",D79/D78)</f>
        <v>1.4424778761061947</v>
      </c>
      <c r="E80" s="27">
        <f t="shared" si="19"/>
        <v>1.442105263157895</v>
      </c>
      <c r="F80" s="26">
        <f t="shared" si="19"/>
        <v>1.4409722222222223</v>
      </c>
      <c r="G80" s="27">
        <f t="shared" si="19"/>
        <v>1.437956204379562</v>
      </c>
      <c r="H80" s="26">
        <f t="shared" si="19"/>
        <v>1.4423076923076923</v>
      </c>
      <c r="I80" s="28">
        <f t="shared" si="19"/>
        <v>1.439446366782007</v>
      </c>
      <c r="J80" s="27">
        <f t="shared" si="19"/>
        <v>1.439446366782007</v>
      </c>
      <c r="K80" s="26">
        <f t="shared" si="19"/>
        <v>1.4422310756972114</v>
      </c>
      <c r="L80" s="27">
        <f t="shared" si="19"/>
        <v>1.4404332129963899</v>
      </c>
      <c r="M80" s="26">
        <f t="shared" si="19"/>
        <v>1.4427480916030533</v>
      </c>
      <c r="N80" s="28">
        <f t="shared" si="19"/>
        <v>1.4412955465587043</v>
      </c>
    </row>
    <row r="81" spans="1:14" ht="15.6" x14ac:dyDescent="0.3">
      <c r="A81" s="152" t="s">
        <v>160</v>
      </c>
      <c r="B81" s="151">
        <v>150</v>
      </c>
      <c r="C81" s="6" t="s">
        <v>102</v>
      </c>
      <c r="D81" s="6"/>
      <c r="E81" s="29"/>
      <c r="F81" s="6"/>
      <c r="G81" s="29"/>
      <c r="H81" s="6"/>
      <c r="I81" s="29"/>
      <c r="J81" s="5">
        <v>2.02</v>
      </c>
      <c r="K81" s="6"/>
      <c r="L81" s="29"/>
      <c r="M81" s="6"/>
      <c r="N81" s="30"/>
    </row>
    <row r="82" spans="1:14" ht="15.6" x14ac:dyDescent="0.3">
      <c r="A82" s="152"/>
      <c r="B82" s="151"/>
      <c r="C82" s="2" t="s">
        <v>103</v>
      </c>
      <c r="D82" s="2"/>
      <c r="E82" s="19"/>
      <c r="F82" s="2"/>
      <c r="G82" s="19"/>
      <c r="H82" s="2"/>
      <c r="I82" s="19"/>
      <c r="J82" s="63">
        <v>2.87</v>
      </c>
      <c r="K82" s="2"/>
      <c r="L82" s="19"/>
      <c r="M82" s="2"/>
      <c r="N82" s="20"/>
    </row>
    <row r="83" spans="1:14" ht="15.6" x14ac:dyDescent="0.3">
      <c r="A83" s="152"/>
      <c r="B83" s="151"/>
      <c r="C83" s="25" t="s">
        <v>104</v>
      </c>
      <c r="D83" s="26" t="str">
        <f t="shared" ref="D83:N83" si="20">IF(OR(D81="",D82=""),"",D82/D81)</f>
        <v/>
      </c>
      <c r="E83" s="27" t="str">
        <f t="shared" si="20"/>
        <v/>
      </c>
      <c r="F83" s="26" t="str">
        <f t="shared" si="20"/>
        <v/>
      </c>
      <c r="G83" s="27" t="str">
        <f t="shared" si="20"/>
        <v/>
      </c>
      <c r="H83" s="26" t="str">
        <f t="shared" si="20"/>
        <v/>
      </c>
      <c r="I83" s="27" t="str">
        <f t="shared" si="20"/>
        <v/>
      </c>
      <c r="J83" s="128">
        <f t="shared" si="20"/>
        <v>1.4207920792079207</v>
      </c>
      <c r="K83" s="26" t="str">
        <f t="shared" si="20"/>
        <v/>
      </c>
      <c r="L83" s="27" t="str">
        <f t="shared" si="20"/>
        <v/>
      </c>
      <c r="M83" s="26" t="str">
        <f t="shared" si="20"/>
        <v/>
      </c>
      <c r="N83" s="28" t="str">
        <f t="shared" si="20"/>
        <v/>
      </c>
    </row>
    <row r="85" spans="1:14" ht="15.6" x14ac:dyDescent="0.3">
      <c r="A85" s="8" t="s">
        <v>137</v>
      </c>
    </row>
    <row r="86" spans="1:14" ht="15.6" x14ac:dyDescent="0.3">
      <c r="C86" s="55" t="s">
        <v>100</v>
      </c>
      <c r="D86" s="4" t="s">
        <v>14</v>
      </c>
      <c r="E86" s="16" t="s">
        <v>57</v>
      </c>
      <c r="F86" s="4" t="s">
        <v>68</v>
      </c>
      <c r="G86" s="16" t="s">
        <v>27</v>
      </c>
      <c r="H86" s="4" t="s">
        <v>58</v>
      </c>
      <c r="I86" s="17" t="s">
        <v>59</v>
      </c>
      <c r="J86" s="62" t="s">
        <v>156</v>
      </c>
      <c r="K86" s="4" t="s">
        <v>60</v>
      </c>
      <c r="L86" s="16" t="s">
        <v>61</v>
      </c>
      <c r="M86" s="4" t="s">
        <v>62</v>
      </c>
      <c r="N86" s="17" t="s">
        <v>63</v>
      </c>
    </row>
    <row r="87" spans="1:14" ht="15.6" x14ac:dyDescent="0.3">
      <c r="C87" s="56" t="s">
        <v>114</v>
      </c>
      <c r="D87" s="2">
        <v>5</v>
      </c>
      <c r="E87" s="19">
        <v>7.2</v>
      </c>
      <c r="F87" s="2">
        <v>9</v>
      </c>
      <c r="G87" s="19">
        <v>15</v>
      </c>
      <c r="H87" s="2">
        <v>14.4</v>
      </c>
      <c r="I87" s="20">
        <v>19.2</v>
      </c>
      <c r="J87" s="63">
        <v>19.2</v>
      </c>
      <c r="K87" s="2">
        <v>24</v>
      </c>
      <c r="L87" s="19">
        <v>28.8</v>
      </c>
      <c r="M87" s="2">
        <v>38.4</v>
      </c>
      <c r="N87" s="20">
        <v>57.6</v>
      </c>
    </row>
    <row r="88" spans="1:14" ht="15.6" x14ac:dyDescent="0.3">
      <c r="A88" s="120"/>
      <c r="C88" s="121"/>
      <c r="D88" s="122">
        <v>6.5</v>
      </c>
      <c r="E88" s="123">
        <v>7.5</v>
      </c>
      <c r="F88" s="122">
        <v>14.2</v>
      </c>
      <c r="G88" s="123">
        <v>20.2</v>
      </c>
      <c r="H88" s="122"/>
      <c r="I88" s="123">
        <v>29</v>
      </c>
      <c r="J88" s="124">
        <v>23.3</v>
      </c>
      <c r="K88" s="122">
        <v>29.2</v>
      </c>
      <c r="L88" s="123"/>
      <c r="M88" s="122">
        <v>49</v>
      </c>
      <c r="N88" s="125">
        <v>69</v>
      </c>
    </row>
    <row r="89" spans="1:14" ht="15" customHeight="1" x14ac:dyDescent="0.3">
      <c r="A89" s="153" t="s">
        <v>157</v>
      </c>
      <c r="C89" s="56" t="s">
        <v>101</v>
      </c>
      <c r="D89" s="2" t="s">
        <v>14</v>
      </c>
      <c r="E89" s="19" t="s">
        <v>57</v>
      </c>
      <c r="F89" s="42" t="s">
        <v>68</v>
      </c>
      <c r="G89" s="43" t="s">
        <v>27</v>
      </c>
      <c r="H89" s="2" t="s">
        <v>58</v>
      </c>
      <c r="I89" s="20" t="s">
        <v>59</v>
      </c>
      <c r="J89" s="111" t="s">
        <v>156</v>
      </c>
      <c r="K89" s="2" t="s">
        <v>60</v>
      </c>
      <c r="L89" s="19" t="s">
        <v>61</v>
      </c>
      <c r="M89" s="2" t="s">
        <v>62</v>
      </c>
      <c r="N89" s="20" t="s">
        <v>63</v>
      </c>
    </row>
    <row r="90" spans="1:14" ht="15.6" x14ac:dyDescent="0.3">
      <c r="A90" s="153"/>
      <c r="B90" s="7" t="s">
        <v>6</v>
      </c>
      <c r="C90" s="58"/>
      <c r="D90" s="59"/>
      <c r="E90" s="60"/>
      <c r="F90" s="59"/>
      <c r="G90" s="60"/>
      <c r="H90" s="59"/>
      <c r="I90" s="61"/>
      <c r="J90" s="60"/>
      <c r="K90" s="59"/>
      <c r="L90" s="60"/>
      <c r="M90" s="59"/>
      <c r="N90" s="61"/>
    </row>
    <row r="91" spans="1:14" ht="15" customHeight="1" x14ac:dyDescent="0.3">
      <c r="A91" s="131" t="s">
        <v>158</v>
      </c>
      <c r="B91" s="151">
        <v>70</v>
      </c>
      <c r="C91" s="2" t="s">
        <v>102</v>
      </c>
      <c r="D91" s="2">
        <v>0.61</v>
      </c>
      <c r="E91" s="19">
        <v>0.51</v>
      </c>
      <c r="F91" s="2">
        <v>0.78</v>
      </c>
      <c r="G91" s="19">
        <v>0.78</v>
      </c>
      <c r="H91" s="2"/>
      <c r="I91" s="20">
        <v>0.78</v>
      </c>
      <c r="J91" s="19">
        <v>0.78</v>
      </c>
      <c r="K91" s="2">
        <v>0.68</v>
      </c>
      <c r="L91" s="19">
        <v>0.75</v>
      </c>
      <c r="M91" s="2">
        <v>0.71</v>
      </c>
      <c r="N91" s="20">
        <v>0.67</v>
      </c>
    </row>
    <row r="92" spans="1:14" ht="15" customHeight="1" x14ac:dyDescent="0.3">
      <c r="A92" s="131"/>
      <c r="B92" s="151"/>
      <c r="C92" s="2" t="s">
        <v>103</v>
      </c>
      <c r="D92" s="2">
        <v>1.07</v>
      </c>
      <c r="E92" s="19">
        <v>0.9</v>
      </c>
      <c r="F92" s="2">
        <v>1.37</v>
      </c>
      <c r="G92" s="19">
        <v>1.37</v>
      </c>
      <c r="H92" s="2"/>
      <c r="I92" s="20">
        <v>1.37</v>
      </c>
      <c r="J92" s="19">
        <v>1.37</v>
      </c>
      <c r="K92" s="2">
        <v>1.19</v>
      </c>
      <c r="L92" s="19">
        <v>1.32</v>
      </c>
      <c r="M92" s="2">
        <v>1.25</v>
      </c>
      <c r="N92" s="20">
        <v>1.18</v>
      </c>
    </row>
    <row r="93" spans="1:14" ht="15" customHeight="1" x14ac:dyDescent="0.3">
      <c r="A93" s="131"/>
      <c r="B93" s="151"/>
      <c r="C93" s="25" t="s">
        <v>104</v>
      </c>
      <c r="D93" s="26">
        <f t="shared" ref="D93:N93" si="21">IF(OR(D91="",D92=""),"",D92/D91)</f>
        <v>1.7540983606557379</v>
      </c>
      <c r="E93" s="27">
        <f t="shared" si="21"/>
        <v>1.7647058823529411</v>
      </c>
      <c r="F93" s="26">
        <f t="shared" si="21"/>
        <v>1.7564102564102564</v>
      </c>
      <c r="G93" s="27">
        <f t="shared" si="21"/>
        <v>1.7564102564102564</v>
      </c>
      <c r="H93" s="26" t="str">
        <f t="shared" si="21"/>
        <v/>
      </c>
      <c r="I93" s="28">
        <f t="shared" si="21"/>
        <v>1.7564102564102564</v>
      </c>
      <c r="J93" s="27">
        <f t="shared" si="21"/>
        <v>1.7564102564102564</v>
      </c>
      <c r="K93" s="26">
        <f t="shared" si="21"/>
        <v>1.7499999999999998</v>
      </c>
      <c r="L93" s="27">
        <f t="shared" si="21"/>
        <v>1.76</v>
      </c>
      <c r="M93" s="26">
        <f t="shared" si="21"/>
        <v>1.7605633802816902</v>
      </c>
      <c r="N93" s="28">
        <f t="shared" si="21"/>
        <v>1.761194029850746</v>
      </c>
    </row>
    <row r="94" spans="1:14" ht="15" customHeight="1" x14ac:dyDescent="0.3">
      <c r="A94" s="131"/>
      <c r="B94" s="151">
        <v>90</v>
      </c>
      <c r="C94" s="62" t="s">
        <v>102</v>
      </c>
      <c r="D94" s="4">
        <v>1.63</v>
      </c>
      <c r="E94" s="16">
        <v>1.37</v>
      </c>
      <c r="F94" s="4">
        <v>2.08</v>
      </c>
      <c r="G94" s="16">
        <v>2.08</v>
      </c>
      <c r="H94" s="4">
        <v>2.2599999999999998</v>
      </c>
      <c r="I94" s="17">
        <v>2.08</v>
      </c>
      <c r="J94" s="16">
        <v>2.08</v>
      </c>
      <c r="K94" s="4">
        <v>1.81</v>
      </c>
      <c r="L94" s="16">
        <v>2</v>
      </c>
      <c r="M94" s="4">
        <v>1.89</v>
      </c>
      <c r="N94" s="17">
        <v>1.79</v>
      </c>
    </row>
    <row r="95" spans="1:14" ht="15.6" x14ac:dyDescent="0.3">
      <c r="A95" s="131"/>
      <c r="B95" s="151"/>
      <c r="C95" s="63" t="s">
        <v>103</v>
      </c>
      <c r="D95" s="2">
        <v>2.5499999999999998</v>
      </c>
      <c r="E95" s="19">
        <v>2.14</v>
      </c>
      <c r="F95" s="2">
        <v>3.24</v>
      </c>
      <c r="G95" s="19">
        <v>3.25</v>
      </c>
      <c r="H95" s="2">
        <v>3.52</v>
      </c>
      <c r="I95" s="20">
        <v>3.25</v>
      </c>
      <c r="J95" s="19">
        <v>3.25</v>
      </c>
      <c r="K95" s="2">
        <v>2.83</v>
      </c>
      <c r="L95" s="19">
        <v>3.12</v>
      </c>
      <c r="M95" s="2">
        <v>2.95</v>
      </c>
      <c r="N95" s="20">
        <v>2.78</v>
      </c>
    </row>
    <row r="96" spans="1:14" ht="15.6" x14ac:dyDescent="0.3">
      <c r="A96" s="131"/>
      <c r="B96" s="151"/>
      <c r="C96" s="64" t="s">
        <v>104</v>
      </c>
      <c r="D96" s="26">
        <f t="shared" ref="D96:N96" si="22">IF(OR(D94="",D95=""),"",D95/D94)</f>
        <v>1.5644171779141105</v>
      </c>
      <c r="E96" s="27">
        <f t="shared" si="22"/>
        <v>1.5620437956204378</v>
      </c>
      <c r="F96" s="26">
        <f t="shared" si="22"/>
        <v>1.5576923076923077</v>
      </c>
      <c r="G96" s="27">
        <f t="shared" si="22"/>
        <v>1.5625</v>
      </c>
      <c r="H96" s="26">
        <f t="shared" si="22"/>
        <v>1.5575221238938055</v>
      </c>
      <c r="I96" s="28">
        <f t="shared" si="22"/>
        <v>1.5625</v>
      </c>
      <c r="J96" s="27">
        <f t="shared" si="22"/>
        <v>1.5625</v>
      </c>
      <c r="K96" s="26">
        <f t="shared" si="22"/>
        <v>1.5635359116022098</v>
      </c>
      <c r="L96" s="27">
        <f t="shared" si="22"/>
        <v>1.56</v>
      </c>
      <c r="M96" s="26">
        <f t="shared" si="22"/>
        <v>1.5608465608465609</v>
      </c>
      <c r="N96" s="28">
        <f t="shared" si="22"/>
        <v>1.5530726256983238</v>
      </c>
    </row>
    <row r="97" spans="1:14" ht="15.6" x14ac:dyDescent="0.3">
      <c r="A97" s="131"/>
      <c r="B97" s="151">
        <v>120</v>
      </c>
      <c r="C97" s="5" t="s">
        <v>102</v>
      </c>
      <c r="D97" s="6">
        <v>3.97</v>
      </c>
      <c r="E97" s="29">
        <v>3.34</v>
      </c>
      <c r="F97" s="6">
        <v>5.0599999999999996</v>
      </c>
      <c r="G97" s="29">
        <v>5.07</v>
      </c>
      <c r="H97" s="6">
        <v>5.49</v>
      </c>
      <c r="I97" s="30">
        <v>5.07</v>
      </c>
      <c r="J97" s="29">
        <v>5.07</v>
      </c>
      <c r="K97" s="6">
        <v>4.41</v>
      </c>
      <c r="L97" s="29">
        <v>4.8600000000000003</v>
      </c>
      <c r="M97" s="6">
        <v>4.5999999999999996</v>
      </c>
      <c r="N97" s="30">
        <v>4.34</v>
      </c>
    </row>
    <row r="98" spans="1:14" ht="15.6" x14ac:dyDescent="0.3">
      <c r="A98" s="131"/>
      <c r="B98" s="151"/>
      <c r="C98" s="63" t="s">
        <v>103</v>
      </c>
      <c r="D98" s="2">
        <v>5.75</v>
      </c>
      <c r="E98" s="19">
        <v>4.84</v>
      </c>
      <c r="F98" s="2">
        <v>7.33</v>
      </c>
      <c r="G98" s="19">
        <v>7.35</v>
      </c>
      <c r="H98" s="2">
        <v>7.95</v>
      </c>
      <c r="I98" s="20">
        <v>7.35</v>
      </c>
      <c r="J98" s="19">
        <v>7.35</v>
      </c>
      <c r="K98" s="2">
        <v>6.39</v>
      </c>
      <c r="L98" s="19">
        <v>7.05</v>
      </c>
      <c r="M98" s="2">
        <v>6.67</v>
      </c>
      <c r="N98" s="20">
        <v>6.29</v>
      </c>
    </row>
    <row r="99" spans="1:14" ht="15.6" x14ac:dyDescent="0.3">
      <c r="A99" s="131"/>
      <c r="B99" s="151"/>
      <c r="C99" s="65" t="s">
        <v>104</v>
      </c>
      <c r="D99" s="66">
        <f t="shared" ref="D99:N99" si="23">IF(OR(D97="",D98=""),"",D98/D97)</f>
        <v>1.4483627204030225</v>
      </c>
      <c r="E99" s="67">
        <f t="shared" si="23"/>
        <v>1.4491017964071857</v>
      </c>
      <c r="F99" s="66">
        <f t="shared" si="23"/>
        <v>1.4486166007905139</v>
      </c>
      <c r="G99" s="67">
        <f t="shared" si="23"/>
        <v>1.4497041420118342</v>
      </c>
      <c r="H99" s="66">
        <f t="shared" si="23"/>
        <v>1.4480874316939891</v>
      </c>
      <c r="I99" s="68">
        <f t="shared" si="23"/>
        <v>1.4497041420118342</v>
      </c>
      <c r="J99" s="67">
        <f t="shared" si="23"/>
        <v>1.4497041420118342</v>
      </c>
      <c r="K99" s="66">
        <f t="shared" si="23"/>
        <v>1.4489795918367345</v>
      </c>
      <c r="L99" s="67">
        <f t="shared" si="23"/>
        <v>1.4506172839506171</v>
      </c>
      <c r="M99" s="66">
        <f t="shared" si="23"/>
        <v>1.4500000000000002</v>
      </c>
      <c r="N99" s="68">
        <f t="shared" si="23"/>
        <v>1.4493087557603688</v>
      </c>
    </row>
    <row r="100" spans="1:14" ht="15.6" x14ac:dyDescent="0.3">
      <c r="A100" s="131"/>
      <c r="B100" s="151">
        <v>140</v>
      </c>
      <c r="C100" s="62" t="s">
        <v>102</v>
      </c>
      <c r="D100" s="4">
        <v>5.97</v>
      </c>
      <c r="E100" s="16">
        <v>5.0199999999999996</v>
      </c>
      <c r="F100" s="4">
        <v>7.61</v>
      </c>
      <c r="G100" s="16">
        <v>7.63</v>
      </c>
      <c r="H100" s="4">
        <v>8.25</v>
      </c>
      <c r="I100" s="17">
        <v>7.63</v>
      </c>
      <c r="J100" s="16">
        <v>7.63</v>
      </c>
      <c r="K100" s="4">
        <v>6.63</v>
      </c>
      <c r="L100" s="16">
        <v>7.31</v>
      </c>
      <c r="M100" s="4">
        <v>6.92</v>
      </c>
      <c r="N100" s="17">
        <v>6.53</v>
      </c>
    </row>
    <row r="101" spans="1:14" ht="15.6" x14ac:dyDescent="0.3">
      <c r="A101" s="131"/>
      <c r="B101" s="151"/>
      <c r="C101" s="63" t="s">
        <v>103</v>
      </c>
      <c r="D101" s="2">
        <v>8.44</v>
      </c>
      <c r="E101" s="19">
        <v>7.1</v>
      </c>
      <c r="F101" s="2">
        <v>10.76</v>
      </c>
      <c r="G101" s="19">
        <v>10.78</v>
      </c>
      <c r="H101" s="2">
        <v>11.67</v>
      </c>
      <c r="I101" s="20">
        <v>10.78</v>
      </c>
      <c r="J101" s="19">
        <v>10.78</v>
      </c>
      <c r="K101" s="2">
        <v>9.3800000000000008</v>
      </c>
      <c r="L101" s="19">
        <v>10.34</v>
      </c>
      <c r="M101" s="2">
        <v>7.97</v>
      </c>
      <c r="N101" s="20">
        <v>9.23</v>
      </c>
    </row>
    <row r="102" spans="1:14" ht="15.6" x14ac:dyDescent="0.3">
      <c r="A102" s="131"/>
      <c r="B102" s="151"/>
      <c r="C102" s="64" t="s">
        <v>104</v>
      </c>
      <c r="D102" s="26">
        <f t="shared" ref="D102:N102" si="24">IF(OR(D100="",D101=""),"",D101/D100)</f>
        <v>1.4137353433835846</v>
      </c>
      <c r="E102" s="27">
        <f t="shared" si="24"/>
        <v>1.4143426294820718</v>
      </c>
      <c r="F102" s="26">
        <f t="shared" si="24"/>
        <v>1.4139290407358738</v>
      </c>
      <c r="G102" s="27">
        <f t="shared" si="24"/>
        <v>1.4128440366972477</v>
      </c>
      <c r="H102" s="26">
        <f t="shared" si="24"/>
        <v>1.4145454545454546</v>
      </c>
      <c r="I102" s="28">
        <f t="shared" si="24"/>
        <v>1.4128440366972477</v>
      </c>
      <c r="J102" s="27">
        <f t="shared" si="24"/>
        <v>1.4128440366972477</v>
      </c>
      <c r="K102" s="26">
        <f t="shared" si="24"/>
        <v>1.4147812971342384</v>
      </c>
      <c r="L102" s="27">
        <f t="shared" si="24"/>
        <v>1.414500683994528</v>
      </c>
      <c r="M102" s="26">
        <f t="shared" si="24"/>
        <v>1.1517341040462428</v>
      </c>
      <c r="N102" s="28">
        <f t="shared" si="24"/>
        <v>1.4134762633996938</v>
      </c>
    </row>
    <row r="103" spans="1:14" ht="15.6" x14ac:dyDescent="0.3">
      <c r="A103" s="131" t="s">
        <v>159</v>
      </c>
      <c r="B103" s="151">
        <v>100</v>
      </c>
      <c r="C103" s="5" t="s">
        <v>102</v>
      </c>
      <c r="D103" s="6">
        <v>0.47</v>
      </c>
      <c r="E103" s="29">
        <v>0.4</v>
      </c>
      <c r="F103" s="6">
        <v>0.6</v>
      </c>
      <c r="G103" s="29">
        <v>0.6</v>
      </c>
      <c r="H103" s="6">
        <v>0.65</v>
      </c>
      <c r="I103" s="30">
        <v>0.6</v>
      </c>
      <c r="J103" s="29">
        <v>0.6</v>
      </c>
      <c r="K103" s="6">
        <v>0.53</v>
      </c>
      <c r="L103" s="29">
        <v>0.57999999999999996</v>
      </c>
      <c r="M103" s="6">
        <v>0.55000000000000004</v>
      </c>
      <c r="N103" s="30">
        <v>0.52</v>
      </c>
    </row>
    <row r="104" spans="1:14" ht="15.6" x14ac:dyDescent="0.3">
      <c r="A104" s="131"/>
      <c r="B104" s="151"/>
      <c r="C104" s="63" t="s">
        <v>103</v>
      </c>
      <c r="D104" s="2">
        <v>0.64</v>
      </c>
      <c r="E104" s="19">
        <v>0.53</v>
      </c>
      <c r="F104" s="2">
        <v>0.81</v>
      </c>
      <c r="G104" s="19">
        <v>0.81</v>
      </c>
      <c r="H104" s="2">
        <v>0.88</v>
      </c>
      <c r="I104" s="20">
        <v>0.81</v>
      </c>
      <c r="J104" s="19">
        <v>0.81</v>
      </c>
      <c r="K104" s="2">
        <v>0.71</v>
      </c>
      <c r="L104" s="19">
        <v>0.78</v>
      </c>
      <c r="M104" s="2">
        <v>0.74</v>
      </c>
      <c r="N104" s="20">
        <v>0.7</v>
      </c>
    </row>
    <row r="105" spans="1:14" ht="15.6" x14ac:dyDescent="0.3">
      <c r="A105" s="131"/>
      <c r="B105" s="151"/>
      <c r="C105" s="65" t="s">
        <v>104</v>
      </c>
      <c r="D105" s="66">
        <f t="shared" ref="D105:N105" si="25">IF(OR(D103="",D104=""),"",D104/D103)</f>
        <v>1.3617021276595747</v>
      </c>
      <c r="E105" s="67">
        <f t="shared" si="25"/>
        <v>1.325</v>
      </c>
      <c r="F105" s="66">
        <f t="shared" si="25"/>
        <v>1.35</v>
      </c>
      <c r="G105" s="67">
        <f t="shared" si="25"/>
        <v>1.35</v>
      </c>
      <c r="H105" s="66">
        <f t="shared" si="25"/>
        <v>1.3538461538461537</v>
      </c>
      <c r="I105" s="68">
        <f t="shared" si="25"/>
        <v>1.35</v>
      </c>
      <c r="J105" s="67">
        <f t="shared" si="25"/>
        <v>1.35</v>
      </c>
      <c r="K105" s="66">
        <f t="shared" si="25"/>
        <v>1.3396226415094339</v>
      </c>
      <c r="L105" s="67">
        <f t="shared" si="25"/>
        <v>1.3448275862068968</v>
      </c>
      <c r="M105" s="66">
        <f t="shared" si="25"/>
        <v>1.3454545454545452</v>
      </c>
      <c r="N105" s="68">
        <f t="shared" si="25"/>
        <v>1.346153846153846</v>
      </c>
    </row>
    <row r="106" spans="1:14" ht="15.6" x14ac:dyDescent="0.3">
      <c r="A106" s="131"/>
      <c r="B106" s="151">
        <v>140</v>
      </c>
      <c r="C106" s="62" t="s">
        <v>102</v>
      </c>
      <c r="D106" s="4">
        <v>2.06</v>
      </c>
      <c r="E106" s="16">
        <v>1.73</v>
      </c>
      <c r="F106" s="4">
        <v>2.62</v>
      </c>
      <c r="G106" s="16">
        <v>2.63</v>
      </c>
      <c r="H106" s="4">
        <v>2.85</v>
      </c>
      <c r="I106" s="17">
        <v>2.63</v>
      </c>
      <c r="J106" s="16">
        <v>2.63</v>
      </c>
      <c r="K106" s="4">
        <v>2.29</v>
      </c>
      <c r="L106" s="16">
        <v>2.52</v>
      </c>
      <c r="M106" s="4">
        <v>2.39</v>
      </c>
      <c r="N106" s="17">
        <v>2.25</v>
      </c>
    </row>
    <row r="107" spans="1:14" ht="15.6" x14ac:dyDescent="0.3">
      <c r="A107" s="131"/>
      <c r="B107" s="151"/>
      <c r="C107" s="63" t="s">
        <v>103</v>
      </c>
      <c r="D107" s="2">
        <v>2.71</v>
      </c>
      <c r="E107" s="19">
        <v>2.2799999999999998</v>
      </c>
      <c r="F107" s="2">
        <v>3.45</v>
      </c>
      <c r="G107" s="19">
        <v>3.46</v>
      </c>
      <c r="H107" s="2">
        <v>3.75</v>
      </c>
      <c r="I107" s="20">
        <v>3.46</v>
      </c>
      <c r="J107" s="19">
        <v>3.46</v>
      </c>
      <c r="K107" s="2">
        <v>3.01</v>
      </c>
      <c r="L107" s="19">
        <v>3.32</v>
      </c>
      <c r="M107" s="2">
        <v>3.14</v>
      </c>
      <c r="N107" s="20">
        <v>2.96</v>
      </c>
    </row>
    <row r="108" spans="1:14" ht="15.6" x14ac:dyDescent="0.3">
      <c r="A108" s="131"/>
      <c r="B108" s="151"/>
      <c r="C108" s="64" t="s">
        <v>104</v>
      </c>
      <c r="D108" s="26">
        <f t="shared" ref="D108:N108" si="26">IF(OR(D106="",D107=""),"",D107/D106)</f>
        <v>1.3155339805825241</v>
      </c>
      <c r="E108" s="27">
        <f t="shared" si="26"/>
        <v>1.3179190751445087</v>
      </c>
      <c r="F108" s="26">
        <f t="shared" si="26"/>
        <v>1.3167938931297709</v>
      </c>
      <c r="G108" s="27">
        <f t="shared" si="26"/>
        <v>1.3155893536121674</v>
      </c>
      <c r="H108" s="26">
        <f t="shared" si="26"/>
        <v>1.3157894736842104</v>
      </c>
      <c r="I108" s="28">
        <f t="shared" si="26"/>
        <v>1.3155893536121674</v>
      </c>
      <c r="J108" s="27">
        <f t="shared" si="26"/>
        <v>1.3155893536121674</v>
      </c>
      <c r="K108" s="26">
        <f t="shared" si="26"/>
        <v>1.3144104803493448</v>
      </c>
      <c r="L108" s="27">
        <f t="shared" si="26"/>
        <v>1.3174603174603174</v>
      </c>
      <c r="M108" s="26">
        <f t="shared" si="26"/>
        <v>1.3138075313807531</v>
      </c>
      <c r="N108" s="28">
        <f t="shared" si="26"/>
        <v>1.3155555555555556</v>
      </c>
    </row>
    <row r="109" spans="1:14" ht="15.6" x14ac:dyDescent="0.3">
      <c r="A109" s="152" t="s">
        <v>160</v>
      </c>
      <c r="B109" s="151">
        <v>150</v>
      </c>
      <c r="C109" s="6" t="s">
        <v>102</v>
      </c>
      <c r="D109" s="6"/>
      <c r="E109" s="29"/>
      <c r="F109" s="6"/>
      <c r="G109" s="29"/>
      <c r="H109" s="6"/>
      <c r="I109" s="29"/>
      <c r="J109" s="5">
        <v>1.86</v>
      </c>
      <c r="K109" s="6"/>
      <c r="L109" s="29"/>
      <c r="M109" s="6"/>
      <c r="N109" s="30"/>
    </row>
    <row r="110" spans="1:14" ht="15.6" x14ac:dyDescent="0.3">
      <c r="A110" s="152"/>
      <c r="B110" s="151"/>
      <c r="C110" s="2" t="s">
        <v>103</v>
      </c>
      <c r="D110" s="2"/>
      <c r="E110" s="19"/>
      <c r="F110" s="2"/>
      <c r="G110" s="19"/>
      <c r="H110" s="2"/>
      <c r="I110" s="19"/>
      <c r="J110" s="63">
        <v>2.41</v>
      </c>
      <c r="K110" s="2"/>
      <c r="L110" s="19"/>
      <c r="M110" s="2"/>
      <c r="N110" s="20"/>
    </row>
    <row r="111" spans="1:14" ht="15.6" x14ac:dyDescent="0.3">
      <c r="A111" s="152"/>
      <c r="B111" s="151"/>
      <c r="C111" s="25" t="s">
        <v>104</v>
      </c>
      <c r="D111" s="26" t="str">
        <f t="shared" ref="D111:N111" si="27">IF(OR(D109="",D110=""),"",D110/D109)</f>
        <v/>
      </c>
      <c r="E111" s="27" t="str">
        <f t="shared" si="27"/>
        <v/>
      </c>
      <c r="F111" s="26" t="str">
        <f t="shared" si="27"/>
        <v/>
      </c>
      <c r="G111" s="27" t="str">
        <f t="shared" si="27"/>
        <v/>
      </c>
      <c r="H111" s="26" t="str">
        <f t="shared" si="27"/>
        <v/>
      </c>
      <c r="I111" s="27" t="str">
        <f t="shared" si="27"/>
        <v/>
      </c>
      <c r="J111" s="128">
        <f t="shared" si="27"/>
        <v>1.2956989247311828</v>
      </c>
      <c r="K111" s="26" t="str">
        <f t="shared" si="27"/>
        <v/>
      </c>
      <c r="L111" s="27" t="str">
        <f t="shared" si="27"/>
        <v/>
      </c>
      <c r="M111" s="26" t="str">
        <f t="shared" si="27"/>
        <v/>
      </c>
      <c r="N111" s="28" t="str">
        <f t="shared" si="27"/>
        <v/>
      </c>
    </row>
  </sheetData>
  <mergeCells count="44">
    <mergeCell ref="A5:A6"/>
    <mergeCell ref="A7:A18"/>
    <mergeCell ref="B7:B9"/>
    <mergeCell ref="B10:B12"/>
    <mergeCell ref="B13:B15"/>
    <mergeCell ref="B16:B18"/>
    <mergeCell ref="A19:A24"/>
    <mergeCell ref="B19:B21"/>
    <mergeCell ref="B22:B24"/>
    <mergeCell ref="A25:A27"/>
    <mergeCell ref="B25:B27"/>
    <mergeCell ref="A33:A34"/>
    <mergeCell ref="A35:A46"/>
    <mergeCell ref="B35:B37"/>
    <mergeCell ref="B38:B40"/>
    <mergeCell ref="B41:B43"/>
    <mergeCell ref="B44:B46"/>
    <mergeCell ref="A47:A52"/>
    <mergeCell ref="B47:B49"/>
    <mergeCell ref="B50:B52"/>
    <mergeCell ref="A53:A55"/>
    <mergeCell ref="B53:B55"/>
    <mergeCell ref="A61:A62"/>
    <mergeCell ref="A63:A74"/>
    <mergeCell ref="B63:B65"/>
    <mergeCell ref="B66:B68"/>
    <mergeCell ref="B69:B71"/>
    <mergeCell ref="B72:B74"/>
    <mergeCell ref="A75:A80"/>
    <mergeCell ref="B75:B77"/>
    <mergeCell ref="B78:B80"/>
    <mergeCell ref="A81:A83"/>
    <mergeCell ref="B81:B83"/>
    <mergeCell ref="A89:A90"/>
    <mergeCell ref="A91:A102"/>
    <mergeCell ref="B91:B93"/>
    <mergeCell ref="B94:B96"/>
    <mergeCell ref="B97:B99"/>
    <mergeCell ref="B100:B102"/>
    <mergeCell ref="A103:A108"/>
    <mergeCell ref="B103:B105"/>
    <mergeCell ref="B106:B108"/>
    <mergeCell ref="A109:A111"/>
    <mergeCell ref="B109:B11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Sheet9</vt:lpstr>
      <vt:lpstr>Sheet18</vt:lpstr>
      <vt:lpstr>Pro.Pulse</vt:lpstr>
      <vt:lpstr>Neurologica BodyTom</vt:lpstr>
      <vt:lpstr>Symbia Pro.specta Q3</vt:lpstr>
      <vt:lpstr>Intevo Bold</vt:lpstr>
      <vt:lpstr>Biograph Vision</vt:lpstr>
      <vt:lpstr>X.cite</vt:lpstr>
      <vt:lpstr>Confidence 20</vt:lpstr>
      <vt:lpstr>Confidence 64</vt:lpstr>
      <vt:lpstr>go.Top</vt:lpstr>
      <vt:lpstr>Definition Edge</vt:lpstr>
      <vt:lpstr>Somatom Drive</vt:lpstr>
      <vt:lpstr>Somatom Force</vt:lpstr>
      <vt:lpstr>Somatom Flash</vt:lpstr>
      <vt:lpstr>Definition AS</vt:lpstr>
      <vt:lpstr>Naeotom 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Mah, Eugene</cp:lastModifiedBy>
  <cp:revision>2</cp:revision>
  <dcterms:modified xsi:type="dcterms:W3CDTF">2026-06-16T18:54:50Z</dcterms:modified>
  <dc:language>en-US</dc:language>
</cp:coreProperties>
</file>